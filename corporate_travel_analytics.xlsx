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tables/table5.xml" ContentType="application/vnd.openxmlformats-officedocument.spreadsheetml.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anna/Travel_Data_Analysis/"/>
    </mc:Choice>
  </mc:AlternateContent>
  <xr:revisionPtr revIDLastSave="0" documentId="13_ncr:1_{6E88988D-49DF-3641-83EE-A27CB64F3D52}" xr6:coauthVersionLast="47" xr6:coauthVersionMax="47" xr10:uidLastSave="{00000000-0000-0000-0000-000000000000}"/>
  <bookViews>
    <workbookView xWindow="0" yWindow="600" windowWidth="28160" windowHeight="15760" activeTab="1" xr2:uid="{00000000-000D-0000-FFFF-FFFF00000000}"/>
  </bookViews>
  <sheets>
    <sheet name="README" sheetId="1" r:id="rId1"/>
    <sheet name="Executive Summary" sheetId="21" r:id="rId2"/>
    <sheet name="Policy Reference" sheetId="15" r:id="rId3"/>
    <sheet name="Trips_Raw" sheetId="2" r:id="rId4"/>
    <sheet name="Trips_Workbook" sheetId="10" r:id="rId5"/>
    <sheet name="Calculations" sheetId="20" r:id="rId6"/>
    <sheet name="Spend &amp; Booking Analysis" sheetId="12" r:id="rId7"/>
    <sheet name="Compliance Analysis" sheetId="14" r:id="rId8"/>
    <sheet name="Changes_Cancellations_Analysis" sheetId="16" r:id="rId9"/>
    <sheet name="Feedback &amp; SP Analysis" sheetId="18" r:id="rId10"/>
    <sheet name="Service Performance" sheetId="8" r:id="rId11"/>
    <sheet name="Sustainability_Analysis" sheetId="19" r:id="rId12"/>
    <sheet name="Travellers" sheetId="3" r:id="rId13"/>
    <sheet name="Airlines" sheetId="4" r:id="rId14"/>
    <sheet name="Hotels" sheetId="5" r:id="rId15"/>
    <sheet name="Trip Changes" sheetId="6" r:id="rId16"/>
    <sheet name="Trip Cancellations" sheetId="7" r:id="rId17"/>
    <sheet name="Traveller Feedback" sheetId="9" r:id="rId18"/>
  </sheets>
  <definedNames>
    <definedName name="_xlnm._FilterDatabase" localSheetId="4" hidden="1">Trips_Workbook!$AW$1:$BK$583</definedName>
  </definedNames>
  <calcPr calcId="191029"/>
  <pivotCaches>
    <pivotCache cacheId="4" r:id="rId19"/>
    <pivotCache cacheId="5" r:id="rId20"/>
    <pivotCache cacheId="6" r:id="rId21"/>
    <pivotCache cacheId="7" r:id="rId2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21" l="1"/>
  <c r="G7" i="21"/>
  <c r="F7" i="21"/>
  <c r="E7" i="21"/>
  <c r="D7" i="21"/>
  <c r="C7" i="21"/>
  <c r="B7" i="21"/>
  <c r="A7" i="21"/>
  <c r="D7" i="20"/>
  <c r="D6" i="20"/>
  <c r="D5" i="20"/>
  <c r="D4" i="20"/>
  <c r="D3" i="20"/>
  <c r="D2" i="20"/>
  <c r="V2" i="10"/>
  <c r="V3" i="10"/>
  <c r="V4" i="10"/>
  <c r="V5" i="10"/>
  <c r="V6" i="10"/>
  <c r="V7"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345" i="10"/>
  <c r="V346" i="10"/>
  <c r="V347" i="10"/>
  <c r="V348" i="10"/>
  <c r="V349" i="10"/>
  <c r="V350" i="10"/>
  <c r="V351" i="10"/>
  <c r="V352" i="10"/>
  <c r="V353" i="10"/>
  <c r="V354" i="10"/>
  <c r="V355" i="10"/>
  <c r="V356" i="10"/>
  <c r="V357" i="10"/>
  <c r="V358" i="10"/>
  <c r="V359" i="10"/>
  <c r="V360" i="10"/>
  <c r="V361" i="10"/>
  <c r="V362" i="10"/>
  <c r="V363" i="10"/>
  <c r="V364" i="10"/>
  <c r="V365" i="10"/>
  <c r="V366" i="10"/>
  <c r="V367" i="10"/>
  <c r="V368" i="10"/>
  <c r="V369" i="10"/>
  <c r="V370" i="10"/>
  <c r="V371" i="10"/>
  <c r="V372" i="10"/>
  <c r="V373" i="10"/>
  <c r="V374" i="10"/>
  <c r="V375" i="10"/>
  <c r="V376" i="10"/>
  <c r="V377" i="10"/>
  <c r="V378" i="10"/>
  <c r="V379" i="10"/>
  <c r="V380" i="10"/>
  <c r="V381" i="10"/>
  <c r="V382" i="10"/>
  <c r="V383" i="10"/>
  <c r="V384" i="10"/>
  <c r="V385" i="10"/>
  <c r="V386" i="10"/>
  <c r="V387" i="10"/>
  <c r="V388" i="10"/>
  <c r="V389" i="10"/>
  <c r="V390" i="10"/>
  <c r="V391" i="10"/>
  <c r="V392" i="10"/>
  <c r="V393" i="10"/>
  <c r="V394" i="10"/>
  <c r="V395" i="10"/>
  <c r="V396" i="10"/>
  <c r="V397" i="10"/>
  <c r="V398" i="10"/>
  <c r="V399" i="10"/>
  <c r="V400" i="10"/>
  <c r="V401" i="10"/>
  <c r="V402" i="10"/>
  <c r="V403" i="10"/>
  <c r="V404" i="10"/>
  <c r="V405" i="10"/>
  <c r="V406" i="10"/>
  <c r="V407" i="10"/>
  <c r="V408" i="10"/>
  <c r="V409" i="10"/>
  <c r="V410" i="10"/>
  <c r="V411" i="10"/>
  <c r="V412" i="10"/>
  <c r="V413" i="10"/>
  <c r="V414" i="10"/>
  <c r="V415" i="10"/>
  <c r="V416" i="10"/>
  <c r="V417" i="10"/>
  <c r="V418" i="10"/>
  <c r="V419" i="10"/>
  <c r="V420" i="10"/>
  <c r="V421" i="10"/>
  <c r="V422" i="10"/>
  <c r="V423" i="10"/>
  <c r="V424" i="10"/>
  <c r="V425" i="10"/>
  <c r="V426" i="10"/>
  <c r="V427" i="10"/>
  <c r="V428" i="10"/>
  <c r="V429" i="10"/>
  <c r="V430" i="10"/>
  <c r="V431" i="10"/>
  <c r="V432" i="10"/>
  <c r="V433" i="10"/>
  <c r="V434" i="10"/>
  <c r="V435" i="10"/>
  <c r="V436" i="10"/>
  <c r="V437" i="10"/>
  <c r="V438" i="10"/>
  <c r="V439" i="10"/>
  <c r="V440" i="10"/>
  <c r="V441" i="10"/>
  <c r="V442" i="10"/>
  <c r="V443" i="10"/>
  <c r="V444" i="10"/>
  <c r="V445" i="10"/>
  <c r="V446" i="10"/>
  <c r="V447" i="10"/>
  <c r="V448" i="10"/>
  <c r="V449" i="10"/>
  <c r="V450" i="10"/>
  <c r="V451" i="10"/>
  <c r="V452" i="10"/>
  <c r="V453" i="10"/>
  <c r="V454" i="10"/>
  <c r="V455" i="10"/>
  <c r="V456" i="10"/>
  <c r="V457" i="10"/>
  <c r="V458" i="10"/>
  <c r="V459" i="10"/>
  <c r="V460" i="10"/>
  <c r="V461" i="10"/>
  <c r="V462" i="10"/>
  <c r="V463" i="10"/>
  <c r="V464" i="10"/>
  <c r="V465" i="10"/>
  <c r="V466" i="10"/>
  <c r="V467" i="10"/>
  <c r="V468" i="10"/>
  <c r="V469" i="10"/>
  <c r="V470" i="10"/>
  <c r="V471" i="10"/>
  <c r="V472" i="10"/>
  <c r="V473" i="10"/>
  <c r="V474" i="10"/>
  <c r="V475" i="10"/>
  <c r="V476" i="10"/>
  <c r="V477" i="10"/>
  <c r="V478" i="10"/>
  <c r="V479" i="10"/>
  <c r="V480" i="10"/>
  <c r="V481" i="10"/>
  <c r="V482" i="10"/>
  <c r="V483" i="10"/>
  <c r="V484" i="10"/>
  <c r="V485" i="10"/>
  <c r="V486" i="10"/>
  <c r="V487" i="10"/>
  <c r="V488" i="10"/>
  <c r="V489" i="10"/>
  <c r="V490" i="10"/>
  <c r="V491" i="10"/>
  <c r="V492" i="10"/>
  <c r="V493" i="10"/>
  <c r="V494" i="10"/>
  <c r="V495" i="10"/>
  <c r="V496" i="10"/>
  <c r="V497" i="10"/>
  <c r="V498" i="10"/>
  <c r="V499" i="10"/>
  <c r="V500" i="10"/>
  <c r="V501" i="10"/>
  <c r="V502" i="10"/>
  <c r="V503" i="10"/>
  <c r="V504" i="10"/>
  <c r="V505" i="10"/>
  <c r="V506" i="10"/>
  <c r="V507" i="10"/>
  <c r="V508" i="10"/>
  <c r="V509" i="10"/>
  <c r="V510" i="10"/>
  <c r="V511" i="10"/>
  <c r="V512" i="10"/>
  <c r="V513" i="10"/>
  <c r="V514" i="10"/>
  <c r="V515" i="10"/>
  <c r="V516" i="10"/>
  <c r="V517" i="10"/>
  <c r="V518" i="10"/>
  <c r="V519" i="10"/>
  <c r="V520" i="10"/>
  <c r="V521" i="10"/>
  <c r="V522" i="10"/>
  <c r="V523" i="10"/>
  <c r="V524" i="10"/>
  <c r="V525" i="10"/>
  <c r="V526" i="10"/>
  <c r="V527" i="10"/>
  <c r="V528" i="10"/>
  <c r="V529" i="10"/>
  <c r="V530" i="10"/>
  <c r="V531" i="10"/>
  <c r="V532" i="10"/>
  <c r="V533" i="10"/>
  <c r="V534" i="10"/>
  <c r="V535" i="10"/>
  <c r="V536" i="10"/>
  <c r="V537" i="10"/>
  <c r="V538" i="10"/>
  <c r="V539" i="10"/>
  <c r="V540" i="10"/>
  <c r="V541" i="10"/>
  <c r="V542" i="10"/>
  <c r="V543" i="10"/>
  <c r="V544" i="10"/>
  <c r="V545" i="10"/>
  <c r="V546" i="10"/>
  <c r="V547" i="10"/>
  <c r="V548" i="10"/>
  <c r="V549" i="10"/>
  <c r="V550" i="10"/>
  <c r="V551" i="10"/>
  <c r="V552" i="10"/>
  <c r="V553" i="10"/>
  <c r="V554" i="10"/>
  <c r="V555" i="10"/>
  <c r="V556" i="10"/>
  <c r="V557" i="10"/>
  <c r="V558" i="10"/>
  <c r="V559" i="10"/>
  <c r="V560" i="10"/>
  <c r="V561" i="10"/>
  <c r="V562" i="10"/>
  <c r="V563" i="10"/>
  <c r="V564" i="10"/>
  <c r="V565" i="10"/>
  <c r="V566" i="10"/>
  <c r="V567" i="10"/>
  <c r="V568" i="10"/>
  <c r="V569" i="10"/>
  <c r="V570" i="10"/>
  <c r="V571" i="10"/>
  <c r="V572" i="10"/>
  <c r="V573" i="10"/>
  <c r="V574" i="10"/>
  <c r="V575" i="10"/>
  <c r="V576" i="10"/>
  <c r="V577" i="10"/>
  <c r="V578" i="10"/>
  <c r="V579" i="10"/>
  <c r="V580" i="10"/>
  <c r="V581" i="10"/>
  <c r="V582" i="10"/>
  <c r="V583" i="10"/>
  <c r="AT2" i="10"/>
  <c r="AT3" i="10"/>
  <c r="AT4" i="10"/>
  <c r="AT5" i="10"/>
  <c r="AT6" i="10"/>
  <c r="AT7" i="10"/>
  <c r="AT8" i="10"/>
  <c r="AT9" i="10"/>
  <c r="AT10" i="10"/>
  <c r="AT11" i="10"/>
  <c r="AT12" i="10"/>
  <c r="AT13" i="10"/>
  <c r="AT14" i="10"/>
  <c r="AT15" i="10"/>
  <c r="AT16" i="10"/>
  <c r="AT17" i="10"/>
  <c r="AT18" i="10"/>
  <c r="AT19" i="10"/>
  <c r="AT20" i="10"/>
  <c r="AT21" i="10"/>
  <c r="AT22" i="10"/>
  <c r="AT23" i="10"/>
  <c r="AT24" i="10"/>
  <c r="AT25" i="10"/>
  <c r="AT26" i="10"/>
  <c r="AT27" i="10"/>
  <c r="AT28" i="10"/>
  <c r="AT29" i="10"/>
  <c r="AT30" i="10"/>
  <c r="AT31" i="10"/>
  <c r="AT32" i="10"/>
  <c r="AT33" i="10"/>
  <c r="AT34" i="10"/>
  <c r="AT35" i="10"/>
  <c r="AT36" i="10"/>
  <c r="AT37" i="10"/>
  <c r="AT38" i="10"/>
  <c r="AT39" i="10"/>
  <c r="AT40" i="10"/>
  <c r="AT41" i="10"/>
  <c r="AT42" i="10"/>
  <c r="AT43" i="10"/>
  <c r="AT44" i="10"/>
  <c r="AT45" i="10"/>
  <c r="AT46" i="10"/>
  <c r="AT47" i="10"/>
  <c r="AT48" i="10"/>
  <c r="AT49" i="10"/>
  <c r="AT50" i="10"/>
  <c r="AT51" i="10"/>
  <c r="AT52" i="10"/>
  <c r="AT53" i="10"/>
  <c r="AT54" i="10"/>
  <c r="AT55" i="10"/>
  <c r="AT56" i="10"/>
  <c r="AT57" i="10"/>
  <c r="AT58" i="10"/>
  <c r="AT59" i="10"/>
  <c r="AT60" i="10"/>
  <c r="AT61" i="10"/>
  <c r="AT62" i="10"/>
  <c r="AT63" i="10"/>
  <c r="AT64" i="10"/>
  <c r="AT65" i="10"/>
  <c r="AT66" i="10"/>
  <c r="AT67" i="10"/>
  <c r="AT68" i="10"/>
  <c r="AT69" i="10"/>
  <c r="AT70" i="10"/>
  <c r="AT71" i="10"/>
  <c r="AT72" i="10"/>
  <c r="AT73" i="10"/>
  <c r="AT74" i="10"/>
  <c r="AT75" i="10"/>
  <c r="AT76" i="10"/>
  <c r="AT77" i="10"/>
  <c r="AT78" i="10"/>
  <c r="AT79" i="10"/>
  <c r="AT80" i="10"/>
  <c r="AT81" i="10"/>
  <c r="AT82" i="10"/>
  <c r="AT83" i="10"/>
  <c r="AT84" i="10"/>
  <c r="AT85" i="10"/>
  <c r="AT86" i="10"/>
  <c r="AT87" i="10"/>
  <c r="AT88" i="10"/>
  <c r="AT89" i="10"/>
  <c r="AT90" i="10"/>
  <c r="AT91" i="10"/>
  <c r="AT92" i="10"/>
  <c r="AT93" i="10"/>
  <c r="AT94" i="10"/>
  <c r="AT95" i="10"/>
  <c r="AT96" i="10"/>
  <c r="AT97" i="10"/>
  <c r="AT98" i="10"/>
  <c r="AT99" i="10"/>
  <c r="AT100" i="10"/>
  <c r="AT101" i="10"/>
  <c r="AT102" i="10"/>
  <c r="AT103" i="10"/>
  <c r="AT104" i="10"/>
  <c r="AT105" i="10"/>
  <c r="AT106" i="10"/>
  <c r="AT107" i="10"/>
  <c r="AT108" i="10"/>
  <c r="AT109" i="10"/>
  <c r="AT110" i="10"/>
  <c r="AT111" i="10"/>
  <c r="AT112" i="10"/>
  <c r="AT113" i="10"/>
  <c r="AT114" i="10"/>
  <c r="AT115" i="10"/>
  <c r="AT116" i="10"/>
  <c r="AT117" i="10"/>
  <c r="AT118" i="10"/>
  <c r="AT119" i="10"/>
  <c r="AT120" i="10"/>
  <c r="AT121" i="10"/>
  <c r="AT122" i="10"/>
  <c r="AT123" i="10"/>
  <c r="AT124" i="10"/>
  <c r="AT125" i="10"/>
  <c r="AT126" i="10"/>
  <c r="AT127" i="10"/>
  <c r="AT128" i="10"/>
  <c r="AT129" i="10"/>
  <c r="AT130" i="10"/>
  <c r="AT131" i="10"/>
  <c r="AT132" i="10"/>
  <c r="AT133" i="10"/>
  <c r="AT134" i="10"/>
  <c r="AT135" i="10"/>
  <c r="AT136" i="10"/>
  <c r="AT137" i="10"/>
  <c r="AT138" i="10"/>
  <c r="AT139" i="10"/>
  <c r="AT140" i="10"/>
  <c r="AT141" i="10"/>
  <c r="AT142" i="10"/>
  <c r="AT143" i="10"/>
  <c r="AT144" i="10"/>
  <c r="AT145" i="10"/>
  <c r="AT146" i="10"/>
  <c r="AT147" i="10"/>
  <c r="AT148" i="10"/>
  <c r="AT149" i="10"/>
  <c r="AT150" i="10"/>
  <c r="AT151" i="10"/>
  <c r="AT152" i="10"/>
  <c r="AT153" i="10"/>
  <c r="AT154" i="10"/>
  <c r="AT155" i="10"/>
  <c r="AT156" i="10"/>
  <c r="AT157" i="10"/>
  <c r="AT158" i="10"/>
  <c r="AT159" i="10"/>
  <c r="AT160" i="10"/>
  <c r="AT161" i="10"/>
  <c r="AT162" i="10"/>
  <c r="AT163" i="10"/>
  <c r="AT164" i="10"/>
  <c r="AT165" i="10"/>
  <c r="AT166" i="10"/>
  <c r="AT167" i="10"/>
  <c r="AT168" i="10"/>
  <c r="AT169" i="10"/>
  <c r="AT170" i="10"/>
  <c r="AT171" i="10"/>
  <c r="AT172" i="10"/>
  <c r="AT173" i="10"/>
  <c r="AT174" i="10"/>
  <c r="AT175" i="10"/>
  <c r="AT176" i="10"/>
  <c r="AT177" i="10"/>
  <c r="AT178" i="10"/>
  <c r="AT179" i="10"/>
  <c r="AT180" i="10"/>
  <c r="AT181" i="10"/>
  <c r="AT182" i="10"/>
  <c r="AT183" i="10"/>
  <c r="AT184" i="10"/>
  <c r="AT185" i="10"/>
  <c r="AT186" i="10"/>
  <c r="AT187" i="10"/>
  <c r="AT188" i="10"/>
  <c r="AT189" i="10"/>
  <c r="AT190" i="10"/>
  <c r="AT191" i="10"/>
  <c r="AT192" i="10"/>
  <c r="AT193" i="10"/>
  <c r="AT194" i="10"/>
  <c r="AT195" i="10"/>
  <c r="AT196" i="10"/>
  <c r="AT197" i="10"/>
  <c r="AT198" i="10"/>
  <c r="AT199" i="10"/>
  <c r="AT200" i="10"/>
  <c r="AT201" i="10"/>
  <c r="AT202" i="10"/>
  <c r="AT203" i="10"/>
  <c r="AT204" i="10"/>
  <c r="AT205" i="10"/>
  <c r="AT206" i="10"/>
  <c r="AT207" i="10"/>
  <c r="AT208" i="10"/>
  <c r="AT209" i="10"/>
  <c r="AT210" i="10"/>
  <c r="AT211" i="10"/>
  <c r="AT212" i="10"/>
  <c r="AT213" i="10"/>
  <c r="AT214" i="10"/>
  <c r="AT215" i="10"/>
  <c r="AT216" i="10"/>
  <c r="AT217" i="10"/>
  <c r="AT218" i="10"/>
  <c r="AT219" i="10"/>
  <c r="AT220" i="10"/>
  <c r="AT221" i="10"/>
  <c r="AT222" i="10"/>
  <c r="AT223" i="10"/>
  <c r="AT224" i="10"/>
  <c r="AT225" i="10"/>
  <c r="AT226" i="10"/>
  <c r="AT227" i="10"/>
  <c r="AT228" i="10"/>
  <c r="AT229" i="10"/>
  <c r="AT230" i="10"/>
  <c r="AT231" i="10"/>
  <c r="AT232" i="10"/>
  <c r="AT233" i="10"/>
  <c r="AT234" i="10"/>
  <c r="AT235" i="10"/>
  <c r="AT236" i="10"/>
  <c r="AT237" i="10"/>
  <c r="AT238" i="10"/>
  <c r="AT239" i="10"/>
  <c r="AT240" i="10"/>
  <c r="AT241" i="10"/>
  <c r="AT242" i="10"/>
  <c r="AT243" i="10"/>
  <c r="AT244" i="10"/>
  <c r="AT245" i="10"/>
  <c r="AT246" i="10"/>
  <c r="AT247" i="10"/>
  <c r="AT248" i="10"/>
  <c r="AT249" i="10"/>
  <c r="AT250" i="10"/>
  <c r="AT251" i="10"/>
  <c r="AT252" i="10"/>
  <c r="AT253" i="10"/>
  <c r="AT254" i="10"/>
  <c r="AT255" i="10"/>
  <c r="AT256" i="10"/>
  <c r="AT257" i="10"/>
  <c r="AT258" i="10"/>
  <c r="AT259" i="10"/>
  <c r="AT260" i="10"/>
  <c r="AT261" i="10"/>
  <c r="AT262" i="10"/>
  <c r="AT263" i="10"/>
  <c r="AT264" i="10"/>
  <c r="AT265" i="10"/>
  <c r="AT266" i="10"/>
  <c r="AT267" i="10"/>
  <c r="AT268" i="10"/>
  <c r="AT269" i="10"/>
  <c r="AT270" i="10"/>
  <c r="AT271" i="10"/>
  <c r="AT272" i="10"/>
  <c r="AT273" i="10"/>
  <c r="AT274" i="10"/>
  <c r="AT275" i="10"/>
  <c r="AT276" i="10"/>
  <c r="AT277" i="10"/>
  <c r="AT278" i="10"/>
  <c r="AT279" i="10"/>
  <c r="AT280" i="10"/>
  <c r="AT281" i="10"/>
  <c r="AT282" i="10"/>
  <c r="AT283" i="10"/>
  <c r="AT284" i="10"/>
  <c r="AT285" i="10"/>
  <c r="AT286" i="10"/>
  <c r="AT287" i="10"/>
  <c r="AT288" i="10"/>
  <c r="AT289" i="10"/>
  <c r="AT290" i="10"/>
  <c r="AT291" i="10"/>
  <c r="AT292" i="10"/>
  <c r="AT293" i="10"/>
  <c r="AT294" i="10"/>
  <c r="AT295" i="10"/>
  <c r="AT296" i="10"/>
  <c r="AT297" i="10"/>
  <c r="AT298" i="10"/>
  <c r="AT299" i="10"/>
  <c r="AT300" i="10"/>
  <c r="AT301" i="10"/>
  <c r="AT302" i="10"/>
  <c r="AT303" i="10"/>
  <c r="AT304" i="10"/>
  <c r="AT305" i="10"/>
  <c r="AT306" i="10"/>
  <c r="AT307" i="10"/>
  <c r="AT308" i="10"/>
  <c r="AT309" i="10"/>
  <c r="AT310" i="10"/>
  <c r="AT311" i="10"/>
  <c r="AT312" i="10"/>
  <c r="AT313" i="10"/>
  <c r="AT314" i="10"/>
  <c r="AT315" i="10"/>
  <c r="AT316" i="10"/>
  <c r="AT317" i="10"/>
  <c r="AT318" i="10"/>
  <c r="AT319" i="10"/>
  <c r="AT320" i="10"/>
  <c r="AT321" i="10"/>
  <c r="AT322" i="10"/>
  <c r="AT323" i="10"/>
  <c r="AT324" i="10"/>
  <c r="AT325" i="10"/>
  <c r="AT326" i="10"/>
  <c r="AT327" i="10"/>
  <c r="AT328" i="10"/>
  <c r="AT329" i="10"/>
  <c r="AT330" i="10"/>
  <c r="AT331" i="10"/>
  <c r="AT332" i="10"/>
  <c r="AT333" i="10"/>
  <c r="AT334" i="10"/>
  <c r="AT335" i="10"/>
  <c r="AT336" i="10"/>
  <c r="AT337" i="10"/>
  <c r="AT338" i="10"/>
  <c r="AT339" i="10"/>
  <c r="AT340" i="10"/>
  <c r="AT341" i="10"/>
  <c r="AT342" i="10"/>
  <c r="AT343" i="10"/>
  <c r="AT344" i="10"/>
  <c r="AT345" i="10"/>
  <c r="AT346" i="10"/>
  <c r="AT347" i="10"/>
  <c r="AT348" i="10"/>
  <c r="AT349" i="10"/>
  <c r="AT350" i="10"/>
  <c r="AT351" i="10"/>
  <c r="AT352" i="10"/>
  <c r="AT353" i="10"/>
  <c r="AT354" i="10"/>
  <c r="AT355" i="10"/>
  <c r="AT356" i="10"/>
  <c r="AT357" i="10"/>
  <c r="AT358" i="10"/>
  <c r="AT359" i="10"/>
  <c r="AT360" i="10"/>
  <c r="AT361" i="10"/>
  <c r="AT362" i="10"/>
  <c r="AT363" i="10"/>
  <c r="AT364" i="10"/>
  <c r="AT365" i="10"/>
  <c r="AT366" i="10"/>
  <c r="AT367" i="10"/>
  <c r="AT368" i="10"/>
  <c r="AT369" i="10"/>
  <c r="AT370" i="10"/>
  <c r="AT371" i="10"/>
  <c r="AT372" i="10"/>
  <c r="AT373" i="10"/>
  <c r="AT374" i="10"/>
  <c r="AT375" i="10"/>
  <c r="AT376" i="10"/>
  <c r="AT377" i="10"/>
  <c r="AT378" i="10"/>
  <c r="AT379" i="10"/>
  <c r="AT380" i="10"/>
  <c r="AT381" i="10"/>
  <c r="AT382" i="10"/>
  <c r="AT383" i="10"/>
  <c r="AT384" i="10"/>
  <c r="AT385" i="10"/>
  <c r="AT386" i="10"/>
  <c r="AT387" i="10"/>
  <c r="AT388" i="10"/>
  <c r="AT389" i="10"/>
  <c r="AT390" i="10"/>
  <c r="AT391" i="10"/>
  <c r="AT392" i="10"/>
  <c r="AT393" i="10"/>
  <c r="AT394" i="10"/>
  <c r="AT395" i="10"/>
  <c r="AT396" i="10"/>
  <c r="AT397" i="10"/>
  <c r="AT398" i="10"/>
  <c r="AT399" i="10"/>
  <c r="AT400" i="10"/>
  <c r="AT401" i="10"/>
  <c r="AT402" i="10"/>
  <c r="AT403" i="10"/>
  <c r="AT404" i="10"/>
  <c r="AT405" i="10"/>
  <c r="AT406" i="10"/>
  <c r="AT407" i="10"/>
  <c r="AT408" i="10"/>
  <c r="AT409" i="10"/>
  <c r="AT410" i="10"/>
  <c r="AT411" i="10"/>
  <c r="AT412" i="10"/>
  <c r="AT413" i="10"/>
  <c r="AT414" i="10"/>
  <c r="AT415" i="10"/>
  <c r="AT416" i="10"/>
  <c r="AT417" i="10"/>
  <c r="AT418" i="10"/>
  <c r="AT419" i="10"/>
  <c r="AT420" i="10"/>
  <c r="AT421" i="10"/>
  <c r="AT422" i="10"/>
  <c r="AT423" i="10"/>
  <c r="AT424" i="10"/>
  <c r="AT425" i="10"/>
  <c r="AT426" i="10"/>
  <c r="AT427" i="10"/>
  <c r="AT428" i="10"/>
  <c r="AT429" i="10"/>
  <c r="AT430" i="10"/>
  <c r="AT431" i="10"/>
  <c r="AT432" i="10"/>
  <c r="AT433" i="10"/>
  <c r="AT434" i="10"/>
  <c r="AT435" i="10"/>
  <c r="AT436" i="10"/>
  <c r="AT437" i="10"/>
  <c r="AT438" i="10"/>
  <c r="AT439" i="10"/>
  <c r="AT440" i="10"/>
  <c r="AT441" i="10"/>
  <c r="AT442" i="10"/>
  <c r="AT443" i="10"/>
  <c r="AT444" i="10"/>
  <c r="AT445" i="10"/>
  <c r="AT446" i="10"/>
  <c r="AT447" i="10"/>
  <c r="AT448" i="10"/>
  <c r="AT449" i="10"/>
  <c r="AT450" i="10"/>
  <c r="AT451" i="10"/>
  <c r="AT452" i="10"/>
  <c r="AT453" i="10"/>
  <c r="AT454" i="10"/>
  <c r="AT455" i="10"/>
  <c r="AT456" i="10"/>
  <c r="AT457" i="10"/>
  <c r="AT458" i="10"/>
  <c r="AT459" i="10"/>
  <c r="AT460" i="10"/>
  <c r="AT461" i="10"/>
  <c r="AT462" i="10"/>
  <c r="AT463" i="10"/>
  <c r="AT464" i="10"/>
  <c r="AT465" i="10"/>
  <c r="AT466" i="10"/>
  <c r="AT467" i="10"/>
  <c r="AT468" i="10"/>
  <c r="AT469" i="10"/>
  <c r="AT470" i="10"/>
  <c r="AT471" i="10"/>
  <c r="AT472" i="10"/>
  <c r="AT473" i="10"/>
  <c r="AT474" i="10"/>
  <c r="AT475" i="10"/>
  <c r="AT476" i="10"/>
  <c r="AT477" i="10"/>
  <c r="AT478" i="10"/>
  <c r="AT479" i="10"/>
  <c r="AT480" i="10"/>
  <c r="AT481" i="10"/>
  <c r="AT482" i="10"/>
  <c r="AT483" i="10"/>
  <c r="AT484" i="10"/>
  <c r="AT485" i="10"/>
  <c r="AT486" i="10"/>
  <c r="AT487" i="10"/>
  <c r="AT488" i="10"/>
  <c r="AT489" i="10"/>
  <c r="AT490" i="10"/>
  <c r="AT491" i="10"/>
  <c r="AT492" i="10"/>
  <c r="AT493" i="10"/>
  <c r="AT494" i="10"/>
  <c r="AT495" i="10"/>
  <c r="AT496" i="10"/>
  <c r="AT497" i="10"/>
  <c r="AT498" i="10"/>
  <c r="AT499" i="10"/>
  <c r="AT500" i="10"/>
  <c r="AT501" i="10"/>
  <c r="AT502" i="10"/>
  <c r="AT503" i="10"/>
  <c r="AT504" i="10"/>
  <c r="AT505" i="10"/>
  <c r="AT506" i="10"/>
  <c r="AT507" i="10"/>
  <c r="AT508" i="10"/>
  <c r="AT509" i="10"/>
  <c r="AT510" i="10"/>
  <c r="AT511" i="10"/>
  <c r="AT512" i="10"/>
  <c r="AT513" i="10"/>
  <c r="AT514" i="10"/>
  <c r="AT515" i="10"/>
  <c r="AT516" i="10"/>
  <c r="AT517" i="10"/>
  <c r="AT518" i="10"/>
  <c r="AT519" i="10"/>
  <c r="AT520" i="10"/>
  <c r="AT521" i="10"/>
  <c r="AT522" i="10"/>
  <c r="AT523" i="10"/>
  <c r="AT524" i="10"/>
  <c r="AT525" i="10"/>
  <c r="AT526" i="10"/>
  <c r="AT527" i="10"/>
  <c r="AT528" i="10"/>
  <c r="AT529" i="10"/>
  <c r="AT530" i="10"/>
  <c r="AT531" i="10"/>
  <c r="AT532" i="10"/>
  <c r="AT533" i="10"/>
  <c r="AT534" i="10"/>
  <c r="AT535" i="10"/>
  <c r="AT536" i="10"/>
  <c r="AT537" i="10"/>
  <c r="AT538" i="10"/>
  <c r="AT539" i="10"/>
  <c r="AT540" i="10"/>
  <c r="AT541" i="10"/>
  <c r="AT542" i="10"/>
  <c r="AT543" i="10"/>
  <c r="AT544" i="10"/>
  <c r="AT545" i="10"/>
  <c r="AT546" i="10"/>
  <c r="AT547" i="10"/>
  <c r="AT548" i="10"/>
  <c r="AT549" i="10"/>
  <c r="AT550" i="10"/>
  <c r="AT551" i="10"/>
  <c r="AT552" i="10"/>
  <c r="AT553" i="10"/>
  <c r="AT554" i="10"/>
  <c r="AT555" i="10"/>
  <c r="AT556" i="10"/>
  <c r="AT557" i="10"/>
  <c r="AT558" i="10"/>
  <c r="AT559" i="10"/>
  <c r="AT560" i="10"/>
  <c r="AT561" i="10"/>
  <c r="AT562" i="10"/>
  <c r="AT563" i="10"/>
  <c r="AT564" i="10"/>
  <c r="AT565" i="10"/>
  <c r="AT566" i="10"/>
  <c r="AT567" i="10"/>
  <c r="AT568" i="10"/>
  <c r="AT569" i="10"/>
  <c r="AT570" i="10"/>
  <c r="AT571" i="10"/>
  <c r="AT572" i="10"/>
  <c r="AT573" i="10"/>
  <c r="AT574" i="10"/>
  <c r="AT575" i="10"/>
  <c r="AT576" i="10"/>
  <c r="AT577" i="10"/>
  <c r="AT578" i="10"/>
  <c r="AT579" i="10"/>
  <c r="AT580" i="10"/>
  <c r="AT581" i="10"/>
  <c r="AT582" i="10"/>
  <c r="AT583" i="10"/>
  <c r="BG2" i="10"/>
  <c r="BG3" i="10"/>
  <c r="BG4" i="10"/>
  <c r="BG5" i="10"/>
  <c r="BG6" i="10"/>
  <c r="BG7" i="10"/>
  <c r="BG8" i="10"/>
  <c r="BG9" i="10"/>
  <c r="BG10" i="10"/>
  <c r="BG11" i="10"/>
  <c r="BG12" i="10"/>
  <c r="BG13" i="10"/>
  <c r="BG14" i="10"/>
  <c r="BG15" i="10"/>
  <c r="BG16" i="10"/>
  <c r="BG17" i="10"/>
  <c r="BG18" i="10"/>
  <c r="BG19" i="10"/>
  <c r="BG20" i="10"/>
  <c r="BG21" i="10"/>
  <c r="BG22" i="10"/>
  <c r="BG23" i="10"/>
  <c r="BG24" i="10"/>
  <c r="BG25" i="10"/>
  <c r="BG26" i="10"/>
  <c r="BG27" i="10"/>
  <c r="BG28" i="10"/>
  <c r="BG29" i="10"/>
  <c r="BG30" i="10"/>
  <c r="BG31" i="10"/>
  <c r="BG32" i="10"/>
  <c r="BG33" i="10"/>
  <c r="BG34" i="10"/>
  <c r="BG35" i="10"/>
  <c r="BG36" i="10"/>
  <c r="BG37" i="10"/>
  <c r="BG38" i="10"/>
  <c r="BG39" i="10"/>
  <c r="BG40" i="10"/>
  <c r="BG41" i="10"/>
  <c r="BG42" i="10"/>
  <c r="BG43" i="10"/>
  <c r="BG44" i="10"/>
  <c r="BG45" i="10"/>
  <c r="BG46" i="10"/>
  <c r="BG47" i="10"/>
  <c r="BG48" i="10"/>
  <c r="BG49" i="10"/>
  <c r="BG50" i="10"/>
  <c r="BG51" i="10"/>
  <c r="BG52" i="10"/>
  <c r="BG53" i="10"/>
  <c r="BG54" i="10"/>
  <c r="BG55" i="10"/>
  <c r="BG56" i="10"/>
  <c r="BG57" i="10"/>
  <c r="BG58" i="10"/>
  <c r="BG59" i="10"/>
  <c r="BG60" i="10"/>
  <c r="BG61" i="10"/>
  <c r="BG62" i="10"/>
  <c r="BG63" i="10"/>
  <c r="BG64" i="10"/>
  <c r="BG65" i="10"/>
  <c r="BG66" i="10"/>
  <c r="BG67" i="10"/>
  <c r="BG68" i="10"/>
  <c r="BG69" i="10"/>
  <c r="BG70" i="10"/>
  <c r="BG71" i="10"/>
  <c r="BG72" i="10"/>
  <c r="BG73" i="10"/>
  <c r="BG74" i="10"/>
  <c r="BG75" i="10"/>
  <c r="BG76" i="10"/>
  <c r="BG77" i="10"/>
  <c r="BG78" i="10"/>
  <c r="BG79" i="10"/>
  <c r="BG80" i="10"/>
  <c r="BG81" i="10"/>
  <c r="BG82" i="10"/>
  <c r="BG83" i="10"/>
  <c r="BG84" i="10"/>
  <c r="BG85" i="10"/>
  <c r="BG86" i="10"/>
  <c r="BG87" i="10"/>
  <c r="BG88" i="10"/>
  <c r="BG89" i="10"/>
  <c r="BG90" i="10"/>
  <c r="BG91" i="10"/>
  <c r="BG92" i="10"/>
  <c r="BG93" i="10"/>
  <c r="BG94" i="10"/>
  <c r="BG95" i="10"/>
  <c r="BG96" i="10"/>
  <c r="BG97" i="10"/>
  <c r="BG98" i="10"/>
  <c r="BG99" i="10"/>
  <c r="BG100" i="10"/>
  <c r="BG101" i="10"/>
  <c r="BG102" i="10"/>
  <c r="BG103" i="10"/>
  <c r="BG104" i="10"/>
  <c r="BG105" i="10"/>
  <c r="BG106" i="10"/>
  <c r="BG107" i="10"/>
  <c r="BG108" i="10"/>
  <c r="BG109" i="10"/>
  <c r="BG110" i="10"/>
  <c r="BG111" i="10"/>
  <c r="BG112" i="10"/>
  <c r="BG113" i="10"/>
  <c r="BG114" i="10"/>
  <c r="BG115" i="10"/>
  <c r="BG116" i="10"/>
  <c r="BG117" i="10"/>
  <c r="BG118" i="10"/>
  <c r="BG119" i="10"/>
  <c r="BG120" i="10"/>
  <c r="BG121" i="10"/>
  <c r="BG122" i="10"/>
  <c r="BG123" i="10"/>
  <c r="BG124" i="10"/>
  <c r="BG125" i="10"/>
  <c r="BG126" i="10"/>
  <c r="BG127" i="10"/>
  <c r="BG128" i="10"/>
  <c r="BG129" i="10"/>
  <c r="BG130" i="10"/>
  <c r="BG131" i="10"/>
  <c r="BG132" i="10"/>
  <c r="BG133" i="10"/>
  <c r="BG134" i="10"/>
  <c r="BG135" i="10"/>
  <c r="BG136" i="10"/>
  <c r="BG137" i="10"/>
  <c r="BG138" i="10"/>
  <c r="BG139" i="10"/>
  <c r="BG140" i="10"/>
  <c r="BG141" i="10"/>
  <c r="BG142" i="10"/>
  <c r="BG143" i="10"/>
  <c r="BG144" i="10"/>
  <c r="BG145" i="10"/>
  <c r="BG146" i="10"/>
  <c r="BG147" i="10"/>
  <c r="BG148" i="10"/>
  <c r="BG149" i="10"/>
  <c r="BG150" i="10"/>
  <c r="BG151" i="10"/>
  <c r="BG152" i="10"/>
  <c r="BG153" i="10"/>
  <c r="BG154" i="10"/>
  <c r="BG155" i="10"/>
  <c r="BG156" i="10"/>
  <c r="BG157" i="10"/>
  <c r="BG158" i="10"/>
  <c r="BG159" i="10"/>
  <c r="BG160" i="10"/>
  <c r="BG161" i="10"/>
  <c r="BG162" i="10"/>
  <c r="BG163" i="10"/>
  <c r="BG164" i="10"/>
  <c r="BG165" i="10"/>
  <c r="BG166" i="10"/>
  <c r="BG167" i="10"/>
  <c r="BG168" i="10"/>
  <c r="BG169" i="10"/>
  <c r="BG170" i="10"/>
  <c r="BG171" i="10"/>
  <c r="BG172" i="10"/>
  <c r="BG173" i="10"/>
  <c r="BG174" i="10"/>
  <c r="BG175" i="10"/>
  <c r="BG176" i="10"/>
  <c r="BG177" i="10"/>
  <c r="BG178" i="10"/>
  <c r="BG179" i="10"/>
  <c r="BG180" i="10"/>
  <c r="BG181" i="10"/>
  <c r="BG182" i="10"/>
  <c r="BG183" i="10"/>
  <c r="BG184" i="10"/>
  <c r="BG185" i="10"/>
  <c r="BG186" i="10"/>
  <c r="BG187" i="10"/>
  <c r="BG188" i="10"/>
  <c r="BG189" i="10"/>
  <c r="BG190" i="10"/>
  <c r="BG191" i="10"/>
  <c r="BG192" i="10"/>
  <c r="BG193" i="10"/>
  <c r="BG194" i="10"/>
  <c r="BG195" i="10"/>
  <c r="BG196" i="10"/>
  <c r="BG197" i="10"/>
  <c r="BG198" i="10"/>
  <c r="BG199" i="10"/>
  <c r="BG200" i="10"/>
  <c r="BG201" i="10"/>
  <c r="BG202" i="10"/>
  <c r="BG203" i="10"/>
  <c r="BG204" i="10"/>
  <c r="BG205" i="10"/>
  <c r="BG206" i="10"/>
  <c r="BG207" i="10"/>
  <c r="BG208" i="10"/>
  <c r="BG209" i="10"/>
  <c r="BG210" i="10"/>
  <c r="BG211" i="10"/>
  <c r="BG212" i="10"/>
  <c r="BG213" i="10"/>
  <c r="BG214" i="10"/>
  <c r="BG215" i="10"/>
  <c r="BG216" i="10"/>
  <c r="BG217" i="10"/>
  <c r="BG218" i="10"/>
  <c r="BG219" i="10"/>
  <c r="BG220" i="10"/>
  <c r="BG221" i="10"/>
  <c r="BG222" i="10"/>
  <c r="BG223" i="10"/>
  <c r="BG224" i="10"/>
  <c r="BG225" i="10"/>
  <c r="BG226" i="10"/>
  <c r="BG227" i="10"/>
  <c r="BG228" i="10"/>
  <c r="BG229" i="10"/>
  <c r="BG230" i="10"/>
  <c r="BG231" i="10"/>
  <c r="BG232" i="10"/>
  <c r="BG233" i="10"/>
  <c r="BG234" i="10"/>
  <c r="BG235" i="10"/>
  <c r="BG236" i="10"/>
  <c r="BG237" i="10"/>
  <c r="BG238" i="10"/>
  <c r="BG239" i="10"/>
  <c r="BG240" i="10"/>
  <c r="BG241" i="10"/>
  <c r="BG242" i="10"/>
  <c r="BG243" i="10"/>
  <c r="BG244" i="10"/>
  <c r="BG245" i="10"/>
  <c r="BG246" i="10"/>
  <c r="BG247" i="10"/>
  <c r="BG248" i="10"/>
  <c r="BG249" i="10"/>
  <c r="BG250" i="10"/>
  <c r="BG251" i="10"/>
  <c r="BG252" i="10"/>
  <c r="BG253" i="10"/>
  <c r="BG254" i="10"/>
  <c r="BG255" i="10"/>
  <c r="BG256" i="10"/>
  <c r="BG257" i="10"/>
  <c r="BG258" i="10"/>
  <c r="BG259" i="10"/>
  <c r="BG260" i="10"/>
  <c r="BG261" i="10"/>
  <c r="BG262" i="10"/>
  <c r="BG263" i="10"/>
  <c r="BG264" i="10"/>
  <c r="BG265" i="10"/>
  <c r="BG266" i="10"/>
  <c r="BG267" i="10"/>
  <c r="BG268" i="10"/>
  <c r="BG269" i="10"/>
  <c r="BG270" i="10"/>
  <c r="BG271" i="10"/>
  <c r="BG272" i="10"/>
  <c r="BG273" i="10"/>
  <c r="BG274" i="10"/>
  <c r="BG275" i="10"/>
  <c r="BG276" i="10"/>
  <c r="BG277" i="10"/>
  <c r="BG278" i="10"/>
  <c r="BG279" i="10"/>
  <c r="BG280" i="10"/>
  <c r="BG281" i="10"/>
  <c r="BG282" i="10"/>
  <c r="BG283" i="10"/>
  <c r="BG284" i="10"/>
  <c r="BG285" i="10"/>
  <c r="BG286" i="10"/>
  <c r="BG287" i="10"/>
  <c r="BG288" i="10"/>
  <c r="BG289" i="10"/>
  <c r="BG290" i="10"/>
  <c r="BG291" i="10"/>
  <c r="BG292" i="10"/>
  <c r="BG293" i="10"/>
  <c r="BG294" i="10"/>
  <c r="BG295" i="10"/>
  <c r="BG296" i="10"/>
  <c r="BG297" i="10"/>
  <c r="BG298" i="10"/>
  <c r="BG299" i="10"/>
  <c r="BG300" i="10"/>
  <c r="BG301" i="10"/>
  <c r="BG302" i="10"/>
  <c r="BG303" i="10"/>
  <c r="BG304" i="10"/>
  <c r="BG305" i="10"/>
  <c r="BG306" i="10"/>
  <c r="BG307" i="10"/>
  <c r="BG308" i="10"/>
  <c r="BG309" i="10"/>
  <c r="BG310" i="10"/>
  <c r="BG311" i="10"/>
  <c r="BG312" i="10"/>
  <c r="BG313" i="10"/>
  <c r="BG314" i="10"/>
  <c r="BG315" i="10"/>
  <c r="BG316" i="10"/>
  <c r="BG317" i="10"/>
  <c r="BG318" i="10"/>
  <c r="BG319" i="10"/>
  <c r="BG320" i="10"/>
  <c r="BG321" i="10"/>
  <c r="BG322" i="10"/>
  <c r="BG323" i="10"/>
  <c r="BG324" i="10"/>
  <c r="BG325" i="10"/>
  <c r="BG326" i="10"/>
  <c r="BG327" i="10"/>
  <c r="BG328" i="10"/>
  <c r="BG329" i="10"/>
  <c r="BG330" i="10"/>
  <c r="BG331" i="10"/>
  <c r="BG332" i="10"/>
  <c r="BG333" i="10"/>
  <c r="BG334" i="10"/>
  <c r="BG335" i="10"/>
  <c r="BG336" i="10"/>
  <c r="BG337" i="10"/>
  <c r="BG338" i="10"/>
  <c r="BG339" i="10"/>
  <c r="BG340" i="10"/>
  <c r="BG341" i="10"/>
  <c r="BG342" i="10"/>
  <c r="BG343" i="10"/>
  <c r="BG344" i="10"/>
  <c r="BG345" i="10"/>
  <c r="BG346" i="10"/>
  <c r="BG347" i="10"/>
  <c r="BG348" i="10"/>
  <c r="BG349" i="10"/>
  <c r="BG350" i="10"/>
  <c r="BG351" i="10"/>
  <c r="BG352" i="10"/>
  <c r="BG353" i="10"/>
  <c r="BG354" i="10"/>
  <c r="BG355" i="10"/>
  <c r="BG356" i="10"/>
  <c r="BG357" i="10"/>
  <c r="BG358" i="10"/>
  <c r="BG359" i="10"/>
  <c r="BG360" i="10"/>
  <c r="BG361" i="10"/>
  <c r="BG362" i="10"/>
  <c r="BG363" i="10"/>
  <c r="BG364" i="10"/>
  <c r="BG365" i="10"/>
  <c r="BG366" i="10"/>
  <c r="BG367" i="10"/>
  <c r="BG368" i="10"/>
  <c r="BG369" i="10"/>
  <c r="BG370" i="10"/>
  <c r="BG371" i="10"/>
  <c r="BG372" i="10"/>
  <c r="BG373" i="10"/>
  <c r="BG374" i="10"/>
  <c r="BG375" i="10"/>
  <c r="BG376" i="10"/>
  <c r="BG377" i="10"/>
  <c r="BG378" i="10"/>
  <c r="BG379" i="10"/>
  <c r="BG380" i="10"/>
  <c r="BG381" i="10"/>
  <c r="BG382" i="10"/>
  <c r="BG383" i="10"/>
  <c r="BG384" i="10"/>
  <c r="BG385" i="10"/>
  <c r="BG386" i="10"/>
  <c r="BG387" i="10"/>
  <c r="BG388" i="10"/>
  <c r="BG389" i="10"/>
  <c r="BG390" i="10"/>
  <c r="BG391" i="10"/>
  <c r="BG392" i="10"/>
  <c r="BG393" i="10"/>
  <c r="BG394" i="10"/>
  <c r="BG395" i="10"/>
  <c r="BG396" i="10"/>
  <c r="BG397" i="10"/>
  <c r="BG398" i="10"/>
  <c r="BG399" i="10"/>
  <c r="BG400" i="10"/>
  <c r="BG401" i="10"/>
  <c r="BG402" i="10"/>
  <c r="BG403" i="10"/>
  <c r="BG404" i="10"/>
  <c r="BG405" i="10"/>
  <c r="BG406" i="10"/>
  <c r="BG407" i="10"/>
  <c r="BG408" i="10"/>
  <c r="BG409" i="10"/>
  <c r="BG410" i="10"/>
  <c r="BG411" i="10"/>
  <c r="BG412" i="10"/>
  <c r="BG413" i="10"/>
  <c r="BG414" i="10"/>
  <c r="BG415" i="10"/>
  <c r="BG416" i="10"/>
  <c r="BG417" i="10"/>
  <c r="BG418" i="10"/>
  <c r="BG419" i="10"/>
  <c r="BG420" i="10"/>
  <c r="BG421" i="10"/>
  <c r="BG422" i="10"/>
  <c r="BG423" i="10"/>
  <c r="BG424" i="10"/>
  <c r="BG425" i="10"/>
  <c r="BG426" i="10"/>
  <c r="BG427" i="10"/>
  <c r="BG428" i="10"/>
  <c r="BG429" i="10"/>
  <c r="BG430" i="10"/>
  <c r="BG431" i="10"/>
  <c r="BG432" i="10"/>
  <c r="BG433" i="10"/>
  <c r="BG434" i="10"/>
  <c r="BG435" i="10"/>
  <c r="BG436" i="10"/>
  <c r="BG437" i="10"/>
  <c r="BG438" i="10"/>
  <c r="BG439" i="10"/>
  <c r="BG440" i="10"/>
  <c r="BG441" i="10"/>
  <c r="BG442" i="10"/>
  <c r="BG443" i="10"/>
  <c r="BG444" i="10"/>
  <c r="BG445" i="10"/>
  <c r="BG446" i="10"/>
  <c r="BG447" i="10"/>
  <c r="BG448" i="10"/>
  <c r="BG449" i="10"/>
  <c r="BG450" i="10"/>
  <c r="BG451" i="10"/>
  <c r="BG452" i="10"/>
  <c r="BG453" i="10"/>
  <c r="BG454" i="10"/>
  <c r="BG455" i="10"/>
  <c r="BG456" i="10"/>
  <c r="BG457" i="10"/>
  <c r="BG458" i="10"/>
  <c r="BG459" i="10"/>
  <c r="BG460" i="10"/>
  <c r="BG461" i="10"/>
  <c r="BG462" i="10"/>
  <c r="BG463" i="10"/>
  <c r="BG464" i="10"/>
  <c r="BG465" i="10"/>
  <c r="BG466" i="10"/>
  <c r="BG467" i="10"/>
  <c r="BG468" i="10"/>
  <c r="BG469" i="10"/>
  <c r="BG470" i="10"/>
  <c r="BG471" i="10"/>
  <c r="BG472" i="10"/>
  <c r="BG473" i="10"/>
  <c r="BG474" i="10"/>
  <c r="BG475" i="10"/>
  <c r="BG476" i="10"/>
  <c r="BG477" i="10"/>
  <c r="BG478" i="10"/>
  <c r="BG479" i="10"/>
  <c r="BG480" i="10"/>
  <c r="BG481" i="10"/>
  <c r="BG482" i="10"/>
  <c r="BG483" i="10"/>
  <c r="BG484" i="10"/>
  <c r="BG485" i="10"/>
  <c r="BG486" i="10"/>
  <c r="BG487" i="10"/>
  <c r="BG488" i="10"/>
  <c r="BG489" i="10"/>
  <c r="BG490" i="10"/>
  <c r="BG491" i="10"/>
  <c r="BG492" i="10"/>
  <c r="BG493" i="10"/>
  <c r="BG494" i="10"/>
  <c r="BG495" i="10"/>
  <c r="BG496" i="10"/>
  <c r="BG497" i="10"/>
  <c r="BG498" i="10"/>
  <c r="BG499" i="10"/>
  <c r="BG500" i="10"/>
  <c r="BG501" i="10"/>
  <c r="BG502" i="10"/>
  <c r="BG503" i="10"/>
  <c r="BG504" i="10"/>
  <c r="BG505" i="10"/>
  <c r="BG506" i="10"/>
  <c r="BG507" i="10"/>
  <c r="BG508" i="10"/>
  <c r="BG509" i="10"/>
  <c r="BG510" i="10"/>
  <c r="BG511" i="10"/>
  <c r="BG512" i="10"/>
  <c r="BG513" i="10"/>
  <c r="BG514" i="10"/>
  <c r="BG515" i="10"/>
  <c r="BG516" i="10"/>
  <c r="BG517" i="10"/>
  <c r="BG518" i="10"/>
  <c r="BG519" i="10"/>
  <c r="BG520" i="10"/>
  <c r="BG521" i="10"/>
  <c r="BG522" i="10"/>
  <c r="BG523" i="10"/>
  <c r="BG524" i="10"/>
  <c r="BG525" i="10"/>
  <c r="BG526" i="10"/>
  <c r="BG527" i="10"/>
  <c r="BG528" i="10"/>
  <c r="BG529" i="10"/>
  <c r="BG530" i="10"/>
  <c r="BG531" i="10"/>
  <c r="BG532" i="10"/>
  <c r="BG533" i="10"/>
  <c r="BG534" i="10"/>
  <c r="BG535" i="10"/>
  <c r="BG536" i="10"/>
  <c r="BG537" i="10"/>
  <c r="BG538" i="10"/>
  <c r="BG539" i="10"/>
  <c r="BG540" i="10"/>
  <c r="BG541" i="10"/>
  <c r="BG542" i="10"/>
  <c r="BG543" i="10"/>
  <c r="BG544" i="10"/>
  <c r="BG545" i="10"/>
  <c r="BG546" i="10"/>
  <c r="BG547" i="10"/>
  <c r="BG548" i="10"/>
  <c r="BG549" i="10"/>
  <c r="BG550" i="10"/>
  <c r="BG551" i="10"/>
  <c r="BG552" i="10"/>
  <c r="BG553" i="10"/>
  <c r="BG554" i="10"/>
  <c r="BG555" i="10"/>
  <c r="BG556" i="10"/>
  <c r="BG557" i="10"/>
  <c r="BG558" i="10"/>
  <c r="BG559" i="10"/>
  <c r="BG560" i="10"/>
  <c r="BG561" i="10"/>
  <c r="BG562" i="10"/>
  <c r="BG563" i="10"/>
  <c r="BG564" i="10"/>
  <c r="BG565" i="10"/>
  <c r="BG566" i="10"/>
  <c r="BG567" i="10"/>
  <c r="BG568" i="10"/>
  <c r="BG569" i="10"/>
  <c r="BG570" i="10"/>
  <c r="BG571" i="10"/>
  <c r="BG572" i="10"/>
  <c r="BG573" i="10"/>
  <c r="BG574" i="10"/>
  <c r="BG575" i="10"/>
  <c r="BG576" i="10"/>
  <c r="BG577" i="10"/>
  <c r="BG578" i="10"/>
  <c r="BG579" i="10"/>
  <c r="BG580" i="10"/>
  <c r="BG581" i="10"/>
  <c r="BG582" i="10"/>
  <c r="BG583" i="10"/>
  <c r="F7" i="19"/>
  <c r="B7" i="18"/>
  <c r="F7" i="14"/>
  <c r="E7" i="14"/>
  <c r="H6" i="8"/>
  <c r="H7" i="8"/>
  <c r="H8" i="8"/>
  <c r="H9" i="8"/>
  <c r="H10" i="8"/>
  <c r="H11" i="8"/>
  <c r="H12" i="8"/>
  <c r="H13" i="8"/>
  <c r="H14" i="8"/>
  <c r="H15" i="8"/>
  <c r="H16" i="8"/>
  <c r="H17" i="8"/>
  <c r="AU2" i="10"/>
  <c r="AU3" i="10"/>
  <c r="AU4" i="10"/>
  <c r="AU5" i="10"/>
  <c r="AU6" i="10"/>
  <c r="AU7" i="10"/>
  <c r="AU8" i="10"/>
  <c r="AU9" i="10"/>
  <c r="AU10" i="10"/>
  <c r="AU11" i="10"/>
  <c r="AU12" i="10"/>
  <c r="AU13" i="10"/>
  <c r="AU14" i="10"/>
  <c r="AU15" i="10"/>
  <c r="AU16" i="10"/>
  <c r="AU17" i="10"/>
  <c r="AU18" i="10"/>
  <c r="AU19" i="10"/>
  <c r="AU20" i="10"/>
  <c r="AU21" i="10"/>
  <c r="AU22" i="10"/>
  <c r="AU23" i="10"/>
  <c r="AU24" i="10"/>
  <c r="AU25" i="10"/>
  <c r="AU26" i="10"/>
  <c r="AU27" i="10"/>
  <c r="AU28" i="10"/>
  <c r="AU29" i="10"/>
  <c r="AU30" i="10"/>
  <c r="AU31" i="10"/>
  <c r="AU32" i="10"/>
  <c r="AU33" i="10"/>
  <c r="AU34" i="10"/>
  <c r="AU35" i="10"/>
  <c r="AU36" i="10"/>
  <c r="AU37" i="10"/>
  <c r="AU38" i="10"/>
  <c r="AU39" i="10"/>
  <c r="AU40" i="10"/>
  <c r="AU41" i="10"/>
  <c r="AU42" i="10"/>
  <c r="AU43" i="10"/>
  <c r="AU44" i="10"/>
  <c r="AU45" i="10"/>
  <c r="AU46" i="10"/>
  <c r="AU47" i="10"/>
  <c r="AU48" i="10"/>
  <c r="AU49" i="10"/>
  <c r="AU50" i="10"/>
  <c r="AU51" i="10"/>
  <c r="AU52" i="10"/>
  <c r="AU53" i="10"/>
  <c r="AU54" i="10"/>
  <c r="AU55" i="10"/>
  <c r="AU56" i="10"/>
  <c r="AU57" i="10"/>
  <c r="AU58" i="10"/>
  <c r="AU59" i="10"/>
  <c r="AU60" i="10"/>
  <c r="AU61" i="10"/>
  <c r="AU62" i="10"/>
  <c r="AU63" i="10"/>
  <c r="AU64" i="10"/>
  <c r="AU65" i="10"/>
  <c r="AU66" i="10"/>
  <c r="AU67" i="10"/>
  <c r="AU68" i="10"/>
  <c r="AU69" i="10"/>
  <c r="AU70" i="10"/>
  <c r="AU71" i="10"/>
  <c r="AU72" i="10"/>
  <c r="AU73" i="10"/>
  <c r="AU74" i="10"/>
  <c r="AU75" i="10"/>
  <c r="AU76" i="10"/>
  <c r="AU77" i="10"/>
  <c r="AU78" i="10"/>
  <c r="AU79" i="10"/>
  <c r="AU80" i="10"/>
  <c r="AU81" i="10"/>
  <c r="AU82" i="10"/>
  <c r="AU83" i="10"/>
  <c r="AU84" i="10"/>
  <c r="AU85" i="10"/>
  <c r="AU86" i="10"/>
  <c r="AU87" i="10"/>
  <c r="AU88" i="10"/>
  <c r="AU89" i="10"/>
  <c r="AU90" i="10"/>
  <c r="AU91" i="10"/>
  <c r="AU92" i="10"/>
  <c r="AU93" i="10"/>
  <c r="AU94" i="10"/>
  <c r="AU95" i="10"/>
  <c r="AU96" i="10"/>
  <c r="AU97" i="10"/>
  <c r="AU98" i="10"/>
  <c r="AU99" i="10"/>
  <c r="AU100" i="10"/>
  <c r="AU101" i="10"/>
  <c r="AU102" i="10"/>
  <c r="AU103" i="10"/>
  <c r="AU104" i="10"/>
  <c r="AU105" i="10"/>
  <c r="AU106" i="10"/>
  <c r="AU107" i="10"/>
  <c r="AU108" i="10"/>
  <c r="AU109" i="10"/>
  <c r="AU110" i="10"/>
  <c r="AU111" i="10"/>
  <c r="AU112" i="10"/>
  <c r="AU113" i="10"/>
  <c r="AU114" i="10"/>
  <c r="AU115" i="10"/>
  <c r="AU116" i="10"/>
  <c r="AU117" i="10"/>
  <c r="AU118" i="10"/>
  <c r="AU119" i="10"/>
  <c r="AU120" i="10"/>
  <c r="AU121" i="10"/>
  <c r="AU122" i="10"/>
  <c r="AU123" i="10"/>
  <c r="AU124" i="10"/>
  <c r="AU125" i="10"/>
  <c r="AU126" i="10"/>
  <c r="AU127" i="10"/>
  <c r="AU128" i="10"/>
  <c r="AU129" i="10"/>
  <c r="AU130" i="10"/>
  <c r="AU131" i="10"/>
  <c r="AU132" i="10"/>
  <c r="AU133" i="10"/>
  <c r="AU134" i="10"/>
  <c r="AU135" i="10"/>
  <c r="AU136" i="10"/>
  <c r="AU137" i="10"/>
  <c r="AU138" i="10"/>
  <c r="AU139" i="10"/>
  <c r="AU140" i="10"/>
  <c r="AU141" i="10"/>
  <c r="AU142" i="10"/>
  <c r="AU143" i="10"/>
  <c r="AU144" i="10"/>
  <c r="AU145" i="10"/>
  <c r="AU146" i="10"/>
  <c r="AU147" i="10"/>
  <c r="AU148" i="10"/>
  <c r="AU149" i="10"/>
  <c r="AU150" i="10"/>
  <c r="AU151" i="10"/>
  <c r="AU152" i="10"/>
  <c r="AU153" i="10"/>
  <c r="AU154" i="10"/>
  <c r="AU155" i="10"/>
  <c r="AU156" i="10"/>
  <c r="AU157" i="10"/>
  <c r="AU158" i="10"/>
  <c r="AU159" i="10"/>
  <c r="AU160" i="10"/>
  <c r="AU161" i="10"/>
  <c r="AU162" i="10"/>
  <c r="AU163" i="10"/>
  <c r="AU164" i="10"/>
  <c r="AU165" i="10"/>
  <c r="AU166" i="10"/>
  <c r="AU167" i="10"/>
  <c r="AU168" i="10"/>
  <c r="AU169" i="10"/>
  <c r="AU170" i="10"/>
  <c r="AU171" i="10"/>
  <c r="AU172" i="10"/>
  <c r="AU173" i="10"/>
  <c r="AU174" i="10"/>
  <c r="AU175" i="10"/>
  <c r="AU176" i="10"/>
  <c r="AU177" i="10"/>
  <c r="AU178" i="10"/>
  <c r="AU179" i="10"/>
  <c r="AU180" i="10"/>
  <c r="AU181" i="10"/>
  <c r="AU182" i="10"/>
  <c r="AU183" i="10"/>
  <c r="AU184" i="10"/>
  <c r="AU185" i="10"/>
  <c r="AU186" i="10"/>
  <c r="AU187" i="10"/>
  <c r="AU188" i="10"/>
  <c r="AU189" i="10"/>
  <c r="AU190" i="10"/>
  <c r="AU191" i="10"/>
  <c r="AU192" i="10"/>
  <c r="AU193" i="10"/>
  <c r="AU194" i="10"/>
  <c r="AU195" i="10"/>
  <c r="AU196" i="10"/>
  <c r="AU197" i="10"/>
  <c r="AU198" i="10"/>
  <c r="AU199" i="10"/>
  <c r="AU200" i="10"/>
  <c r="AU201" i="10"/>
  <c r="AU202" i="10"/>
  <c r="AU203" i="10"/>
  <c r="AU204" i="10"/>
  <c r="AU205" i="10"/>
  <c r="AU206" i="10"/>
  <c r="AU207" i="10"/>
  <c r="AU208" i="10"/>
  <c r="AU209" i="10"/>
  <c r="AU210" i="10"/>
  <c r="AU211" i="10"/>
  <c r="AU212" i="10"/>
  <c r="AU213" i="10"/>
  <c r="AU214" i="10"/>
  <c r="AU215" i="10"/>
  <c r="AU216" i="10"/>
  <c r="AU217" i="10"/>
  <c r="AU218" i="10"/>
  <c r="AU219" i="10"/>
  <c r="AU220" i="10"/>
  <c r="AU221" i="10"/>
  <c r="AU222" i="10"/>
  <c r="AU223" i="10"/>
  <c r="AU224" i="10"/>
  <c r="AU225" i="10"/>
  <c r="AU226" i="10"/>
  <c r="AU227" i="10"/>
  <c r="AU228" i="10"/>
  <c r="AU229" i="10"/>
  <c r="AU230" i="10"/>
  <c r="AU231" i="10"/>
  <c r="AU232" i="10"/>
  <c r="AU233" i="10"/>
  <c r="AU234" i="10"/>
  <c r="AU235" i="10"/>
  <c r="AU236" i="10"/>
  <c r="AU237" i="10"/>
  <c r="AU238" i="10"/>
  <c r="AU239" i="10"/>
  <c r="AU240" i="10"/>
  <c r="AU241" i="10"/>
  <c r="AU242" i="10"/>
  <c r="AU243" i="10"/>
  <c r="AU244" i="10"/>
  <c r="AU245" i="10"/>
  <c r="AU246" i="10"/>
  <c r="AU247" i="10"/>
  <c r="AU248" i="10"/>
  <c r="AU249" i="10"/>
  <c r="AU250" i="10"/>
  <c r="AU251" i="10"/>
  <c r="AU252" i="10"/>
  <c r="AU253" i="10"/>
  <c r="AU254" i="10"/>
  <c r="AU255" i="10"/>
  <c r="AU256" i="10"/>
  <c r="AU257" i="10"/>
  <c r="AU258" i="10"/>
  <c r="AU259" i="10"/>
  <c r="AU260" i="10"/>
  <c r="AU261" i="10"/>
  <c r="AU262" i="10"/>
  <c r="AU263" i="10"/>
  <c r="AU264" i="10"/>
  <c r="AU265" i="10"/>
  <c r="AU266" i="10"/>
  <c r="AU267" i="10"/>
  <c r="AU268" i="10"/>
  <c r="AU269" i="10"/>
  <c r="AU270" i="10"/>
  <c r="AU271" i="10"/>
  <c r="AU272" i="10"/>
  <c r="AU273" i="10"/>
  <c r="AU274" i="10"/>
  <c r="AU275" i="10"/>
  <c r="AU276" i="10"/>
  <c r="AU277" i="10"/>
  <c r="AU278" i="10"/>
  <c r="AU279" i="10"/>
  <c r="AU280" i="10"/>
  <c r="AU281" i="10"/>
  <c r="AU282" i="10"/>
  <c r="AU283" i="10"/>
  <c r="AU284" i="10"/>
  <c r="AU285" i="10"/>
  <c r="AU286" i="10"/>
  <c r="AU287" i="10"/>
  <c r="AU288" i="10"/>
  <c r="AU289" i="10"/>
  <c r="AU290" i="10"/>
  <c r="AU291" i="10"/>
  <c r="AU292" i="10"/>
  <c r="AU293" i="10"/>
  <c r="AU294" i="10"/>
  <c r="AU295" i="10"/>
  <c r="AU296" i="10"/>
  <c r="AU297" i="10"/>
  <c r="AU298" i="10"/>
  <c r="AU299" i="10"/>
  <c r="AU300" i="10"/>
  <c r="AU301" i="10"/>
  <c r="AU302" i="10"/>
  <c r="AU303" i="10"/>
  <c r="AU304" i="10"/>
  <c r="AU305" i="10"/>
  <c r="AU306" i="10"/>
  <c r="AU307" i="10"/>
  <c r="AU308" i="10"/>
  <c r="AU309" i="10"/>
  <c r="AU310" i="10"/>
  <c r="AU311" i="10"/>
  <c r="AU312" i="10"/>
  <c r="AU313" i="10"/>
  <c r="AU314" i="10"/>
  <c r="AU315" i="10"/>
  <c r="AU316" i="10"/>
  <c r="AU317" i="10"/>
  <c r="AU318" i="10"/>
  <c r="AU319" i="10"/>
  <c r="AU320" i="10"/>
  <c r="AU321" i="10"/>
  <c r="AU322" i="10"/>
  <c r="AU323" i="10"/>
  <c r="AU324" i="10"/>
  <c r="AU325" i="10"/>
  <c r="AU326" i="10"/>
  <c r="AU327" i="10"/>
  <c r="AU328" i="10"/>
  <c r="AU329" i="10"/>
  <c r="AU330" i="10"/>
  <c r="AU331" i="10"/>
  <c r="AU332" i="10"/>
  <c r="AU333" i="10"/>
  <c r="AU334" i="10"/>
  <c r="AU335" i="10"/>
  <c r="AU336" i="10"/>
  <c r="AU337" i="10"/>
  <c r="AU338" i="10"/>
  <c r="AU339" i="10"/>
  <c r="AU340" i="10"/>
  <c r="AU341" i="10"/>
  <c r="AU342" i="10"/>
  <c r="AU343" i="10"/>
  <c r="AU344" i="10"/>
  <c r="AU345" i="10"/>
  <c r="AU346" i="10"/>
  <c r="AU347" i="10"/>
  <c r="AU348" i="10"/>
  <c r="AU349" i="10"/>
  <c r="AU350" i="10"/>
  <c r="AU351" i="10"/>
  <c r="AU352" i="10"/>
  <c r="AU353" i="10"/>
  <c r="AU354" i="10"/>
  <c r="AU355" i="10"/>
  <c r="AU356" i="10"/>
  <c r="AU357" i="10"/>
  <c r="AU358" i="10"/>
  <c r="AU359" i="10"/>
  <c r="AU360" i="10"/>
  <c r="AU361" i="10"/>
  <c r="AU362" i="10"/>
  <c r="AU363" i="10"/>
  <c r="AU364" i="10"/>
  <c r="AU365" i="10"/>
  <c r="AU366" i="10"/>
  <c r="AU367" i="10"/>
  <c r="AU368" i="10"/>
  <c r="AU369" i="10"/>
  <c r="AU370" i="10"/>
  <c r="AU371" i="10"/>
  <c r="AU372" i="10"/>
  <c r="AU373" i="10"/>
  <c r="AU374" i="10"/>
  <c r="AU375" i="10"/>
  <c r="AU376" i="10"/>
  <c r="AU377" i="10"/>
  <c r="AU378" i="10"/>
  <c r="AU379" i="10"/>
  <c r="AU380" i="10"/>
  <c r="AU381" i="10"/>
  <c r="AU382" i="10"/>
  <c r="AU383" i="10"/>
  <c r="AU384" i="10"/>
  <c r="AU385" i="10"/>
  <c r="AU386" i="10"/>
  <c r="AU387" i="10"/>
  <c r="AU388" i="10"/>
  <c r="AU389" i="10"/>
  <c r="AU390" i="10"/>
  <c r="AU391" i="10"/>
  <c r="AU392" i="10"/>
  <c r="AU393" i="10"/>
  <c r="AU394" i="10"/>
  <c r="AU395" i="10"/>
  <c r="AU396" i="10"/>
  <c r="AU397" i="10"/>
  <c r="AU398" i="10"/>
  <c r="AU399" i="10"/>
  <c r="AU400" i="10"/>
  <c r="AU401" i="10"/>
  <c r="AU402" i="10"/>
  <c r="AU403" i="10"/>
  <c r="AU404" i="10"/>
  <c r="AU405" i="10"/>
  <c r="AU406" i="10"/>
  <c r="AU407" i="10"/>
  <c r="AU408" i="10"/>
  <c r="AU409" i="10"/>
  <c r="AU410" i="10"/>
  <c r="AU411" i="10"/>
  <c r="AU412" i="10"/>
  <c r="AU413" i="10"/>
  <c r="AU414" i="10"/>
  <c r="AU415" i="10"/>
  <c r="AU416" i="10"/>
  <c r="AU417" i="10"/>
  <c r="AU418" i="10"/>
  <c r="AU419" i="10"/>
  <c r="AU420" i="10"/>
  <c r="AU421" i="10"/>
  <c r="AU422" i="10"/>
  <c r="AU423" i="10"/>
  <c r="AU424" i="10"/>
  <c r="AU425" i="10"/>
  <c r="AU426" i="10"/>
  <c r="AU427" i="10"/>
  <c r="AU428" i="10"/>
  <c r="AU429" i="10"/>
  <c r="AU430" i="10"/>
  <c r="AU431" i="10"/>
  <c r="AU432" i="10"/>
  <c r="AU433" i="10"/>
  <c r="AU434" i="10"/>
  <c r="AU435" i="10"/>
  <c r="AU436" i="10"/>
  <c r="AU437" i="10"/>
  <c r="AU438" i="10"/>
  <c r="AU439" i="10"/>
  <c r="AU440" i="10"/>
  <c r="AU441" i="10"/>
  <c r="AU442" i="10"/>
  <c r="AU443" i="10"/>
  <c r="AU444" i="10"/>
  <c r="AU445" i="10"/>
  <c r="AU446" i="10"/>
  <c r="AU447" i="10"/>
  <c r="AU448" i="10"/>
  <c r="AU449" i="10"/>
  <c r="AU450" i="10"/>
  <c r="AU451" i="10"/>
  <c r="AU452" i="10"/>
  <c r="AU453" i="10"/>
  <c r="AU454" i="10"/>
  <c r="AU455" i="10"/>
  <c r="AU456" i="10"/>
  <c r="AU457" i="10"/>
  <c r="AU458" i="10"/>
  <c r="AU459" i="10"/>
  <c r="AU460" i="10"/>
  <c r="AU461" i="10"/>
  <c r="AU462" i="10"/>
  <c r="AU463" i="10"/>
  <c r="AU464" i="10"/>
  <c r="AU465" i="10"/>
  <c r="AU466" i="10"/>
  <c r="AU467" i="10"/>
  <c r="AU468" i="10"/>
  <c r="AU469" i="10"/>
  <c r="AU470" i="10"/>
  <c r="AU471" i="10"/>
  <c r="AU472" i="10"/>
  <c r="AU473" i="10"/>
  <c r="AU474" i="10"/>
  <c r="AU475" i="10"/>
  <c r="AU476" i="10"/>
  <c r="AU477" i="10"/>
  <c r="AU478" i="10"/>
  <c r="AU479" i="10"/>
  <c r="AU480" i="10"/>
  <c r="AU481" i="10"/>
  <c r="AU482" i="10"/>
  <c r="AU483" i="10"/>
  <c r="AU484" i="10"/>
  <c r="AU485" i="10"/>
  <c r="AU486" i="10"/>
  <c r="AU487" i="10"/>
  <c r="AU488" i="10"/>
  <c r="AU489" i="10"/>
  <c r="AU490" i="10"/>
  <c r="AU491" i="10"/>
  <c r="AU492" i="10"/>
  <c r="AU493" i="10"/>
  <c r="AU494" i="10"/>
  <c r="AU495" i="10"/>
  <c r="AU496" i="10"/>
  <c r="AU497" i="10"/>
  <c r="AU498" i="10"/>
  <c r="AU499" i="10"/>
  <c r="AU500" i="10"/>
  <c r="AU501" i="10"/>
  <c r="AU502" i="10"/>
  <c r="AU503" i="10"/>
  <c r="AU504" i="10"/>
  <c r="AU505" i="10"/>
  <c r="AU506" i="10"/>
  <c r="AU507" i="10"/>
  <c r="AU508" i="10"/>
  <c r="AU509" i="10"/>
  <c r="AU510" i="10"/>
  <c r="AU511" i="10"/>
  <c r="AU512" i="10"/>
  <c r="AU513" i="10"/>
  <c r="AU514" i="10"/>
  <c r="AU515" i="10"/>
  <c r="AU516" i="10"/>
  <c r="AU517" i="10"/>
  <c r="AU518" i="10"/>
  <c r="AU519" i="10"/>
  <c r="AU520" i="10"/>
  <c r="AU521" i="10"/>
  <c r="AU522" i="10"/>
  <c r="AU523" i="10"/>
  <c r="AU524" i="10"/>
  <c r="AU525" i="10"/>
  <c r="AU526" i="10"/>
  <c r="AU527" i="10"/>
  <c r="AU528" i="10"/>
  <c r="AU529" i="10"/>
  <c r="AU530" i="10"/>
  <c r="AU531" i="10"/>
  <c r="AU532" i="10"/>
  <c r="AU533" i="10"/>
  <c r="AU534" i="10"/>
  <c r="AU535" i="10"/>
  <c r="AU536" i="10"/>
  <c r="AU537" i="10"/>
  <c r="AU538" i="10"/>
  <c r="AU539" i="10"/>
  <c r="AU540" i="10"/>
  <c r="AU541" i="10"/>
  <c r="AU542" i="10"/>
  <c r="AU543" i="10"/>
  <c r="AU544" i="10"/>
  <c r="AU545" i="10"/>
  <c r="AU546" i="10"/>
  <c r="AU547" i="10"/>
  <c r="AU548" i="10"/>
  <c r="AU549" i="10"/>
  <c r="AU550" i="10"/>
  <c r="AU551" i="10"/>
  <c r="AU552" i="10"/>
  <c r="AU553" i="10"/>
  <c r="AU554" i="10"/>
  <c r="AU555" i="10"/>
  <c r="AU556" i="10"/>
  <c r="AU557" i="10"/>
  <c r="AU558" i="10"/>
  <c r="AU559" i="10"/>
  <c r="AU560" i="10"/>
  <c r="AU561" i="10"/>
  <c r="AU562" i="10"/>
  <c r="AU563" i="10"/>
  <c r="AU564" i="10"/>
  <c r="AU565" i="10"/>
  <c r="AU566" i="10"/>
  <c r="AU567" i="10"/>
  <c r="AU568" i="10"/>
  <c r="AU569" i="10"/>
  <c r="AU570" i="10"/>
  <c r="AU571" i="10"/>
  <c r="AU572" i="10"/>
  <c r="AU573" i="10"/>
  <c r="AU574" i="10"/>
  <c r="AU575" i="10"/>
  <c r="AU576" i="10"/>
  <c r="AU577" i="10"/>
  <c r="AU578" i="10"/>
  <c r="AU579" i="10"/>
  <c r="AU580" i="10"/>
  <c r="AU581" i="10"/>
  <c r="AU582" i="10"/>
  <c r="AU583" i="10"/>
  <c r="AM2" i="10"/>
  <c r="AM3" i="10"/>
  <c r="AM4" i="10"/>
  <c r="AM5" i="10"/>
  <c r="AM6" i="10"/>
  <c r="AM7" i="10"/>
  <c r="AM8" i="10"/>
  <c r="AM9" i="10"/>
  <c r="AM10" i="10"/>
  <c r="AM11" i="10"/>
  <c r="AM12" i="10"/>
  <c r="AM13" i="10"/>
  <c r="AM14" i="10"/>
  <c r="AM15" i="10"/>
  <c r="AM16" i="10"/>
  <c r="AM17" i="10"/>
  <c r="AM18" i="10"/>
  <c r="AM19" i="10"/>
  <c r="AM20" i="10"/>
  <c r="AM21" i="10"/>
  <c r="AM22" i="10"/>
  <c r="AM23" i="10"/>
  <c r="AM24" i="10"/>
  <c r="AM25" i="10"/>
  <c r="AM26" i="10"/>
  <c r="AM27" i="10"/>
  <c r="AM28" i="10"/>
  <c r="AM29"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M60" i="10"/>
  <c r="AM61" i="10"/>
  <c r="AM62" i="10"/>
  <c r="AM63" i="10"/>
  <c r="AM64" i="10"/>
  <c r="AM65" i="10"/>
  <c r="AM66" i="10"/>
  <c r="AM67" i="10"/>
  <c r="AM68" i="10"/>
  <c r="AM69" i="10"/>
  <c r="AM70" i="10"/>
  <c r="AM71" i="10"/>
  <c r="AM72" i="10"/>
  <c r="AM73" i="10"/>
  <c r="AM74" i="10"/>
  <c r="AM75" i="10"/>
  <c r="AM76" i="10"/>
  <c r="AM77" i="10"/>
  <c r="AM78" i="10"/>
  <c r="AM79" i="10"/>
  <c r="AM80" i="10"/>
  <c r="AM81" i="10"/>
  <c r="AM82" i="10"/>
  <c r="AM83" i="10"/>
  <c r="AM84" i="10"/>
  <c r="AM85" i="10"/>
  <c r="AM86" i="10"/>
  <c r="AM87" i="10"/>
  <c r="AM88" i="10"/>
  <c r="AM89" i="10"/>
  <c r="AM90" i="10"/>
  <c r="AM91" i="10"/>
  <c r="AM92" i="10"/>
  <c r="AM93" i="10"/>
  <c r="AM94" i="10"/>
  <c r="AM95" i="10"/>
  <c r="AM96" i="10"/>
  <c r="AM97" i="10"/>
  <c r="AM98" i="10"/>
  <c r="AM99" i="10"/>
  <c r="AM100" i="10"/>
  <c r="AM101" i="10"/>
  <c r="AM102" i="10"/>
  <c r="AM103" i="10"/>
  <c r="AM104" i="10"/>
  <c r="AM105" i="10"/>
  <c r="AM106" i="10"/>
  <c r="AM107" i="10"/>
  <c r="AM108" i="10"/>
  <c r="AM109" i="10"/>
  <c r="AM110" i="10"/>
  <c r="AM111" i="10"/>
  <c r="AM112" i="10"/>
  <c r="AM113" i="10"/>
  <c r="AM114" i="10"/>
  <c r="AM115" i="10"/>
  <c r="AM116" i="10"/>
  <c r="AM117" i="10"/>
  <c r="AM118" i="10"/>
  <c r="AM119" i="10"/>
  <c r="AM120" i="10"/>
  <c r="AM121" i="10"/>
  <c r="AM122" i="10"/>
  <c r="AM123" i="10"/>
  <c r="AM124" i="10"/>
  <c r="AM125" i="10"/>
  <c r="AM126" i="10"/>
  <c r="AM127" i="10"/>
  <c r="AM128" i="10"/>
  <c r="AM129" i="10"/>
  <c r="AM130" i="10"/>
  <c r="AM131" i="10"/>
  <c r="AM132" i="10"/>
  <c r="AM133" i="10"/>
  <c r="AM134" i="10"/>
  <c r="AM135" i="10"/>
  <c r="AM136" i="10"/>
  <c r="AM137" i="10"/>
  <c r="AM138" i="10"/>
  <c r="AM139" i="10"/>
  <c r="AM140" i="10"/>
  <c r="AM141" i="10"/>
  <c r="AM142" i="10"/>
  <c r="AM143" i="10"/>
  <c r="AM144" i="10"/>
  <c r="AM145" i="10"/>
  <c r="AM146" i="10"/>
  <c r="AM147" i="10"/>
  <c r="AM148" i="10"/>
  <c r="AM149" i="10"/>
  <c r="AM150" i="10"/>
  <c r="AM151" i="10"/>
  <c r="AM152" i="10"/>
  <c r="AM153" i="10"/>
  <c r="AM154" i="10"/>
  <c r="AM155" i="10"/>
  <c r="AM156" i="10"/>
  <c r="AM157" i="10"/>
  <c r="AM158" i="10"/>
  <c r="AM159" i="10"/>
  <c r="AM160" i="10"/>
  <c r="AM161" i="10"/>
  <c r="AM162" i="10"/>
  <c r="AM163" i="10"/>
  <c r="AM164" i="10"/>
  <c r="AM165" i="10"/>
  <c r="AM166" i="10"/>
  <c r="AM167" i="10"/>
  <c r="AM168" i="10"/>
  <c r="AM169" i="10"/>
  <c r="AM170" i="10"/>
  <c r="AM171" i="10"/>
  <c r="AM172" i="10"/>
  <c r="AM173" i="10"/>
  <c r="AM174" i="10"/>
  <c r="AM175" i="10"/>
  <c r="AM176" i="10"/>
  <c r="AM177" i="10"/>
  <c r="AM178" i="10"/>
  <c r="AM179" i="10"/>
  <c r="AM180" i="10"/>
  <c r="AM181" i="10"/>
  <c r="AM182" i="10"/>
  <c r="AM183" i="10"/>
  <c r="AM184" i="10"/>
  <c r="AM185" i="10"/>
  <c r="AM186" i="10"/>
  <c r="AM187" i="10"/>
  <c r="AM188" i="10"/>
  <c r="AM189" i="10"/>
  <c r="AM190" i="10"/>
  <c r="AM191" i="10"/>
  <c r="AM192" i="10"/>
  <c r="AM193" i="10"/>
  <c r="AM194" i="10"/>
  <c r="AM195" i="10"/>
  <c r="AM196" i="10"/>
  <c r="AM197" i="10"/>
  <c r="AM198" i="10"/>
  <c r="AM199" i="10"/>
  <c r="AM200" i="10"/>
  <c r="AM201" i="10"/>
  <c r="AM202" i="10"/>
  <c r="AM203" i="10"/>
  <c r="AM204" i="10"/>
  <c r="AM205" i="10"/>
  <c r="AM206" i="10"/>
  <c r="AM207" i="10"/>
  <c r="AM208" i="10"/>
  <c r="AM209" i="10"/>
  <c r="AM210" i="10"/>
  <c r="AM211" i="10"/>
  <c r="AM212" i="10"/>
  <c r="AM213" i="10"/>
  <c r="AM214" i="10"/>
  <c r="AM215" i="10"/>
  <c r="AM216" i="10"/>
  <c r="AM217" i="10"/>
  <c r="AM218" i="10"/>
  <c r="AM219" i="10"/>
  <c r="AM220" i="10"/>
  <c r="AM221" i="10"/>
  <c r="AM222" i="10"/>
  <c r="AM223" i="10"/>
  <c r="AM224" i="10"/>
  <c r="AM225" i="10"/>
  <c r="AM226" i="10"/>
  <c r="AM227" i="10"/>
  <c r="AM228" i="10"/>
  <c r="AM229" i="10"/>
  <c r="AM230" i="10"/>
  <c r="AM231" i="10"/>
  <c r="AM232" i="10"/>
  <c r="AM233" i="10"/>
  <c r="AM234" i="10"/>
  <c r="AM235" i="10"/>
  <c r="AM236" i="10"/>
  <c r="AM237" i="10"/>
  <c r="AM238" i="10"/>
  <c r="AM239" i="10"/>
  <c r="AM240" i="10"/>
  <c r="AM241" i="10"/>
  <c r="AM242" i="10"/>
  <c r="AM243" i="10"/>
  <c r="AM244" i="10"/>
  <c r="AM245" i="10"/>
  <c r="AM246" i="10"/>
  <c r="AM247" i="10"/>
  <c r="AM248" i="10"/>
  <c r="AM249" i="10"/>
  <c r="AM250" i="10"/>
  <c r="AM251" i="10"/>
  <c r="AM252" i="10"/>
  <c r="AM253" i="10"/>
  <c r="AM254" i="10"/>
  <c r="AM255" i="10"/>
  <c r="AM256" i="10"/>
  <c r="AM257" i="10"/>
  <c r="AM258" i="10"/>
  <c r="AM259" i="10"/>
  <c r="AM260" i="10"/>
  <c r="AM261" i="10"/>
  <c r="AM262" i="10"/>
  <c r="AM263" i="10"/>
  <c r="AM264" i="10"/>
  <c r="AM265" i="10"/>
  <c r="AM266" i="10"/>
  <c r="AM267" i="10"/>
  <c r="AM268" i="10"/>
  <c r="AM269" i="10"/>
  <c r="AM270" i="10"/>
  <c r="AM271" i="10"/>
  <c r="AM272" i="10"/>
  <c r="AM273" i="10"/>
  <c r="AM274" i="10"/>
  <c r="AM275" i="10"/>
  <c r="AM276" i="10"/>
  <c r="AM277" i="10"/>
  <c r="AM278" i="10"/>
  <c r="AM279" i="10"/>
  <c r="AM280" i="10"/>
  <c r="AM281" i="10"/>
  <c r="AM282" i="10"/>
  <c r="AM283" i="10"/>
  <c r="AM284" i="10"/>
  <c r="AM285" i="10"/>
  <c r="AM286" i="10"/>
  <c r="AM287" i="10"/>
  <c r="AM288" i="10"/>
  <c r="AM289" i="10"/>
  <c r="AM290" i="10"/>
  <c r="AM291" i="10"/>
  <c r="AM292" i="10"/>
  <c r="AM293" i="10"/>
  <c r="AM294" i="10"/>
  <c r="AM295" i="10"/>
  <c r="AM296" i="10"/>
  <c r="AM297" i="10"/>
  <c r="AM298" i="10"/>
  <c r="AM299" i="10"/>
  <c r="AM300" i="10"/>
  <c r="AM301" i="10"/>
  <c r="AM302" i="10"/>
  <c r="AM303" i="10"/>
  <c r="AM304" i="10"/>
  <c r="AM305" i="10"/>
  <c r="AM306" i="10"/>
  <c r="AM307" i="10"/>
  <c r="AM308" i="10"/>
  <c r="AM309" i="10"/>
  <c r="AM310" i="10"/>
  <c r="AM311" i="10"/>
  <c r="AM312" i="10"/>
  <c r="AM313" i="10"/>
  <c r="AM314" i="10"/>
  <c r="AM315" i="10"/>
  <c r="AM316" i="10"/>
  <c r="AM317" i="10"/>
  <c r="AM318" i="10"/>
  <c r="AM319" i="10"/>
  <c r="AM320" i="10"/>
  <c r="AM321" i="10"/>
  <c r="AM322" i="10"/>
  <c r="AM323" i="10"/>
  <c r="AM324" i="10"/>
  <c r="AM325" i="10"/>
  <c r="AM326" i="10"/>
  <c r="AM327" i="10"/>
  <c r="AM328" i="10"/>
  <c r="AM329" i="10"/>
  <c r="AM330" i="10"/>
  <c r="AM331" i="10"/>
  <c r="AM332" i="10"/>
  <c r="AM333" i="10"/>
  <c r="AM334" i="10"/>
  <c r="AM335" i="10"/>
  <c r="AM336" i="10"/>
  <c r="AM337" i="10"/>
  <c r="AM338" i="10"/>
  <c r="AM339" i="10"/>
  <c r="AM340" i="10"/>
  <c r="AM341" i="10"/>
  <c r="AM342" i="10"/>
  <c r="AM343" i="10"/>
  <c r="AM344" i="10"/>
  <c r="AM345" i="10"/>
  <c r="AM346" i="10"/>
  <c r="AM347" i="10"/>
  <c r="AM348" i="10"/>
  <c r="AM349" i="10"/>
  <c r="AM350" i="10"/>
  <c r="AM351" i="10"/>
  <c r="AM352" i="10"/>
  <c r="AM353" i="10"/>
  <c r="AM354" i="10"/>
  <c r="AM355" i="10"/>
  <c r="AM356" i="10"/>
  <c r="AM357" i="10"/>
  <c r="AM358" i="10"/>
  <c r="AM359" i="10"/>
  <c r="AM360" i="10"/>
  <c r="AM361" i="10"/>
  <c r="AM362" i="10"/>
  <c r="AM363" i="10"/>
  <c r="AM364" i="10"/>
  <c r="AM365" i="10"/>
  <c r="AM366" i="10"/>
  <c r="AM367" i="10"/>
  <c r="AM368" i="10"/>
  <c r="AM369" i="10"/>
  <c r="AM370" i="10"/>
  <c r="AM371" i="10"/>
  <c r="AM372" i="10"/>
  <c r="AM373" i="10"/>
  <c r="AM374" i="10"/>
  <c r="AM375" i="10"/>
  <c r="AM376" i="10"/>
  <c r="AM377" i="10"/>
  <c r="AM378" i="10"/>
  <c r="AM379" i="10"/>
  <c r="AM380" i="10"/>
  <c r="AM381" i="10"/>
  <c r="AM382" i="10"/>
  <c r="AM383" i="10"/>
  <c r="AM384" i="10"/>
  <c r="AM385" i="10"/>
  <c r="AM386" i="10"/>
  <c r="AM387" i="10"/>
  <c r="AM388" i="10"/>
  <c r="AM389" i="10"/>
  <c r="AM390" i="10"/>
  <c r="AM391" i="10"/>
  <c r="AM392" i="10"/>
  <c r="AM393" i="10"/>
  <c r="AM394" i="10"/>
  <c r="AM395" i="10"/>
  <c r="AM396" i="10"/>
  <c r="AM397" i="10"/>
  <c r="AM398" i="10"/>
  <c r="AM399" i="10"/>
  <c r="AM400" i="10"/>
  <c r="AM401" i="10"/>
  <c r="AM402" i="10"/>
  <c r="AM403" i="10"/>
  <c r="AM404" i="10"/>
  <c r="AM405" i="10"/>
  <c r="AM406" i="10"/>
  <c r="AM407" i="10"/>
  <c r="AM408" i="10"/>
  <c r="AM409" i="10"/>
  <c r="AM410" i="10"/>
  <c r="AM411" i="10"/>
  <c r="AM412" i="10"/>
  <c r="AM413" i="10"/>
  <c r="AM414" i="10"/>
  <c r="AM415" i="10"/>
  <c r="AM416" i="10"/>
  <c r="AM417" i="10"/>
  <c r="AM418" i="10"/>
  <c r="AM419" i="10"/>
  <c r="AM420" i="10"/>
  <c r="AM421" i="10"/>
  <c r="AM422" i="10"/>
  <c r="AM423" i="10"/>
  <c r="AM424" i="10"/>
  <c r="AM425" i="10"/>
  <c r="AM426" i="10"/>
  <c r="AM427" i="10"/>
  <c r="AM428" i="10"/>
  <c r="AM429" i="10"/>
  <c r="AM430" i="10"/>
  <c r="AM431" i="10"/>
  <c r="AM432" i="10"/>
  <c r="AM433" i="10"/>
  <c r="AM434" i="10"/>
  <c r="AM435" i="10"/>
  <c r="AM436" i="10"/>
  <c r="AM437" i="10"/>
  <c r="AM438" i="10"/>
  <c r="AM439" i="10"/>
  <c r="AM440" i="10"/>
  <c r="AM441" i="10"/>
  <c r="AM442" i="10"/>
  <c r="AM443" i="10"/>
  <c r="AM444" i="10"/>
  <c r="AM445" i="10"/>
  <c r="AM446" i="10"/>
  <c r="AM447" i="10"/>
  <c r="AM448" i="10"/>
  <c r="AM449" i="10"/>
  <c r="AM450" i="10"/>
  <c r="AM451" i="10"/>
  <c r="AM452" i="10"/>
  <c r="AM453" i="10"/>
  <c r="AM454" i="10"/>
  <c r="AM455" i="10"/>
  <c r="AM456" i="10"/>
  <c r="AM457" i="10"/>
  <c r="AM458" i="10"/>
  <c r="AM459" i="10"/>
  <c r="AM460" i="10"/>
  <c r="AM461" i="10"/>
  <c r="AM462" i="10"/>
  <c r="AM463" i="10"/>
  <c r="AM464" i="10"/>
  <c r="AM465" i="10"/>
  <c r="AM466" i="10"/>
  <c r="AM467" i="10"/>
  <c r="AM468" i="10"/>
  <c r="AM469" i="10"/>
  <c r="AM470" i="10"/>
  <c r="AM471" i="10"/>
  <c r="AM472" i="10"/>
  <c r="AM473" i="10"/>
  <c r="AM474" i="10"/>
  <c r="AM475" i="10"/>
  <c r="AM476" i="10"/>
  <c r="AM477" i="10"/>
  <c r="AM478" i="10"/>
  <c r="AM479" i="10"/>
  <c r="AM480" i="10"/>
  <c r="AM481" i="10"/>
  <c r="AM482" i="10"/>
  <c r="AM483" i="10"/>
  <c r="AM484" i="10"/>
  <c r="AM485" i="10"/>
  <c r="AM486" i="10"/>
  <c r="AM487" i="10"/>
  <c r="AM488" i="10"/>
  <c r="AM489" i="10"/>
  <c r="AM490" i="10"/>
  <c r="AM491" i="10"/>
  <c r="AM492" i="10"/>
  <c r="AM493" i="10"/>
  <c r="AM494" i="10"/>
  <c r="AM495" i="10"/>
  <c r="AM496" i="10"/>
  <c r="AM497" i="10"/>
  <c r="AM498" i="10"/>
  <c r="AM499" i="10"/>
  <c r="AM500" i="10"/>
  <c r="AM501" i="10"/>
  <c r="AM502" i="10"/>
  <c r="AM503" i="10"/>
  <c r="AM504" i="10"/>
  <c r="AM505" i="10"/>
  <c r="AM506" i="10"/>
  <c r="AM507" i="10"/>
  <c r="AM508" i="10"/>
  <c r="AM509" i="10"/>
  <c r="AM510" i="10"/>
  <c r="AM511" i="10"/>
  <c r="AM512" i="10"/>
  <c r="AM513" i="10"/>
  <c r="AM514" i="10"/>
  <c r="AM515" i="10"/>
  <c r="AM516" i="10"/>
  <c r="AM517" i="10"/>
  <c r="AM518" i="10"/>
  <c r="AM519" i="10"/>
  <c r="AM520" i="10"/>
  <c r="AM521" i="10"/>
  <c r="AM522" i="10"/>
  <c r="AM523" i="10"/>
  <c r="AM524" i="10"/>
  <c r="AM525" i="10"/>
  <c r="AM526" i="10"/>
  <c r="AM527" i="10"/>
  <c r="AM528" i="10"/>
  <c r="AM529" i="10"/>
  <c r="AM530" i="10"/>
  <c r="AM531" i="10"/>
  <c r="AM532" i="10"/>
  <c r="AM533" i="10"/>
  <c r="AM534" i="10"/>
  <c r="AM535" i="10"/>
  <c r="AM536" i="10"/>
  <c r="AM537" i="10"/>
  <c r="AM538" i="10"/>
  <c r="AM539" i="10"/>
  <c r="AM540" i="10"/>
  <c r="AM541" i="10"/>
  <c r="AM542" i="10"/>
  <c r="AM543" i="10"/>
  <c r="AM544" i="10"/>
  <c r="AM545" i="10"/>
  <c r="AM546" i="10"/>
  <c r="AM547" i="10"/>
  <c r="AM548" i="10"/>
  <c r="AM549" i="10"/>
  <c r="AM550" i="10"/>
  <c r="AM551" i="10"/>
  <c r="AM552" i="10"/>
  <c r="AM553" i="10"/>
  <c r="AM554" i="10"/>
  <c r="AM555" i="10"/>
  <c r="AM556" i="10"/>
  <c r="AM557" i="10"/>
  <c r="AM558" i="10"/>
  <c r="AM559" i="10"/>
  <c r="AM560" i="10"/>
  <c r="AM561" i="10"/>
  <c r="AM562" i="10"/>
  <c r="AM563" i="10"/>
  <c r="AM564" i="10"/>
  <c r="AM565" i="10"/>
  <c r="AM566" i="10"/>
  <c r="AM567" i="10"/>
  <c r="AM568" i="10"/>
  <c r="AM569" i="10"/>
  <c r="AM570" i="10"/>
  <c r="AM571" i="10"/>
  <c r="AM572" i="10"/>
  <c r="AM573" i="10"/>
  <c r="AM574" i="10"/>
  <c r="AM575" i="10"/>
  <c r="AM576" i="10"/>
  <c r="AM577" i="10"/>
  <c r="AM578" i="10"/>
  <c r="AM579" i="10"/>
  <c r="AM580" i="10"/>
  <c r="AM581" i="10"/>
  <c r="AM582" i="10"/>
  <c r="AM583" i="10"/>
  <c r="AJ28" i="10"/>
  <c r="AJ31" i="10"/>
  <c r="AJ62" i="10"/>
  <c r="AJ72" i="10"/>
  <c r="AJ147" i="10"/>
  <c r="AJ152" i="10"/>
  <c r="AJ169" i="10"/>
  <c r="AJ195" i="10"/>
  <c r="AJ271" i="10"/>
  <c r="AJ274" i="10"/>
  <c r="AJ308" i="10"/>
  <c r="AJ314" i="10"/>
  <c r="AJ325" i="10"/>
  <c r="AJ415" i="10"/>
  <c r="AJ454" i="10"/>
  <c r="AJ519" i="10"/>
  <c r="AJ525" i="10"/>
  <c r="AJ541" i="10"/>
  <c r="AJ552" i="10"/>
  <c r="AK2" i="10"/>
  <c r="AK3" i="10"/>
  <c r="AK4" i="10"/>
  <c r="AK5" i="10"/>
  <c r="AK6" i="10"/>
  <c r="AK7" i="10"/>
  <c r="AK8" i="10"/>
  <c r="AK9" i="10"/>
  <c r="AK10" i="10"/>
  <c r="AK11" i="10"/>
  <c r="AK12" i="10"/>
  <c r="AK13" i="10"/>
  <c r="AK14" i="10"/>
  <c r="AK15" i="10"/>
  <c r="AK16" i="10"/>
  <c r="AK17" i="10"/>
  <c r="AK18" i="10"/>
  <c r="AK19" i="10"/>
  <c r="AK20" i="10"/>
  <c r="AK21" i="10"/>
  <c r="AK22" i="10"/>
  <c r="AK23" i="10"/>
  <c r="AK24" i="10"/>
  <c r="AK25" i="10"/>
  <c r="AK26" i="10"/>
  <c r="AK27" i="10"/>
  <c r="AK28" i="10"/>
  <c r="AK29" i="10"/>
  <c r="AK30" i="10"/>
  <c r="AK31" i="10"/>
  <c r="AK32" i="10"/>
  <c r="AK33" i="10"/>
  <c r="AK34" i="10"/>
  <c r="AK35" i="10"/>
  <c r="AK36" i="10"/>
  <c r="AK37" i="10"/>
  <c r="AK38" i="10"/>
  <c r="AK39" i="10"/>
  <c r="AK40" i="10"/>
  <c r="AK41" i="10"/>
  <c r="AK42" i="10"/>
  <c r="AK43" i="10"/>
  <c r="AK44" i="10"/>
  <c r="AK45" i="10"/>
  <c r="AK46" i="10"/>
  <c r="AK47" i="10"/>
  <c r="AK48" i="10"/>
  <c r="AK49" i="10"/>
  <c r="AK50" i="10"/>
  <c r="AK51" i="10"/>
  <c r="AK52" i="10"/>
  <c r="AK53" i="10"/>
  <c r="AK54" i="10"/>
  <c r="AK55" i="10"/>
  <c r="AK56" i="10"/>
  <c r="AK57" i="10"/>
  <c r="AK58" i="10"/>
  <c r="AK59" i="10"/>
  <c r="AK60" i="10"/>
  <c r="AK61" i="10"/>
  <c r="AK62" i="10"/>
  <c r="AK63" i="10"/>
  <c r="AK64" i="10"/>
  <c r="AK65" i="10"/>
  <c r="AK66" i="10"/>
  <c r="AK67" i="10"/>
  <c r="AK68" i="10"/>
  <c r="AK69" i="10"/>
  <c r="AK70" i="10"/>
  <c r="AK71" i="10"/>
  <c r="AK72" i="10"/>
  <c r="AK73" i="10"/>
  <c r="AK74" i="10"/>
  <c r="AK75" i="10"/>
  <c r="AK76" i="10"/>
  <c r="AK77" i="10"/>
  <c r="AK78" i="10"/>
  <c r="AK79" i="10"/>
  <c r="AK80" i="10"/>
  <c r="AK81" i="10"/>
  <c r="AK82" i="10"/>
  <c r="AK83" i="10"/>
  <c r="AK84" i="10"/>
  <c r="AK85" i="10"/>
  <c r="AK86" i="10"/>
  <c r="AK87" i="10"/>
  <c r="AK88" i="10"/>
  <c r="AK89" i="10"/>
  <c r="AK90" i="10"/>
  <c r="AK91" i="10"/>
  <c r="AK92" i="10"/>
  <c r="AK93" i="10"/>
  <c r="AK94" i="10"/>
  <c r="AK95" i="10"/>
  <c r="AK96" i="10"/>
  <c r="AK97" i="10"/>
  <c r="AK98" i="10"/>
  <c r="AK99" i="10"/>
  <c r="AK100" i="10"/>
  <c r="AK101" i="10"/>
  <c r="AK102" i="10"/>
  <c r="AK103" i="10"/>
  <c r="AK104" i="10"/>
  <c r="AK105" i="10"/>
  <c r="AK106" i="10"/>
  <c r="AK107" i="10"/>
  <c r="AK108" i="10"/>
  <c r="AK109" i="10"/>
  <c r="AK110" i="10"/>
  <c r="AK111" i="10"/>
  <c r="AK112" i="10"/>
  <c r="AK113" i="10"/>
  <c r="AK114" i="10"/>
  <c r="AK115" i="10"/>
  <c r="AK116" i="10"/>
  <c r="AK117" i="10"/>
  <c r="AK118" i="10"/>
  <c r="AK119" i="10"/>
  <c r="AK120" i="10"/>
  <c r="AK121" i="10"/>
  <c r="AK122" i="10"/>
  <c r="AK123" i="10"/>
  <c r="AK124" i="10"/>
  <c r="AK125" i="10"/>
  <c r="AK126" i="10"/>
  <c r="AK127" i="10"/>
  <c r="AK128" i="10"/>
  <c r="AK129" i="10"/>
  <c r="AK130" i="10"/>
  <c r="AK131" i="10"/>
  <c r="AK132" i="10"/>
  <c r="AK133" i="10"/>
  <c r="AK134" i="10"/>
  <c r="AK135" i="10"/>
  <c r="AK136" i="10"/>
  <c r="AK137" i="10"/>
  <c r="AK138" i="10"/>
  <c r="AK139" i="10"/>
  <c r="AK140" i="10"/>
  <c r="AK141" i="10"/>
  <c r="AK142" i="10"/>
  <c r="AK143" i="10"/>
  <c r="AK144" i="10"/>
  <c r="AK145" i="10"/>
  <c r="AK146" i="10"/>
  <c r="AK147" i="10"/>
  <c r="AK148" i="10"/>
  <c r="AK149" i="10"/>
  <c r="AK150" i="10"/>
  <c r="AK151" i="10"/>
  <c r="AK152" i="10"/>
  <c r="AK153" i="10"/>
  <c r="AK154" i="10"/>
  <c r="AK155" i="10"/>
  <c r="AK156" i="10"/>
  <c r="AK157" i="10"/>
  <c r="AK158" i="10"/>
  <c r="AK159" i="10"/>
  <c r="AK160" i="10"/>
  <c r="AK161" i="10"/>
  <c r="AK162" i="10"/>
  <c r="AK163" i="10"/>
  <c r="AK164" i="10"/>
  <c r="AK165" i="10"/>
  <c r="AK166" i="10"/>
  <c r="AK167" i="10"/>
  <c r="AK168" i="10"/>
  <c r="AK169" i="10"/>
  <c r="AK170" i="10"/>
  <c r="AK171" i="10"/>
  <c r="AK172" i="10"/>
  <c r="AK173" i="10"/>
  <c r="AK174" i="10"/>
  <c r="AK175" i="10"/>
  <c r="AK176" i="10"/>
  <c r="AK177" i="10"/>
  <c r="AK178" i="10"/>
  <c r="AK179" i="10"/>
  <c r="AK180" i="10"/>
  <c r="AK181" i="10"/>
  <c r="AK182" i="10"/>
  <c r="AK183" i="10"/>
  <c r="AK184" i="10"/>
  <c r="AK185" i="10"/>
  <c r="AK186" i="10"/>
  <c r="AK187" i="10"/>
  <c r="AK188" i="10"/>
  <c r="AK189" i="10"/>
  <c r="AK190" i="10"/>
  <c r="AK191" i="10"/>
  <c r="AK192" i="10"/>
  <c r="AK193" i="10"/>
  <c r="AK194" i="10"/>
  <c r="AK195" i="10"/>
  <c r="AK196" i="10"/>
  <c r="AK197" i="10"/>
  <c r="AK198" i="10"/>
  <c r="AK199" i="10"/>
  <c r="AK200" i="10"/>
  <c r="AK201" i="10"/>
  <c r="AK202" i="10"/>
  <c r="AK203" i="10"/>
  <c r="AK204" i="10"/>
  <c r="AK205" i="10"/>
  <c r="AK206" i="10"/>
  <c r="AK207" i="10"/>
  <c r="AK208" i="10"/>
  <c r="AK209" i="10"/>
  <c r="AK210" i="10"/>
  <c r="AK211" i="10"/>
  <c r="AK212" i="10"/>
  <c r="AK213" i="10"/>
  <c r="AK214" i="10"/>
  <c r="AK215" i="10"/>
  <c r="AK216" i="10"/>
  <c r="AK217" i="10"/>
  <c r="AK218" i="10"/>
  <c r="AK219" i="10"/>
  <c r="AK220" i="10"/>
  <c r="AK221" i="10"/>
  <c r="AK222" i="10"/>
  <c r="AK223" i="10"/>
  <c r="AK224" i="10"/>
  <c r="AK225" i="10"/>
  <c r="AK226" i="10"/>
  <c r="AK227" i="10"/>
  <c r="AK228" i="10"/>
  <c r="AK229" i="10"/>
  <c r="AK230" i="10"/>
  <c r="AK231" i="10"/>
  <c r="AK232" i="10"/>
  <c r="AK233" i="10"/>
  <c r="AK234" i="10"/>
  <c r="AK235" i="10"/>
  <c r="AK236" i="10"/>
  <c r="AK237" i="10"/>
  <c r="AK238" i="10"/>
  <c r="AK239" i="10"/>
  <c r="AK240" i="10"/>
  <c r="AK241" i="10"/>
  <c r="AK242" i="10"/>
  <c r="AK243" i="10"/>
  <c r="AK244" i="10"/>
  <c r="AK245" i="10"/>
  <c r="AK246" i="10"/>
  <c r="AK247" i="10"/>
  <c r="AK248" i="10"/>
  <c r="AK249" i="10"/>
  <c r="AK250" i="10"/>
  <c r="AK251" i="10"/>
  <c r="AK252" i="10"/>
  <c r="AK253" i="10"/>
  <c r="AK254" i="10"/>
  <c r="AK255" i="10"/>
  <c r="AK256" i="10"/>
  <c r="AK257" i="10"/>
  <c r="AK258" i="10"/>
  <c r="AK259" i="10"/>
  <c r="AK260" i="10"/>
  <c r="AK261" i="10"/>
  <c r="AK262" i="10"/>
  <c r="AK263" i="10"/>
  <c r="AK264" i="10"/>
  <c r="AK265" i="10"/>
  <c r="AK266" i="10"/>
  <c r="AK267" i="10"/>
  <c r="AK268" i="10"/>
  <c r="AK269" i="10"/>
  <c r="AK270" i="10"/>
  <c r="AK271" i="10"/>
  <c r="AK272" i="10"/>
  <c r="AK273" i="10"/>
  <c r="AK274" i="10"/>
  <c r="AK275" i="10"/>
  <c r="AK276" i="10"/>
  <c r="AK277" i="10"/>
  <c r="AK278" i="10"/>
  <c r="AK279" i="10"/>
  <c r="AK280" i="10"/>
  <c r="AK281" i="10"/>
  <c r="AK282" i="10"/>
  <c r="AK283" i="10"/>
  <c r="AK284" i="10"/>
  <c r="AK285" i="10"/>
  <c r="AK286" i="10"/>
  <c r="AK287" i="10"/>
  <c r="AK288" i="10"/>
  <c r="AK289" i="10"/>
  <c r="AK290" i="10"/>
  <c r="AK291" i="10"/>
  <c r="AK292" i="10"/>
  <c r="AK293" i="10"/>
  <c r="AK294" i="10"/>
  <c r="AK295" i="10"/>
  <c r="AK296" i="10"/>
  <c r="AK297" i="10"/>
  <c r="AK298" i="10"/>
  <c r="AK299" i="10"/>
  <c r="AK300" i="10"/>
  <c r="AK301" i="10"/>
  <c r="AK302" i="10"/>
  <c r="AK303" i="10"/>
  <c r="AK304" i="10"/>
  <c r="AK305" i="10"/>
  <c r="AK306" i="10"/>
  <c r="AK307" i="10"/>
  <c r="AK308" i="10"/>
  <c r="AK309" i="10"/>
  <c r="AK310" i="10"/>
  <c r="AK311" i="10"/>
  <c r="AK312" i="10"/>
  <c r="AK313" i="10"/>
  <c r="AK314" i="10"/>
  <c r="AK315" i="10"/>
  <c r="AK316" i="10"/>
  <c r="AK317" i="10"/>
  <c r="AK318" i="10"/>
  <c r="AK319" i="10"/>
  <c r="AK320" i="10"/>
  <c r="AK321" i="10"/>
  <c r="AK322" i="10"/>
  <c r="AK323" i="10"/>
  <c r="AK324" i="10"/>
  <c r="AK325" i="10"/>
  <c r="AK326" i="10"/>
  <c r="AK327" i="10"/>
  <c r="AK328" i="10"/>
  <c r="AK329" i="10"/>
  <c r="AK330" i="10"/>
  <c r="AK331" i="10"/>
  <c r="AK332" i="10"/>
  <c r="AK333" i="10"/>
  <c r="AK334" i="10"/>
  <c r="AK335" i="10"/>
  <c r="AK336" i="10"/>
  <c r="AK337" i="10"/>
  <c r="AK338" i="10"/>
  <c r="AK339" i="10"/>
  <c r="AK340" i="10"/>
  <c r="AK341" i="10"/>
  <c r="AK342" i="10"/>
  <c r="AK343" i="10"/>
  <c r="AK344" i="10"/>
  <c r="AK345" i="10"/>
  <c r="AK346" i="10"/>
  <c r="AK347" i="10"/>
  <c r="AK348" i="10"/>
  <c r="AK349" i="10"/>
  <c r="AK350" i="10"/>
  <c r="AK351" i="10"/>
  <c r="AK352" i="10"/>
  <c r="AK353" i="10"/>
  <c r="AK354" i="10"/>
  <c r="AK355" i="10"/>
  <c r="AK356" i="10"/>
  <c r="AK357" i="10"/>
  <c r="AK358" i="10"/>
  <c r="AK359" i="10"/>
  <c r="AK360" i="10"/>
  <c r="AK361" i="10"/>
  <c r="AK362" i="10"/>
  <c r="AK363" i="10"/>
  <c r="AK364" i="10"/>
  <c r="AK365" i="10"/>
  <c r="AK366" i="10"/>
  <c r="AK367" i="10"/>
  <c r="AK368" i="10"/>
  <c r="AK369" i="10"/>
  <c r="AK370" i="10"/>
  <c r="AK371" i="10"/>
  <c r="AK372" i="10"/>
  <c r="AK373" i="10"/>
  <c r="AK374" i="10"/>
  <c r="AK375" i="10"/>
  <c r="AK376" i="10"/>
  <c r="AK377" i="10"/>
  <c r="AK378" i="10"/>
  <c r="AK379" i="10"/>
  <c r="AK380" i="10"/>
  <c r="AK381" i="10"/>
  <c r="AK382" i="10"/>
  <c r="AK383" i="10"/>
  <c r="AK384" i="10"/>
  <c r="AK385" i="10"/>
  <c r="AK386" i="10"/>
  <c r="AK387" i="10"/>
  <c r="AK388" i="10"/>
  <c r="AK389" i="10"/>
  <c r="AK390" i="10"/>
  <c r="AK391" i="10"/>
  <c r="AK392" i="10"/>
  <c r="AK393" i="10"/>
  <c r="AK394" i="10"/>
  <c r="AK395" i="10"/>
  <c r="AK396" i="10"/>
  <c r="AK397" i="10"/>
  <c r="AK398" i="10"/>
  <c r="AK399" i="10"/>
  <c r="AK400" i="10"/>
  <c r="AK401" i="10"/>
  <c r="AK402" i="10"/>
  <c r="AK403" i="10"/>
  <c r="AK404" i="10"/>
  <c r="AK405" i="10"/>
  <c r="AK406" i="10"/>
  <c r="AK407" i="10"/>
  <c r="AK408" i="10"/>
  <c r="AK409" i="10"/>
  <c r="AK410" i="10"/>
  <c r="AK411" i="10"/>
  <c r="AK412" i="10"/>
  <c r="AK413" i="10"/>
  <c r="AK414" i="10"/>
  <c r="AK415" i="10"/>
  <c r="AK416" i="10"/>
  <c r="AK417" i="10"/>
  <c r="AK418" i="10"/>
  <c r="AK419" i="10"/>
  <c r="AK420" i="10"/>
  <c r="AK421" i="10"/>
  <c r="AK422" i="10"/>
  <c r="AK423" i="10"/>
  <c r="AK424" i="10"/>
  <c r="AK425" i="10"/>
  <c r="AK426" i="10"/>
  <c r="AK427" i="10"/>
  <c r="AK428" i="10"/>
  <c r="AK429" i="10"/>
  <c r="AK430" i="10"/>
  <c r="AK431" i="10"/>
  <c r="AK432" i="10"/>
  <c r="AK433" i="10"/>
  <c r="AK434" i="10"/>
  <c r="AK435" i="10"/>
  <c r="AK436" i="10"/>
  <c r="AK437" i="10"/>
  <c r="AK438" i="10"/>
  <c r="AK439" i="10"/>
  <c r="AK440" i="10"/>
  <c r="AK441" i="10"/>
  <c r="AK442" i="10"/>
  <c r="AK443" i="10"/>
  <c r="AK444" i="10"/>
  <c r="AK445" i="10"/>
  <c r="AK446" i="10"/>
  <c r="AK447" i="10"/>
  <c r="AK448" i="10"/>
  <c r="AK449" i="10"/>
  <c r="AK450" i="10"/>
  <c r="AK451" i="10"/>
  <c r="AK452" i="10"/>
  <c r="AK453" i="10"/>
  <c r="AK454" i="10"/>
  <c r="AK455" i="10"/>
  <c r="AK456" i="10"/>
  <c r="AK457" i="10"/>
  <c r="AK458" i="10"/>
  <c r="AK459" i="10"/>
  <c r="AK460" i="10"/>
  <c r="AK461" i="10"/>
  <c r="AK462" i="10"/>
  <c r="AK463" i="10"/>
  <c r="AK464" i="10"/>
  <c r="AK465" i="10"/>
  <c r="AK466" i="10"/>
  <c r="AK467" i="10"/>
  <c r="AK468" i="10"/>
  <c r="AK469" i="10"/>
  <c r="AK470" i="10"/>
  <c r="AK471" i="10"/>
  <c r="AK472" i="10"/>
  <c r="AK473" i="10"/>
  <c r="AK474" i="10"/>
  <c r="AK475" i="10"/>
  <c r="AK476" i="10"/>
  <c r="AK477" i="10"/>
  <c r="AK478" i="10"/>
  <c r="AK479" i="10"/>
  <c r="AK480" i="10"/>
  <c r="AK481" i="10"/>
  <c r="AK482" i="10"/>
  <c r="AK483" i="10"/>
  <c r="AK484" i="10"/>
  <c r="AK485" i="10"/>
  <c r="AK486" i="10"/>
  <c r="AK487" i="10"/>
  <c r="AK488" i="10"/>
  <c r="AK489" i="10"/>
  <c r="AK490" i="10"/>
  <c r="AK491" i="10"/>
  <c r="AK492" i="10"/>
  <c r="AK493" i="10"/>
  <c r="AK494" i="10"/>
  <c r="AK495" i="10"/>
  <c r="AK496" i="10"/>
  <c r="AK497" i="10"/>
  <c r="AK498" i="10"/>
  <c r="AK499" i="10"/>
  <c r="AK500" i="10"/>
  <c r="AK501" i="10"/>
  <c r="AK502" i="10"/>
  <c r="AK503" i="10"/>
  <c r="AK504" i="10"/>
  <c r="AK505" i="10"/>
  <c r="AK506" i="10"/>
  <c r="AK507" i="10"/>
  <c r="AK508" i="10"/>
  <c r="AK509" i="10"/>
  <c r="AK510" i="10"/>
  <c r="AK511" i="10"/>
  <c r="AK512" i="10"/>
  <c r="AK513" i="10"/>
  <c r="AK514" i="10"/>
  <c r="AK515" i="10"/>
  <c r="AK516" i="10"/>
  <c r="AK517" i="10"/>
  <c r="AK518" i="10"/>
  <c r="AK519" i="10"/>
  <c r="AK520" i="10"/>
  <c r="AK521" i="10"/>
  <c r="AK522" i="10"/>
  <c r="AK523" i="10"/>
  <c r="AK524" i="10"/>
  <c r="AK525" i="10"/>
  <c r="AK526" i="10"/>
  <c r="AK527" i="10"/>
  <c r="AK528" i="10"/>
  <c r="AK529" i="10"/>
  <c r="AK530" i="10"/>
  <c r="AK531" i="10"/>
  <c r="AK532" i="10"/>
  <c r="AK533" i="10"/>
  <c r="AK534" i="10"/>
  <c r="AK535" i="10"/>
  <c r="AK536" i="10"/>
  <c r="AK537" i="10"/>
  <c r="AK538" i="10"/>
  <c r="AK539" i="10"/>
  <c r="AK540" i="10"/>
  <c r="AK541" i="10"/>
  <c r="AK542" i="10"/>
  <c r="AK543" i="10"/>
  <c r="AK544" i="10"/>
  <c r="AK545" i="10"/>
  <c r="AK546" i="10"/>
  <c r="AK547" i="10"/>
  <c r="AK548" i="10"/>
  <c r="AK549" i="10"/>
  <c r="AK550" i="10"/>
  <c r="AK551" i="10"/>
  <c r="AK552" i="10"/>
  <c r="AK553" i="10"/>
  <c r="AK554" i="10"/>
  <c r="AK555" i="10"/>
  <c r="AK556" i="10"/>
  <c r="AK557" i="10"/>
  <c r="AK558" i="10"/>
  <c r="AK559" i="10"/>
  <c r="AK560" i="10"/>
  <c r="AK561" i="10"/>
  <c r="AK562" i="10"/>
  <c r="AK563" i="10"/>
  <c r="AK564" i="10"/>
  <c r="AK565" i="10"/>
  <c r="AK566" i="10"/>
  <c r="AK567" i="10"/>
  <c r="AK568" i="10"/>
  <c r="AK569" i="10"/>
  <c r="AK570" i="10"/>
  <c r="AK571" i="10"/>
  <c r="AK572" i="10"/>
  <c r="AK573" i="10"/>
  <c r="AK574" i="10"/>
  <c r="AK575" i="10"/>
  <c r="AK576" i="10"/>
  <c r="AK577" i="10"/>
  <c r="AK578" i="10"/>
  <c r="AK579" i="10"/>
  <c r="AK580" i="10"/>
  <c r="AK581" i="10"/>
  <c r="AK582" i="10"/>
  <c r="AK583" i="10"/>
  <c r="AL2" i="10"/>
  <c r="AL3" i="10"/>
  <c r="AL4" i="10"/>
  <c r="AL5" i="10"/>
  <c r="AL6" i="10"/>
  <c r="AL7" i="10"/>
  <c r="AL8" i="10"/>
  <c r="AL9" i="10"/>
  <c r="AL10" i="10"/>
  <c r="AL11" i="10"/>
  <c r="AL12" i="10"/>
  <c r="AL13" i="10"/>
  <c r="AL14" i="10"/>
  <c r="AL15" i="10"/>
  <c r="AL16" i="10"/>
  <c r="AL17" i="10"/>
  <c r="AL18" i="10"/>
  <c r="AL19" i="10"/>
  <c r="AL20" i="10"/>
  <c r="AL21" i="10"/>
  <c r="AL22" i="10"/>
  <c r="AL23" i="10"/>
  <c r="AL24" i="10"/>
  <c r="AL25" i="10"/>
  <c r="AL26" i="10"/>
  <c r="AL27" i="10"/>
  <c r="AL28" i="10"/>
  <c r="AL29"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6"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5" i="10"/>
  <c r="AL96" i="10"/>
  <c r="AL97" i="10"/>
  <c r="AL98" i="10"/>
  <c r="AL99" i="10"/>
  <c r="AL100" i="10"/>
  <c r="AL101" i="10"/>
  <c r="AL102" i="10"/>
  <c r="AL103" i="10"/>
  <c r="AL104" i="10"/>
  <c r="AL105" i="10"/>
  <c r="AL106" i="10"/>
  <c r="AL107" i="10"/>
  <c r="AL108"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163" i="10"/>
  <c r="AL164" i="10"/>
  <c r="AL165" i="10"/>
  <c r="AL166" i="10"/>
  <c r="AL167" i="10"/>
  <c r="AL168" i="10"/>
  <c r="AL169" i="10"/>
  <c r="AL170" i="10"/>
  <c r="AL171" i="10"/>
  <c r="AL172" i="10"/>
  <c r="AL173" i="10"/>
  <c r="AL174" i="10"/>
  <c r="AL175" i="10"/>
  <c r="AL176" i="10"/>
  <c r="AL177" i="10"/>
  <c r="AL178" i="10"/>
  <c r="AL179" i="10"/>
  <c r="AL180" i="10"/>
  <c r="AL181" i="10"/>
  <c r="AL182" i="10"/>
  <c r="AL183" i="10"/>
  <c r="AL184" i="10"/>
  <c r="AL185" i="10"/>
  <c r="AL186" i="10"/>
  <c r="AL187" i="10"/>
  <c r="AL188" i="10"/>
  <c r="AL189" i="10"/>
  <c r="AL190" i="10"/>
  <c r="AL191" i="10"/>
  <c r="AL192" i="10"/>
  <c r="AL193" i="10"/>
  <c r="AL194" i="10"/>
  <c r="AL195" i="10"/>
  <c r="AL196" i="10"/>
  <c r="AL197" i="10"/>
  <c r="AL198" i="10"/>
  <c r="AL199" i="10"/>
  <c r="AL200" i="10"/>
  <c r="AL201" i="10"/>
  <c r="AL202" i="10"/>
  <c r="AL203" i="10"/>
  <c r="AL204" i="10"/>
  <c r="AL205" i="10"/>
  <c r="AL206" i="10"/>
  <c r="AL207" i="10"/>
  <c r="AL208" i="10"/>
  <c r="AL209" i="10"/>
  <c r="AL210" i="10"/>
  <c r="AL211" i="10"/>
  <c r="AL212" i="10"/>
  <c r="AL213" i="10"/>
  <c r="AL214" i="10"/>
  <c r="AL215" i="10"/>
  <c r="AL216" i="10"/>
  <c r="AL217" i="10"/>
  <c r="AL218" i="10"/>
  <c r="AL219" i="10"/>
  <c r="AL220" i="10"/>
  <c r="AL221" i="10"/>
  <c r="AL222" i="10"/>
  <c r="AL223" i="10"/>
  <c r="AL224" i="10"/>
  <c r="AL225" i="10"/>
  <c r="AL226" i="10"/>
  <c r="AL227" i="10"/>
  <c r="AL228" i="10"/>
  <c r="AL229" i="10"/>
  <c r="AL230" i="10"/>
  <c r="AL231" i="10"/>
  <c r="AL232" i="10"/>
  <c r="AL233" i="10"/>
  <c r="AL234" i="10"/>
  <c r="AL235" i="10"/>
  <c r="AL236" i="10"/>
  <c r="AL237" i="10"/>
  <c r="AL238" i="10"/>
  <c r="AL239" i="10"/>
  <c r="AL240" i="10"/>
  <c r="AL241" i="10"/>
  <c r="AL242" i="10"/>
  <c r="AL243" i="10"/>
  <c r="AL244" i="10"/>
  <c r="AL245" i="10"/>
  <c r="AL246" i="10"/>
  <c r="AL247" i="10"/>
  <c r="AL248" i="10"/>
  <c r="AL249" i="10"/>
  <c r="AL250" i="10"/>
  <c r="AL251" i="10"/>
  <c r="AL252" i="10"/>
  <c r="AL253" i="10"/>
  <c r="AL254" i="10"/>
  <c r="AL255" i="10"/>
  <c r="AL256" i="10"/>
  <c r="AL257" i="10"/>
  <c r="AL258" i="10"/>
  <c r="AL259" i="10"/>
  <c r="AL260" i="10"/>
  <c r="AL261" i="10"/>
  <c r="AL262" i="10"/>
  <c r="AL263" i="10"/>
  <c r="AL264" i="10"/>
  <c r="AL265" i="10"/>
  <c r="AL266" i="10"/>
  <c r="AL267" i="10"/>
  <c r="AL268" i="10"/>
  <c r="AL269" i="10"/>
  <c r="AL270" i="10"/>
  <c r="AL271" i="10"/>
  <c r="AL272" i="10"/>
  <c r="AL273" i="10"/>
  <c r="AL274" i="10"/>
  <c r="AL275" i="10"/>
  <c r="AL276" i="10"/>
  <c r="AL277" i="10"/>
  <c r="AL278" i="10"/>
  <c r="AL279" i="10"/>
  <c r="AL280" i="10"/>
  <c r="AL281" i="10"/>
  <c r="AL282" i="10"/>
  <c r="AL283" i="10"/>
  <c r="AL284" i="10"/>
  <c r="AL285" i="10"/>
  <c r="AL286" i="10"/>
  <c r="AL287" i="10"/>
  <c r="AL288" i="10"/>
  <c r="AL289" i="10"/>
  <c r="AL290" i="10"/>
  <c r="AL291" i="10"/>
  <c r="AL292" i="10"/>
  <c r="AL293" i="10"/>
  <c r="AL294" i="10"/>
  <c r="AL295" i="10"/>
  <c r="AL296" i="10"/>
  <c r="AL297" i="10"/>
  <c r="AL298" i="10"/>
  <c r="AL299" i="10"/>
  <c r="AL300" i="10"/>
  <c r="AL301" i="10"/>
  <c r="AL302" i="10"/>
  <c r="AL303" i="10"/>
  <c r="AL304" i="10"/>
  <c r="AL305" i="10"/>
  <c r="AL306" i="10"/>
  <c r="AL307" i="10"/>
  <c r="AL308" i="10"/>
  <c r="AL309" i="10"/>
  <c r="AL310" i="10"/>
  <c r="AL311" i="10"/>
  <c r="AL312" i="10"/>
  <c r="AL313" i="10"/>
  <c r="AL314" i="10"/>
  <c r="AL315" i="10"/>
  <c r="AL316" i="10"/>
  <c r="AL317" i="10"/>
  <c r="AL318" i="10"/>
  <c r="AL319" i="10"/>
  <c r="AL320" i="10"/>
  <c r="AL321" i="10"/>
  <c r="AL322" i="10"/>
  <c r="AL323" i="10"/>
  <c r="AL324" i="10"/>
  <c r="AL325" i="10"/>
  <c r="AL326" i="10"/>
  <c r="AL327" i="10"/>
  <c r="AL328" i="10"/>
  <c r="AL329" i="10"/>
  <c r="AL330" i="10"/>
  <c r="AL331" i="10"/>
  <c r="AL332" i="10"/>
  <c r="AL333" i="10"/>
  <c r="AL334" i="10"/>
  <c r="AL335" i="10"/>
  <c r="AL336" i="10"/>
  <c r="AL337" i="10"/>
  <c r="AL338" i="10"/>
  <c r="AL339" i="10"/>
  <c r="AL340" i="10"/>
  <c r="AL341" i="10"/>
  <c r="AL342" i="10"/>
  <c r="AL343" i="10"/>
  <c r="AL344" i="10"/>
  <c r="AL345" i="10"/>
  <c r="AL346" i="10"/>
  <c r="AL347" i="10"/>
  <c r="AL348" i="10"/>
  <c r="AL349" i="10"/>
  <c r="AL350" i="10"/>
  <c r="AL351" i="10"/>
  <c r="AL352" i="10"/>
  <c r="AL353" i="10"/>
  <c r="AL354" i="10"/>
  <c r="AL355" i="10"/>
  <c r="AL356" i="10"/>
  <c r="AL357" i="10"/>
  <c r="AL358" i="10"/>
  <c r="AL359" i="10"/>
  <c r="AL360" i="10"/>
  <c r="AL361" i="10"/>
  <c r="AL362" i="10"/>
  <c r="AL363" i="10"/>
  <c r="AL364" i="10"/>
  <c r="AL365" i="10"/>
  <c r="AL366" i="10"/>
  <c r="AL367" i="10"/>
  <c r="AL368" i="10"/>
  <c r="AL369" i="10"/>
  <c r="AL370" i="10"/>
  <c r="AL371" i="10"/>
  <c r="AL372" i="10"/>
  <c r="AL373" i="10"/>
  <c r="AL374" i="10"/>
  <c r="AL375" i="10"/>
  <c r="AL376" i="10"/>
  <c r="AL377" i="10"/>
  <c r="AL378" i="10"/>
  <c r="AL379" i="10"/>
  <c r="AL380" i="10"/>
  <c r="AL381" i="10"/>
  <c r="AL382" i="10"/>
  <c r="AL383" i="10"/>
  <c r="AL384" i="10"/>
  <c r="AL385" i="10"/>
  <c r="AL386" i="10"/>
  <c r="AL387" i="10"/>
  <c r="AL388" i="10"/>
  <c r="AL389" i="10"/>
  <c r="AL390" i="10"/>
  <c r="AL391" i="10"/>
  <c r="AL392" i="10"/>
  <c r="AL393" i="10"/>
  <c r="AL394" i="10"/>
  <c r="AL395" i="10"/>
  <c r="AL396" i="10"/>
  <c r="AL397" i="10"/>
  <c r="AL398" i="10"/>
  <c r="AL399" i="10"/>
  <c r="AL400" i="10"/>
  <c r="AL401" i="10"/>
  <c r="AL402" i="10"/>
  <c r="AL403" i="10"/>
  <c r="AL404" i="10"/>
  <c r="AL405" i="10"/>
  <c r="AL406" i="10"/>
  <c r="AL407" i="10"/>
  <c r="AL408" i="10"/>
  <c r="AL409" i="10"/>
  <c r="AL410" i="10"/>
  <c r="AL411" i="10"/>
  <c r="AL412" i="10"/>
  <c r="AL413" i="10"/>
  <c r="AL414" i="10"/>
  <c r="AL415" i="10"/>
  <c r="AL416" i="10"/>
  <c r="AL417" i="10"/>
  <c r="AL418" i="10"/>
  <c r="AL419" i="10"/>
  <c r="AL420" i="10"/>
  <c r="AL421" i="10"/>
  <c r="AL422" i="10"/>
  <c r="AL423" i="10"/>
  <c r="AL424" i="10"/>
  <c r="AL425" i="10"/>
  <c r="AL426" i="10"/>
  <c r="AL427" i="10"/>
  <c r="AL428" i="10"/>
  <c r="AL429" i="10"/>
  <c r="AL430" i="10"/>
  <c r="AL431" i="10"/>
  <c r="AL432" i="10"/>
  <c r="AL433" i="10"/>
  <c r="AL434" i="10"/>
  <c r="AL435" i="10"/>
  <c r="AL436" i="10"/>
  <c r="AL437" i="10"/>
  <c r="AL438" i="10"/>
  <c r="AL439" i="10"/>
  <c r="AL440" i="10"/>
  <c r="AL441" i="10"/>
  <c r="AL442" i="10"/>
  <c r="AL443" i="10"/>
  <c r="AL444" i="10"/>
  <c r="AL445" i="10"/>
  <c r="AL446" i="10"/>
  <c r="AL447" i="10"/>
  <c r="AL448" i="10"/>
  <c r="AL449" i="10"/>
  <c r="AL450" i="10"/>
  <c r="AL451" i="10"/>
  <c r="AL452" i="10"/>
  <c r="AL453" i="10"/>
  <c r="AL454" i="10"/>
  <c r="AL455" i="10"/>
  <c r="AL456" i="10"/>
  <c r="AL457" i="10"/>
  <c r="AL458" i="10"/>
  <c r="AL459" i="10"/>
  <c r="AL460" i="10"/>
  <c r="AL461" i="10"/>
  <c r="AL462" i="10"/>
  <c r="AL463" i="10"/>
  <c r="AL464" i="10"/>
  <c r="AL465" i="10"/>
  <c r="AL466" i="10"/>
  <c r="AL467" i="10"/>
  <c r="AL468" i="10"/>
  <c r="AL469" i="10"/>
  <c r="AL470" i="10"/>
  <c r="AL471" i="10"/>
  <c r="AL472" i="10"/>
  <c r="AL473" i="10"/>
  <c r="AL474" i="10"/>
  <c r="AL475" i="10"/>
  <c r="AL476" i="10"/>
  <c r="AL477" i="10"/>
  <c r="AL478" i="10"/>
  <c r="AL479" i="10"/>
  <c r="AL480" i="10"/>
  <c r="AL481" i="10"/>
  <c r="AL482" i="10"/>
  <c r="AL483" i="10"/>
  <c r="AL484" i="10"/>
  <c r="AL485" i="10"/>
  <c r="AL486" i="10"/>
  <c r="AL487" i="10"/>
  <c r="AL488" i="10"/>
  <c r="AL489" i="10"/>
  <c r="AL490" i="10"/>
  <c r="AL491" i="10"/>
  <c r="AL492" i="10"/>
  <c r="AL493" i="10"/>
  <c r="AL494" i="10"/>
  <c r="AL495" i="10"/>
  <c r="AL496" i="10"/>
  <c r="AL497" i="10"/>
  <c r="AL498" i="10"/>
  <c r="AL499" i="10"/>
  <c r="AL500" i="10"/>
  <c r="AL501" i="10"/>
  <c r="AL502" i="10"/>
  <c r="AL503" i="10"/>
  <c r="AL504" i="10"/>
  <c r="AL505" i="10"/>
  <c r="AL506" i="10"/>
  <c r="AL507" i="10"/>
  <c r="AL508" i="10"/>
  <c r="AL509" i="10"/>
  <c r="AL510" i="10"/>
  <c r="AL511" i="10"/>
  <c r="AL512" i="10"/>
  <c r="AL513" i="10"/>
  <c r="AL514" i="10"/>
  <c r="AL515" i="10"/>
  <c r="AL516" i="10"/>
  <c r="AL517" i="10"/>
  <c r="AL518" i="10"/>
  <c r="AL519" i="10"/>
  <c r="AL520" i="10"/>
  <c r="AL521" i="10"/>
  <c r="AL522" i="10"/>
  <c r="AL523" i="10"/>
  <c r="AL524" i="10"/>
  <c r="AL525" i="10"/>
  <c r="AL526" i="10"/>
  <c r="AL527" i="10"/>
  <c r="AL528" i="10"/>
  <c r="AL529" i="10"/>
  <c r="AL530" i="10"/>
  <c r="AL531" i="10"/>
  <c r="AL532" i="10"/>
  <c r="AL533" i="10"/>
  <c r="AL534" i="10"/>
  <c r="AL535" i="10"/>
  <c r="AL536" i="10"/>
  <c r="AL537" i="10"/>
  <c r="AL538" i="10"/>
  <c r="AL539" i="10"/>
  <c r="AL540" i="10"/>
  <c r="AL541" i="10"/>
  <c r="AL542" i="10"/>
  <c r="AL543" i="10"/>
  <c r="AL544" i="10"/>
  <c r="AL545" i="10"/>
  <c r="AL546" i="10"/>
  <c r="AL547" i="10"/>
  <c r="AL548" i="10"/>
  <c r="AL549" i="10"/>
  <c r="AL550" i="10"/>
  <c r="AL551" i="10"/>
  <c r="AL552" i="10"/>
  <c r="AL553" i="10"/>
  <c r="AL554" i="10"/>
  <c r="AL555" i="10"/>
  <c r="AL556" i="10"/>
  <c r="AL557" i="10"/>
  <c r="AL558" i="10"/>
  <c r="AL559" i="10"/>
  <c r="AL560" i="10"/>
  <c r="AL561" i="10"/>
  <c r="AL562" i="10"/>
  <c r="AL563" i="10"/>
  <c r="AL564" i="10"/>
  <c r="AL565" i="10"/>
  <c r="AL566" i="10"/>
  <c r="AL567" i="10"/>
  <c r="AL568" i="10"/>
  <c r="AL569" i="10"/>
  <c r="AL570" i="10"/>
  <c r="AL571" i="10"/>
  <c r="AL572" i="10"/>
  <c r="AL573" i="10"/>
  <c r="AL574" i="10"/>
  <c r="AL575" i="10"/>
  <c r="AL576" i="10"/>
  <c r="AL577" i="10"/>
  <c r="AL578" i="10"/>
  <c r="AL579" i="10"/>
  <c r="AL580" i="10"/>
  <c r="AL581" i="10"/>
  <c r="AL582" i="10"/>
  <c r="AL583" i="10"/>
  <c r="AN2" i="10"/>
  <c r="AN3" i="10"/>
  <c r="AN4" i="10"/>
  <c r="AN5" i="10"/>
  <c r="AN6" i="10"/>
  <c r="AN7" i="10"/>
  <c r="AN8" i="10"/>
  <c r="AN9" i="10"/>
  <c r="AN10" i="10"/>
  <c r="AN11" i="10"/>
  <c r="AN12" i="10"/>
  <c r="AN13" i="10"/>
  <c r="AN14" i="10"/>
  <c r="AN15" i="10"/>
  <c r="AN16" i="10"/>
  <c r="AN17" i="10"/>
  <c r="AN18" i="10"/>
  <c r="AN19" i="10"/>
  <c r="AN20" i="10"/>
  <c r="AN21" i="10"/>
  <c r="AN22" i="10"/>
  <c r="AN23" i="10"/>
  <c r="AN24" i="10"/>
  <c r="AN25" i="10"/>
  <c r="AN26" i="10"/>
  <c r="AN27" i="10"/>
  <c r="AN28" i="10"/>
  <c r="AN29"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5" i="10"/>
  <c r="AN56" i="10"/>
  <c r="AN57" i="10"/>
  <c r="AN58" i="10"/>
  <c r="AN59" i="10"/>
  <c r="AN60" i="10"/>
  <c r="AN61" i="10"/>
  <c r="AN62" i="10"/>
  <c r="AN63" i="10"/>
  <c r="AN64" i="10"/>
  <c r="AN65" i="10"/>
  <c r="AN66" i="10"/>
  <c r="AN67" i="10"/>
  <c r="AN68" i="10"/>
  <c r="AN69" i="10"/>
  <c r="AN70" i="10"/>
  <c r="AN71" i="10"/>
  <c r="AN72" i="10"/>
  <c r="AN73" i="10"/>
  <c r="AN74" i="10"/>
  <c r="AN75" i="10"/>
  <c r="AN76" i="10"/>
  <c r="AN77" i="10"/>
  <c r="AN78" i="10"/>
  <c r="AN79" i="10"/>
  <c r="AN80" i="10"/>
  <c r="AN81" i="10"/>
  <c r="AN82" i="10"/>
  <c r="AN83" i="10"/>
  <c r="AN84" i="10"/>
  <c r="AN85" i="10"/>
  <c r="AN86" i="10"/>
  <c r="AN87" i="10"/>
  <c r="AN88" i="10"/>
  <c r="AN89" i="10"/>
  <c r="AN90" i="10"/>
  <c r="AN91" i="10"/>
  <c r="AN92" i="10"/>
  <c r="AN93" i="10"/>
  <c r="AN94" i="10"/>
  <c r="AN95" i="10"/>
  <c r="AN96" i="10"/>
  <c r="AN97" i="10"/>
  <c r="AN98" i="10"/>
  <c r="AN99" i="10"/>
  <c r="AN100" i="10"/>
  <c r="AN101" i="10"/>
  <c r="AN102" i="10"/>
  <c r="AN103" i="10"/>
  <c r="AN104" i="10"/>
  <c r="AN105" i="10"/>
  <c r="AN106" i="10"/>
  <c r="AN107" i="10"/>
  <c r="AN108" i="10"/>
  <c r="AN109" i="10"/>
  <c r="AN110" i="10"/>
  <c r="AN111" i="10"/>
  <c r="AN112" i="10"/>
  <c r="AN113" i="10"/>
  <c r="AN114" i="10"/>
  <c r="AN115" i="10"/>
  <c r="AN116" i="10"/>
  <c r="AN117" i="10"/>
  <c r="AN118" i="10"/>
  <c r="AN119" i="10"/>
  <c r="AN120" i="10"/>
  <c r="AN121" i="10"/>
  <c r="AN122" i="10"/>
  <c r="AN123" i="10"/>
  <c r="AN124" i="10"/>
  <c r="AN125" i="10"/>
  <c r="AN126" i="10"/>
  <c r="AN127" i="10"/>
  <c r="AN128" i="10"/>
  <c r="AN129" i="10"/>
  <c r="AN130" i="10"/>
  <c r="AN131" i="10"/>
  <c r="AN132" i="10"/>
  <c r="AN133" i="10"/>
  <c r="AN134" i="10"/>
  <c r="AN135" i="10"/>
  <c r="AN136" i="10"/>
  <c r="AN137" i="10"/>
  <c r="AN138" i="10"/>
  <c r="AN139" i="10"/>
  <c r="AN140" i="10"/>
  <c r="AN141" i="10"/>
  <c r="AN142" i="10"/>
  <c r="AN143" i="10"/>
  <c r="AN144" i="10"/>
  <c r="AN145" i="10"/>
  <c r="AN146" i="10"/>
  <c r="AN147" i="10"/>
  <c r="AN148" i="10"/>
  <c r="AN149" i="10"/>
  <c r="AN150" i="10"/>
  <c r="AN151" i="10"/>
  <c r="AN152" i="10"/>
  <c r="AN153" i="10"/>
  <c r="AN154" i="10"/>
  <c r="AN155" i="10"/>
  <c r="AN156" i="10"/>
  <c r="AN157" i="10"/>
  <c r="AN158" i="10"/>
  <c r="AN159" i="10"/>
  <c r="AN160" i="10"/>
  <c r="AN161" i="10"/>
  <c r="AN162" i="10"/>
  <c r="AN163" i="10"/>
  <c r="AN164" i="10"/>
  <c r="AN165" i="10"/>
  <c r="AN166" i="10"/>
  <c r="AN167" i="10"/>
  <c r="AN168" i="10"/>
  <c r="AN169" i="10"/>
  <c r="AN170" i="10"/>
  <c r="AN171" i="10"/>
  <c r="AN172" i="10"/>
  <c r="AN173" i="10"/>
  <c r="AN174" i="10"/>
  <c r="AN175" i="10"/>
  <c r="AN176" i="10"/>
  <c r="AN177" i="10"/>
  <c r="AN178" i="10"/>
  <c r="AN179" i="10"/>
  <c r="AN180" i="10"/>
  <c r="AN181" i="10"/>
  <c r="AN182" i="10"/>
  <c r="AN183" i="10"/>
  <c r="AN184" i="10"/>
  <c r="AN185" i="10"/>
  <c r="AN186" i="10"/>
  <c r="AN187" i="10"/>
  <c r="AN188" i="10"/>
  <c r="AN189" i="10"/>
  <c r="AN190" i="10"/>
  <c r="AN191" i="10"/>
  <c r="AN192" i="10"/>
  <c r="AN193" i="10"/>
  <c r="AN194" i="10"/>
  <c r="AN195" i="10"/>
  <c r="AN196" i="10"/>
  <c r="AN197" i="10"/>
  <c r="AN198" i="10"/>
  <c r="AN199" i="10"/>
  <c r="AN200" i="10"/>
  <c r="AN201" i="10"/>
  <c r="AN202" i="10"/>
  <c r="AN203" i="10"/>
  <c r="AN204" i="10"/>
  <c r="AN205" i="10"/>
  <c r="AN206" i="10"/>
  <c r="AN207" i="10"/>
  <c r="AN208" i="10"/>
  <c r="AN209" i="10"/>
  <c r="AN210" i="10"/>
  <c r="AN211" i="10"/>
  <c r="AN212" i="10"/>
  <c r="AN213" i="10"/>
  <c r="AN214" i="10"/>
  <c r="AN215" i="10"/>
  <c r="AN216" i="10"/>
  <c r="AN217" i="10"/>
  <c r="AN218" i="10"/>
  <c r="AN219" i="10"/>
  <c r="AN220" i="10"/>
  <c r="AN221" i="10"/>
  <c r="AN222" i="10"/>
  <c r="AN223" i="10"/>
  <c r="AN224" i="10"/>
  <c r="AN225" i="10"/>
  <c r="AN226" i="10"/>
  <c r="AN227" i="10"/>
  <c r="AN228" i="10"/>
  <c r="AN229" i="10"/>
  <c r="AN230" i="10"/>
  <c r="AN231" i="10"/>
  <c r="AN232" i="10"/>
  <c r="AN233" i="10"/>
  <c r="AN234" i="10"/>
  <c r="AN235" i="10"/>
  <c r="AN236" i="10"/>
  <c r="AN237" i="10"/>
  <c r="AN238" i="10"/>
  <c r="AN239" i="10"/>
  <c r="AN240" i="10"/>
  <c r="AN241" i="10"/>
  <c r="AN242" i="10"/>
  <c r="AN243" i="10"/>
  <c r="AN244" i="10"/>
  <c r="AN245" i="10"/>
  <c r="AN246" i="10"/>
  <c r="AN247" i="10"/>
  <c r="AN248" i="10"/>
  <c r="AN249" i="10"/>
  <c r="AN250" i="10"/>
  <c r="AN251" i="10"/>
  <c r="AN252" i="10"/>
  <c r="AN253" i="10"/>
  <c r="AN254" i="10"/>
  <c r="AN255" i="10"/>
  <c r="AN256" i="10"/>
  <c r="AN257" i="10"/>
  <c r="AN258" i="10"/>
  <c r="AN259" i="10"/>
  <c r="AN260" i="10"/>
  <c r="AN261" i="10"/>
  <c r="AN262" i="10"/>
  <c r="AN263" i="10"/>
  <c r="AN264" i="10"/>
  <c r="AN265" i="10"/>
  <c r="AN266" i="10"/>
  <c r="AN267" i="10"/>
  <c r="AN268" i="10"/>
  <c r="AN269" i="10"/>
  <c r="AN270" i="10"/>
  <c r="AN271" i="10"/>
  <c r="AN272" i="10"/>
  <c r="AN273" i="10"/>
  <c r="AN274" i="10"/>
  <c r="AN275" i="10"/>
  <c r="AN276" i="10"/>
  <c r="AN277" i="10"/>
  <c r="AN278" i="10"/>
  <c r="AN279" i="10"/>
  <c r="AN280" i="10"/>
  <c r="AN281" i="10"/>
  <c r="AN282" i="10"/>
  <c r="AN283" i="10"/>
  <c r="AN284" i="10"/>
  <c r="AN285" i="10"/>
  <c r="AN286" i="10"/>
  <c r="AN287" i="10"/>
  <c r="AN288" i="10"/>
  <c r="AN289" i="10"/>
  <c r="AN290" i="10"/>
  <c r="AN291" i="10"/>
  <c r="AN292" i="10"/>
  <c r="AN293" i="10"/>
  <c r="AN294" i="10"/>
  <c r="AN295" i="10"/>
  <c r="AN296" i="10"/>
  <c r="AN297" i="10"/>
  <c r="AN298" i="10"/>
  <c r="AN299" i="10"/>
  <c r="AN300" i="10"/>
  <c r="AN301" i="10"/>
  <c r="AN302" i="10"/>
  <c r="AN303" i="10"/>
  <c r="AN304" i="10"/>
  <c r="AN305" i="10"/>
  <c r="AN306" i="10"/>
  <c r="AN307" i="10"/>
  <c r="AN308" i="10"/>
  <c r="AN309" i="10"/>
  <c r="AN310" i="10"/>
  <c r="AN311" i="10"/>
  <c r="AN312" i="10"/>
  <c r="AN313" i="10"/>
  <c r="AN314" i="10"/>
  <c r="AN315" i="10"/>
  <c r="AN316" i="10"/>
  <c r="AN317" i="10"/>
  <c r="AN318" i="10"/>
  <c r="AN319" i="10"/>
  <c r="AN320" i="10"/>
  <c r="AN321" i="10"/>
  <c r="AN322" i="10"/>
  <c r="AN323" i="10"/>
  <c r="AN324" i="10"/>
  <c r="AN325" i="10"/>
  <c r="AN326" i="10"/>
  <c r="AN327" i="10"/>
  <c r="AN328" i="10"/>
  <c r="AN329" i="10"/>
  <c r="AN330" i="10"/>
  <c r="AN331" i="10"/>
  <c r="AN332" i="10"/>
  <c r="AN333" i="10"/>
  <c r="AN334" i="10"/>
  <c r="AN335" i="10"/>
  <c r="AN336" i="10"/>
  <c r="AN337" i="10"/>
  <c r="AN338" i="10"/>
  <c r="AN339" i="10"/>
  <c r="AN340" i="10"/>
  <c r="AN341" i="10"/>
  <c r="AN342" i="10"/>
  <c r="AN343" i="10"/>
  <c r="AN344" i="10"/>
  <c r="AN345" i="10"/>
  <c r="AN346" i="10"/>
  <c r="AN347" i="10"/>
  <c r="AN348" i="10"/>
  <c r="AN349" i="10"/>
  <c r="AN350" i="10"/>
  <c r="AN351" i="10"/>
  <c r="AN352" i="10"/>
  <c r="AN353" i="10"/>
  <c r="AN354" i="10"/>
  <c r="AN355" i="10"/>
  <c r="AN356" i="10"/>
  <c r="AN357" i="10"/>
  <c r="AN358" i="10"/>
  <c r="AN359" i="10"/>
  <c r="AN360" i="10"/>
  <c r="AN361" i="10"/>
  <c r="AN362" i="10"/>
  <c r="AN363" i="10"/>
  <c r="AN364" i="10"/>
  <c r="AN365" i="10"/>
  <c r="AN366" i="10"/>
  <c r="AN367" i="10"/>
  <c r="AN368" i="10"/>
  <c r="AN369" i="10"/>
  <c r="AN370" i="10"/>
  <c r="AN371" i="10"/>
  <c r="AN372" i="10"/>
  <c r="AN373" i="10"/>
  <c r="AN374" i="10"/>
  <c r="AN375" i="10"/>
  <c r="AN376" i="10"/>
  <c r="AN377" i="10"/>
  <c r="AN378" i="10"/>
  <c r="AN379" i="10"/>
  <c r="AN380" i="10"/>
  <c r="AN381" i="10"/>
  <c r="AN382" i="10"/>
  <c r="AN383" i="10"/>
  <c r="AN384" i="10"/>
  <c r="AN385" i="10"/>
  <c r="AN386" i="10"/>
  <c r="AN387" i="10"/>
  <c r="AN388" i="10"/>
  <c r="AN389" i="10"/>
  <c r="AN390" i="10"/>
  <c r="AN391" i="10"/>
  <c r="AN392" i="10"/>
  <c r="AN393" i="10"/>
  <c r="AN394" i="10"/>
  <c r="AN395" i="10"/>
  <c r="AN396" i="10"/>
  <c r="AN397" i="10"/>
  <c r="AN398" i="10"/>
  <c r="AN399" i="10"/>
  <c r="AN400" i="10"/>
  <c r="AN401" i="10"/>
  <c r="AN402" i="10"/>
  <c r="AN403" i="10"/>
  <c r="AN404" i="10"/>
  <c r="AN405" i="10"/>
  <c r="AN406" i="10"/>
  <c r="AN407" i="10"/>
  <c r="AN408" i="10"/>
  <c r="AN409" i="10"/>
  <c r="AN410" i="10"/>
  <c r="AN411" i="10"/>
  <c r="AN412" i="10"/>
  <c r="AN413" i="10"/>
  <c r="AN414" i="10"/>
  <c r="AN415" i="10"/>
  <c r="AN416" i="10"/>
  <c r="AN417" i="10"/>
  <c r="AN418" i="10"/>
  <c r="AN419" i="10"/>
  <c r="AN420" i="10"/>
  <c r="AN421" i="10"/>
  <c r="AN422" i="10"/>
  <c r="AN423" i="10"/>
  <c r="AN424" i="10"/>
  <c r="AN425" i="10"/>
  <c r="AN426" i="10"/>
  <c r="AN427" i="10"/>
  <c r="AN428" i="10"/>
  <c r="AN429" i="10"/>
  <c r="AN430" i="10"/>
  <c r="AN431" i="10"/>
  <c r="AN432" i="10"/>
  <c r="AN433" i="10"/>
  <c r="AN434" i="10"/>
  <c r="AN435" i="10"/>
  <c r="AN436" i="10"/>
  <c r="AN437" i="10"/>
  <c r="AN438" i="10"/>
  <c r="AN439" i="10"/>
  <c r="AN440" i="10"/>
  <c r="AN441" i="10"/>
  <c r="AN442" i="10"/>
  <c r="AN443" i="10"/>
  <c r="AN444" i="10"/>
  <c r="AN445" i="10"/>
  <c r="AN446" i="10"/>
  <c r="AN447" i="10"/>
  <c r="AN448" i="10"/>
  <c r="AN449" i="10"/>
  <c r="AN450" i="10"/>
  <c r="AN451" i="10"/>
  <c r="AN452" i="10"/>
  <c r="AN453" i="10"/>
  <c r="AN454" i="10"/>
  <c r="AN455" i="10"/>
  <c r="AN456" i="10"/>
  <c r="AN457" i="10"/>
  <c r="AN458" i="10"/>
  <c r="AN459" i="10"/>
  <c r="AN460" i="10"/>
  <c r="AN461" i="10"/>
  <c r="AN462" i="10"/>
  <c r="AN463" i="10"/>
  <c r="AN464" i="10"/>
  <c r="AN465" i="10"/>
  <c r="AN466" i="10"/>
  <c r="AN467" i="10"/>
  <c r="AN468" i="10"/>
  <c r="AN469" i="10"/>
  <c r="AN470" i="10"/>
  <c r="AN471" i="10"/>
  <c r="AN472" i="10"/>
  <c r="AN473" i="10"/>
  <c r="AN474" i="10"/>
  <c r="AN475" i="10"/>
  <c r="AN476" i="10"/>
  <c r="AN477" i="10"/>
  <c r="AN478" i="10"/>
  <c r="AN479" i="10"/>
  <c r="AN480" i="10"/>
  <c r="AN481" i="10"/>
  <c r="AN482" i="10"/>
  <c r="AN483" i="10"/>
  <c r="AN484" i="10"/>
  <c r="AN485" i="10"/>
  <c r="AN486" i="10"/>
  <c r="AN487" i="10"/>
  <c r="AN488" i="10"/>
  <c r="AN489" i="10"/>
  <c r="AN490" i="10"/>
  <c r="AN491" i="10"/>
  <c r="AN492" i="10"/>
  <c r="AN493" i="10"/>
  <c r="AN494" i="10"/>
  <c r="AN495" i="10"/>
  <c r="AN496" i="10"/>
  <c r="AN497" i="10"/>
  <c r="AN498" i="10"/>
  <c r="AN499" i="10"/>
  <c r="AN500" i="10"/>
  <c r="AN501" i="10"/>
  <c r="AN502" i="10"/>
  <c r="AN503" i="10"/>
  <c r="AN504" i="10"/>
  <c r="AN505" i="10"/>
  <c r="AN506" i="10"/>
  <c r="AN507" i="10"/>
  <c r="AN508" i="10"/>
  <c r="AN509" i="10"/>
  <c r="AN510" i="10"/>
  <c r="AN511" i="10"/>
  <c r="AN512" i="10"/>
  <c r="AN513" i="10"/>
  <c r="AN514" i="10"/>
  <c r="AN515" i="10"/>
  <c r="AN516" i="10"/>
  <c r="AN517" i="10"/>
  <c r="AN518" i="10"/>
  <c r="AN519" i="10"/>
  <c r="AN520" i="10"/>
  <c r="AN521" i="10"/>
  <c r="AN522" i="10"/>
  <c r="AN523" i="10"/>
  <c r="AN524" i="10"/>
  <c r="AN525" i="10"/>
  <c r="AN526" i="10"/>
  <c r="AN527" i="10"/>
  <c r="AN528" i="10"/>
  <c r="AN529" i="10"/>
  <c r="AN530" i="10"/>
  <c r="AN531" i="10"/>
  <c r="AN532" i="10"/>
  <c r="AN533" i="10"/>
  <c r="AN534" i="10"/>
  <c r="AN535" i="10"/>
  <c r="AN536" i="10"/>
  <c r="AN537" i="10"/>
  <c r="AN538" i="10"/>
  <c r="AN539" i="10"/>
  <c r="AN540" i="10"/>
  <c r="AN541" i="10"/>
  <c r="AN542" i="10"/>
  <c r="AN543" i="10"/>
  <c r="AN544" i="10"/>
  <c r="AN545" i="10"/>
  <c r="AN546" i="10"/>
  <c r="AN547" i="10"/>
  <c r="AN548" i="10"/>
  <c r="AN549" i="10"/>
  <c r="AN550" i="10"/>
  <c r="AN551" i="10"/>
  <c r="AN552" i="10"/>
  <c r="AN553" i="10"/>
  <c r="AN554" i="10"/>
  <c r="AN555" i="10"/>
  <c r="AN556" i="10"/>
  <c r="AN557" i="10"/>
  <c r="AN558" i="10"/>
  <c r="AN559" i="10"/>
  <c r="AN560" i="10"/>
  <c r="AN561" i="10"/>
  <c r="AN562" i="10"/>
  <c r="AN563" i="10"/>
  <c r="AN564" i="10"/>
  <c r="AN565" i="10"/>
  <c r="AN566" i="10"/>
  <c r="AN567" i="10"/>
  <c r="AN568" i="10"/>
  <c r="AN569" i="10"/>
  <c r="AN570" i="10"/>
  <c r="AN571" i="10"/>
  <c r="AN572" i="10"/>
  <c r="AN573" i="10"/>
  <c r="AN574" i="10"/>
  <c r="AN575" i="10"/>
  <c r="AN576" i="10"/>
  <c r="AN577" i="10"/>
  <c r="AN578" i="10"/>
  <c r="AN579" i="10"/>
  <c r="AN580" i="10"/>
  <c r="AN581" i="10"/>
  <c r="AN582" i="10"/>
  <c r="AN583" i="10"/>
  <c r="R2" i="10"/>
  <c r="R3" i="10"/>
  <c r="R4" i="10"/>
  <c r="R5" i="10"/>
  <c r="R6" i="10"/>
  <c r="R7" i="10"/>
  <c r="R8" i="10"/>
  <c r="R9" i="10"/>
  <c r="R10" i="10"/>
  <c r="R11" i="10"/>
  <c r="R12" i="10"/>
  <c r="R13" i="10"/>
  <c r="R14"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66"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5" i="10"/>
  <c r="R96" i="10"/>
  <c r="R97" i="10"/>
  <c r="R98" i="10"/>
  <c r="R99" i="10"/>
  <c r="R100" i="10"/>
  <c r="R101" i="10"/>
  <c r="R102" i="10"/>
  <c r="R103" i="10"/>
  <c r="R104" i="10"/>
  <c r="R105" i="10"/>
  <c r="R106" i="10"/>
  <c r="R107" i="10"/>
  <c r="R108"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163" i="10"/>
  <c r="R164" i="10"/>
  <c r="R165" i="10"/>
  <c r="R166" i="10"/>
  <c r="R167" i="10"/>
  <c r="R168" i="10"/>
  <c r="R169" i="10"/>
  <c r="R170" i="10"/>
  <c r="R171" i="10"/>
  <c r="R172" i="10"/>
  <c r="R173" i="10"/>
  <c r="R174" i="10"/>
  <c r="R175" i="10"/>
  <c r="R176" i="10"/>
  <c r="R177" i="10"/>
  <c r="R178" i="10"/>
  <c r="R179" i="10"/>
  <c r="R180" i="10"/>
  <c r="R181" i="10"/>
  <c r="R182" i="10"/>
  <c r="R183" i="10"/>
  <c r="R184" i="10"/>
  <c r="R185" i="10"/>
  <c r="R186" i="10"/>
  <c r="R187" i="10"/>
  <c r="R188" i="10"/>
  <c r="R189" i="10"/>
  <c r="R190" i="10"/>
  <c r="R191" i="10"/>
  <c r="R192" i="10"/>
  <c r="R193" i="10"/>
  <c r="R194" i="10"/>
  <c r="R195" i="10"/>
  <c r="R196" i="10"/>
  <c r="R197" i="10"/>
  <c r="R198" i="10"/>
  <c r="R199" i="10"/>
  <c r="R200" i="10"/>
  <c r="R201" i="10"/>
  <c r="R202" i="10"/>
  <c r="R203" i="10"/>
  <c r="R204" i="10"/>
  <c r="R205" i="10"/>
  <c r="R206" i="10"/>
  <c r="R207" i="10"/>
  <c r="R208" i="10"/>
  <c r="R209" i="10"/>
  <c r="R210" i="10"/>
  <c r="R211" i="10"/>
  <c r="R212" i="10"/>
  <c r="R213" i="10"/>
  <c r="R214" i="10"/>
  <c r="R215" i="10"/>
  <c r="R216" i="10"/>
  <c r="R217" i="10"/>
  <c r="R218" i="10"/>
  <c r="R219" i="10"/>
  <c r="R220" i="10"/>
  <c r="R221" i="10"/>
  <c r="R222" i="10"/>
  <c r="R223" i="10"/>
  <c r="R224" i="10"/>
  <c r="R225" i="10"/>
  <c r="R226" i="10"/>
  <c r="R227" i="10"/>
  <c r="R228" i="10"/>
  <c r="R229" i="10"/>
  <c r="R230" i="10"/>
  <c r="R231" i="10"/>
  <c r="R232" i="10"/>
  <c r="R233" i="10"/>
  <c r="R234" i="10"/>
  <c r="R235" i="10"/>
  <c r="R236" i="10"/>
  <c r="R237" i="10"/>
  <c r="R238" i="10"/>
  <c r="R239" i="10"/>
  <c r="R240" i="10"/>
  <c r="R241" i="10"/>
  <c r="R242" i="10"/>
  <c r="R243" i="10"/>
  <c r="R244" i="10"/>
  <c r="R245" i="10"/>
  <c r="R246" i="10"/>
  <c r="R247" i="10"/>
  <c r="R248" i="10"/>
  <c r="R249" i="10"/>
  <c r="R250" i="10"/>
  <c r="R251" i="10"/>
  <c r="R252" i="10"/>
  <c r="R253" i="10"/>
  <c r="R254" i="10"/>
  <c r="R255" i="10"/>
  <c r="R256" i="10"/>
  <c r="R257" i="10"/>
  <c r="R258" i="10"/>
  <c r="R259" i="10"/>
  <c r="R260" i="10"/>
  <c r="R261" i="10"/>
  <c r="R262" i="10"/>
  <c r="R263" i="10"/>
  <c r="R264" i="10"/>
  <c r="R265" i="10"/>
  <c r="R266" i="10"/>
  <c r="R267" i="10"/>
  <c r="R268" i="10"/>
  <c r="R269" i="10"/>
  <c r="R270" i="10"/>
  <c r="R271" i="10"/>
  <c r="R272" i="10"/>
  <c r="R273" i="10"/>
  <c r="R274" i="10"/>
  <c r="R275" i="10"/>
  <c r="R276" i="10"/>
  <c r="R277" i="10"/>
  <c r="R278" i="10"/>
  <c r="R279" i="10"/>
  <c r="R280" i="10"/>
  <c r="R281" i="10"/>
  <c r="R282" i="10"/>
  <c r="R283" i="10"/>
  <c r="R284" i="10"/>
  <c r="R285" i="10"/>
  <c r="R286" i="10"/>
  <c r="R287" i="10"/>
  <c r="R288" i="10"/>
  <c r="R289" i="10"/>
  <c r="R290" i="10"/>
  <c r="R291" i="10"/>
  <c r="R292" i="10"/>
  <c r="R293" i="10"/>
  <c r="R294" i="10"/>
  <c r="R295" i="10"/>
  <c r="R296" i="10"/>
  <c r="R297" i="10"/>
  <c r="R298" i="10"/>
  <c r="R299" i="10"/>
  <c r="R300" i="10"/>
  <c r="R301" i="10"/>
  <c r="R302" i="10"/>
  <c r="R303" i="10"/>
  <c r="R304" i="10"/>
  <c r="R305" i="10"/>
  <c r="R306" i="10"/>
  <c r="R307" i="10"/>
  <c r="R308" i="10"/>
  <c r="R309" i="10"/>
  <c r="R310" i="10"/>
  <c r="R311" i="10"/>
  <c r="R312" i="10"/>
  <c r="R313" i="10"/>
  <c r="R314" i="10"/>
  <c r="R315" i="10"/>
  <c r="R316" i="10"/>
  <c r="R317" i="10"/>
  <c r="R318" i="10"/>
  <c r="R319" i="10"/>
  <c r="R320" i="10"/>
  <c r="R321" i="10"/>
  <c r="R322" i="10"/>
  <c r="R323" i="10"/>
  <c r="R324" i="10"/>
  <c r="R325" i="10"/>
  <c r="R326" i="10"/>
  <c r="R327" i="10"/>
  <c r="R328" i="10"/>
  <c r="R329" i="10"/>
  <c r="R330" i="10"/>
  <c r="R331" i="10"/>
  <c r="R332" i="10"/>
  <c r="R333" i="10"/>
  <c r="R334" i="10"/>
  <c r="R335" i="10"/>
  <c r="R336" i="10"/>
  <c r="R337" i="10"/>
  <c r="R338" i="10"/>
  <c r="R339" i="10"/>
  <c r="R340" i="10"/>
  <c r="R341" i="10"/>
  <c r="R342" i="10"/>
  <c r="R343" i="10"/>
  <c r="R344" i="10"/>
  <c r="R345" i="10"/>
  <c r="R346" i="10"/>
  <c r="R347" i="10"/>
  <c r="R348" i="10"/>
  <c r="R349" i="10"/>
  <c r="R350" i="10"/>
  <c r="R351" i="10"/>
  <c r="R352" i="10"/>
  <c r="R353" i="10"/>
  <c r="R354" i="10"/>
  <c r="R355" i="10"/>
  <c r="R356" i="10"/>
  <c r="R357" i="10"/>
  <c r="R358" i="10"/>
  <c r="R359" i="10"/>
  <c r="R360" i="10"/>
  <c r="R361" i="10"/>
  <c r="R362" i="10"/>
  <c r="R363" i="10"/>
  <c r="R364" i="10"/>
  <c r="R365" i="10"/>
  <c r="R366" i="10"/>
  <c r="R367" i="10"/>
  <c r="R368" i="10"/>
  <c r="R369" i="10"/>
  <c r="R370" i="10"/>
  <c r="R371" i="10"/>
  <c r="R372" i="10"/>
  <c r="R373" i="10"/>
  <c r="R374" i="10"/>
  <c r="R375" i="10"/>
  <c r="R376" i="10"/>
  <c r="R377" i="10"/>
  <c r="R378" i="10"/>
  <c r="R379" i="10"/>
  <c r="R380" i="10"/>
  <c r="R381" i="10"/>
  <c r="R382" i="10"/>
  <c r="R383" i="10"/>
  <c r="R384" i="10"/>
  <c r="R385" i="10"/>
  <c r="R386" i="10"/>
  <c r="R387" i="10"/>
  <c r="R388" i="10"/>
  <c r="R389" i="10"/>
  <c r="R390" i="10"/>
  <c r="R391" i="10"/>
  <c r="R392" i="10"/>
  <c r="R393" i="10"/>
  <c r="R394" i="10"/>
  <c r="R395" i="10"/>
  <c r="R396" i="10"/>
  <c r="R397" i="10"/>
  <c r="R398" i="10"/>
  <c r="R399" i="10"/>
  <c r="R400" i="10"/>
  <c r="R401" i="10"/>
  <c r="R402" i="10"/>
  <c r="R403" i="10"/>
  <c r="R404" i="10"/>
  <c r="R405" i="10"/>
  <c r="R406" i="10"/>
  <c r="R407" i="10"/>
  <c r="R408" i="10"/>
  <c r="R409" i="10"/>
  <c r="R410" i="10"/>
  <c r="R411" i="10"/>
  <c r="R412" i="10"/>
  <c r="R413" i="10"/>
  <c r="R414" i="10"/>
  <c r="R415" i="10"/>
  <c r="R416" i="10"/>
  <c r="R417" i="10"/>
  <c r="R418" i="10"/>
  <c r="R419" i="10"/>
  <c r="R420" i="10"/>
  <c r="R421" i="10"/>
  <c r="R422" i="10"/>
  <c r="R423" i="10"/>
  <c r="R424" i="10"/>
  <c r="R425" i="10"/>
  <c r="R426" i="10"/>
  <c r="R427" i="10"/>
  <c r="R428" i="10"/>
  <c r="R429" i="10"/>
  <c r="R430" i="10"/>
  <c r="R431" i="10"/>
  <c r="R432" i="10"/>
  <c r="R433" i="10"/>
  <c r="R434" i="10"/>
  <c r="R435" i="10"/>
  <c r="R436" i="10"/>
  <c r="R437" i="10"/>
  <c r="R438" i="10"/>
  <c r="R439" i="10"/>
  <c r="R440" i="10"/>
  <c r="R441" i="10"/>
  <c r="R442" i="10"/>
  <c r="R443" i="10"/>
  <c r="R444" i="10"/>
  <c r="R445" i="10"/>
  <c r="R446" i="10"/>
  <c r="R447" i="10"/>
  <c r="R448" i="10"/>
  <c r="R449" i="10"/>
  <c r="R450" i="10"/>
  <c r="R451" i="10"/>
  <c r="R452" i="10"/>
  <c r="R453" i="10"/>
  <c r="R454" i="10"/>
  <c r="R455" i="10"/>
  <c r="R456" i="10"/>
  <c r="R457" i="10"/>
  <c r="R458" i="10"/>
  <c r="R459" i="10"/>
  <c r="R460" i="10"/>
  <c r="R461" i="10"/>
  <c r="R462" i="10"/>
  <c r="R463" i="10"/>
  <c r="R464" i="10"/>
  <c r="R465" i="10"/>
  <c r="R466" i="10"/>
  <c r="R467" i="10"/>
  <c r="R468" i="10"/>
  <c r="R469" i="10"/>
  <c r="R470" i="10"/>
  <c r="R471" i="10"/>
  <c r="R472" i="10"/>
  <c r="R473" i="10"/>
  <c r="R474" i="10"/>
  <c r="R475" i="10"/>
  <c r="R476" i="10"/>
  <c r="R477" i="10"/>
  <c r="R478" i="10"/>
  <c r="R479" i="10"/>
  <c r="R480" i="10"/>
  <c r="R481" i="10"/>
  <c r="R482" i="10"/>
  <c r="R483" i="10"/>
  <c r="R484" i="10"/>
  <c r="R485" i="10"/>
  <c r="R486" i="10"/>
  <c r="R487" i="10"/>
  <c r="R488" i="10"/>
  <c r="R489" i="10"/>
  <c r="R490" i="10"/>
  <c r="R491" i="10"/>
  <c r="R492" i="10"/>
  <c r="R493" i="10"/>
  <c r="R494" i="10"/>
  <c r="R495" i="10"/>
  <c r="R496" i="10"/>
  <c r="R497" i="10"/>
  <c r="R498" i="10"/>
  <c r="R499" i="10"/>
  <c r="R500" i="10"/>
  <c r="R501" i="10"/>
  <c r="R502" i="10"/>
  <c r="R503" i="10"/>
  <c r="R504" i="10"/>
  <c r="R505" i="10"/>
  <c r="R506" i="10"/>
  <c r="R507" i="10"/>
  <c r="R508" i="10"/>
  <c r="R509" i="10"/>
  <c r="R510" i="10"/>
  <c r="R511" i="10"/>
  <c r="R512" i="10"/>
  <c r="R513" i="10"/>
  <c r="R514" i="10"/>
  <c r="R515" i="10"/>
  <c r="R516" i="10"/>
  <c r="R517" i="10"/>
  <c r="R518" i="10"/>
  <c r="R519" i="10"/>
  <c r="R520" i="10"/>
  <c r="R521" i="10"/>
  <c r="R522" i="10"/>
  <c r="R523" i="10"/>
  <c r="R524" i="10"/>
  <c r="R525" i="10"/>
  <c r="R526" i="10"/>
  <c r="R527" i="10"/>
  <c r="R528" i="10"/>
  <c r="R529" i="10"/>
  <c r="R530" i="10"/>
  <c r="R531" i="10"/>
  <c r="R532" i="10"/>
  <c r="R533" i="10"/>
  <c r="R534" i="10"/>
  <c r="R535" i="10"/>
  <c r="R536" i="10"/>
  <c r="R537" i="10"/>
  <c r="R538" i="10"/>
  <c r="R539" i="10"/>
  <c r="R540" i="10"/>
  <c r="R541" i="10"/>
  <c r="R542" i="10"/>
  <c r="R543" i="10"/>
  <c r="R544" i="10"/>
  <c r="R545" i="10"/>
  <c r="R546" i="10"/>
  <c r="R547" i="10"/>
  <c r="R548" i="10"/>
  <c r="R549" i="10"/>
  <c r="R550" i="10"/>
  <c r="R551" i="10"/>
  <c r="R552" i="10"/>
  <c r="R553" i="10"/>
  <c r="R554" i="10"/>
  <c r="R555" i="10"/>
  <c r="R556" i="10"/>
  <c r="R557" i="10"/>
  <c r="R558" i="10"/>
  <c r="R559" i="10"/>
  <c r="R560" i="10"/>
  <c r="R561" i="10"/>
  <c r="R562" i="10"/>
  <c r="R563" i="10"/>
  <c r="R564" i="10"/>
  <c r="R565" i="10"/>
  <c r="R566" i="10"/>
  <c r="R567" i="10"/>
  <c r="R568" i="10"/>
  <c r="R569" i="10"/>
  <c r="R570" i="10"/>
  <c r="R571" i="10"/>
  <c r="R572" i="10"/>
  <c r="R573" i="10"/>
  <c r="R574" i="10"/>
  <c r="R575" i="10"/>
  <c r="R576" i="10"/>
  <c r="R577" i="10"/>
  <c r="R578" i="10"/>
  <c r="R579" i="10"/>
  <c r="R580" i="10"/>
  <c r="R581" i="10"/>
  <c r="R582" i="10"/>
  <c r="R583" i="10"/>
  <c r="Z2" i="10"/>
  <c r="AJ2" i="10" s="1"/>
  <c r="AQ2" i="10" s="1"/>
  <c r="Z3" i="10"/>
  <c r="AJ3" i="10" s="1"/>
  <c r="AQ3" i="10" s="1"/>
  <c r="Z4" i="10"/>
  <c r="AJ4" i="10" s="1"/>
  <c r="Z5" i="10"/>
  <c r="AJ5" i="10" s="1"/>
  <c r="AQ5" i="10" s="1"/>
  <c r="Z6" i="10"/>
  <c r="AJ6" i="10" s="1"/>
  <c r="Z7" i="10"/>
  <c r="AJ7" i="10" s="1"/>
  <c r="Z8" i="10"/>
  <c r="AJ8" i="10" s="1"/>
  <c r="AQ8" i="10" s="1"/>
  <c r="Z9" i="10"/>
  <c r="AJ9" i="10" s="1"/>
  <c r="AQ9" i="10" s="1"/>
  <c r="Z10" i="10"/>
  <c r="AJ10" i="10" s="1"/>
  <c r="Z11" i="10"/>
  <c r="AJ11" i="10" s="1"/>
  <c r="AQ11" i="10" s="1"/>
  <c r="Z12" i="10"/>
  <c r="AJ12" i="10" s="1"/>
  <c r="Z13" i="10"/>
  <c r="AJ13" i="10" s="1"/>
  <c r="Z14" i="10"/>
  <c r="AJ14" i="10" s="1"/>
  <c r="AQ14" i="10" s="1"/>
  <c r="Z15" i="10"/>
  <c r="AJ15" i="10" s="1"/>
  <c r="AQ15" i="10" s="1"/>
  <c r="Z16" i="10"/>
  <c r="AJ16" i="10" s="1"/>
  <c r="Z17" i="10"/>
  <c r="AJ17" i="10" s="1"/>
  <c r="AQ17" i="10" s="1"/>
  <c r="Z18" i="10"/>
  <c r="AJ18" i="10" s="1"/>
  <c r="Z19" i="10"/>
  <c r="AJ19" i="10" s="1"/>
  <c r="Z20" i="10"/>
  <c r="AJ20" i="10" s="1"/>
  <c r="AQ20" i="10" s="1"/>
  <c r="Z21" i="10"/>
  <c r="AJ21" i="10" s="1"/>
  <c r="AQ21" i="10" s="1"/>
  <c r="Z22" i="10"/>
  <c r="AJ22" i="10" s="1"/>
  <c r="Z23" i="10"/>
  <c r="AJ23" i="10" s="1"/>
  <c r="AQ23" i="10" s="1"/>
  <c r="Z24" i="10"/>
  <c r="AJ24" i="10" s="1"/>
  <c r="Z25" i="10"/>
  <c r="AJ25" i="10" s="1"/>
  <c r="Z26" i="10"/>
  <c r="AJ26" i="10" s="1"/>
  <c r="AQ26" i="10" s="1"/>
  <c r="Z27" i="10"/>
  <c r="AJ27" i="10" s="1"/>
  <c r="AQ27" i="10" s="1"/>
  <c r="Z28" i="10"/>
  <c r="Z29" i="10"/>
  <c r="AJ29" i="10" s="1"/>
  <c r="AQ29" i="10" s="1"/>
  <c r="Z30" i="10"/>
  <c r="AJ30" i="10" s="1"/>
  <c r="Z31" i="10"/>
  <c r="Z32" i="10"/>
  <c r="AJ32" i="10" s="1"/>
  <c r="AQ32" i="10" s="1"/>
  <c r="Z33" i="10"/>
  <c r="AJ33" i="10" s="1"/>
  <c r="AQ33" i="10" s="1"/>
  <c r="Z34" i="10"/>
  <c r="AJ34" i="10" s="1"/>
  <c r="Z35" i="10"/>
  <c r="AJ35" i="10" s="1"/>
  <c r="AQ35" i="10" s="1"/>
  <c r="Z36" i="10"/>
  <c r="AJ36" i="10" s="1"/>
  <c r="Z37" i="10"/>
  <c r="AJ37" i="10" s="1"/>
  <c r="Z38" i="10"/>
  <c r="AJ38" i="10" s="1"/>
  <c r="AQ38" i="10" s="1"/>
  <c r="Z39" i="10"/>
  <c r="AJ39" i="10" s="1"/>
  <c r="AQ39" i="10" s="1"/>
  <c r="Z40" i="10"/>
  <c r="AJ40" i="10" s="1"/>
  <c r="Z41" i="10"/>
  <c r="AJ41" i="10" s="1"/>
  <c r="AQ41" i="10" s="1"/>
  <c r="Z42" i="10"/>
  <c r="AJ42" i="10" s="1"/>
  <c r="Z43" i="10"/>
  <c r="AJ43" i="10" s="1"/>
  <c r="Z44" i="10"/>
  <c r="AJ44" i="10" s="1"/>
  <c r="AQ44" i="10" s="1"/>
  <c r="Z45" i="10"/>
  <c r="AJ45" i="10" s="1"/>
  <c r="AQ45" i="10" s="1"/>
  <c r="Z46" i="10"/>
  <c r="AJ46" i="10" s="1"/>
  <c r="Z47" i="10"/>
  <c r="AJ47" i="10" s="1"/>
  <c r="AQ47" i="10" s="1"/>
  <c r="Z48" i="10"/>
  <c r="AJ48" i="10" s="1"/>
  <c r="Z49" i="10"/>
  <c r="AJ49" i="10" s="1"/>
  <c r="Z50" i="10"/>
  <c r="AJ50" i="10" s="1"/>
  <c r="AQ50" i="10" s="1"/>
  <c r="Z51" i="10"/>
  <c r="AJ51" i="10" s="1"/>
  <c r="AQ51" i="10" s="1"/>
  <c r="Z52" i="10"/>
  <c r="AJ52" i="10" s="1"/>
  <c r="Z53" i="10"/>
  <c r="AJ53" i="10" s="1"/>
  <c r="AQ53" i="10" s="1"/>
  <c r="Z54" i="10"/>
  <c r="AJ54" i="10" s="1"/>
  <c r="Z55" i="10"/>
  <c r="AJ55" i="10" s="1"/>
  <c r="Z56" i="10"/>
  <c r="AJ56" i="10" s="1"/>
  <c r="AQ56" i="10" s="1"/>
  <c r="Z57" i="10"/>
  <c r="AJ57" i="10" s="1"/>
  <c r="AQ57" i="10" s="1"/>
  <c r="Z58" i="10"/>
  <c r="AJ58" i="10" s="1"/>
  <c r="Z59" i="10"/>
  <c r="AJ59" i="10" s="1"/>
  <c r="AQ59" i="10" s="1"/>
  <c r="Z60" i="10"/>
  <c r="AJ60" i="10" s="1"/>
  <c r="Z61" i="10"/>
  <c r="AJ61" i="10" s="1"/>
  <c r="Z62" i="10"/>
  <c r="Z63" i="10"/>
  <c r="AJ63" i="10" s="1"/>
  <c r="AQ63" i="10" s="1"/>
  <c r="Z64" i="10"/>
  <c r="AJ64" i="10" s="1"/>
  <c r="Z65" i="10"/>
  <c r="AJ65" i="10" s="1"/>
  <c r="AQ65" i="10" s="1"/>
  <c r="Z66" i="10"/>
  <c r="AJ66" i="10" s="1"/>
  <c r="Z67" i="10"/>
  <c r="AJ67" i="10" s="1"/>
  <c r="Z68" i="10"/>
  <c r="AJ68" i="10" s="1"/>
  <c r="AQ68" i="10" s="1"/>
  <c r="Z69" i="10"/>
  <c r="AJ69" i="10" s="1"/>
  <c r="AQ69" i="10" s="1"/>
  <c r="Z70" i="10"/>
  <c r="AJ70" i="10" s="1"/>
  <c r="Z71" i="10"/>
  <c r="AJ71" i="10" s="1"/>
  <c r="AQ71" i="10" s="1"/>
  <c r="Z72" i="10"/>
  <c r="Z73" i="10"/>
  <c r="AJ73" i="10" s="1"/>
  <c r="Z74" i="10"/>
  <c r="AJ74" i="10" s="1"/>
  <c r="AQ74" i="10" s="1"/>
  <c r="Z75" i="10"/>
  <c r="AJ75" i="10" s="1"/>
  <c r="AQ75" i="10" s="1"/>
  <c r="Z76" i="10"/>
  <c r="AJ76" i="10" s="1"/>
  <c r="Z77" i="10"/>
  <c r="AJ77" i="10" s="1"/>
  <c r="AQ77" i="10" s="1"/>
  <c r="Z78" i="10"/>
  <c r="AJ78" i="10" s="1"/>
  <c r="Z79" i="10"/>
  <c r="AJ79" i="10" s="1"/>
  <c r="Z80" i="10"/>
  <c r="AJ80" i="10" s="1"/>
  <c r="AQ80" i="10" s="1"/>
  <c r="Z81" i="10"/>
  <c r="AJ81" i="10" s="1"/>
  <c r="AQ81" i="10" s="1"/>
  <c r="Z82" i="10"/>
  <c r="AJ82" i="10" s="1"/>
  <c r="Z83" i="10"/>
  <c r="AJ83" i="10" s="1"/>
  <c r="AQ83" i="10" s="1"/>
  <c r="Z84" i="10"/>
  <c r="AJ84" i="10" s="1"/>
  <c r="Z85" i="10"/>
  <c r="AJ85" i="10" s="1"/>
  <c r="Z86" i="10"/>
  <c r="AJ86" i="10" s="1"/>
  <c r="AQ86" i="10" s="1"/>
  <c r="Z87" i="10"/>
  <c r="AJ87" i="10" s="1"/>
  <c r="AQ87" i="10" s="1"/>
  <c r="Z88" i="10"/>
  <c r="AJ88" i="10" s="1"/>
  <c r="Z89" i="10"/>
  <c r="AJ89" i="10" s="1"/>
  <c r="AQ89" i="10" s="1"/>
  <c r="Z90" i="10"/>
  <c r="AJ90" i="10" s="1"/>
  <c r="Z91" i="10"/>
  <c r="AJ91" i="10" s="1"/>
  <c r="Z92" i="10"/>
  <c r="AJ92" i="10" s="1"/>
  <c r="AQ92" i="10" s="1"/>
  <c r="Z93" i="10"/>
  <c r="AJ93" i="10" s="1"/>
  <c r="AQ93" i="10" s="1"/>
  <c r="Z94" i="10"/>
  <c r="AJ94" i="10" s="1"/>
  <c r="Z95" i="10"/>
  <c r="AJ95" i="10" s="1"/>
  <c r="AQ95" i="10" s="1"/>
  <c r="Z96" i="10"/>
  <c r="AJ96" i="10" s="1"/>
  <c r="Z97" i="10"/>
  <c r="AJ97" i="10" s="1"/>
  <c r="Z98" i="10"/>
  <c r="AJ98" i="10" s="1"/>
  <c r="AQ98" i="10" s="1"/>
  <c r="Z99" i="10"/>
  <c r="AJ99" i="10" s="1"/>
  <c r="AQ99" i="10" s="1"/>
  <c r="Z100" i="10"/>
  <c r="AJ100" i="10" s="1"/>
  <c r="Z101" i="10"/>
  <c r="AJ101" i="10" s="1"/>
  <c r="AQ101" i="10" s="1"/>
  <c r="Z102" i="10"/>
  <c r="AJ102" i="10" s="1"/>
  <c r="Z103" i="10"/>
  <c r="AJ103" i="10" s="1"/>
  <c r="Z104" i="10"/>
  <c r="AJ104" i="10" s="1"/>
  <c r="AQ104" i="10" s="1"/>
  <c r="Z105" i="10"/>
  <c r="AJ105" i="10" s="1"/>
  <c r="AQ105" i="10" s="1"/>
  <c r="Z106" i="10"/>
  <c r="AJ106" i="10" s="1"/>
  <c r="Z107" i="10"/>
  <c r="AJ107" i="10" s="1"/>
  <c r="AQ107" i="10" s="1"/>
  <c r="Z108" i="10"/>
  <c r="AJ108" i="10" s="1"/>
  <c r="Z109" i="10"/>
  <c r="AJ109" i="10" s="1"/>
  <c r="Z110" i="10"/>
  <c r="AJ110" i="10" s="1"/>
  <c r="AQ110" i="10" s="1"/>
  <c r="Z111" i="10"/>
  <c r="AJ111" i="10" s="1"/>
  <c r="AQ111" i="10" s="1"/>
  <c r="Z112" i="10"/>
  <c r="AJ112" i="10" s="1"/>
  <c r="Z113" i="10"/>
  <c r="AJ113" i="10" s="1"/>
  <c r="AQ113" i="10" s="1"/>
  <c r="Z114" i="10"/>
  <c r="AJ114" i="10" s="1"/>
  <c r="Z115" i="10"/>
  <c r="AJ115" i="10" s="1"/>
  <c r="Z116" i="10"/>
  <c r="AJ116" i="10" s="1"/>
  <c r="AQ116" i="10" s="1"/>
  <c r="Z117" i="10"/>
  <c r="AJ117" i="10" s="1"/>
  <c r="AQ117" i="10" s="1"/>
  <c r="Z118" i="10"/>
  <c r="AJ118" i="10" s="1"/>
  <c r="Z119" i="10"/>
  <c r="AJ119" i="10" s="1"/>
  <c r="AQ119" i="10" s="1"/>
  <c r="Z120" i="10"/>
  <c r="AJ120" i="10" s="1"/>
  <c r="Z121" i="10"/>
  <c r="AJ121" i="10" s="1"/>
  <c r="Z122" i="10"/>
  <c r="AJ122" i="10" s="1"/>
  <c r="AQ122" i="10" s="1"/>
  <c r="Z123" i="10"/>
  <c r="AJ123" i="10" s="1"/>
  <c r="AQ123" i="10" s="1"/>
  <c r="Z124" i="10"/>
  <c r="AJ124" i="10" s="1"/>
  <c r="Z125" i="10"/>
  <c r="AJ125" i="10" s="1"/>
  <c r="AQ125" i="10" s="1"/>
  <c r="Z126" i="10"/>
  <c r="AJ126" i="10" s="1"/>
  <c r="Z127" i="10"/>
  <c r="AJ127" i="10" s="1"/>
  <c r="Z128" i="10"/>
  <c r="AJ128" i="10" s="1"/>
  <c r="AQ128" i="10" s="1"/>
  <c r="Z129" i="10"/>
  <c r="AJ129" i="10" s="1"/>
  <c r="AQ129" i="10" s="1"/>
  <c r="Z130" i="10"/>
  <c r="AJ130" i="10" s="1"/>
  <c r="Z131" i="10"/>
  <c r="AJ131" i="10" s="1"/>
  <c r="AQ131" i="10" s="1"/>
  <c r="Z132" i="10"/>
  <c r="AJ132" i="10" s="1"/>
  <c r="Z133" i="10"/>
  <c r="AJ133" i="10" s="1"/>
  <c r="Z134" i="10"/>
  <c r="AJ134" i="10" s="1"/>
  <c r="AQ134" i="10" s="1"/>
  <c r="Z135" i="10"/>
  <c r="AJ135" i="10" s="1"/>
  <c r="AQ135" i="10" s="1"/>
  <c r="Z136" i="10"/>
  <c r="AJ136" i="10" s="1"/>
  <c r="Z137" i="10"/>
  <c r="AJ137" i="10" s="1"/>
  <c r="AQ137" i="10" s="1"/>
  <c r="Z138" i="10"/>
  <c r="AJ138" i="10" s="1"/>
  <c r="Z139" i="10"/>
  <c r="AJ139" i="10" s="1"/>
  <c r="Z140" i="10"/>
  <c r="AJ140" i="10" s="1"/>
  <c r="AQ140" i="10" s="1"/>
  <c r="Z141" i="10"/>
  <c r="AJ141" i="10" s="1"/>
  <c r="AQ141" i="10" s="1"/>
  <c r="Z142" i="10"/>
  <c r="AJ142" i="10" s="1"/>
  <c r="Z143" i="10"/>
  <c r="AJ143" i="10" s="1"/>
  <c r="AQ143" i="10" s="1"/>
  <c r="Z144" i="10"/>
  <c r="AJ144" i="10" s="1"/>
  <c r="Z145" i="10"/>
  <c r="AJ145" i="10" s="1"/>
  <c r="Z146" i="10"/>
  <c r="AJ146" i="10" s="1"/>
  <c r="AQ146" i="10" s="1"/>
  <c r="Z147" i="10"/>
  <c r="Z148" i="10"/>
  <c r="AJ148" i="10" s="1"/>
  <c r="Z149" i="10"/>
  <c r="AJ149" i="10" s="1"/>
  <c r="AQ149" i="10" s="1"/>
  <c r="Z150" i="10"/>
  <c r="AJ150" i="10" s="1"/>
  <c r="Z151" i="10"/>
  <c r="AJ151" i="10" s="1"/>
  <c r="Z152" i="10"/>
  <c r="Z153" i="10"/>
  <c r="AJ153" i="10" s="1"/>
  <c r="AQ153" i="10" s="1"/>
  <c r="Z154" i="10"/>
  <c r="AJ154" i="10" s="1"/>
  <c r="Z155" i="10"/>
  <c r="AJ155" i="10" s="1"/>
  <c r="AQ155" i="10" s="1"/>
  <c r="Z156" i="10"/>
  <c r="AJ156" i="10" s="1"/>
  <c r="Z157" i="10"/>
  <c r="AJ157" i="10" s="1"/>
  <c r="Z158" i="10"/>
  <c r="AJ158" i="10" s="1"/>
  <c r="AQ158" i="10" s="1"/>
  <c r="Z159" i="10"/>
  <c r="AJ159" i="10" s="1"/>
  <c r="AQ159" i="10" s="1"/>
  <c r="Z160" i="10"/>
  <c r="AJ160" i="10" s="1"/>
  <c r="Z161" i="10"/>
  <c r="AJ161" i="10" s="1"/>
  <c r="AQ161" i="10" s="1"/>
  <c r="Z162" i="10"/>
  <c r="AJ162" i="10" s="1"/>
  <c r="Z163" i="10"/>
  <c r="AJ163" i="10" s="1"/>
  <c r="Z164" i="10"/>
  <c r="AJ164" i="10" s="1"/>
  <c r="AQ164" i="10" s="1"/>
  <c r="Z165" i="10"/>
  <c r="AJ165" i="10" s="1"/>
  <c r="AQ165" i="10" s="1"/>
  <c r="Z166" i="10"/>
  <c r="AJ166" i="10" s="1"/>
  <c r="Z167" i="10"/>
  <c r="AJ167" i="10" s="1"/>
  <c r="AQ167" i="10" s="1"/>
  <c r="Z168" i="10"/>
  <c r="AJ168" i="10" s="1"/>
  <c r="Z169" i="10"/>
  <c r="Z170" i="10"/>
  <c r="AJ170" i="10" s="1"/>
  <c r="AQ170" i="10" s="1"/>
  <c r="Z171" i="10"/>
  <c r="AJ171" i="10" s="1"/>
  <c r="AQ171" i="10" s="1"/>
  <c r="Z172" i="10"/>
  <c r="AJ172" i="10" s="1"/>
  <c r="Z173" i="10"/>
  <c r="AJ173" i="10" s="1"/>
  <c r="AQ173" i="10" s="1"/>
  <c r="Z174" i="10"/>
  <c r="AJ174" i="10" s="1"/>
  <c r="Z175" i="10"/>
  <c r="AJ175" i="10" s="1"/>
  <c r="Z176" i="10"/>
  <c r="AJ176" i="10" s="1"/>
  <c r="AQ176" i="10" s="1"/>
  <c r="Z177" i="10"/>
  <c r="AJ177" i="10" s="1"/>
  <c r="AQ177" i="10" s="1"/>
  <c r="Z178" i="10"/>
  <c r="AJ178" i="10" s="1"/>
  <c r="Z179" i="10"/>
  <c r="AJ179" i="10" s="1"/>
  <c r="AQ179" i="10" s="1"/>
  <c r="Z180" i="10"/>
  <c r="AJ180" i="10" s="1"/>
  <c r="Z181" i="10"/>
  <c r="AJ181" i="10" s="1"/>
  <c r="Z182" i="10"/>
  <c r="AJ182" i="10" s="1"/>
  <c r="AQ182" i="10" s="1"/>
  <c r="Z183" i="10"/>
  <c r="AJ183" i="10" s="1"/>
  <c r="AQ183" i="10" s="1"/>
  <c r="Z184" i="10"/>
  <c r="AJ184" i="10" s="1"/>
  <c r="Z185" i="10"/>
  <c r="AJ185" i="10" s="1"/>
  <c r="AQ185" i="10" s="1"/>
  <c r="Z186" i="10"/>
  <c r="AJ186" i="10" s="1"/>
  <c r="Z187" i="10"/>
  <c r="AJ187" i="10" s="1"/>
  <c r="Z188" i="10"/>
  <c r="AJ188" i="10" s="1"/>
  <c r="AQ188" i="10" s="1"/>
  <c r="Z189" i="10"/>
  <c r="AJ189" i="10" s="1"/>
  <c r="AQ189" i="10" s="1"/>
  <c r="Z190" i="10"/>
  <c r="AJ190" i="10" s="1"/>
  <c r="Z191" i="10"/>
  <c r="AJ191" i="10" s="1"/>
  <c r="AQ191" i="10" s="1"/>
  <c r="Z192" i="10"/>
  <c r="AJ192" i="10" s="1"/>
  <c r="Z193" i="10"/>
  <c r="AJ193" i="10" s="1"/>
  <c r="Z194" i="10"/>
  <c r="AJ194" i="10" s="1"/>
  <c r="AQ194" i="10" s="1"/>
  <c r="Z195" i="10"/>
  <c r="Z196" i="10"/>
  <c r="AJ196" i="10" s="1"/>
  <c r="Z197" i="10"/>
  <c r="AJ197" i="10" s="1"/>
  <c r="AQ197" i="10" s="1"/>
  <c r="Z198" i="10"/>
  <c r="AJ198" i="10" s="1"/>
  <c r="Z199" i="10"/>
  <c r="AJ199" i="10" s="1"/>
  <c r="Z200" i="10"/>
  <c r="AJ200" i="10" s="1"/>
  <c r="AQ200" i="10" s="1"/>
  <c r="Z201" i="10"/>
  <c r="AJ201" i="10" s="1"/>
  <c r="AQ201" i="10" s="1"/>
  <c r="Z202" i="10"/>
  <c r="AJ202" i="10" s="1"/>
  <c r="Z203" i="10"/>
  <c r="AJ203" i="10" s="1"/>
  <c r="AQ203" i="10" s="1"/>
  <c r="Z204" i="10"/>
  <c r="AJ204" i="10" s="1"/>
  <c r="Z205" i="10"/>
  <c r="AJ205" i="10" s="1"/>
  <c r="Z206" i="10"/>
  <c r="AJ206" i="10" s="1"/>
  <c r="AQ206" i="10" s="1"/>
  <c r="Z207" i="10"/>
  <c r="AJ207" i="10" s="1"/>
  <c r="AQ207" i="10" s="1"/>
  <c r="Z208" i="10"/>
  <c r="AJ208" i="10" s="1"/>
  <c r="Z209" i="10"/>
  <c r="AJ209" i="10" s="1"/>
  <c r="AQ209" i="10" s="1"/>
  <c r="Z210" i="10"/>
  <c r="AJ210" i="10" s="1"/>
  <c r="Z211" i="10"/>
  <c r="AJ211" i="10" s="1"/>
  <c r="Z212" i="10"/>
  <c r="AJ212" i="10" s="1"/>
  <c r="AQ212" i="10" s="1"/>
  <c r="Z213" i="10"/>
  <c r="AJ213" i="10" s="1"/>
  <c r="AQ213" i="10" s="1"/>
  <c r="Z214" i="10"/>
  <c r="AJ214" i="10" s="1"/>
  <c r="Z215" i="10"/>
  <c r="AJ215" i="10" s="1"/>
  <c r="AQ215" i="10" s="1"/>
  <c r="Z216" i="10"/>
  <c r="AJ216" i="10" s="1"/>
  <c r="Z217" i="10"/>
  <c r="AJ217" i="10" s="1"/>
  <c r="Z218" i="10"/>
  <c r="AJ218" i="10" s="1"/>
  <c r="AQ218" i="10" s="1"/>
  <c r="Z219" i="10"/>
  <c r="AJ219" i="10" s="1"/>
  <c r="AQ219" i="10" s="1"/>
  <c r="Z220" i="10"/>
  <c r="AJ220" i="10" s="1"/>
  <c r="Z221" i="10"/>
  <c r="AJ221" i="10" s="1"/>
  <c r="AQ221" i="10" s="1"/>
  <c r="Z222" i="10"/>
  <c r="AJ222" i="10" s="1"/>
  <c r="Z223" i="10"/>
  <c r="AJ223" i="10" s="1"/>
  <c r="Z224" i="10"/>
  <c r="AJ224" i="10" s="1"/>
  <c r="AQ224" i="10" s="1"/>
  <c r="Z225" i="10"/>
  <c r="AJ225" i="10" s="1"/>
  <c r="AQ225" i="10" s="1"/>
  <c r="Z226" i="10"/>
  <c r="AJ226" i="10" s="1"/>
  <c r="Z227" i="10"/>
  <c r="AJ227" i="10" s="1"/>
  <c r="AQ227" i="10" s="1"/>
  <c r="Z228" i="10"/>
  <c r="AJ228" i="10" s="1"/>
  <c r="Z229" i="10"/>
  <c r="AJ229" i="10" s="1"/>
  <c r="Z230" i="10"/>
  <c r="AJ230" i="10" s="1"/>
  <c r="AQ230" i="10" s="1"/>
  <c r="Z231" i="10"/>
  <c r="AJ231" i="10" s="1"/>
  <c r="AQ231" i="10" s="1"/>
  <c r="Z232" i="10"/>
  <c r="AJ232" i="10" s="1"/>
  <c r="Z233" i="10"/>
  <c r="AJ233" i="10" s="1"/>
  <c r="AQ233" i="10" s="1"/>
  <c r="Z234" i="10"/>
  <c r="AJ234" i="10" s="1"/>
  <c r="Z235" i="10"/>
  <c r="AJ235" i="10" s="1"/>
  <c r="Z236" i="10"/>
  <c r="AJ236" i="10" s="1"/>
  <c r="AQ236" i="10" s="1"/>
  <c r="Z237" i="10"/>
  <c r="AJ237" i="10" s="1"/>
  <c r="AQ237" i="10" s="1"/>
  <c r="Z238" i="10"/>
  <c r="AJ238" i="10" s="1"/>
  <c r="Z239" i="10"/>
  <c r="AJ239" i="10" s="1"/>
  <c r="AQ239" i="10" s="1"/>
  <c r="Z240" i="10"/>
  <c r="AJ240" i="10" s="1"/>
  <c r="AQ240" i="10" s="1"/>
  <c r="Z241" i="10"/>
  <c r="AJ241" i="10" s="1"/>
  <c r="Z242" i="10"/>
  <c r="AJ242" i="10" s="1"/>
  <c r="AQ242" i="10" s="1"/>
  <c r="Z243" i="10"/>
  <c r="AJ243" i="10" s="1"/>
  <c r="AQ243" i="10" s="1"/>
  <c r="Z244" i="10"/>
  <c r="AJ244" i="10" s="1"/>
  <c r="Z245" i="10"/>
  <c r="AJ245" i="10" s="1"/>
  <c r="AQ245" i="10" s="1"/>
  <c r="Z246" i="10"/>
  <c r="AJ246" i="10" s="1"/>
  <c r="AQ246" i="10" s="1"/>
  <c r="Z247" i="10"/>
  <c r="AJ247" i="10" s="1"/>
  <c r="Z248" i="10"/>
  <c r="AJ248" i="10" s="1"/>
  <c r="AQ248" i="10" s="1"/>
  <c r="Z249" i="10"/>
  <c r="AJ249" i="10" s="1"/>
  <c r="AQ249" i="10" s="1"/>
  <c r="Z250" i="10"/>
  <c r="AJ250" i="10" s="1"/>
  <c r="Z251" i="10"/>
  <c r="AJ251" i="10" s="1"/>
  <c r="AQ251" i="10" s="1"/>
  <c r="Z252" i="10"/>
  <c r="AJ252" i="10" s="1"/>
  <c r="AQ252" i="10" s="1"/>
  <c r="Z253" i="10"/>
  <c r="AJ253" i="10" s="1"/>
  <c r="Z254" i="10"/>
  <c r="AJ254" i="10" s="1"/>
  <c r="AQ254" i="10" s="1"/>
  <c r="Z255" i="10"/>
  <c r="AJ255" i="10" s="1"/>
  <c r="AQ255" i="10" s="1"/>
  <c r="Z256" i="10"/>
  <c r="AJ256" i="10" s="1"/>
  <c r="Z257" i="10"/>
  <c r="AJ257" i="10" s="1"/>
  <c r="AQ257" i="10" s="1"/>
  <c r="Z258" i="10"/>
  <c r="AJ258" i="10" s="1"/>
  <c r="AQ258" i="10" s="1"/>
  <c r="Z259" i="10"/>
  <c r="AJ259" i="10" s="1"/>
  <c r="Z260" i="10"/>
  <c r="AJ260" i="10" s="1"/>
  <c r="AQ260" i="10" s="1"/>
  <c r="Z261" i="10"/>
  <c r="AJ261" i="10" s="1"/>
  <c r="AQ261" i="10" s="1"/>
  <c r="Z262" i="10"/>
  <c r="AJ262" i="10" s="1"/>
  <c r="Z263" i="10"/>
  <c r="AJ263" i="10" s="1"/>
  <c r="AQ263" i="10" s="1"/>
  <c r="Z264" i="10"/>
  <c r="AJ264" i="10" s="1"/>
  <c r="AQ264" i="10" s="1"/>
  <c r="Z265" i="10"/>
  <c r="AJ265" i="10" s="1"/>
  <c r="Z266" i="10"/>
  <c r="AJ266" i="10" s="1"/>
  <c r="AQ266" i="10" s="1"/>
  <c r="Z267" i="10"/>
  <c r="AJ267" i="10" s="1"/>
  <c r="AQ267" i="10" s="1"/>
  <c r="Z268" i="10"/>
  <c r="AJ268" i="10" s="1"/>
  <c r="Z269" i="10"/>
  <c r="AJ269" i="10" s="1"/>
  <c r="AQ269" i="10" s="1"/>
  <c r="Z270" i="10"/>
  <c r="AJ270" i="10" s="1"/>
  <c r="AQ270" i="10" s="1"/>
  <c r="Z271" i="10"/>
  <c r="Z272" i="10"/>
  <c r="AJ272" i="10" s="1"/>
  <c r="AQ272" i="10" s="1"/>
  <c r="Z273" i="10"/>
  <c r="AJ273" i="10" s="1"/>
  <c r="AQ273" i="10" s="1"/>
  <c r="Z274" i="10"/>
  <c r="Z275" i="10"/>
  <c r="AJ275" i="10" s="1"/>
  <c r="AQ275" i="10" s="1"/>
  <c r="Z276" i="10"/>
  <c r="AJ276" i="10" s="1"/>
  <c r="AQ276" i="10" s="1"/>
  <c r="Z277" i="10"/>
  <c r="AJ277" i="10" s="1"/>
  <c r="Z278" i="10"/>
  <c r="AJ278" i="10" s="1"/>
  <c r="AQ278" i="10" s="1"/>
  <c r="Z279" i="10"/>
  <c r="AJ279" i="10" s="1"/>
  <c r="AQ279" i="10" s="1"/>
  <c r="Z280" i="10"/>
  <c r="AJ280" i="10" s="1"/>
  <c r="Z281" i="10"/>
  <c r="AJ281" i="10" s="1"/>
  <c r="AQ281" i="10" s="1"/>
  <c r="Z282" i="10"/>
  <c r="AJ282" i="10" s="1"/>
  <c r="AQ282" i="10" s="1"/>
  <c r="Z283" i="10"/>
  <c r="AJ283" i="10" s="1"/>
  <c r="Z284" i="10"/>
  <c r="AJ284" i="10" s="1"/>
  <c r="AQ284" i="10" s="1"/>
  <c r="Z285" i="10"/>
  <c r="AJ285" i="10" s="1"/>
  <c r="AQ285" i="10" s="1"/>
  <c r="Z286" i="10"/>
  <c r="AJ286" i="10" s="1"/>
  <c r="Z287" i="10"/>
  <c r="AJ287" i="10" s="1"/>
  <c r="AQ287" i="10" s="1"/>
  <c r="Z288" i="10"/>
  <c r="AJ288" i="10" s="1"/>
  <c r="AQ288" i="10" s="1"/>
  <c r="Z289" i="10"/>
  <c r="AJ289" i="10" s="1"/>
  <c r="Z290" i="10"/>
  <c r="AJ290" i="10" s="1"/>
  <c r="AQ290" i="10" s="1"/>
  <c r="Z291" i="10"/>
  <c r="AJ291" i="10" s="1"/>
  <c r="AQ291" i="10" s="1"/>
  <c r="Z292" i="10"/>
  <c r="AJ292" i="10" s="1"/>
  <c r="Z293" i="10"/>
  <c r="AJ293" i="10" s="1"/>
  <c r="AQ293" i="10" s="1"/>
  <c r="Z294" i="10"/>
  <c r="AJ294" i="10" s="1"/>
  <c r="AQ294" i="10" s="1"/>
  <c r="Z295" i="10"/>
  <c r="AJ295" i="10" s="1"/>
  <c r="Z296" i="10"/>
  <c r="AJ296" i="10" s="1"/>
  <c r="AQ296" i="10" s="1"/>
  <c r="Z297" i="10"/>
  <c r="AJ297" i="10" s="1"/>
  <c r="AQ297" i="10" s="1"/>
  <c r="Z298" i="10"/>
  <c r="AJ298" i="10" s="1"/>
  <c r="Z299" i="10"/>
  <c r="AJ299" i="10" s="1"/>
  <c r="AQ299" i="10" s="1"/>
  <c r="Z300" i="10"/>
  <c r="AJ300" i="10" s="1"/>
  <c r="AQ300" i="10" s="1"/>
  <c r="Z301" i="10"/>
  <c r="AJ301" i="10" s="1"/>
  <c r="Z302" i="10"/>
  <c r="AJ302" i="10" s="1"/>
  <c r="AQ302" i="10" s="1"/>
  <c r="Z303" i="10"/>
  <c r="AJ303" i="10" s="1"/>
  <c r="AQ303" i="10" s="1"/>
  <c r="Z304" i="10"/>
  <c r="AJ304" i="10" s="1"/>
  <c r="Z305" i="10"/>
  <c r="AJ305" i="10" s="1"/>
  <c r="AQ305" i="10" s="1"/>
  <c r="Z306" i="10"/>
  <c r="AJ306" i="10" s="1"/>
  <c r="AQ306" i="10" s="1"/>
  <c r="Z307" i="10"/>
  <c r="AJ307" i="10" s="1"/>
  <c r="Z308" i="10"/>
  <c r="Z309" i="10"/>
  <c r="AJ309" i="10" s="1"/>
  <c r="AQ309" i="10" s="1"/>
  <c r="Z310" i="10"/>
  <c r="AJ310" i="10" s="1"/>
  <c r="Z311" i="10"/>
  <c r="AJ311" i="10" s="1"/>
  <c r="AQ311" i="10" s="1"/>
  <c r="Z312" i="10"/>
  <c r="AJ312" i="10" s="1"/>
  <c r="AQ312" i="10" s="1"/>
  <c r="Z313" i="10"/>
  <c r="AJ313" i="10" s="1"/>
  <c r="Z314" i="10"/>
  <c r="Z315" i="10"/>
  <c r="AJ315" i="10" s="1"/>
  <c r="AQ315" i="10" s="1"/>
  <c r="Z316" i="10"/>
  <c r="AJ316" i="10" s="1"/>
  <c r="Z317" i="10"/>
  <c r="AJ317" i="10" s="1"/>
  <c r="AQ317" i="10" s="1"/>
  <c r="Z318" i="10"/>
  <c r="AJ318" i="10" s="1"/>
  <c r="AQ318" i="10" s="1"/>
  <c r="Z319" i="10"/>
  <c r="AJ319" i="10" s="1"/>
  <c r="Z320" i="10"/>
  <c r="AJ320" i="10" s="1"/>
  <c r="AQ320" i="10" s="1"/>
  <c r="Z321" i="10"/>
  <c r="AJ321" i="10" s="1"/>
  <c r="AQ321" i="10" s="1"/>
  <c r="Z322" i="10"/>
  <c r="AJ322" i="10" s="1"/>
  <c r="Z323" i="10"/>
  <c r="AJ323" i="10" s="1"/>
  <c r="AQ323" i="10" s="1"/>
  <c r="Z324" i="10"/>
  <c r="AJ324" i="10" s="1"/>
  <c r="AQ324" i="10" s="1"/>
  <c r="Z325" i="10"/>
  <c r="Z326" i="10"/>
  <c r="AJ326" i="10" s="1"/>
  <c r="AQ326" i="10" s="1"/>
  <c r="Z327" i="10"/>
  <c r="AJ327" i="10" s="1"/>
  <c r="AQ327" i="10" s="1"/>
  <c r="Z328" i="10"/>
  <c r="AJ328" i="10" s="1"/>
  <c r="Z329" i="10"/>
  <c r="AJ329" i="10" s="1"/>
  <c r="AQ329" i="10" s="1"/>
  <c r="Z330" i="10"/>
  <c r="AJ330" i="10" s="1"/>
  <c r="AQ330" i="10" s="1"/>
  <c r="Z331" i="10"/>
  <c r="AJ331" i="10" s="1"/>
  <c r="Z332" i="10"/>
  <c r="AJ332" i="10" s="1"/>
  <c r="AQ332" i="10" s="1"/>
  <c r="Z333" i="10"/>
  <c r="AJ333" i="10" s="1"/>
  <c r="AQ333" i="10" s="1"/>
  <c r="Z334" i="10"/>
  <c r="AJ334" i="10" s="1"/>
  <c r="Z335" i="10"/>
  <c r="AJ335" i="10" s="1"/>
  <c r="AQ335" i="10" s="1"/>
  <c r="Z336" i="10"/>
  <c r="AJ336" i="10" s="1"/>
  <c r="AQ336" i="10" s="1"/>
  <c r="Z337" i="10"/>
  <c r="AJ337" i="10" s="1"/>
  <c r="Z338" i="10"/>
  <c r="AJ338" i="10" s="1"/>
  <c r="AQ338" i="10" s="1"/>
  <c r="Z339" i="10"/>
  <c r="AJ339" i="10" s="1"/>
  <c r="AQ339" i="10" s="1"/>
  <c r="Z340" i="10"/>
  <c r="AJ340" i="10" s="1"/>
  <c r="Z341" i="10"/>
  <c r="AJ341" i="10" s="1"/>
  <c r="AQ341" i="10" s="1"/>
  <c r="Z342" i="10"/>
  <c r="AJ342" i="10" s="1"/>
  <c r="AQ342" i="10" s="1"/>
  <c r="Z343" i="10"/>
  <c r="AJ343" i="10" s="1"/>
  <c r="Z344" i="10"/>
  <c r="AJ344" i="10" s="1"/>
  <c r="AQ344" i="10" s="1"/>
  <c r="Z345" i="10"/>
  <c r="AJ345" i="10" s="1"/>
  <c r="AQ345" i="10" s="1"/>
  <c r="Z346" i="10"/>
  <c r="AJ346" i="10" s="1"/>
  <c r="Z347" i="10"/>
  <c r="AJ347" i="10" s="1"/>
  <c r="AQ347" i="10" s="1"/>
  <c r="Z348" i="10"/>
  <c r="AJ348" i="10" s="1"/>
  <c r="AQ348" i="10" s="1"/>
  <c r="Z349" i="10"/>
  <c r="AJ349" i="10" s="1"/>
  <c r="Z350" i="10"/>
  <c r="AJ350" i="10" s="1"/>
  <c r="AQ350" i="10" s="1"/>
  <c r="Z351" i="10"/>
  <c r="AJ351" i="10" s="1"/>
  <c r="AQ351" i="10" s="1"/>
  <c r="Z352" i="10"/>
  <c r="AJ352" i="10" s="1"/>
  <c r="Z353" i="10"/>
  <c r="AJ353" i="10" s="1"/>
  <c r="AQ353" i="10" s="1"/>
  <c r="Z354" i="10"/>
  <c r="AJ354" i="10" s="1"/>
  <c r="AQ354" i="10" s="1"/>
  <c r="Z355" i="10"/>
  <c r="AJ355" i="10" s="1"/>
  <c r="Z356" i="10"/>
  <c r="AJ356" i="10" s="1"/>
  <c r="AQ356" i="10" s="1"/>
  <c r="Z357" i="10"/>
  <c r="AJ357" i="10" s="1"/>
  <c r="AQ357" i="10" s="1"/>
  <c r="Z358" i="10"/>
  <c r="AJ358" i="10" s="1"/>
  <c r="Z359" i="10"/>
  <c r="AJ359" i="10" s="1"/>
  <c r="AQ359" i="10" s="1"/>
  <c r="Z360" i="10"/>
  <c r="AJ360" i="10" s="1"/>
  <c r="AQ360" i="10" s="1"/>
  <c r="Z361" i="10"/>
  <c r="AJ361" i="10" s="1"/>
  <c r="Z362" i="10"/>
  <c r="AJ362" i="10" s="1"/>
  <c r="AQ362" i="10" s="1"/>
  <c r="Z363" i="10"/>
  <c r="AJ363" i="10" s="1"/>
  <c r="AQ363" i="10" s="1"/>
  <c r="Z364" i="10"/>
  <c r="AJ364" i="10" s="1"/>
  <c r="Z365" i="10"/>
  <c r="AJ365" i="10" s="1"/>
  <c r="AQ365" i="10" s="1"/>
  <c r="Z366" i="10"/>
  <c r="AJ366" i="10" s="1"/>
  <c r="AQ366" i="10" s="1"/>
  <c r="Z367" i="10"/>
  <c r="AJ367" i="10" s="1"/>
  <c r="Z368" i="10"/>
  <c r="AJ368" i="10" s="1"/>
  <c r="AQ368" i="10" s="1"/>
  <c r="Z369" i="10"/>
  <c r="AJ369" i="10" s="1"/>
  <c r="AQ369" i="10" s="1"/>
  <c r="Z370" i="10"/>
  <c r="AJ370" i="10" s="1"/>
  <c r="Z371" i="10"/>
  <c r="AJ371" i="10" s="1"/>
  <c r="AQ371" i="10" s="1"/>
  <c r="Z372" i="10"/>
  <c r="AJ372" i="10" s="1"/>
  <c r="AQ372" i="10" s="1"/>
  <c r="Z373" i="10"/>
  <c r="AJ373" i="10" s="1"/>
  <c r="Z374" i="10"/>
  <c r="AJ374" i="10" s="1"/>
  <c r="AQ374" i="10" s="1"/>
  <c r="Z375" i="10"/>
  <c r="AJ375" i="10" s="1"/>
  <c r="AQ375" i="10" s="1"/>
  <c r="Z376" i="10"/>
  <c r="AJ376" i="10" s="1"/>
  <c r="Z377" i="10"/>
  <c r="AJ377" i="10" s="1"/>
  <c r="AQ377" i="10" s="1"/>
  <c r="Z378" i="10"/>
  <c r="AJ378" i="10" s="1"/>
  <c r="AQ378" i="10" s="1"/>
  <c r="Z379" i="10"/>
  <c r="AJ379" i="10" s="1"/>
  <c r="Z380" i="10"/>
  <c r="AJ380" i="10" s="1"/>
  <c r="AQ380" i="10" s="1"/>
  <c r="Z381" i="10"/>
  <c r="AJ381" i="10" s="1"/>
  <c r="AQ381" i="10" s="1"/>
  <c r="Z382" i="10"/>
  <c r="AJ382" i="10" s="1"/>
  <c r="Z383" i="10"/>
  <c r="AJ383" i="10" s="1"/>
  <c r="AQ383" i="10" s="1"/>
  <c r="Z384" i="10"/>
  <c r="AJ384" i="10" s="1"/>
  <c r="AQ384" i="10" s="1"/>
  <c r="Z385" i="10"/>
  <c r="AJ385" i="10" s="1"/>
  <c r="Z386" i="10"/>
  <c r="AJ386" i="10" s="1"/>
  <c r="AQ386" i="10" s="1"/>
  <c r="Z387" i="10"/>
  <c r="AJ387" i="10" s="1"/>
  <c r="AQ387" i="10" s="1"/>
  <c r="Z388" i="10"/>
  <c r="AJ388" i="10" s="1"/>
  <c r="Z389" i="10"/>
  <c r="AJ389" i="10" s="1"/>
  <c r="AQ389" i="10" s="1"/>
  <c r="Z390" i="10"/>
  <c r="AJ390" i="10" s="1"/>
  <c r="AQ390" i="10" s="1"/>
  <c r="Z391" i="10"/>
  <c r="AJ391" i="10" s="1"/>
  <c r="Z392" i="10"/>
  <c r="AJ392" i="10" s="1"/>
  <c r="AQ392" i="10" s="1"/>
  <c r="Z393" i="10"/>
  <c r="AJ393" i="10" s="1"/>
  <c r="AQ393" i="10" s="1"/>
  <c r="Z394" i="10"/>
  <c r="AJ394" i="10" s="1"/>
  <c r="Z395" i="10"/>
  <c r="AJ395" i="10" s="1"/>
  <c r="AQ395" i="10" s="1"/>
  <c r="Z396" i="10"/>
  <c r="AJ396" i="10" s="1"/>
  <c r="AQ396" i="10" s="1"/>
  <c r="Z397" i="10"/>
  <c r="AJ397" i="10" s="1"/>
  <c r="Z398" i="10"/>
  <c r="AJ398" i="10" s="1"/>
  <c r="AQ398" i="10" s="1"/>
  <c r="Z399" i="10"/>
  <c r="AJ399" i="10" s="1"/>
  <c r="AQ399" i="10" s="1"/>
  <c r="Z400" i="10"/>
  <c r="AJ400" i="10" s="1"/>
  <c r="Z401" i="10"/>
  <c r="AJ401" i="10" s="1"/>
  <c r="AQ401" i="10" s="1"/>
  <c r="Z402" i="10"/>
  <c r="AJ402" i="10" s="1"/>
  <c r="AQ402" i="10" s="1"/>
  <c r="Z403" i="10"/>
  <c r="AJ403" i="10" s="1"/>
  <c r="Z404" i="10"/>
  <c r="AJ404" i="10" s="1"/>
  <c r="AQ404" i="10" s="1"/>
  <c r="Z405" i="10"/>
  <c r="AJ405" i="10" s="1"/>
  <c r="AQ405" i="10" s="1"/>
  <c r="Z406" i="10"/>
  <c r="AJ406" i="10" s="1"/>
  <c r="Z407" i="10"/>
  <c r="AJ407" i="10" s="1"/>
  <c r="AQ407" i="10" s="1"/>
  <c r="Z408" i="10"/>
  <c r="AJ408" i="10" s="1"/>
  <c r="AQ408" i="10" s="1"/>
  <c r="Z409" i="10"/>
  <c r="AJ409" i="10" s="1"/>
  <c r="Z410" i="10"/>
  <c r="AJ410" i="10" s="1"/>
  <c r="AQ410" i="10" s="1"/>
  <c r="Z411" i="10"/>
  <c r="AJ411" i="10" s="1"/>
  <c r="AQ411" i="10" s="1"/>
  <c r="Z412" i="10"/>
  <c r="AJ412" i="10" s="1"/>
  <c r="Z413" i="10"/>
  <c r="AJ413" i="10" s="1"/>
  <c r="AQ413" i="10" s="1"/>
  <c r="Z414" i="10"/>
  <c r="AJ414" i="10" s="1"/>
  <c r="AQ414" i="10" s="1"/>
  <c r="Z415" i="10"/>
  <c r="Z416" i="10"/>
  <c r="AJ416" i="10" s="1"/>
  <c r="AQ416" i="10" s="1"/>
  <c r="Z417" i="10"/>
  <c r="AJ417" i="10" s="1"/>
  <c r="AQ417" i="10" s="1"/>
  <c r="Z418" i="10"/>
  <c r="AJ418" i="10" s="1"/>
  <c r="Z419" i="10"/>
  <c r="AJ419" i="10" s="1"/>
  <c r="AQ419" i="10" s="1"/>
  <c r="Z420" i="10"/>
  <c r="AJ420" i="10" s="1"/>
  <c r="AQ420" i="10" s="1"/>
  <c r="Z421" i="10"/>
  <c r="AJ421" i="10" s="1"/>
  <c r="Z422" i="10"/>
  <c r="AJ422" i="10" s="1"/>
  <c r="AQ422" i="10" s="1"/>
  <c r="Z423" i="10"/>
  <c r="AJ423" i="10" s="1"/>
  <c r="AQ423" i="10" s="1"/>
  <c r="Z424" i="10"/>
  <c r="AJ424" i="10" s="1"/>
  <c r="Z425" i="10"/>
  <c r="AJ425" i="10" s="1"/>
  <c r="AQ425" i="10" s="1"/>
  <c r="Z426" i="10"/>
  <c r="AJ426" i="10" s="1"/>
  <c r="AQ426" i="10" s="1"/>
  <c r="Z427" i="10"/>
  <c r="AJ427" i="10" s="1"/>
  <c r="Z428" i="10"/>
  <c r="AJ428" i="10" s="1"/>
  <c r="AQ428" i="10" s="1"/>
  <c r="Z429" i="10"/>
  <c r="AJ429" i="10" s="1"/>
  <c r="AQ429" i="10" s="1"/>
  <c r="Z430" i="10"/>
  <c r="AJ430" i="10" s="1"/>
  <c r="Z431" i="10"/>
  <c r="AJ431" i="10" s="1"/>
  <c r="AQ431" i="10" s="1"/>
  <c r="Z432" i="10"/>
  <c r="AJ432" i="10" s="1"/>
  <c r="AQ432" i="10" s="1"/>
  <c r="Z433" i="10"/>
  <c r="AJ433" i="10" s="1"/>
  <c r="Z434" i="10"/>
  <c r="AJ434" i="10" s="1"/>
  <c r="AQ434" i="10" s="1"/>
  <c r="Z435" i="10"/>
  <c r="AJ435" i="10" s="1"/>
  <c r="AQ435" i="10" s="1"/>
  <c r="Z436" i="10"/>
  <c r="AJ436" i="10" s="1"/>
  <c r="Z437" i="10"/>
  <c r="AJ437" i="10" s="1"/>
  <c r="AQ437" i="10" s="1"/>
  <c r="Z438" i="10"/>
  <c r="AJ438" i="10" s="1"/>
  <c r="AQ438" i="10" s="1"/>
  <c r="Z439" i="10"/>
  <c r="AJ439" i="10" s="1"/>
  <c r="Z440" i="10"/>
  <c r="AJ440" i="10" s="1"/>
  <c r="AQ440" i="10" s="1"/>
  <c r="Z441" i="10"/>
  <c r="AJ441" i="10" s="1"/>
  <c r="AQ441" i="10" s="1"/>
  <c r="Z442" i="10"/>
  <c r="AJ442" i="10" s="1"/>
  <c r="Z443" i="10"/>
  <c r="AJ443" i="10" s="1"/>
  <c r="AQ443" i="10" s="1"/>
  <c r="Z444" i="10"/>
  <c r="AJ444" i="10" s="1"/>
  <c r="AQ444" i="10" s="1"/>
  <c r="Z445" i="10"/>
  <c r="AJ445" i="10" s="1"/>
  <c r="Z446" i="10"/>
  <c r="AJ446" i="10" s="1"/>
  <c r="AQ446" i="10" s="1"/>
  <c r="Z447" i="10"/>
  <c r="AJ447" i="10" s="1"/>
  <c r="AQ447" i="10" s="1"/>
  <c r="Z448" i="10"/>
  <c r="AJ448" i="10" s="1"/>
  <c r="Z449" i="10"/>
  <c r="AJ449" i="10" s="1"/>
  <c r="AQ449" i="10" s="1"/>
  <c r="Z450" i="10"/>
  <c r="AJ450" i="10" s="1"/>
  <c r="AQ450" i="10" s="1"/>
  <c r="Z451" i="10"/>
  <c r="AJ451" i="10" s="1"/>
  <c r="Z452" i="10"/>
  <c r="AJ452" i="10" s="1"/>
  <c r="AQ452" i="10" s="1"/>
  <c r="Z453" i="10"/>
  <c r="AJ453" i="10" s="1"/>
  <c r="AQ453" i="10" s="1"/>
  <c r="Z454" i="10"/>
  <c r="Z455" i="10"/>
  <c r="AJ455" i="10" s="1"/>
  <c r="AQ455" i="10" s="1"/>
  <c r="Z456" i="10"/>
  <c r="AJ456" i="10" s="1"/>
  <c r="AQ456" i="10" s="1"/>
  <c r="Z457" i="10"/>
  <c r="AJ457" i="10" s="1"/>
  <c r="Z458" i="10"/>
  <c r="AJ458" i="10" s="1"/>
  <c r="AQ458" i="10" s="1"/>
  <c r="Z459" i="10"/>
  <c r="AJ459" i="10" s="1"/>
  <c r="AQ459" i="10" s="1"/>
  <c r="Z460" i="10"/>
  <c r="AJ460" i="10" s="1"/>
  <c r="Z461" i="10"/>
  <c r="AJ461" i="10" s="1"/>
  <c r="AQ461" i="10" s="1"/>
  <c r="Z462" i="10"/>
  <c r="AJ462" i="10" s="1"/>
  <c r="AQ462" i="10" s="1"/>
  <c r="Z463" i="10"/>
  <c r="AJ463" i="10" s="1"/>
  <c r="Z464" i="10"/>
  <c r="AJ464" i="10" s="1"/>
  <c r="AQ464" i="10" s="1"/>
  <c r="Z465" i="10"/>
  <c r="AJ465" i="10" s="1"/>
  <c r="AQ465" i="10" s="1"/>
  <c r="Z466" i="10"/>
  <c r="AJ466" i="10" s="1"/>
  <c r="Z467" i="10"/>
  <c r="AJ467" i="10" s="1"/>
  <c r="AQ467" i="10" s="1"/>
  <c r="Z468" i="10"/>
  <c r="AJ468" i="10" s="1"/>
  <c r="AQ468" i="10" s="1"/>
  <c r="Z469" i="10"/>
  <c r="AJ469" i="10" s="1"/>
  <c r="Z470" i="10"/>
  <c r="AJ470" i="10" s="1"/>
  <c r="AQ470" i="10" s="1"/>
  <c r="Z471" i="10"/>
  <c r="AJ471" i="10" s="1"/>
  <c r="AQ471" i="10" s="1"/>
  <c r="Z472" i="10"/>
  <c r="AJ472" i="10" s="1"/>
  <c r="Z473" i="10"/>
  <c r="AJ473" i="10" s="1"/>
  <c r="AQ473" i="10" s="1"/>
  <c r="Z474" i="10"/>
  <c r="AJ474" i="10" s="1"/>
  <c r="AQ474" i="10" s="1"/>
  <c r="Z475" i="10"/>
  <c r="AJ475" i="10" s="1"/>
  <c r="Z476" i="10"/>
  <c r="AJ476" i="10" s="1"/>
  <c r="AQ476" i="10" s="1"/>
  <c r="Z477" i="10"/>
  <c r="AJ477" i="10" s="1"/>
  <c r="AQ477" i="10" s="1"/>
  <c r="Z478" i="10"/>
  <c r="AJ478" i="10" s="1"/>
  <c r="Z479" i="10"/>
  <c r="AJ479" i="10" s="1"/>
  <c r="AQ479" i="10" s="1"/>
  <c r="Z480" i="10"/>
  <c r="AJ480" i="10" s="1"/>
  <c r="AQ480" i="10" s="1"/>
  <c r="Z481" i="10"/>
  <c r="AJ481" i="10" s="1"/>
  <c r="Z482" i="10"/>
  <c r="AJ482" i="10" s="1"/>
  <c r="AQ482" i="10" s="1"/>
  <c r="Z483" i="10"/>
  <c r="AJ483" i="10" s="1"/>
  <c r="AQ483" i="10" s="1"/>
  <c r="Z484" i="10"/>
  <c r="AJ484" i="10" s="1"/>
  <c r="Z485" i="10"/>
  <c r="AJ485" i="10" s="1"/>
  <c r="AQ485" i="10" s="1"/>
  <c r="Z486" i="10"/>
  <c r="AJ486" i="10" s="1"/>
  <c r="AQ486" i="10" s="1"/>
  <c r="Z487" i="10"/>
  <c r="AJ487" i="10" s="1"/>
  <c r="Z488" i="10"/>
  <c r="AJ488" i="10" s="1"/>
  <c r="AQ488" i="10" s="1"/>
  <c r="Z489" i="10"/>
  <c r="AJ489" i="10" s="1"/>
  <c r="AQ489" i="10" s="1"/>
  <c r="Z490" i="10"/>
  <c r="AJ490" i="10" s="1"/>
  <c r="Z491" i="10"/>
  <c r="AJ491" i="10" s="1"/>
  <c r="AQ491" i="10" s="1"/>
  <c r="Z492" i="10"/>
  <c r="AJ492" i="10" s="1"/>
  <c r="AQ492" i="10" s="1"/>
  <c r="Z493" i="10"/>
  <c r="AJ493" i="10" s="1"/>
  <c r="Z494" i="10"/>
  <c r="AJ494" i="10" s="1"/>
  <c r="AQ494" i="10" s="1"/>
  <c r="Z495" i="10"/>
  <c r="AJ495" i="10" s="1"/>
  <c r="AQ495" i="10" s="1"/>
  <c r="Z496" i="10"/>
  <c r="AJ496" i="10" s="1"/>
  <c r="Z497" i="10"/>
  <c r="AJ497" i="10" s="1"/>
  <c r="AQ497" i="10" s="1"/>
  <c r="Z498" i="10"/>
  <c r="AJ498" i="10" s="1"/>
  <c r="AQ498" i="10" s="1"/>
  <c r="Z499" i="10"/>
  <c r="AJ499" i="10" s="1"/>
  <c r="Z500" i="10"/>
  <c r="AJ500" i="10" s="1"/>
  <c r="AQ500" i="10" s="1"/>
  <c r="Z501" i="10"/>
  <c r="AJ501" i="10" s="1"/>
  <c r="AQ501" i="10" s="1"/>
  <c r="Z502" i="10"/>
  <c r="AJ502" i="10" s="1"/>
  <c r="Z503" i="10"/>
  <c r="AJ503" i="10" s="1"/>
  <c r="AQ503" i="10" s="1"/>
  <c r="Z504" i="10"/>
  <c r="AJ504" i="10" s="1"/>
  <c r="AQ504" i="10" s="1"/>
  <c r="Z505" i="10"/>
  <c r="AJ505" i="10" s="1"/>
  <c r="Z506" i="10"/>
  <c r="AJ506" i="10" s="1"/>
  <c r="AQ506" i="10" s="1"/>
  <c r="Z507" i="10"/>
  <c r="AJ507" i="10" s="1"/>
  <c r="AQ507" i="10" s="1"/>
  <c r="Z508" i="10"/>
  <c r="AJ508" i="10" s="1"/>
  <c r="Z509" i="10"/>
  <c r="AJ509" i="10" s="1"/>
  <c r="AQ509" i="10" s="1"/>
  <c r="Z510" i="10"/>
  <c r="AJ510" i="10" s="1"/>
  <c r="AQ510" i="10" s="1"/>
  <c r="Z511" i="10"/>
  <c r="AJ511" i="10" s="1"/>
  <c r="Z512" i="10"/>
  <c r="AJ512" i="10" s="1"/>
  <c r="AQ512" i="10" s="1"/>
  <c r="Z513" i="10"/>
  <c r="AJ513" i="10" s="1"/>
  <c r="AQ513" i="10" s="1"/>
  <c r="Z514" i="10"/>
  <c r="AJ514" i="10" s="1"/>
  <c r="Z515" i="10"/>
  <c r="AJ515" i="10" s="1"/>
  <c r="AQ515" i="10" s="1"/>
  <c r="Z516" i="10"/>
  <c r="AJ516" i="10" s="1"/>
  <c r="AQ516" i="10" s="1"/>
  <c r="Z517" i="10"/>
  <c r="AJ517" i="10" s="1"/>
  <c r="Z518" i="10"/>
  <c r="AJ518" i="10" s="1"/>
  <c r="AQ518" i="10" s="1"/>
  <c r="Z519" i="10"/>
  <c r="Z520" i="10"/>
  <c r="AJ520" i="10" s="1"/>
  <c r="Z521" i="10"/>
  <c r="AJ521" i="10" s="1"/>
  <c r="AQ521" i="10" s="1"/>
  <c r="Z522" i="10"/>
  <c r="AJ522" i="10" s="1"/>
  <c r="AQ522" i="10" s="1"/>
  <c r="Z523" i="10"/>
  <c r="AJ523" i="10" s="1"/>
  <c r="Z524" i="10"/>
  <c r="AJ524" i="10" s="1"/>
  <c r="AQ524" i="10" s="1"/>
  <c r="Z525" i="10"/>
  <c r="Z526" i="10"/>
  <c r="AJ526" i="10" s="1"/>
  <c r="AQ526" i="10" s="1"/>
  <c r="Z527" i="10"/>
  <c r="AJ527" i="10" s="1"/>
  <c r="AQ527" i="10" s="1"/>
  <c r="Z528" i="10"/>
  <c r="AJ528" i="10" s="1"/>
  <c r="AQ528" i="10" s="1"/>
  <c r="Z529" i="10"/>
  <c r="AJ529" i="10" s="1"/>
  <c r="Z530" i="10"/>
  <c r="AJ530" i="10" s="1"/>
  <c r="AQ530" i="10" s="1"/>
  <c r="Z531" i="10"/>
  <c r="AJ531" i="10" s="1"/>
  <c r="AQ531" i="10" s="1"/>
  <c r="Z532" i="10"/>
  <c r="AJ532" i="10" s="1"/>
  <c r="AQ532" i="10" s="1"/>
  <c r="Z533" i="10"/>
  <c r="AJ533" i="10" s="1"/>
  <c r="AQ533" i="10" s="1"/>
  <c r="Z534" i="10"/>
  <c r="AJ534" i="10" s="1"/>
  <c r="AQ534" i="10" s="1"/>
  <c r="Z535" i="10"/>
  <c r="AJ535" i="10" s="1"/>
  <c r="Z536" i="10"/>
  <c r="AJ536" i="10" s="1"/>
  <c r="AQ536" i="10" s="1"/>
  <c r="Z537" i="10"/>
  <c r="AJ537" i="10" s="1"/>
  <c r="AQ537" i="10" s="1"/>
  <c r="Z538" i="10"/>
  <c r="AJ538" i="10" s="1"/>
  <c r="AQ538" i="10" s="1"/>
  <c r="Z539" i="10"/>
  <c r="AJ539" i="10" s="1"/>
  <c r="AQ539" i="10" s="1"/>
  <c r="Z540" i="10"/>
  <c r="AJ540" i="10" s="1"/>
  <c r="AQ540" i="10" s="1"/>
  <c r="Z541" i="10"/>
  <c r="Z542" i="10"/>
  <c r="AJ542" i="10" s="1"/>
  <c r="AQ542" i="10" s="1"/>
  <c r="Z543" i="10"/>
  <c r="AJ543" i="10" s="1"/>
  <c r="AQ543" i="10" s="1"/>
  <c r="Z544" i="10"/>
  <c r="AJ544" i="10" s="1"/>
  <c r="AQ544" i="10" s="1"/>
  <c r="Z545" i="10"/>
  <c r="AJ545" i="10" s="1"/>
  <c r="AQ545" i="10" s="1"/>
  <c r="Z546" i="10"/>
  <c r="AJ546" i="10" s="1"/>
  <c r="AQ546" i="10" s="1"/>
  <c r="Z547" i="10"/>
  <c r="AJ547" i="10" s="1"/>
  <c r="Z548" i="10"/>
  <c r="AJ548" i="10" s="1"/>
  <c r="AQ548" i="10" s="1"/>
  <c r="Z549" i="10"/>
  <c r="AJ549" i="10" s="1"/>
  <c r="AQ549" i="10" s="1"/>
  <c r="Z550" i="10"/>
  <c r="AJ550" i="10" s="1"/>
  <c r="AQ550" i="10" s="1"/>
  <c r="Z551" i="10"/>
  <c r="AJ551" i="10" s="1"/>
  <c r="AQ551" i="10" s="1"/>
  <c r="Z552" i="10"/>
  <c r="Z553" i="10"/>
  <c r="AJ553" i="10" s="1"/>
  <c r="Z554" i="10"/>
  <c r="AJ554" i="10" s="1"/>
  <c r="AQ554" i="10" s="1"/>
  <c r="Z555" i="10"/>
  <c r="AJ555" i="10" s="1"/>
  <c r="AQ555" i="10" s="1"/>
  <c r="Z556" i="10"/>
  <c r="AJ556" i="10" s="1"/>
  <c r="AQ556" i="10" s="1"/>
  <c r="Z557" i="10"/>
  <c r="AJ557" i="10" s="1"/>
  <c r="AQ557" i="10" s="1"/>
  <c r="Z558" i="10"/>
  <c r="AJ558" i="10" s="1"/>
  <c r="AQ558" i="10" s="1"/>
  <c r="Z559" i="10"/>
  <c r="AJ559" i="10" s="1"/>
  <c r="Z560" i="10"/>
  <c r="AJ560" i="10" s="1"/>
  <c r="AQ560" i="10" s="1"/>
  <c r="Z561" i="10"/>
  <c r="AJ561" i="10" s="1"/>
  <c r="AQ561" i="10" s="1"/>
  <c r="Z562" i="10"/>
  <c r="AJ562" i="10" s="1"/>
  <c r="AQ562" i="10" s="1"/>
  <c r="Z563" i="10"/>
  <c r="AJ563" i="10" s="1"/>
  <c r="AQ563" i="10" s="1"/>
  <c r="Z564" i="10"/>
  <c r="AJ564" i="10" s="1"/>
  <c r="AQ564" i="10" s="1"/>
  <c r="Z565" i="10"/>
  <c r="AJ565" i="10" s="1"/>
  <c r="Z566" i="10"/>
  <c r="AJ566" i="10" s="1"/>
  <c r="AQ566" i="10" s="1"/>
  <c r="Z567" i="10"/>
  <c r="AJ567" i="10" s="1"/>
  <c r="AQ567" i="10" s="1"/>
  <c r="Z568" i="10"/>
  <c r="AJ568" i="10" s="1"/>
  <c r="AQ568" i="10" s="1"/>
  <c r="Z569" i="10"/>
  <c r="AJ569" i="10" s="1"/>
  <c r="AQ569" i="10" s="1"/>
  <c r="Z570" i="10"/>
  <c r="AJ570" i="10" s="1"/>
  <c r="AQ570" i="10" s="1"/>
  <c r="Z571" i="10"/>
  <c r="AJ571" i="10" s="1"/>
  <c r="Z572" i="10"/>
  <c r="AJ572" i="10" s="1"/>
  <c r="AQ572" i="10" s="1"/>
  <c r="Z573" i="10"/>
  <c r="AJ573" i="10" s="1"/>
  <c r="AQ573" i="10" s="1"/>
  <c r="Z574" i="10"/>
  <c r="AJ574" i="10" s="1"/>
  <c r="AQ574" i="10" s="1"/>
  <c r="Z575" i="10"/>
  <c r="AJ575" i="10" s="1"/>
  <c r="AQ575" i="10" s="1"/>
  <c r="Z576" i="10"/>
  <c r="AJ576" i="10" s="1"/>
  <c r="AQ576" i="10" s="1"/>
  <c r="Z577" i="10"/>
  <c r="AJ577" i="10" s="1"/>
  <c r="Z578" i="10"/>
  <c r="AJ578" i="10" s="1"/>
  <c r="AQ578" i="10" s="1"/>
  <c r="Z579" i="10"/>
  <c r="AJ579" i="10" s="1"/>
  <c r="AQ579" i="10" s="1"/>
  <c r="Z580" i="10"/>
  <c r="AJ580" i="10" s="1"/>
  <c r="AQ580" i="10" s="1"/>
  <c r="Z581" i="10"/>
  <c r="AJ581" i="10" s="1"/>
  <c r="AQ581" i="10" s="1"/>
  <c r="Z582" i="10"/>
  <c r="AJ582" i="10" s="1"/>
  <c r="AQ582" i="10" s="1"/>
  <c r="Z583" i="10"/>
  <c r="AJ583" i="10" s="1"/>
  <c r="BK3" i="10"/>
  <c r="BK4" i="10"/>
  <c r="BK5" i="10"/>
  <c r="BK6" i="10"/>
  <c r="BK7" i="10"/>
  <c r="BK8" i="10"/>
  <c r="BK9" i="10"/>
  <c r="BK10" i="10"/>
  <c r="BK11" i="10"/>
  <c r="BK12" i="10"/>
  <c r="BK13" i="10"/>
  <c r="BK14" i="10"/>
  <c r="BK15" i="10"/>
  <c r="BK16" i="10"/>
  <c r="BK17" i="10"/>
  <c r="BK18" i="10"/>
  <c r="BK19" i="10"/>
  <c r="BK20" i="10"/>
  <c r="BK21" i="10"/>
  <c r="BK22" i="10"/>
  <c r="BK23" i="10"/>
  <c r="BK24" i="10"/>
  <c r="BK25" i="10"/>
  <c r="BK26" i="10"/>
  <c r="BK27" i="10"/>
  <c r="BK28" i="10"/>
  <c r="BK29" i="10"/>
  <c r="BK30" i="10"/>
  <c r="BK31" i="10"/>
  <c r="BK32" i="10"/>
  <c r="BK33" i="10"/>
  <c r="BK34" i="10"/>
  <c r="BK35" i="10"/>
  <c r="BK36" i="10"/>
  <c r="BK37" i="10"/>
  <c r="BK38" i="10"/>
  <c r="BK39" i="10"/>
  <c r="BK40" i="10"/>
  <c r="BK41" i="10"/>
  <c r="BK42" i="10"/>
  <c r="BK43" i="10"/>
  <c r="BK44" i="10"/>
  <c r="BK45" i="10"/>
  <c r="BK46" i="10"/>
  <c r="BK47" i="10"/>
  <c r="BK48" i="10"/>
  <c r="BK49" i="10"/>
  <c r="BK50" i="10"/>
  <c r="BK51" i="10"/>
  <c r="BK52" i="10"/>
  <c r="BK53" i="10"/>
  <c r="BK54" i="10"/>
  <c r="BK55" i="10"/>
  <c r="BK56" i="10"/>
  <c r="BK57" i="10"/>
  <c r="BK58" i="10"/>
  <c r="BK59" i="10"/>
  <c r="BK60" i="10"/>
  <c r="BK61" i="10"/>
  <c r="BK62" i="10"/>
  <c r="BK63" i="10"/>
  <c r="BK64" i="10"/>
  <c r="BK65" i="10"/>
  <c r="BK66" i="10"/>
  <c r="BK67" i="10"/>
  <c r="BK68" i="10"/>
  <c r="BK69" i="10"/>
  <c r="BK70" i="10"/>
  <c r="BK71" i="10"/>
  <c r="BK72" i="10"/>
  <c r="BK73" i="10"/>
  <c r="BK74" i="10"/>
  <c r="BK75" i="10"/>
  <c r="BK76" i="10"/>
  <c r="BK77" i="10"/>
  <c r="BK78" i="10"/>
  <c r="BK79" i="10"/>
  <c r="BK80" i="10"/>
  <c r="BK81" i="10"/>
  <c r="BK82" i="10"/>
  <c r="BK83" i="10"/>
  <c r="BK84" i="10"/>
  <c r="BK85" i="10"/>
  <c r="BK86" i="10"/>
  <c r="BK87" i="10"/>
  <c r="BK88" i="10"/>
  <c r="BK89" i="10"/>
  <c r="BK90" i="10"/>
  <c r="BK91" i="10"/>
  <c r="BK92" i="10"/>
  <c r="BK93" i="10"/>
  <c r="BK94" i="10"/>
  <c r="BK95" i="10"/>
  <c r="BK96" i="10"/>
  <c r="BK97" i="10"/>
  <c r="BK98" i="10"/>
  <c r="BK99" i="10"/>
  <c r="BK100" i="10"/>
  <c r="BK101" i="10"/>
  <c r="BK102" i="10"/>
  <c r="BK103" i="10"/>
  <c r="BK104" i="10"/>
  <c r="BK105" i="10"/>
  <c r="BK106" i="10"/>
  <c r="BK107" i="10"/>
  <c r="BK108" i="10"/>
  <c r="BK109" i="10"/>
  <c r="BK110" i="10"/>
  <c r="BK111" i="10"/>
  <c r="BK112" i="10"/>
  <c r="BK113" i="10"/>
  <c r="BK114" i="10"/>
  <c r="BK115" i="10"/>
  <c r="BK116" i="10"/>
  <c r="BK117" i="10"/>
  <c r="BK118" i="10"/>
  <c r="BK119" i="10"/>
  <c r="BK120" i="10"/>
  <c r="BK121" i="10"/>
  <c r="BK122" i="10"/>
  <c r="BK123" i="10"/>
  <c r="BK124" i="10"/>
  <c r="BK125" i="10"/>
  <c r="BK126" i="10"/>
  <c r="BK127" i="10"/>
  <c r="BK128" i="10"/>
  <c r="BK129" i="10"/>
  <c r="BK130" i="10"/>
  <c r="BK131" i="10"/>
  <c r="BK132" i="10"/>
  <c r="BK133" i="10"/>
  <c r="BK134" i="10"/>
  <c r="BK135" i="10"/>
  <c r="BK136" i="10"/>
  <c r="BK137" i="10"/>
  <c r="BK138" i="10"/>
  <c r="BK139" i="10"/>
  <c r="BK140" i="10"/>
  <c r="BK141" i="10"/>
  <c r="BK142" i="10"/>
  <c r="BK143" i="10"/>
  <c r="BK144" i="10"/>
  <c r="BK145" i="10"/>
  <c r="BK146" i="10"/>
  <c r="BK147" i="10"/>
  <c r="BK148" i="10"/>
  <c r="BK149" i="10"/>
  <c r="BK150" i="10"/>
  <c r="BK151" i="10"/>
  <c r="BK152" i="10"/>
  <c r="BK153" i="10"/>
  <c r="BK154" i="10"/>
  <c r="BK155" i="10"/>
  <c r="BK156" i="10"/>
  <c r="BK157" i="10"/>
  <c r="BK158" i="10"/>
  <c r="BK159" i="10"/>
  <c r="BK160" i="10"/>
  <c r="BK161" i="10"/>
  <c r="BK162" i="10"/>
  <c r="BK163" i="10"/>
  <c r="BK164" i="10"/>
  <c r="BK165" i="10"/>
  <c r="BK166" i="10"/>
  <c r="BK167" i="10"/>
  <c r="BK168" i="10"/>
  <c r="BK169" i="10"/>
  <c r="BK170" i="10"/>
  <c r="BK171" i="10"/>
  <c r="BK172" i="10"/>
  <c r="BK173" i="10"/>
  <c r="BK174" i="10"/>
  <c r="BK175" i="10"/>
  <c r="BK176" i="10"/>
  <c r="BK177" i="10"/>
  <c r="BK178" i="10"/>
  <c r="BK179" i="10"/>
  <c r="BK180" i="10"/>
  <c r="BK181" i="10"/>
  <c r="BK182" i="10"/>
  <c r="BK183" i="10"/>
  <c r="BK184" i="10"/>
  <c r="BK185" i="10"/>
  <c r="BK186" i="10"/>
  <c r="BK187" i="10"/>
  <c r="BK188" i="10"/>
  <c r="BK189" i="10"/>
  <c r="BK190" i="10"/>
  <c r="BK191" i="10"/>
  <c r="BK192" i="10"/>
  <c r="BK193" i="10"/>
  <c r="BK194" i="10"/>
  <c r="BK195" i="10"/>
  <c r="BK196" i="10"/>
  <c r="BK197" i="10"/>
  <c r="BK198" i="10"/>
  <c r="BK199" i="10"/>
  <c r="BK200" i="10"/>
  <c r="BK201" i="10"/>
  <c r="BK202" i="10"/>
  <c r="BK203" i="10"/>
  <c r="BK204" i="10"/>
  <c r="BK205" i="10"/>
  <c r="BK206" i="10"/>
  <c r="BK207" i="10"/>
  <c r="BK208" i="10"/>
  <c r="BK209" i="10"/>
  <c r="BK210" i="10"/>
  <c r="BK211" i="10"/>
  <c r="BK212" i="10"/>
  <c r="BK213" i="10"/>
  <c r="BK214" i="10"/>
  <c r="BK215" i="10"/>
  <c r="BK216" i="10"/>
  <c r="BK217" i="10"/>
  <c r="BK218" i="10"/>
  <c r="BK219" i="10"/>
  <c r="BK220" i="10"/>
  <c r="BK221" i="10"/>
  <c r="BK222" i="10"/>
  <c r="BK223" i="10"/>
  <c r="BK224" i="10"/>
  <c r="BK225" i="10"/>
  <c r="BK226" i="10"/>
  <c r="BK227" i="10"/>
  <c r="BK228" i="10"/>
  <c r="BK229" i="10"/>
  <c r="BK230" i="10"/>
  <c r="BK231" i="10"/>
  <c r="BK232" i="10"/>
  <c r="BK233" i="10"/>
  <c r="BK234" i="10"/>
  <c r="BK235" i="10"/>
  <c r="BK236" i="10"/>
  <c r="BK237" i="10"/>
  <c r="BK238" i="10"/>
  <c r="BK239" i="10"/>
  <c r="BK240" i="10"/>
  <c r="BK241" i="10"/>
  <c r="BK242" i="10"/>
  <c r="BK243" i="10"/>
  <c r="BK244" i="10"/>
  <c r="BK245" i="10"/>
  <c r="BK246" i="10"/>
  <c r="BK247" i="10"/>
  <c r="BK248" i="10"/>
  <c r="BK249" i="10"/>
  <c r="BK250" i="10"/>
  <c r="BK251" i="10"/>
  <c r="BK252" i="10"/>
  <c r="BK253" i="10"/>
  <c r="BK254" i="10"/>
  <c r="BK255" i="10"/>
  <c r="BK256" i="10"/>
  <c r="BK257" i="10"/>
  <c r="BK258" i="10"/>
  <c r="BK259" i="10"/>
  <c r="BK260" i="10"/>
  <c r="BK261" i="10"/>
  <c r="BK262" i="10"/>
  <c r="BK263" i="10"/>
  <c r="BK264" i="10"/>
  <c r="BK265" i="10"/>
  <c r="BK266" i="10"/>
  <c r="BK267" i="10"/>
  <c r="BK268" i="10"/>
  <c r="BK269" i="10"/>
  <c r="BK270" i="10"/>
  <c r="BK271" i="10"/>
  <c r="BK272" i="10"/>
  <c r="BK273" i="10"/>
  <c r="BK274" i="10"/>
  <c r="BK275" i="10"/>
  <c r="BK276" i="10"/>
  <c r="BK277" i="10"/>
  <c r="BK278" i="10"/>
  <c r="BK279" i="10"/>
  <c r="BK280" i="10"/>
  <c r="BK281" i="10"/>
  <c r="BK282" i="10"/>
  <c r="BK283" i="10"/>
  <c r="BK284" i="10"/>
  <c r="BK285" i="10"/>
  <c r="BK286" i="10"/>
  <c r="BK287" i="10"/>
  <c r="BK288" i="10"/>
  <c r="BK289" i="10"/>
  <c r="BK290" i="10"/>
  <c r="BK291" i="10"/>
  <c r="BK292" i="10"/>
  <c r="BK293" i="10"/>
  <c r="BK294" i="10"/>
  <c r="BK295" i="10"/>
  <c r="BK296" i="10"/>
  <c r="BK297" i="10"/>
  <c r="BK298" i="10"/>
  <c r="BK299" i="10"/>
  <c r="BK300" i="10"/>
  <c r="BK301" i="10"/>
  <c r="BK302" i="10"/>
  <c r="BK303" i="10"/>
  <c r="BK304" i="10"/>
  <c r="BK305" i="10"/>
  <c r="BK306" i="10"/>
  <c r="BK307" i="10"/>
  <c r="BK308" i="10"/>
  <c r="BK309" i="10"/>
  <c r="BK310" i="10"/>
  <c r="BK311" i="10"/>
  <c r="BK312" i="10"/>
  <c r="BK313" i="10"/>
  <c r="BK314" i="10"/>
  <c r="BK315" i="10"/>
  <c r="BK316" i="10"/>
  <c r="BK317" i="10"/>
  <c r="BK318" i="10"/>
  <c r="BK319" i="10"/>
  <c r="BK320" i="10"/>
  <c r="BK321" i="10"/>
  <c r="BK322" i="10"/>
  <c r="BK323" i="10"/>
  <c r="BK324" i="10"/>
  <c r="BK325" i="10"/>
  <c r="BK326" i="10"/>
  <c r="BK327" i="10"/>
  <c r="BK328" i="10"/>
  <c r="BK329" i="10"/>
  <c r="BK330" i="10"/>
  <c r="BK331" i="10"/>
  <c r="BK332" i="10"/>
  <c r="BK333" i="10"/>
  <c r="BK334" i="10"/>
  <c r="BK335" i="10"/>
  <c r="BK336" i="10"/>
  <c r="BK337" i="10"/>
  <c r="BK338" i="10"/>
  <c r="BK339" i="10"/>
  <c r="BK340" i="10"/>
  <c r="BK341" i="10"/>
  <c r="BK342" i="10"/>
  <c r="BK343" i="10"/>
  <c r="BK344" i="10"/>
  <c r="BK345" i="10"/>
  <c r="BK346" i="10"/>
  <c r="BK347" i="10"/>
  <c r="BK348" i="10"/>
  <c r="BK349" i="10"/>
  <c r="BK350" i="10"/>
  <c r="BK351" i="10"/>
  <c r="BK352" i="10"/>
  <c r="BK353" i="10"/>
  <c r="BK354" i="10"/>
  <c r="BK355" i="10"/>
  <c r="BK356" i="10"/>
  <c r="BK357" i="10"/>
  <c r="BK358" i="10"/>
  <c r="BK359" i="10"/>
  <c r="BK360" i="10"/>
  <c r="BK361" i="10"/>
  <c r="BK362" i="10"/>
  <c r="BK363" i="10"/>
  <c r="BK364" i="10"/>
  <c r="BK365" i="10"/>
  <c r="BK366" i="10"/>
  <c r="BK367" i="10"/>
  <c r="BK368" i="10"/>
  <c r="BK369" i="10"/>
  <c r="BK370" i="10"/>
  <c r="BK371" i="10"/>
  <c r="BK372" i="10"/>
  <c r="BK373" i="10"/>
  <c r="BK374" i="10"/>
  <c r="BK375" i="10"/>
  <c r="BK376" i="10"/>
  <c r="BK377" i="10"/>
  <c r="BK378" i="10"/>
  <c r="BK379" i="10"/>
  <c r="BK380" i="10"/>
  <c r="BK381" i="10"/>
  <c r="BK382" i="10"/>
  <c r="BK383" i="10"/>
  <c r="BK384" i="10"/>
  <c r="BK385" i="10"/>
  <c r="BK386" i="10"/>
  <c r="BK387" i="10"/>
  <c r="BK388" i="10"/>
  <c r="BK389" i="10"/>
  <c r="BK390" i="10"/>
  <c r="BK391" i="10"/>
  <c r="BK392" i="10"/>
  <c r="BK393" i="10"/>
  <c r="BK394" i="10"/>
  <c r="BK395" i="10"/>
  <c r="BK396" i="10"/>
  <c r="BK397" i="10"/>
  <c r="BK398" i="10"/>
  <c r="BK399" i="10"/>
  <c r="BK400" i="10"/>
  <c r="BK401" i="10"/>
  <c r="BK402" i="10"/>
  <c r="BK403" i="10"/>
  <c r="BK404" i="10"/>
  <c r="BK405" i="10"/>
  <c r="BK406" i="10"/>
  <c r="BK407" i="10"/>
  <c r="BK408" i="10"/>
  <c r="BK409" i="10"/>
  <c r="BK410" i="10"/>
  <c r="BK411" i="10"/>
  <c r="BK412" i="10"/>
  <c r="BK413" i="10"/>
  <c r="BK414" i="10"/>
  <c r="BK415" i="10"/>
  <c r="BK416" i="10"/>
  <c r="BK417" i="10"/>
  <c r="BK418" i="10"/>
  <c r="BK419" i="10"/>
  <c r="BK420" i="10"/>
  <c r="BK421" i="10"/>
  <c r="BK422" i="10"/>
  <c r="BK423" i="10"/>
  <c r="BK424" i="10"/>
  <c r="BK425" i="10"/>
  <c r="BK426" i="10"/>
  <c r="BK427" i="10"/>
  <c r="BK428" i="10"/>
  <c r="BK429" i="10"/>
  <c r="BK430" i="10"/>
  <c r="BK431" i="10"/>
  <c r="BK432" i="10"/>
  <c r="BK433" i="10"/>
  <c r="BK434" i="10"/>
  <c r="BK435" i="10"/>
  <c r="BK436" i="10"/>
  <c r="BK437" i="10"/>
  <c r="BK438" i="10"/>
  <c r="BK439" i="10"/>
  <c r="BK440" i="10"/>
  <c r="BK441" i="10"/>
  <c r="BK442" i="10"/>
  <c r="BK443" i="10"/>
  <c r="BK444" i="10"/>
  <c r="BK445" i="10"/>
  <c r="BK446" i="10"/>
  <c r="BK447" i="10"/>
  <c r="BK448" i="10"/>
  <c r="BK449" i="10"/>
  <c r="BK450" i="10"/>
  <c r="BK451" i="10"/>
  <c r="BK452" i="10"/>
  <c r="BK453" i="10"/>
  <c r="BK454" i="10"/>
  <c r="BK455" i="10"/>
  <c r="BK456" i="10"/>
  <c r="BK457" i="10"/>
  <c r="BK458" i="10"/>
  <c r="BK459" i="10"/>
  <c r="BK460" i="10"/>
  <c r="BK461" i="10"/>
  <c r="BK462" i="10"/>
  <c r="BK463" i="10"/>
  <c r="BK464" i="10"/>
  <c r="BK465" i="10"/>
  <c r="BK466" i="10"/>
  <c r="BK467" i="10"/>
  <c r="BK468" i="10"/>
  <c r="BK469" i="10"/>
  <c r="BK470" i="10"/>
  <c r="BK471" i="10"/>
  <c r="BK472" i="10"/>
  <c r="BK473" i="10"/>
  <c r="BK474" i="10"/>
  <c r="BK475" i="10"/>
  <c r="BK476" i="10"/>
  <c r="BK477" i="10"/>
  <c r="BK478" i="10"/>
  <c r="BK479" i="10"/>
  <c r="BK480" i="10"/>
  <c r="BK481" i="10"/>
  <c r="BK482" i="10"/>
  <c r="BK483" i="10"/>
  <c r="BK484" i="10"/>
  <c r="BK485" i="10"/>
  <c r="BK486" i="10"/>
  <c r="BK487" i="10"/>
  <c r="BK488" i="10"/>
  <c r="BK489" i="10"/>
  <c r="BK490" i="10"/>
  <c r="BK491" i="10"/>
  <c r="BK492" i="10"/>
  <c r="BK493" i="10"/>
  <c r="BK494" i="10"/>
  <c r="BK495" i="10"/>
  <c r="BK496" i="10"/>
  <c r="BK497" i="10"/>
  <c r="BK498" i="10"/>
  <c r="BK499" i="10"/>
  <c r="BK500" i="10"/>
  <c r="BK501" i="10"/>
  <c r="BK502" i="10"/>
  <c r="BK503" i="10"/>
  <c r="BK504" i="10"/>
  <c r="BK505" i="10"/>
  <c r="BK506" i="10"/>
  <c r="BK507" i="10"/>
  <c r="BK508" i="10"/>
  <c r="BK509" i="10"/>
  <c r="BK510" i="10"/>
  <c r="BK511" i="10"/>
  <c r="BK512" i="10"/>
  <c r="BK513" i="10"/>
  <c r="BK514" i="10"/>
  <c r="BK515" i="10"/>
  <c r="BK516" i="10"/>
  <c r="BK517" i="10"/>
  <c r="BK518" i="10"/>
  <c r="BK519" i="10"/>
  <c r="BK520" i="10"/>
  <c r="BK521" i="10"/>
  <c r="BK522" i="10"/>
  <c r="BK523" i="10"/>
  <c r="BK524" i="10"/>
  <c r="BK525" i="10"/>
  <c r="BK526" i="10"/>
  <c r="BK527" i="10"/>
  <c r="BK528" i="10"/>
  <c r="BK529" i="10"/>
  <c r="BK530" i="10"/>
  <c r="BK531" i="10"/>
  <c r="BK532" i="10"/>
  <c r="BK533" i="10"/>
  <c r="BK534" i="10"/>
  <c r="BK535" i="10"/>
  <c r="BK536" i="10"/>
  <c r="BK537" i="10"/>
  <c r="BK538" i="10"/>
  <c r="BK539" i="10"/>
  <c r="BK540" i="10"/>
  <c r="BK541" i="10"/>
  <c r="BK542" i="10"/>
  <c r="BK543" i="10"/>
  <c r="BK544" i="10"/>
  <c r="BK545" i="10"/>
  <c r="BK546" i="10"/>
  <c r="BK547" i="10"/>
  <c r="BK548" i="10"/>
  <c r="BK549" i="10"/>
  <c r="BK550" i="10"/>
  <c r="BK551" i="10"/>
  <c r="BK552" i="10"/>
  <c r="BK553" i="10"/>
  <c r="BK554" i="10"/>
  <c r="BK555" i="10"/>
  <c r="BK556" i="10"/>
  <c r="BK557" i="10"/>
  <c r="BK558" i="10"/>
  <c r="BK559" i="10"/>
  <c r="BK560" i="10"/>
  <c r="BK561" i="10"/>
  <c r="BK562" i="10"/>
  <c r="BK563" i="10"/>
  <c r="BK564" i="10"/>
  <c r="BK565" i="10"/>
  <c r="BK566" i="10"/>
  <c r="BK567" i="10"/>
  <c r="BK568" i="10"/>
  <c r="BK569" i="10"/>
  <c r="BK570" i="10"/>
  <c r="BK571" i="10"/>
  <c r="BK572" i="10"/>
  <c r="BK573" i="10"/>
  <c r="BK574" i="10"/>
  <c r="BK575" i="10"/>
  <c r="BK576" i="10"/>
  <c r="BK577" i="10"/>
  <c r="BK578" i="10"/>
  <c r="BK579" i="10"/>
  <c r="BK580" i="10"/>
  <c r="BK581" i="10"/>
  <c r="BK582" i="10"/>
  <c r="BK583" i="10"/>
  <c r="BK2" i="10"/>
  <c r="BJ3" i="10"/>
  <c r="BJ4" i="10"/>
  <c r="BJ5" i="10"/>
  <c r="BJ6" i="10"/>
  <c r="BJ7" i="10"/>
  <c r="BJ8" i="10"/>
  <c r="BJ9" i="10"/>
  <c r="BJ10" i="10"/>
  <c r="BJ11" i="10"/>
  <c r="BJ12" i="10"/>
  <c r="BJ13" i="10"/>
  <c r="BJ14" i="10"/>
  <c r="BJ15" i="10"/>
  <c r="BJ16" i="10"/>
  <c r="BJ17" i="10"/>
  <c r="BJ18" i="10"/>
  <c r="BJ19" i="10"/>
  <c r="BJ20" i="10"/>
  <c r="BJ21" i="10"/>
  <c r="BJ22" i="10"/>
  <c r="BJ23" i="10"/>
  <c r="BJ24" i="10"/>
  <c r="BJ25" i="10"/>
  <c r="BJ26" i="10"/>
  <c r="BJ27" i="10"/>
  <c r="BJ28" i="10"/>
  <c r="BJ29" i="10"/>
  <c r="BJ30" i="10"/>
  <c r="BJ31" i="10"/>
  <c r="BJ32" i="10"/>
  <c r="BJ33" i="10"/>
  <c r="BJ34" i="10"/>
  <c r="BJ35" i="10"/>
  <c r="BJ36" i="10"/>
  <c r="BJ37" i="10"/>
  <c r="BJ38" i="10"/>
  <c r="BJ39" i="10"/>
  <c r="BJ40" i="10"/>
  <c r="BJ41" i="10"/>
  <c r="BJ42" i="10"/>
  <c r="BJ43" i="10"/>
  <c r="BJ44" i="10"/>
  <c r="BJ45" i="10"/>
  <c r="BJ46" i="10"/>
  <c r="BJ47" i="10"/>
  <c r="BJ48" i="10"/>
  <c r="BJ49" i="10"/>
  <c r="BJ50" i="10"/>
  <c r="BJ51" i="10"/>
  <c r="BJ52" i="10"/>
  <c r="BJ53" i="10"/>
  <c r="BJ54" i="10"/>
  <c r="BJ55" i="10"/>
  <c r="BJ56" i="10"/>
  <c r="BJ57" i="10"/>
  <c r="BJ58" i="10"/>
  <c r="BJ59" i="10"/>
  <c r="BJ60" i="10"/>
  <c r="BJ61" i="10"/>
  <c r="BJ62" i="10"/>
  <c r="BJ63" i="10"/>
  <c r="BJ64" i="10"/>
  <c r="BJ65" i="10"/>
  <c r="BJ66" i="10"/>
  <c r="BJ67" i="10"/>
  <c r="BJ68" i="10"/>
  <c r="BJ69" i="10"/>
  <c r="BJ70" i="10"/>
  <c r="BJ71" i="10"/>
  <c r="BJ72" i="10"/>
  <c r="BJ73" i="10"/>
  <c r="BJ74" i="10"/>
  <c r="BJ75" i="10"/>
  <c r="BJ76" i="10"/>
  <c r="BJ77" i="10"/>
  <c r="BJ78" i="10"/>
  <c r="BJ79" i="10"/>
  <c r="BJ80" i="10"/>
  <c r="BJ81" i="10"/>
  <c r="BJ82" i="10"/>
  <c r="BJ83" i="10"/>
  <c r="BJ84" i="10"/>
  <c r="BJ85" i="10"/>
  <c r="BJ86" i="10"/>
  <c r="BJ87" i="10"/>
  <c r="BJ88" i="10"/>
  <c r="BJ89" i="10"/>
  <c r="BJ90" i="10"/>
  <c r="BJ91" i="10"/>
  <c r="BJ92" i="10"/>
  <c r="BJ93" i="10"/>
  <c r="BJ94" i="10"/>
  <c r="BJ95" i="10"/>
  <c r="BJ96" i="10"/>
  <c r="BJ97" i="10"/>
  <c r="BJ98" i="10"/>
  <c r="BJ99" i="10"/>
  <c r="BJ100" i="10"/>
  <c r="BJ101" i="10"/>
  <c r="BJ102" i="10"/>
  <c r="BJ103" i="10"/>
  <c r="BJ104" i="10"/>
  <c r="BJ105" i="10"/>
  <c r="BJ106" i="10"/>
  <c r="BJ107" i="10"/>
  <c r="BJ108" i="10"/>
  <c r="BJ109" i="10"/>
  <c r="BJ110" i="10"/>
  <c r="BJ111" i="10"/>
  <c r="BJ112" i="10"/>
  <c r="BJ113" i="10"/>
  <c r="BJ114" i="10"/>
  <c r="BJ115" i="10"/>
  <c r="BJ116" i="10"/>
  <c r="BJ117" i="10"/>
  <c r="BJ118" i="10"/>
  <c r="BJ119" i="10"/>
  <c r="BJ120" i="10"/>
  <c r="BJ121" i="10"/>
  <c r="BJ122" i="10"/>
  <c r="BJ123" i="10"/>
  <c r="BJ124" i="10"/>
  <c r="BJ125" i="10"/>
  <c r="BJ126" i="10"/>
  <c r="BJ127" i="10"/>
  <c r="BJ128" i="10"/>
  <c r="BJ129" i="10"/>
  <c r="BJ130" i="10"/>
  <c r="BJ131" i="10"/>
  <c r="BJ132" i="10"/>
  <c r="BJ133" i="10"/>
  <c r="BJ134" i="10"/>
  <c r="BJ135" i="10"/>
  <c r="BJ136" i="10"/>
  <c r="BJ137" i="10"/>
  <c r="BJ138" i="10"/>
  <c r="BJ139" i="10"/>
  <c r="BJ140" i="10"/>
  <c r="BJ141" i="10"/>
  <c r="BJ142" i="10"/>
  <c r="BJ143" i="10"/>
  <c r="BJ144" i="10"/>
  <c r="BJ145" i="10"/>
  <c r="BJ146" i="10"/>
  <c r="BJ147" i="10"/>
  <c r="BJ148" i="10"/>
  <c r="BJ149" i="10"/>
  <c r="BJ150" i="10"/>
  <c r="BJ151" i="10"/>
  <c r="BJ152" i="10"/>
  <c r="BJ153" i="10"/>
  <c r="BJ154" i="10"/>
  <c r="BJ155" i="10"/>
  <c r="BJ156" i="10"/>
  <c r="BJ157" i="10"/>
  <c r="BJ158" i="10"/>
  <c r="BJ159" i="10"/>
  <c r="BJ160" i="10"/>
  <c r="BJ161" i="10"/>
  <c r="BJ162" i="10"/>
  <c r="BJ163" i="10"/>
  <c r="BJ164" i="10"/>
  <c r="BJ165" i="10"/>
  <c r="BJ166" i="10"/>
  <c r="BJ167" i="10"/>
  <c r="BJ168" i="10"/>
  <c r="BJ169" i="10"/>
  <c r="BJ170" i="10"/>
  <c r="BJ171" i="10"/>
  <c r="BJ172" i="10"/>
  <c r="BJ173" i="10"/>
  <c r="BJ174" i="10"/>
  <c r="BJ175" i="10"/>
  <c r="BJ176" i="10"/>
  <c r="BJ177" i="10"/>
  <c r="BJ178" i="10"/>
  <c r="BJ179" i="10"/>
  <c r="BJ180" i="10"/>
  <c r="BJ181" i="10"/>
  <c r="BJ182" i="10"/>
  <c r="BJ183" i="10"/>
  <c r="BJ184" i="10"/>
  <c r="BJ185" i="10"/>
  <c r="BJ186" i="10"/>
  <c r="BJ187" i="10"/>
  <c r="BJ188" i="10"/>
  <c r="BJ189" i="10"/>
  <c r="BJ190" i="10"/>
  <c r="BJ191" i="10"/>
  <c r="BJ192" i="10"/>
  <c r="BJ193" i="10"/>
  <c r="BJ194" i="10"/>
  <c r="BJ195" i="10"/>
  <c r="BJ196" i="10"/>
  <c r="BJ197" i="10"/>
  <c r="BJ198" i="10"/>
  <c r="BJ199" i="10"/>
  <c r="BJ200" i="10"/>
  <c r="BJ201" i="10"/>
  <c r="BJ202" i="10"/>
  <c r="BJ203" i="10"/>
  <c r="BJ204" i="10"/>
  <c r="BJ205" i="10"/>
  <c r="BJ206" i="10"/>
  <c r="BJ207" i="10"/>
  <c r="BJ208" i="10"/>
  <c r="BJ209" i="10"/>
  <c r="BJ210" i="10"/>
  <c r="BJ211" i="10"/>
  <c r="BJ212" i="10"/>
  <c r="BJ213" i="10"/>
  <c r="BJ214" i="10"/>
  <c r="BJ215" i="10"/>
  <c r="BJ216" i="10"/>
  <c r="BJ217" i="10"/>
  <c r="BJ218" i="10"/>
  <c r="BJ219" i="10"/>
  <c r="BJ220" i="10"/>
  <c r="BJ221" i="10"/>
  <c r="BJ222" i="10"/>
  <c r="BJ223" i="10"/>
  <c r="BJ224" i="10"/>
  <c r="BJ225" i="10"/>
  <c r="BJ226" i="10"/>
  <c r="BJ227" i="10"/>
  <c r="BJ228" i="10"/>
  <c r="BJ229" i="10"/>
  <c r="BJ230" i="10"/>
  <c r="BJ231" i="10"/>
  <c r="BJ232" i="10"/>
  <c r="BJ233" i="10"/>
  <c r="BJ234" i="10"/>
  <c r="BJ235" i="10"/>
  <c r="BJ236" i="10"/>
  <c r="BJ237" i="10"/>
  <c r="BJ238" i="10"/>
  <c r="BJ239" i="10"/>
  <c r="BJ240" i="10"/>
  <c r="BJ241" i="10"/>
  <c r="BJ242" i="10"/>
  <c r="BJ243" i="10"/>
  <c r="BJ244" i="10"/>
  <c r="BJ245" i="10"/>
  <c r="BJ246" i="10"/>
  <c r="BJ247" i="10"/>
  <c r="BJ248" i="10"/>
  <c r="BJ249" i="10"/>
  <c r="BJ250" i="10"/>
  <c r="BJ251" i="10"/>
  <c r="BJ252" i="10"/>
  <c r="BJ253" i="10"/>
  <c r="BJ254" i="10"/>
  <c r="BJ255" i="10"/>
  <c r="BJ256" i="10"/>
  <c r="BJ257" i="10"/>
  <c r="BJ258" i="10"/>
  <c r="BJ259" i="10"/>
  <c r="BJ260" i="10"/>
  <c r="BJ261" i="10"/>
  <c r="BJ262" i="10"/>
  <c r="BJ263" i="10"/>
  <c r="BJ264" i="10"/>
  <c r="BJ265" i="10"/>
  <c r="BJ266" i="10"/>
  <c r="BJ267" i="10"/>
  <c r="BJ268" i="10"/>
  <c r="BJ269" i="10"/>
  <c r="BJ270" i="10"/>
  <c r="BJ271" i="10"/>
  <c r="BJ272" i="10"/>
  <c r="BJ273" i="10"/>
  <c r="BJ274" i="10"/>
  <c r="BJ275" i="10"/>
  <c r="BJ276" i="10"/>
  <c r="BJ277" i="10"/>
  <c r="BJ278" i="10"/>
  <c r="BJ279" i="10"/>
  <c r="BJ280" i="10"/>
  <c r="BJ281" i="10"/>
  <c r="BJ282" i="10"/>
  <c r="BJ283" i="10"/>
  <c r="BJ284" i="10"/>
  <c r="BJ285" i="10"/>
  <c r="BJ286" i="10"/>
  <c r="BJ287" i="10"/>
  <c r="BJ288" i="10"/>
  <c r="BJ289" i="10"/>
  <c r="BJ290" i="10"/>
  <c r="BJ291" i="10"/>
  <c r="BJ292" i="10"/>
  <c r="BJ293" i="10"/>
  <c r="BJ294" i="10"/>
  <c r="BJ295" i="10"/>
  <c r="BJ296" i="10"/>
  <c r="BJ297" i="10"/>
  <c r="BJ298" i="10"/>
  <c r="BJ299" i="10"/>
  <c r="BJ300" i="10"/>
  <c r="BJ301" i="10"/>
  <c r="BJ302" i="10"/>
  <c r="BJ303" i="10"/>
  <c r="BJ304" i="10"/>
  <c r="BJ305" i="10"/>
  <c r="BJ306" i="10"/>
  <c r="BJ307" i="10"/>
  <c r="BJ308" i="10"/>
  <c r="BJ309" i="10"/>
  <c r="BJ310" i="10"/>
  <c r="BJ311" i="10"/>
  <c r="BJ312" i="10"/>
  <c r="BJ313" i="10"/>
  <c r="BJ314" i="10"/>
  <c r="BJ315" i="10"/>
  <c r="BJ316" i="10"/>
  <c r="BJ317" i="10"/>
  <c r="BJ318" i="10"/>
  <c r="BJ319" i="10"/>
  <c r="BJ320" i="10"/>
  <c r="BJ321" i="10"/>
  <c r="BJ322" i="10"/>
  <c r="BJ323" i="10"/>
  <c r="BJ324" i="10"/>
  <c r="BJ325" i="10"/>
  <c r="BJ326" i="10"/>
  <c r="BJ327" i="10"/>
  <c r="BJ328" i="10"/>
  <c r="BJ329" i="10"/>
  <c r="BJ330" i="10"/>
  <c r="BJ331" i="10"/>
  <c r="BJ332" i="10"/>
  <c r="BJ333" i="10"/>
  <c r="BJ334" i="10"/>
  <c r="BJ335" i="10"/>
  <c r="BJ336" i="10"/>
  <c r="BJ337" i="10"/>
  <c r="BJ338" i="10"/>
  <c r="BJ339" i="10"/>
  <c r="BJ340" i="10"/>
  <c r="BJ341" i="10"/>
  <c r="BJ342" i="10"/>
  <c r="BJ343" i="10"/>
  <c r="BJ344" i="10"/>
  <c r="BJ345" i="10"/>
  <c r="BJ346" i="10"/>
  <c r="BJ347" i="10"/>
  <c r="BJ348" i="10"/>
  <c r="BJ349" i="10"/>
  <c r="BJ350" i="10"/>
  <c r="BJ351" i="10"/>
  <c r="BJ352" i="10"/>
  <c r="BJ353" i="10"/>
  <c r="BJ354" i="10"/>
  <c r="BJ355" i="10"/>
  <c r="BJ356" i="10"/>
  <c r="BJ357" i="10"/>
  <c r="BJ358" i="10"/>
  <c r="BJ359" i="10"/>
  <c r="BJ360" i="10"/>
  <c r="BJ361" i="10"/>
  <c r="BJ362" i="10"/>
  <c r="BJ363" i="10"/>
  <c r="BJ364" i="10"/>
  <c r="BJ365" i="10"/>
  <c r="BJ366" i="10"/>
  <c r="BJ367" i="10"/>
  <c r="BJ368" i="10"/>
  <c r="BJ369" i="10"/>
  <c r="BJ370" i="10"/>
  <c r="BJ371" i="10"/>
  <c r="BJ372" i="10"/>
  <c r="BJ373" i="10"/>
  <c r="BJ374" i="10"/>
  <c r="BJ375" i="10"/>
  <c r="BJ376" i="10"/>
  <c r="BJ377" i="10"/>
  <c r="BJ378" i="10"/>
  <c r="BJ379" i="10"/>
  <c r="BJ380" i="10"/>
  <c r="BJ381" i="10"/>
  <c r="BJ382" i="10"/>
  <c r="BJ383" i="10"/>
  <c r="BJ384" i="10"/>
  <c r="BJ385" i="10"/>
  <c r="BJ386" i="10"/>
  <c r="BJ387" i="10"/>
  <c r="BJ388" i="10"/>
  <c r="BJ389" i="10"/>
  <c r="BJ390" i="10"/>
  <c r="BJ391" i="10"/>
  <c r="BJ392" i="10"/>
  <c r="BJ393" i="10"/>
  <c r="BJ394" i="10"/>
  <c r="BJ395" i="10"/>
  <c r="BJ396" i="10"/>
  <c r="BJ397" i="10"/>
  <c r="BJ398" i="10"/>
  <c r="BJ399" i="10"/>
  <c r="BJ400" i="10"/>
  <c r="BJ401" i="10"/>
  <c r="BJ402" i="10"/>
  <c r="BJ403" i="10"/>
  <c r="BJ404" i="10"/>
  <c r="BJ405" i="10"/>
  <c r="BJ406" i="10"/>
  <c r="BJ407" i="10"/>
  <c r="BJ408" i="10"/>
  <c r="BJ409" i="10"/>
  <c r="BJ410" i="10"/>
  <c r="BJ411" i="10"/>
  <c r="BJ412" i="10"/>
  <c r="BJ413" i="10"/>
  <c r="BJ414" i="10"/>
  <c r="BJ415" i="10"/>
  <c r="BJ416" i="10"/>
  <c r="BJ417" i="10"/>
  <c r="BJ418" i="10"/>
  <c r="BJ419" i="10"/>
  <c r="BJ420" i="10"/>
  <c r="BJ421" i="10"/>
  <c r="BJ422" i="10"/>
  <c r="BJ423" i="10"/>
  <c r="BJ424" i="10"/>
  <c r="BJ425" i="10"/>
  <c r="BJ426" i="10"/>
  <c r="BJ427" i="10"/>
  <c r="BJ428" i="10"/>
  <c r="BJ429" i="10"/>
  <c r="BJ430" i="10"/>
  <c r="BJ431" i="10"/>
  <c r="BJ432" i="10"/>
  <c r="BJ433" i="10"/>
  <c r="BJ434" i="10"/>
  <c r="BJ435" i="10"/>
  <c r="BJ436" i="10"/>
  <c r="BJ437" i="10"/>
  <c r="BJ438" i="10"/>
  <c r="BJ439" i="10"/>
  <c r="BJ440" i="10"/>
  <c r="BJ441" i="10"/>
  <c r="BJ442" i="10"/>
  <c r="BJ443" i="10"/>
  <c r="BJ444" i="10"/>
  <c r="BJ445" i="10"/>
  <c r="BJ446" i="10"/>
  <c r="BJ447" i="10"/>
  <c r="BJ448" i="10"/>
  <c r="BJ449" i="10"/>
  <c r="BJ450" i="10"/>
  <c r="BJ451" i="10"/>
  <c r="BJ452" i="10"/>
  <c r="BJ453" i="10"/>
  <c r="BJ454" i="10"/>
  <c r="BJ455" i="10"/>
  <c r="BJ456" i="10"/>
  <c r="BJ457" i="10"/>
  <c r="BJ458" i="10"/>
  <c r="BJ459" i="10"/>
  <c r="BJ460" i="10"/>
  <c r="BJ461" i="10"/>
  <c r="BJ462" i="10"/>
  <c r="BJ463" i="10"/>
  <c r="BJ464" i="10"/>
  <c r="BJ465" i="10"/>
  <c r="BJ466" i="10"/>
  <c r="BJ467" i="10"/>
  <c r="BJ468" i="10"/>
  <c r="BJ469" i="10"/>
  <c r="BJ470" i="10"/>
  <c r="BJ471" i="10"/>
  <c r="BJ472" i="10"/>
  <c r="BJ473" i="10"/>
  <c r="BJ474" i="10"/>
  <c r="BJ475" i="10"/>
  <c r="BJ476" i="10"/>
  <c r="BJ477" i="10"/>
  <c r="BJ478" i="10"/>
  <c r="BJ479" i="10"/>
  <c r="BJ480" i="10"/>
  <c r="BJ481" i="10"/>
  <c r="BJ482" i="10"/>
  <c r="BJ483" i="10"/>
  <c r="BJ484" i="10"/>
  <c r="BJ485" i="10"/>
  <c r="BJ486" i="10"/>
  <c r="BJ487" i="10"/>
  <c r="BJ488" i="10"/>
  <c r="BJ489" i="10"/>
  <c r="BJ490" i="10"/>
  <c r="BJ491" i="10"/>
  <c r="BJ492" i="10"/>
  <c r="BJ493" i="10"/>
  <c r="BJ494" i="10"/>
  <c r="BJ495" i="10"/>
  <c r="BJ496" i="10"/>
  <c r="BJ497" i="10"/>
  <c r="BJ498" i="10"/>
  <c r="BJ499" i="10"/>
  <c r="BJ500" i="10"/>
  <c r="BJ501" i="10"/>
  <c r="BJ502" i="10"/>
  <c r="BJ503" i="10"/>
  <c r="BJ504" i="10"/>
  <c r="BJ505" i="10"/>
  <c r="BJ506" i="10"/>
  <c r="BJ507" i="10"/>
  <c r="BJ508" i="10"/>
  <c r="BJ509" i="10"/>
  <c r="BJ510" i="10"/>
  <c r="BJ511" i="10"/>
  <c r="BJ512" i="10"/>
  <c r="BJ513" i="10"/>
  <c r="BJ514" i="10"/>
  <c r="BJ515" i="10"/>
  <c r="BJ516" i="10"/>
  <c r="BJ517" i="10"/>
  <c r="BJ518" i="10"/>
  <c r="BJ519" i="10"/>
  <c r="BJ520" i="10"/>
  <c r="BJ521" i="10"/>
  <c r="BJ522" i="10"/>
  <c r="BJ523" i="10"/>
  <c r="BJ524" i="10"/>
  <c r="BJ525" i="10"/>
  <c r="BJ526" i="10"/>
  <c r="BJ527" i="10"/>
  <c r="BJ528" i="10"/>
  <c r="BJ529" i="10"/>
  <c r="BJ530" i="10"/>
  <c r="BJ531" i="10"/>
  <c r="BJ532" i="10"/>
  <c r="BJ533" i="10"/>
  <c r="BJ534" i="10"/>
  <c r="BJ535" i="10"/>
  <c r="BJ536" i="10"/>
  <c r="BJ537" i="10"/>
  <c r="BJ538" i="10"/>
  <c r="BJ539" i="10"/>
  <c r="BJ540" i="10"/>
  <c r="BJ541" i="10"/>
  <c r="BJ542" i="10"/>
  <c r="BJ543" i="10"/>
  <c r="BJ544" i="10"/>
  <c r="BJ545" i="10"/>
  <c r="BJ546" i="10"/>
  <c r="BJ547" i="10"/>
  <c r="BJ548" i="10"/>
  <c r="BJ549" i="10"/>
  <c r="BJ550" i="10"/>
  <c r="BJ551" i="10"/>
  <c r="BJ552" i="10"/>
  <c r="BJ553" i="10"/>
  <c r="BJ554" i="10"/>
  <c r="BJ555" i="10"/>
  <c r="BJ556" i="10"/>
  <c r="BJ557" i="10"/>
  <c r="BJ558" i="10"/>
  <c r="BJ559" i="10"/>
  <c r="BJ560" i="10"/>
  <c r="BJ561" i="10"/>
  <c r="BJ562" i="10"/>
  <c r="BJ563" i="10"/>
  <c r="BJ564" i="10"/>
  <c r="BJ565" i="10"/>
  <c r="BJ566" i="10"/>
  <c r="BJ567" i="10"/>
  <c r="BJ568" i="10"/>
  <c r="BJ569" i="10"/>
  <c r="BJ570" i="10"/>
  <c r="BJ571" i="10"/>
  <c r="BJ572" i="10"/>
  <c r="BJ573" i="10"/>
  <c r="BJ574" i="10"/>
  <c r="BJ575" i="10"/>
  <c r="BJ576" i="10"/>
  <c r="BJ577" i="10"/>
  <c r="BJ578" i="10"/>
  <c r="BJ579" i="10"/>
  <c r="BJ580" i="10"/>
  <c r="BJ581" i="10"/>
  <c r="BJ582" i="10"/>
  <c r="BJ583" i="10"/>
  <c r="BJ2" i="10"/>
  <c r="BI3" i="10"/>
  <c r="BI4" i="10"/>
  <c r="BI5" i="10"/>
  <c r="BI6" i="10"/>
  <c r="BI7" i="10"/>
  <c r="BI8" i="10"/>
  <c r="BI9" i="10"/>
  <c r="BI10" i="10"/>
  <c r="BI11" i="10"/>
  <c r="BI12" i="10"/>
  <c r="BI13" i="10"/>
  <c r="BI14" i="10"/>
  <c r="BI15" i="10"/>
  <c r="BI16" i="10"/>
  <c r="BI17" i="10"/>
  <c r="BI18" i="10"/>
  <c r="BI19" i="10"/>
  <c r="BI20" i="10"/>
  <c r="BI21" i="10"/>
  <c r="BI22" i="10"/>
  <c r="BI23" i="10"/>
  <c r="BI24" i="10"/>
  <c r="BI25" i="10"/>
  <c r="BI26" i="10"/>
  <c r="BI27" i="10"/>
  <c r="BI28" i="10"/>
  <c r="BI29" i="10"/>
  <c r="BI30" i="10"/>
  <c r="BI31" i="10"/>
  <c r="BI32" i="10"/>
  <c r="BI33" i="10"/>
  <c r="BI34" i="10"/>
  <c r="BI35" i="10"/>
  <c r="BI36" i="10"/>
  <c r="BI37" i="10"/>
  <c r="BI38" i="10"/>
  <c r="BI39" i="10"/>
  <c r="BI40" i="10"/>
  <c r="BI41" i="10"/>
  <c r="BI42" i="10"/>
  <c r="BI43" i="10"/>
  <c r="BI44" i="10"/>
  <c r="BI45" i="10"/>
  <c r="BI46" i="10"/>
  <c r="BI47" i="10"/>
  <c r="BI48" i="10"/>
  <c r="BI49" i="10"/>
  <c r="BI50" i="10"/>
  <c r="BI51" i="10"/>
  <c r="BI52" i="10"/>
  <c r="BI53" i="10"/>
  <c r="BI54" i="10"/>
  <c r="BI55" i="10"/>
  <c r="BI56" i="10"/>
  <c r="BI57" i="10"/>
  <c r="BI58" i="10"/>
  <c r="BI59" i="10"/>
  <c r="BI60" i="10"/>
  <c r="BI61" i="10"/>
  <c r="BI62" i="10"/>
  <c r="BI63" i="10"/>
  <c r="BI64" i="10"/>
  <c r="BI65" i="10"/>
  <c r="BI66" i="10"/>
  <c r="BI67" i="10"/>
  <c r="BI68" i="10"/>
  <c r="BI69" i="10"/>
  <c r="BI70" i="10"/>
  <c r="BI71" i="10"/>
  <c r="BI72" i="10"/>
  <c r="BI73" i="10"/>
  <c r="BI74" i="10"/>
  <c r="BI75" i="10"/>
  <c r="BI76" i="10"/>
  <c r="BI77" i="10"/>
  <c r="BI78" i="10"/>
  <c r="BI79" i="10"/>
  <c r="BI80" i="10"/>
  <c r="BI81" i="10"/>
  <c r="BI82" i="10"/>
  <c r="BI83" i="10"/>
  <c r="BI84" i="10"/>
  <c r="BI85" i="10"/>
  <c r="BI86" i="10"/>
  <c r="BI87" i="10"/>
  <c r="BI88" i="10"/>
  <c r="BI89" i="10"/>
  <c r="BI90" i="10"/>
  <c r="BI91" i="10"/>
  <c r="BI92" i="10"/>
  <c r="BI93" i="10"/>
  <c r="BI94" i="10"/>
  <c r="BI95" i="10"/>
  <c r="BI96" i="10"/>
  <c r="BI97" i="10"/>
  <c r="BI98" i="10"/>
  <c r="BI99" i="10"/>
  <c r="BI100" i="10"/>
  <c r="BI101" i="10"/>
  <c r="BI102" i="10"/>
  <c r="BI103" i="10"/>
  <c r="BI104" i="10"/>
  <c r="BI105" i="10"/>
  <c r="BI106" i="10"/>
  <c r="BI107" i="10"/>
  <c r="BI108" i="10"/>
  <c r="BI109" i="10"/>
  <c r="BI110" i="10"/>
  <c r="BI111" i="10"/>
  <c r="BI112" i="10"/>
  <c r="BI113" i="10"/>
  <c r="BI114" i="10"/>
  <c r="BI115" i="10"/>
  <c r="BI116" i="10"/>
  <c r="BI117" i="10"/>
  <c r="BI118" i="10"/>
  <c r="BI119" i="10"/>
  <c r="BI120" i="10"/>
  <c r="BI121" i="10"/>
  <c r="BI122" i="10"/>
  <c r="BI123" i="10"/>
  <c r="BI124" i="10"/>
  <c r="BI125" i="10"/>
  <c r="BI126" i="10"/>
  <c r="BI127" i="10"/>
  <c r="BI128" i="10"/>
  <c r="BI129" i="10"/>
  <c r="BI130" i="10"/>
  <c r="BI131" i="10"/>
  <c r="BI132" i="10"/>
  <c r="BI133" i="10"/>
  <c r="BI134" i="10"/>
  <c r="BI135" i="10"/>
  <c r="BI136" i="10"/>
  <c r="BI137" i="10"/>
  <c r="BI138" i="10"/>
  <c r="BI139" i="10"/>
  <c r="BI140" i="10"/>
  <c r="BI141" i="10"/>
  <c r="BI142" i="10"/>
  <c r="BI143" i="10"/>
  <c r="BI144" i="10"/>
  <c r="BI145" i="10"/>
  <c r="BI146" i="10"/>
  <c r="BI147" i="10"/>
  <c r="BI148" i="10"/>
  <c r="BI149" i="10"/>
  <c r="BI150" i="10"/>
  <c r="BI151" i="10"/>
  <c r="BI152" i="10"/>
  <c r="BI153" i="10"/>
  <c r="BI154" i="10"/>
  <c r="BI155" i="10"/>
  <c r="BI156" i="10"/>
  <c r="BI157" i="10"/>
  <c r="BI158" i="10"/>
  <c r="BI159" i="10"/>
  <c r="BI160" i="10"/>
  <c r="BI161" i="10"/>
  <c r="BI162" i="10"/>
  <c r="BI163" i="10"/>
  <c r="BI164" i="10"/>
  <c r="BI165" i="10"/>
  <c r="BI166" i="10"/>
  <c r="BI167" i="10"/>
  <c r="BI168" i="10"/>
  <c r="BI169" i="10"/>
  <c r="BI170" i="10"/>
  <c r="BI171" i="10"/>
  <c r="BI172" i="10"/>
  <c r="BI173" i="10"/>
  <c r="BI174" i="10"/>
  <c r="BI175" i="10"/>
  <c r="BI176" i="10"/>
  <c r="BI177" i="10"/>
  <c r="BI178" i="10"/>
  <c r="BI179" i="10"/>
  <c r="BI180" i="10"/>
  <c r="BI181" i="10"/>
  <c r="BI182" i="10"/>
  <c r="BI183" i="10"/>
  <c r="BI184" i="10"/>
  <c r="BI185" i="10"/>
  <c r="BI186" i="10"/>
  <c r="BI187" i="10"/>
  <c r="BI188" i="10"/>
  <c r="BI189" i="10"/>
  <c r="BI190" i="10"/>
  <c r="BI191" i="10"/>
  <c r="BI192" i="10"/>
  <c r="BI193" i="10"/>
  <c r="BI194" i="10"/>
  <c r="BI195" i="10"/>
  <c r="BI196" i="10"/>
  <c r="BI197" i="10"/>
  <c r="BI198" i="10"/>
  <c r="BI199" i="10"/>
  <c r="BI200" i="10"/>
  <c r="BI201" i="10"/>
  <c r="BI202" i="10"/>
  <c r="BI203" i="10"/>
  <c r="BI204" i="10"/>
  <c r="BI205" i="10"/>
  <c r="BI206" i="10"/>
  <c r="BI207" i="10"/>
  <c r="BI208" i="10"/>
  <c r="BI209" i="10"/>
  <c r="BI210" i="10"/>
  <c r="BI211" i="10"/>
  <c r="BI212" i="10"/>
  <c r="BI213" i="10"/>
  <c r="BI214" i="10"/>
  <c r="BI215" i="10"/>
  <c r="BI216" i="10"/>
  <c r="BI217" i="10"/>
  <c r="BI218" i="10"/>
  <c r="BI219" i="10"/>
  <c r="BI220" i="10"/>
  <c r="BI221" i="10"/>
  <c r="BI222" i="10"/>
  <c r="BI223" i="10"/>
  <c r="BI224" i="10"/>
  <c r="BI225" i="10"/>
  <c r="BI226" i="10"/>
  <c r="BI227" i="10"/>
  <c r="BI228" i="10"/>
  <c r="BI229" i="10"/>
  <c r="BI230" i="10"/>
  <c r="BI231" i="10"/>
  <c r="BI232" i="10"/>
  <c r="BI233" i="10"/>
  <c r="BI234" i="10"/>
  <c r="BI235" i="10"/>
  <c r="BI236" i="10"/>
  <c r="BI237" i="10"/>
  <c r="BI238" i="10"/>
  <c r="BI239" i="10"/>
  <c r="BI240" i="10"/>
  <c r="BI241" i="10"/>
  <c r="BI242" i="10"/>
  <c r="BI243" i="10"/>
  <c r="BI244" i="10"/>
  <c r="BI245" i="10"/>
  <c r="BI246" i="10"/>
  <c r="BI247" i="10"/>
  <c r="BI248" i="10"/>
  <c r="BI249" i="10"/>
  <c r="BI250" i="10"/>
  <c r="BI251" i="10"/>
  <c r="BI252" i="10"/>
  <c r="BI253" i="10"/>
  <c r="BI254" i="10"/>
  <c r="BI255" i="10"/>
  <c r="BI256" i="10"/>
  <c r="BI257" i="10"/>
  <c r="BI258" i="10"/>
  <c r="BI259" i="10"/>
  <c r="BI260" i="10"/>
  <c r="BI261" i="10"/>
  <c r="BI262" i="10"/>
  <c r="BI263" i="10"/>
  <c r="BI264" i="10"/>
  <c r="BI265" i="10"/>
  <c r="BI266" i="10"/>
  <c r="BI267" i="10"/>
  <c r="BI268" i="10"/>
  <c r="BI269" i="10"/>
  <c r="BI270" i="10"/>
  <c r="BI271" i="10"/>
  <c r="BI272" i="10"/>
  <c r="BI273" i="10"/>
  <c r="BI274" i="10"/>
  <c r="BI275" i="10"/>
  <c r="BI276" i="10"/>
  <c r="BI277" i="10"/>
  <c r="BI278" i="10"/>
  <c r="BI279" i="10"/>
  <c r="BI280" i="10"/>
  <c r="BI281" i="10"/>
  <c r="BI282" i="10"/>
  <c r="BI283" i="10"/>
  <c r="BI284" i="10"/>
  <c r="BI285" i="10"/>
  <c r="BI286" i="10"/>
  <c r="BI287" i="10"/>
  <c r="BI288" i="10"/>
  <c r="BI289" i="10"/>
  <c r="BI290" i="10"/>
  <c r="BI291" i="10"/>
  <c r="BI292" i="10"/>
  <c r="BI293" i="10"/>
  <c r="BI294" i="10"/>
  <c r="BI295" i="10"/>
  <c r="BI296" i="10"/>
  <c r="BI297" i="10"/>
  <c r="BI298" i="10"/>
  <c r="BI299" i="10"/>
  <c r="BI300" i="10"/>
  <c r="BI301" i="10"/>
  <c r="BI302" i="10"/>
  <c r="BI303" i="10"/>
  <c r="BI304" i="10"/>
  <c r="BI305" i="10"/>
  <c r="BI306" i="10"/>
  <c r="BI307" i="10"/>
  <c r="BI308" i="10"/>
  <c r="BI309" i="10"/>
  <c r="BI310" i="10"/>
  <c r="BI311" i="10"/>
  <c r="BI312" i="10"/>
  <c r="BI313" i="10"/>
  <c r="BI314" i="10"/>
  <c r="BI315" i="10"/>
  <c r="BI316" i="10"/>
  <c r="BI317" i="10"/>
  <c r="BI318" i="10"/>
  <c r="BI319" i="10"/>
  <c r="BI320" i="10"/>
  <c r="BI321" i="10"/>
  <c r="BI322" i="10"/>
  <c r="BI323" i="10"/>
  <c r="BI324" i="10"/>
  <c r="BI325" i="10"/>
  <c r="BI326" i="10"/>
  <c r="BI327" i="10"/>
  <c r="BI328" i="10"/>
  <c r="BI329" i="10"/>
  <c r="BI330" i="10"/>
  <c r="BI331" i="10"/>
  <c r="BI332" i="10"/>
  <c r="BI333" i="10"/>
  <c r="BI334" i="10"/>
  <c r="BI335" i="10"/>
  <c r="BI336" i="10"/>
  <c r="BI337" i="10"/>
  <c r="BI338" i="10"/>
  <c r="BI339" i="10"/>
  <c r="BI340" i="10"/>
  <c r="BI341" i="10"/>
  <c r="BI342" i="10"/>
  <c r="BI343" i="10"/>
  <c r="BI344" i="10"/>
  <c r="BI345" i="10"/>
  <c r="BI346" i="10"/>
  <c r="BI347" i="10"/>
  <c r="BI348" i="10"/>
  <c r="BI349" i="10"/>
  <c r="BI350" i="10"/>
  <c r="BI351" i="10"/>
  <c r="BI352" i="10"/>
  <c r="BI353" i="10"/>
  <c r="BI354" i="10"/>
  <c r="BI355" i="10"/>
  <c r="BI356" i="10"/>
  <c r="BI357" i="10"/>
  <c r="BI358" i="10"/>
  <c r="BI359" i="10"/>
  <c r="BI360" i="10"/>
  <c r="BI361" i="10"/>
  <c r="BI362" i="10"/>
  <c r="BI363" i="10"/>
  <c r="BI364" i="10"/>
  <c r="BI365" i="10"/>
  <c r="BI366" i="10"/>
  <c r="BI367" i="10"/>
  <c r="BI368" i="10"/>
  <c r="BI369" i="10"/>
  <c r="BI370" i="10"/>
  <c r="BI371" i="10"/>
  <c r="BI372" i="10"/>
  <c r="BI373" i="10"/>
  <c r="BI374" i="10"/>
  <c r="BI375" i="10"/>
  <c r="BI376" i="10"/>
  <c r="BI377" i="10"/>
  <c r="BI378" i="10"/>
  <c r="BI379" i="10"/>
  <c r="BI380" i="10"/>
  <c r="BI381" i="10"/>
  <c r="BI382" i="10"/>
  <c r="BI383" i="10"/>
  <c r="BI384" i="10"/>
  <c r="BI385" i="10"/>
  <c r="BI386" i="10"/>
  <c r="BI387" i="10"/>
  <c r="BI388" i="10"/>
  <c r="BI389" i="10"/>
  <c r="BI390" i="10"/>
  <c r="BI391" i="10"/>
  <c r="BI392" i="10"/>
  <c r="BI393" i="10"/>
  <c r="BI394" i="10"/>
  <c r="BI395" i="10"/>
  <c r="BI396" i="10"/>
  <c r="BI397" i="10"/>
  <c r="BI398" i="10"/>
  <c r="BI399" i="10"/>
  <c r="BI400" i="10"/>
  <c r="BI401" i="10"/>
  <c r="BI402" i="10"/>
  <c r="BI403" i="10"/>
  <c r="BI404" i="10"/>
  <c r="BI405" i="10"/>
  <c r="BI406" i="10"/>
  <c r="BI407" i="10"/>
  <c r="BI408" i="10"/>
  <c r="BI409" i="10"/>
  <c r="BI410" i="10"/>
  <c r="BI411" i="10"/>
  <c r="BI412" i="10"/>
  <c r="BI413" i="10"/>
  <c r="BI414" i="10"/>
  <c r="BI415" i="10"/>
  <c r="BI416" i="10"/>
  <c r="BI417" i="10"/>
  <c r="BI418" i="10"/>
  <c r="BI419" i="10"/>
  <c r="BI420" i="10"/>
  <c r="BI421" i="10"/>
  <c r="BI422" i="10"/>
  <c r="BI423" i="10"/>
  <c r="BI424" i="10"/>
  <c r="BI425" i="10"/>
  <c r="BI426" i="10"/>
  <c r="BI427" i="10"/>
  <c r="BI428" i="10"/>
  <c r="BI429" i="10"/>
  <c r="BI430" i="10"/>
  <c r="BI431" i="10"/>
  <c r="BI432" i="10"/>
  <c r="BI433" i="10"/>
  <c r="BI434" i="10"/>
  <c r="BI435" i="10"/>
  <c r="BI436" i="10"/>
  <c r="BI437" i="10"/>
  <c r="BI438" i="10"/>
  <c r="BI439" i="10"/>
  <c r="BI440" i="10"/>
  <c r="BI441" i="10"/>
  <c r="BI442" i="10"/>
  <c r="BI443" i="10"/>
  <c r="BI444" i="10"/>
  <c r="BI445" i="10"/>
  <c r="BI446" i="10"/>
  <c r="BI447" i="10"/>
  <c r="BI448" i="10"/>
  <c r="BI449" i="10"/>
  <c r="BI450" i="10"/>
  <c r="BI451" i="10"/>
  <c r="BI452" i="10"/>
  <c r="BI453" i="10"/>
  <c r="BI454" i="10"/>
  <c r="BI455" i="10"/>
  <c r="BI456" i="10"/>
  <c r="BI457" i="10"/>
  <c r="BI458" i="10"/>
  <c r="BI459" i="10"/>
  <c r="BI460" i="10"/>
  <c r="BI461" i="10"/>
  <c r="BI462" i="10"/>
  <c r="BI463" i="10"/>
  <c r="BI464" i="10"/>
  <c r="BI465" i="10"/>
  <c r="BI466" i="10"/>
  <c r="BI467" i="10"/>
  <c r="BI468" i="10"/>
  <c r="BI469" i="10"/>
  <c r="BI470" i="10"/>
  <c r="BI471" i="10"/>
  <c r="BI472" i="10"/>
  <c r="BI473" i="10"/>
  <c r="BI474" i="10"/>
  <c r="BI475" i="10"/>
  <c r="BI476" i="10"/>
  <c r="BI477" i="10"/>
  <c r="BI478" i="10"/>
  <c r="BI479" i="10"/>
  <c r="BI480" i="10"/>
  <c r="BI481" i="10"/>
  <c r="BI482" i="10"/>
  <c r="BI483" i="10"/>
  <c r="BI484" i="10"/>
  <c r="BI485" i="10"/>
  <c r="BI486" i="10"/>
  <c r="BI487" i="10"/>
  <c r="BI488" i="10"/>
  <c r="BI489" i="10"/>
  <c r="BI490" i="10"/>
  <c r="BI491" i="10"/>
  <c r="BI492" i="10"/>
  <c r="BI493" i="10"/>
  <c r="BI494" i="10"/>
  <c r="BI495" i="10"/>
  <c r="BI496" i="10"/>
  <c r="BI497" i="10"/>
  <c r="BI498" i="10"/>
  <c r="BI499" i="10"/>
  <c r="BI500" i="10"/>
  <c r="BI501" i="10"/>
  <c r="BI502" i="10"/>
  <c r="BI503" i="10"/>
  <c r="BI504" i="10"/>
  <c r="BI505" i="10"/>
  <c r="BI506" i="10"/>
  <c r="BI507" i="10"/>
  <c r="BI508" i="10"/>
  <c r="BI509" i="10"/>
  <c r="BI510" i="10"/>
  <c r="BI511" i="10"/>
  <c r="BI512" i="10"/>
  <c r="BI513" i="10"/>
  <c r="BI514" i="10"/>
  <c r="BI515" i="10"/>
  <c r="BI516" i="10"/>
  <c r="BI517" i="10"/>
  <c r="BI518" i="10"/>
  <c r="BI519" i="10"/>
  <c r="BI520" i="10"/>
  <c r="BI521" i="10"/>
  <c r="BI522" i="10"/>
  <c r="BI523" i="10"/>
  <c r="BI524" i="10"/>
  <c r="BI525" i="10"/>
  <c r="BI526" i="10"/>
  <c r="BI527" i="10"/>
  <c r="BI528" i="10"/>
  <c r="BI529" i="10"/>
  <c r="BI530" i="10"/>
  <c r="BI531" i="10"/>
  <c r="BI532" i="10"/>
  <c r="BI533" i="10"/>
  <c r="BI534" i="10"/>
  <c r="BI535" i="10"/>
  <c r="BI536" i="10"/>
  <c r="BI537" i="10"/>
  <c r="BI538" i="10"/>
  <c r="BI539" i="10"/>
  <c r="BI540" i="10"/>
  <c r="BI541" i="10"/>
  <c r="BI542" i="10"/>
  <c r="BI543" i="10"/>
  <c r="BI544" i="10"/>
  <c r="BI545" i="10"/>
  <c r="BI546" i="10"/>
  <c r="BI547" i="10"/>
  <c r="BI548" i="10"/>
  <c r="BI549" i="10"/>
  <c r="BI550" i="10"/>
  <c r="BI551" i="10"/>
  <c r="BI552" i="10"/>
  <c r="BI553" i="10"/>
  <c r="BI554" i="10"/>
  <c r="BI555" i="10"/>
  <c r="BI556" i="10"/>
  <c r="BI557" i="10"/>
  <c r="BI558" i="10"/>
  <c r="BI559" i="10"/>
  <c r="BI560" i="10"/>
  <c r="BI561" i="10"/>
  <c r="BI562" i="10"/>
  <c r="BI563" i="10"/>
  <c r="BI564" i="10"/>
  <c r="BI565" i="10"/>
  <c r="BI566" i="10"/>
  <c r="BI567" i="10"/>
  <c r="BI568" i="10"/>
  <c r="BI569" i="10"/>
  <c r="BI570" i="10"/>
  <c r="BI571" i="10"/>
  <c r="BI572" i="10"/>
  <c r="BI573" i="10"/>
  <c r="BI574" i="10"/>
  <c r="BI575" i="10"/>
  <c r="BI576" i="10"/>
  <c r="BI577" i="10"/>
  <c r="BI578" i="10"/>
  <c r="BI579" i="10"/>
  <c r="BI580" i="10"/>
  <c r="BI581" i="10"/>
  <c r="BI582" i="10"/>
  <c r="BI583" i="10"/>
  <c r="BI2" i="10"/>
  <c r="BH3" i="10"/>
  <c r="BH4" i="10"/>
  <c r="BH5" i="10"/>
  <c r="BH6" i="10"/>
  <c r="BH7" i="10"/>
  <c r="BH8" i="10"/>
  <c r="BH9" i="10"/>
  <c r="BH10" i="10"/>
  <c r="BH11" i="10"/>
  <c r="BH12" i="10"/>
  <c r="BH13" i="10"/>
  <c r="BH14" i="10"/>
  <c r="BH15" i="10"/>
  <c r="BH16" i="10"/>
  <c r="BH17" i="10"/>
  <c r="BH18" i="10"/>
  <c r="BH19" i="10"/>
  <c r="BH20" i="10"/>
  <c r="BH21" i="10"/>
  <c r="BH22" i="10"/>
  <c r="BH23" i="10"/>
  <c r="BH24" i="10"/>
  <c r="BH25" i="10"/>
  <c r="BH26" i="10"/>
  <c r="BH27" i="10"/>
  <c r="BH28" i="10"/>
  <c r="BH29" i="10"/>
  <c r="BH30" i="10"/>
  <c r="BH31" i="10"/>
  <c r="BH32" i="10"/>
  <c r="BH33" i="10"/>
  <c r="BH34" i="10"/>
  <c r="BH35" i="10"/>
  <c r="BH36" i="10"/>
  <c r="BH37" i="10"/>
  <c r="BH38" i="10"/>
  <c r="BH39" i="10"/>
  <c r="BH40" i="10"/>
  <c r="BH41" i="10"/>
  <c r="BH42" i="10"/>
  <c r="BH43" i="10"/>
  <c r="BH44" i="10"/>
  <c r="BH45" i="10"/>
  <c r="BH46" i="10"/>
  <c r="BH47" i="10"/>
  <c r="BH48" i="10"/>
  <c r="BH49" i="10"/>
  <c r="BH50" i="10"/>
  <c r="BH51" i="10"/>
  <c r="BH52" i="10"/>
  <c r="BH53" i="10"/>
  <c r="BH54" i="10"/>
  <c r="BH55" i="10"/>
  <c r="BH56" i="10"/>
  <c r="BH57" i="10"/>
  <c r="BH58" i="10"/>
  <c r="BH59" i="10"/>
  <c r="BH60" i="10"/>
  <c r="BH61" i="10"/>
  <c r="BH62" i="10"/>
  <c r="BH63" i="10"/>
  <c r="BH64" i="10"/>
  <c r="BH65" i="10"/>
  <c r="BH66" i="10"/>
  <c r="BH67" i="10"/>
  <c r="BH68" i="10"/>
  <c r="BH69" i="10"/>
  <c r="BH70" i="10"/>
  <c r="BH71" i="10"/>
  <c r="BH72" i="10"/>
  <c r="BH73" i="10"/>
  <c r="BH74" i="10"/>
  <c r="BH75" i="10"/>
  <c r="BH76" i="10"/>
  <c r="BH77" i="10"/>
  <c r="BH78" i="10"/>
  <c r="BH79" i="10"/>
  <c r="BH80" i="10"/>
  <c r="BH81" i="10"/>
  <c r="BH82" i="10"/>
  <c r="BH83" i="10"/>
  <c r="BH84" i="10"/>
  <c r="BH85" i="10"/>
  <c r="BH86" i="10"/>
  <c r="BH87" i="10"/>
  <c r="BH88" i="10"/>
  <c r="BH89" i="10"/>
  <c r="BH90" i="10"/>
  <c r="BH91" i="10"/>
  <c r="BH92" i="10"/>
  <c r="BH93" i="10"/>
  <c r="BH94" i="10"/>
  <c r="BH95" i="10"/>
  <c r="BH96" i="10"/>
  <c r="BH97" i="10"/>
  <c r="BH98" i="10"/>
  <c r="BH99" i="10"/>
  <c r="BH100" i="10"/>
  <c r="BH101" i="10"/>
  <c r="BH102" i="10"/>
  <c r="BH103" i="10"/>
  <c r="BH104" i="10"/>
  <c r="BH105" i="10"/>
  <c r="BH106" i="10"/>
  <c r="BH107" i="10"/>
  <c r="BH108" i="10"/>
  <c r="BH109" i="10"/>
  <c r="BH110" i="10"/>
  <c r="BH111" i="10"/>
  <c r="BH112" i="10"/>
  <c r="BH113" i="10"/>
  <c r="BH114" i="10"/>
  <c r="BH115" i="10"/>
  <c r="BH116" i="10"/>
  <c r="BH117" i="10"/>
  <c r="BH118" i="10"/>
  <c r="BH119" i="10"/>
  <c r="BH120" i="10"/>
  <c r="BH121" i="10"/>
  <c r="BH122" i="10"/>
  <c r="BH123" i="10"/>
  <c r="BH124" i="10"/>
  <c r="BH125" i="10"/>
  <c r="BH126" i="10"/>
  <c r="BH127" i="10"/>
  <c r="BH128" i="10"/>
  <c r="BH129" i="10"/>
  <c r="BH130" i="10"/>
  <c r="BH131" i="10"/>
  <c r="BH132" i="10"/>
  <c r="BH133" i="10"/>
  <c r="BH134" i="10"/>
  <c r="BH135" i="10"/>
  <c r="BH136" i="10"/>
  <c r="BH137" i="10"/>
  <c r="BH138" i="10"/>
  <c r="BH139" i="10"/>
  <c r="BH140" i="10"/>
  <c r="BH141" i="10"/>
  <c r="BH142" i="10"/>
  <c r="BH143" i="10"/>
  <c r="BH144" i="10"/>
  <c r="BH145" i="10"/>
  <c r="BH146" i="10"/>
  <c r="BH147" i="10"/>
  <c r="BH148" i="10"/>
  <c r="BH149" i="10"/>
  <c r="BH150" i="10"/>
  <c r="BH151" i="10"/>
  <c r="BH152" i="10"/>
  <c r="BH153" i="10"/>
  <c r="BH154" i="10"/>
  <c r="BH155" i="10"/>
  <c r="BH156" i="10"/>
  <c r="BH157" i="10"/>
  <c r="BH158" i="10"/>
  <c r="BH159" i="10"/>
  <c r="BH160" i="10"/>
  <c r="BH161" i="10"/>
  <c r="BH162" i="10"/>
  <c r="BH163" i="10"/>
  <c r="BH164" i="10"/>
  <c r="BH165" i="10"/>
  <c r="BH166" i="10"/>
  <c r="BH167" i="10"/>
  <c r="BH168" i="10"/>
  <c r="BH169" i="10"/>
  <c r="BH170" i="10"/>
  <c r="BH171" i="10"/>
  <c r="BH172" i="10"/>
  <c r="BH173" i="10"/>
  <c r="BH174" i="10"/>
  <c r="BH175" i="10"/>
  <c r="BH176" i="10"/>
  <c r="BH177" i="10"/>
  <c r="BH178" i="10"/>
  <c r="BH179" i="10"/>
  <c r="BH180" i="10"/>
  <c r="BH181" i="10"/>
  <c r="BH182" i="10"/>
  <c r="BH183" i="10"/>
  <c r="BH184" i="10"/>
  <c r="BH185" i="10"/>
  <c r="BH186" i="10"/>
  <c r="BH187" i="10"/>
  <c r="BH188" i="10"/>
  <c r="BH189" i="10"/>
  <c r="BH190" i="10"/>
  <c r="BH191" i="10"/>
  <c r="BH192" i="10"/>
  <c r="BH193" i="10"/>
  <c r="BH194" i="10"/>
  <c r="BH195" i="10"/>
  <c r="BH196" i="10"/>
  <c r="BH197" i="10"/>
  <c r="BH198" i="10"/>
  <c r="BH199" i="10"/>
  <c r="BH200" i="10"/>
  <c r="BH201" i="10"/>
  <c r="BH202" i="10"/>
  <c r="BH203" i="10"/>
  <c r="BH204" i="10"/>
  <c r="BH205" i="10"/>
  <c r="BH206" i="10"/>
  <c r="BH207" i="10"/>
  <c r="BH208" i="10"/>
  <c r="BH209" i="10"/>
  <c r="BH210" i="10"/>
  <c r="BH211" i="10"/>
  <c r="BH212" i="10"/>
  <c r="BH213" i="10"/>
  <c r="BH214" i="10"/>
  <c r="BH215" i="10"/>
  <c r="BH216" i="10"/>
  <c r="BH217" i="10"/>
  <c r="BH218" i="10"/>
  <c r="BH219" i="10"/>
  <c r="BH220" i="10"/>
  <c r="BH221" i="10"/>
  <c r="BH222" i="10"/>
  <c r="BH223" i="10"/>
  <c r="BH224" i="10"/>
  <c r="BH225" i="10"/>
  <c r="BH226" i="10"/>
  <c r="BH227" i="10"/>
  <c r="BH228" i="10"/>
  <c r="BH229" i="10"/>
  <c r="BH230" i="10"/>
  <c r="BH231" i="10"/>
  <c r="BH232" i="10"/>
  <c r="BH233" i="10"/>
  <c r="BH234" i="10"/>
  <c r="BH235" i="10"/>
  <c r="BH236" i="10"/>
  <c r="BH237" i="10"/>
  <c r="BH238" i="10"/>
  <c r="BH239" i="10"/>
  <c r="BH240" i="10"/>
  <c r="BH241" i="10"/>
  <c r="BH242" i="10"/>
  <c r="BH243" i="10"/>
  <c r="BH244" i="10"/>
  <c r="BH245" i="10"/>
  <c r="BH246" i="10"/>
  <c r="BH247" i="10"/>
  <c r="BH248" i="10"/>
  <c r="BH249" i="10"/>
  <c r="BH250" i="10"/>
  <c r="BH251" i="10"/>
  <c r="BH252" i="10"/>
  <c r="BH253" i="10"/>
  <c r="BH254" i="10"/>
  <c r="BH255" i="10"/>
  <c r="BH256" i="10"/>
  <c r="BH257" i="10"/>
  <c r="BH258" i="10"/>
  <c r="BH259" i="10"/>
  <c r="BH260" i="10"/>
  <c r="BH261" i="10"/>
  <c r="BH262" i="10"/>
  <c r="BH263" i="10"/>
  <c r="BH264" i="10"/>
  <c r="BH265" i="10"/>
  <c r="BH266" i="10"/>
  <c r="BH267" i="10"/>
  <c r="BH268" i="10"/>
  <c r="BH269" i="10"/>
  <c r="BH270" i="10"/>
  <c r="BH271" i="10"/>
  <c r="BH272" i="10"/>
  <c r="BH273" i="10"/>
  <c r="BH274" i="10"/>
  <c r="BH275" i="10"/>
  <c r="BH276" i="10"/>
  <c r="BH277" i="10"/>
  <c r="BH278" i="10"/>
  <c r="BH279" i="10"/>
  <c r="BH280" i="10"/>
  <c r="BH281" i="10"/>
  <c r="BH282" i="10"/>
  <c r="BH283" i="10"/>
  <c r="BH284" i="10"/>
  <c r="BH285" i="10"/>
  <c r="BH286" i="10"/>
  <c r="BH287" i="10"/>
  <c r="BH288" i="10"/>
  <c r="BH289" i="10"/>
  <c r="BH290" i="10"/>
  <c r="BH291" i="10"/>
  <c r="BH292" i="10"/>
  <c r="BH293" i="10"/>
  <c r="BH294" i="10"/>
  <c r="BH295" i="10"/>
  <c r="BH296" i="10"/>
  <c r="BH297" i="10"/>
  <c r="BH298" i="10"/>
  <c r="BH299" i="10"/>
  <c r="BH300" i="10"/>
  <c r="BH301" i="10"/>
  <c r="BH302" i="10"/>
  <c r="BH303" i="10"/>
  <c r="BH304" i="10"/>
  <c r="BH305" i="10"/>
  <c r="BH306" i="10"/>
  <c r="BH307" i="10"/>
  <c r="BH308" i="10"/>
  <c r="BH309" i="10"/>
  <c r="BH310" i="10"/>
  <c r="BH311" i="10"/>
  <c r="BH312" i="10"/>
  <c r="BH313" i="10"/>
  <c r="BH314" i="10"/>
  <c r="BH315" i="10"/>
  <c r="BH316" i="10"/>
  <c r="BH317" i="10"/>
  <c r="BH318" i="10"/>
  <c r="BH319" i="10"/>
  <c r="BH320" i="10"/>
  <c r="BH321" i="10"/>
  <c r="BH322" i="10"/>
  <c r="BH323" i="10"/>
  <c r="BH324" i="10"/>
  <c r="BH325" i="10"/>
  <c r="BH326" i="10"/>
  <c r="BH327" i="10"/>
  <c r="BH328" i="10"/>
  <c r="BH329" i="10"/>
  <c r="BH330" i="10"/>
  <c r="BH331" i="10"/>
  <c r="BH332" i="10"/>
  <c r="BH333" i="10"/>
  <c r="BH334" i="10"/>
  <c r="BH335" i="10"/>
  <c r="BH336" i="10"/>
  <c r="BH337" i="10"/>
  <c r="BH338" i="10"/>
  <c r="BH339" i="10"/>
  <c r="BH340" i="10"/>
  <c r="BH341" i="10"/>
  <c r="BH342" i="10"/>
  <c r="BH343" i="10"/>
  <c r="BH344" i="10"/>
  <c r="BH345" i="10"/>
  <c r="BH346" i="10"/>
  <c r="BH347" i="10"/>
  <c r="BH348" i="10"/>
  <c r="BH349" i="10"/>
  <c r="BH350" i="10"/>
  <c r="BH351" i="10"/>
  <c r="BH352" i="10"/>
  <c r="BH353" i="10"/>
  <c r="BH354" i="10"/>
  <c r="BH355" i="10"/>
  <c r="BH356" i="10"/>
  <c r="BH357" i="10"/>
  <c r="BH358" i="10"/>
  <c r="BH359" i="10"/>
  <c r="BH360" i="10"/>
  <c r="BH361" i="10"/>
  <c r="BH362" i="10"/>
  <c r="BH363" i="10"/>
  <c r="BH364" i="10"/>
  <c r="BH365" i="10"/>
  <c r="BH366" i="10"/>
  <c r="BH367" i="10"/>
  <c r="BH368" i="10"/>
  <c r="BH369" i="10"/>
  <c r="BH370" i="10"/>
  <c r="BH371" i="10"/>
  <c r="BH372" i="10"/>
  <c r="BH373" i="10"/>
  <c r="BH374" i="10"/>
  <c r="BH375" i="10"/>
  <c r="BH376" i="10"/>
  <c r="BH377" i="10"/>
  <c r="BH378" i="10"/>
  <c r="BH379" i="10"/>
  <c r="BH380" i="10"/>
  <c r="BH381" i="10"/>
  <c r="BH382" i="10"/>
  <c r="BH383" i="10"/>
  <c r="BH384" i="10"/>
  <c r="BH385" i="10"/>
  <c r="BH386" i="10"/>
  <c r="BH387" i="10"/>
  <c r="BH388" i="10"/>
  <c r="BH389" i="10"/>
  <c r="BH390" i="10"/>
  <c r="BH391" i="10"/>
  <c r="BH392" i="10"/>
  <c r="BH393" i="10"/>
  <c r="BH394" i="10"/>
  <c r="BH395" i="10"/>
  <c r="BH396" i="10"/>
  <c r="BH397" i="10"/>
  <c r="BH398" i="10"/>
  <c r="BH399" i="10"/>
  <c r="BH400" i="10"/>
  <c r="BH401" i="10"/>
  <c r="BH402" i="10"/>
  <c r="BH403" i="10"/>
  <c r="BH404" i="10"/>
  <c r="BH405" i="10"/>
  <c r="BH406" i="10"/>
  <c r="BH407" i="10"/>
  <c r="BH408" i="10"/>
  <c r="BH409" i="10"/>
  <c r="BH410" i="10"/>
  <c r="BH411" i="10"/>
  <c r="BH412" i="10"/>
  <c r="BH413" i="10"/>
  <c r="BH414" i="10"/>
  <c r="BH415" i="10"/>
  <c r="BH416" i="10"/>
  <c r="BH417" i="10"/>
  <c r="BH418" i="10"/>
  <c r="BH419" i="10"/>
  <c r="BH420" i="10"/>
  <c r="BH421" i="10"/>
  <c r="BH422" i="10"/>
  <c r="BH423" i="10"/>
  <c r="BH424" i="10"/>
  <c r="BH425" i="10"/>
  <c r="BH426" i="10"/>
  <c r="BH427" i="10"/>
  <c r="BH428" i="10"/>
  <c r="BH429" i="10"/>
  <c r="BH430" i="10"/>
  <c r="BH431" i="10"/>
  <c r="BH432" i="10"/>
  <c r="BH433" i="10"/>
  <c r="BH434" i="10"/>
  <c r="BH435" i="10"/>
  <c r="BH436" i="10"/>
  <c r="BH437" i="10"/>
  <c r="BH438" i="10"/>
  <c r="BH439" i="10"/>
  <c r="BH440" i="10"/>
  <c r="BH441" i="10"/>
  <c r="BH442" i="10"/>
  <c r="BH443" i="10"/>
  <c r="BH444" i="10"/>
  <c r="BH445" i="10"/>
  <c r="BH446" i="10"/>
  <c r="BH447" i="10"/>
  <c r="BH448" i="10"/>
  <c r="BH449" i="10"/>
  <c r="BH450" i="10"/>
  <c r="BH451" i="10"/>
  <c r="BH452" i="10"/>
  <c r="BH453" i="10"/>
  <c r="BH454" i="10"/>
  <c r="BH455" i="10"/>
  <c r="BH456" i="10"/>
  <c r="BH457" i="10"/>
  <c r="BH458" i="10"/>
  <c r="BH459" i="10"/>
  <c r="BH460" i="10"/>
  <c r="BH461" i="10"/>
  <c r="BH462" i="10"/>
  <c r="BH463" i="10"/>
  <c r="BH464" i="10"/>
  <c r="BH465" i="10"/>
  <c r="BH466" i="10"/>
  <c r="BH467" i="10"/>
  <c r="BH468" i="10"/>
  <c r="BH469" i="10"/>
  <c r="BH470" i="10"/>
  <c r="BH471" i="10"/>
  <c r="BH472" i="10"/>
  <c r="BH473" i="10"/>
  <c r="BH474" i="10"/>
  <c r="BH475" i="10"/>
  <c r="BH476" i="10"/>
  <c r="BH477" i="10"/>
  <c r="BH478" i="10"/>
  <c r="BH479" i="10"/>
  <c r="BH480" i="10"/>
  <c r="BH481" i="10"/>
  <c r="BH482" i="10"/>
  <c r="BH483" i="10"/>
  <c r="BH484" i="10"/>
  <c r="BH485" i="10"/>
  <c r="BH486" i="10"/>
  <c r="BH487" i="10"/>
  <c r="BH488" i="10"/>
  <c r="BH489" i="10"/>
  <c r="BH490" i="10"/>
  <c r="BH491" i="10"/>
  <c r="BH492" i="10"/>
  <c r="BH493" i="10"/>
  <c r="BH494" i="10"/>
  <c r="BH495" i="10"/>
  <c r="BH496" i="10"/>
  <c r="BH497" i="10"/>
  <c r="BH498" i="10"/>
  <c r="BH499" i="10"/>
  <c r="BH500" i="10"/>
  <c r="BH501" i="10"/>
  <c r="BH502" i="10"/>
  <c r="BH503" i="10"/>
  <c r="BH504" i="10"/>
  <c r="BH505" i="10"/>
  <c r="BH506" i="10"/>
  <c r="BH507" i="10"/>
  <c r="BH508" i="10"/>
  <c r="BH509" i="10"/>
  <c r="BH510" i="10"/>
  <c r="BH511" i="10"/>
  <c r="BH512" i="10"/>
  <c r="BH513" i="10"/>
  <c r="BH514" i="10"/>
  <c r="BH515" i="10"/>
  <c r="BH516" i="10"/>
  <c r="BH517" i="10"/>
  <c r="BH518" i="10"/>
  <c r="BH519" i="10"/>
  <c r="BH520" i="10"/>
  <c r="BH521" i="10"/>
  <c r="BH522" i="10"/>
  <c r="BH523" i="10"/>
  <c r="BH524" i="10"/>
  <c r="BH525" i="10"/>
  <c r="BH526" i="10"/>
  <c r="BH527" i="10"/>
  <c r="BH528" i="10"/>
  <c r="BH529" i="10"/>
  <c r="BH530" i="10"/>
  <c r="BH531" i="10"/>
  <c r="BH532" i="10"/>
  <c r="BH533" i="10"/>
  <c r="BH534" i="10"/>
  <c r="BH535" i="10"/>
  <c r="BH536" i="10"/>
  <c r="BH537" i="10"/>
  <c r="BH538" i="10"/>
  <c r="BH539" i="10"/>
  <c r="BH540" i="10"/>
  <c r="BH541" i="10"/>
  <c r="BH542" i="10"/>
  <c r="BH543" i="10"/>
  <c r="BH544" i="10"/>
  <c r="BH545" i="10"/>
  <c r="BH546" i="10"/>
  <c r="BH547" i="10"/>
  <c r="BH548" i="10"/>
  <c r="BH549" i="10"/>
  <c r="BH550" i="10"/>
  <c r="BH551" i="10"/>
  <c r="BH552" i="10"/>
  <c r="BH553" i="10"/>
  <c r="BH554" i="10"/>
  <c r="BH555" i="10"/>
  <c r="BH556" i="10"/>
  <c r="BH557" i="10"/>
  <c r="BH558" i="10"/>
  <c r="BH559" i="10"/>
  <c r="BH560" i="10"/>
  <c r="BH561" i="10"/>
  <c r="BH562" i="10"/>
  <c r="BH563" i="10"/>
  <c r="BH564" i="10"/>
  <c r="BH565" i="10"/>
  <c r="BH566" i="10"/>
  <c r="BH567" i="10"/>
  <c r="BH568" i="10"/>
  <c r="BH569" i="10"/>
  <c r="BH570" i="10"/>
  <c r="BH571" i="10"/>
  <c r="BH572" i="10"/>
  <c r="BH573" i="10"/>
  <c r="BH574" i="10"/>
  <c r="BH575" i="10"/>
  <c r="BH576" i="10"/>
  <c r="BH577" i="10"/>
  <c r="BH578" i="10"/>
  <c r="BH579" i="10"/>
  <c r="BH580" i="10"/>
  <c r="BH581" i="10"/>
  <c r="BH582" i="10"/>
  <c r="BH583" i="10"/>
  <c r="BH2" i="10"/>
  <c r="BF3" i="10"/>
  <c r="BF4" i="10"/>
  <c r="BF5" i="10"/>
  <c r="BF6" i="10"/>
  <c r="BF7" i="10"/>
  <c r="BF8" i="10"/>
  <c r="BF9" i="10"/>
  <c r="BF10" i="10"/>
  <c r="BF11" i="10"/>
  <c r="BF12" i="10"/>
  <c r="BF13" i="10"/>
  <c r="BF14" i="10"/>
  <c r="BF15" i="10"/>
  <c r="BF16" i="10"/>
  <c r="BF17" i="10"/>
  <c r="BF18" i="10"/>
  <c r="BF19" i="10"/>
  <c r="BF20" i="10"/>
  <c r="BF21" i="10"/>
  <c r="BF22" i="10"/>
  <c r="BF23" i="10"/>
  <c r="BF24" i="10"/>
  <c r="BF25" i="10"/>
  <c r="BF26" i="10"/>
  <c r="BF27" i="10"/>
  <c r="BF28" i="10"/>
  <c r="BF29" i="10"/>
  <c r="BF30" i="10"/>
  <c r="BF31" i="10"/>
  <c r="BF32" i="10"/>
  <c r="BF33" i="10"/>
  <c r="BF34" i="10"/>
  <c r="BF35" i="10"/>
  <c r="BF36" i="10"/>
  <c r="BF37" i="10"/>
  <c r="BF38" i="10"/>
  <c r="BF39" i="10"/>
  <c r="BF40" i="10"/>
  <c r="BF41" i="10"/>
  <c r="BF42" i="10"/>
  <c r="BF43" i="10"/>
  <c r="BF44" i="10"/>
  <c r="BF45" i="10"/>
  <c r="BF46" i="10"/>
  <c r="BF47" i="10"/>
  <c r="BF48" i="10"/>
  <c r="BF49" i="10"/>
  <c r="BF50" i="10"/>
  <c r="BF51" i="10"/>
  <c r="BF52" i="10"/>
  <c r="BF53" i="10"/>
  <c r="BF54" i="10"/>
  <c r="BF55" i="10"/>
  <c r="BF56" i="10"/>
  <c r="BF57" i="10"/>
  <c r="BF58" i="10"/>
  <c r="BF59" i="10"/>
  <c r="BF60" i="10"/>
  <c r="BF61" i="10"/>
  <c r="BF62" i="10"/>
  <c r="BF63" i="10"/>
  <c r="BF64" i="10"/>
  <c r="BF65" i="10"/>
  <c r="BF66" i="10"/>
  <c r="BF67" i="10"/>
  <c r="BF68" i="10"/>
  <c r="BF69" i="10"/>
  <c r="BF70" i="10"/>
  <c r="BF71" i="10"/>
  <c r="BF72" i="10"/>
  <c r="BF73" i="10"/>
  <c r="BF74" i="10"/>
  <c r="BF75" i="10"/>
  <c r="BF76" i="10"/>
  <c r="BF77" i="10"/>
  <c r="BF78" i="10"/>
  <c r="BF79" i="10"/>
  <c r="BF80" i="10"/>
  <c r="BF81" i="10"/>
  <c r="BF82" i="10"/>
  <c r="BF83" i="10"/>
  <c r="BF84" i="10"/>
  <c r="BF85" i="10"/>
  <c r="BF86" i="10"/>
  <c r="BF87" i="10"/>
  <c r="BF88" i="10"/>
  <c r="BF89" i="10"/>
  <c r="BF90" i="10"/>
  <c r="BF91" i="10"/>
  <c r="BF92" i="10"/>
  <c r="BF93" i="10"/>
  <c r="BF94" i="10"/>
  <c r="BF95" i="10"/>
  <c r="BF96" i="10"/>
  <c r="BF97" i="10"/>
  <c r="BF98" i="10"/>
  <c r="BF99" i="10"/>
  <c r="BF100" i="10"/>
  <c r="BF101" i="10"/>
  <c r="BF102" i="10"/>
  <c r="BF103" i="10"/>
  <c r="BF104" i="10"/>
  <c r="BF105" i="10"/>
  <c r="BF106" i="10"/>
  <c r="BF107" i="10"/>
  <c r="BF108" i="10"/>
  <c r="BF109" i="10"/>
  <c r="BF110" i="10"/>
  <c r="BF111" i="10"/>
  <c r="BF112" i="10"/>
  <c r="BF113" i="10"/>
  <c r="BF114" i="10"/>
  <c r="BF115" i="10"/>
  <c r="BF116" i="10"/>
  <c r="BF117" i="10"/>
  <c r="BF118" i="10"/>
  <c r="BF119" i="10"/>
  <c r="BF120" i="10"/>
  <c r="BF121" i="10"/>
  <c r="BF122" i="10"/>
  <c r="BF123" i="10"/>
  <c r="BF124" i="10"/>
  <c r="BF125" i="10"/>
  <c r="BF126" i="10"/>
  <c r="BF127" i="10"/>
  <c r="BF128" i="10"/>
  <c r="BF129" i="10"/>
  <c r="BF130" i="10"/>
  <c r="BF131" i="10"/>
  <c r="BF132" i="10"/>
  <c r="BF133" i="10"/>
  <c r="BF134" i="10"/>
  <c r="BF135" i="10"/>
  <c r="BF136" i="10"/>
  <c r="BF137" i="10"/>
  <c r="BF138" i="10"/>
  <c r="BF139" i="10"/>
  <c r="BF140" i="10"/>
  <c r="BF141" i="10"/>
  <c r="BF142" i="10"/>
  <c r="BF143" i="10"/>
  <c r="BF144" i="10"/>
  <c r="BF145" i="10"/>
  <c r="BF146" i="10"/>
  <c r="BF147" i="10"/>
  <c r="BF148" i="10"/>
  <c r="BF149" i="10"/>
  <c r="BF150" i="10"/>
  <c r="BF151" i="10"/>
  <c r="BF152" i="10"/>
  <c r="BF153" i="10"/>
  <c r="BF154" i="10"/>
  <c r="BF155" i="10"/>
  <c r="BF156" i="10"/>
  <c r="BF157" i="10"/>
  <c r="BF158" i="10"/>
  <c r="BF159" i="10"/>
  <c r="BF160" i="10"/>
  <c r="BF161" i="10"/>
  <c r="BF162" i="10"/>
  <c r="BF163" i="10"/>
  <c r="BF164" i="10"/>
  <c r="BF165" i="10"/>
  <c r="BF166" i="10"/>
  <c r="BF167" i="10"/>
  <c r="BF168" i="10"/>
  <c r="BF169" i="10"/>
  <c r="BF170" i="10"/>
  <c r="BF171" i="10"/>
  <c r="BF172" i="10"/>
  <c r="BF173" i="10"/>
  <c r="BF174" i="10"/>
  <c r="BF175" i="10"/>
  <c r="BF176" i="10"/>
  <c r="BF177" i="10"/>
  <c r="BF178" i="10"/>
  <c r="BF179" i="10"/>
  <c r="BF180" i="10"/>
  <c r="BF181" i="10"/>
  <c r="BF182" i="10"/>
  <c r="BF183" i="10"/>
  <c r="BF184" i="10"/>
  <c r="BF185" i="10"/>
  <c r="BF186" i="10"/>
  <c r="BF187" i="10"/>
  <c r="BF188" i="10"/>
  <c r="BF189" i="10"/>
  <c r="BF190" i="10"/>
  <c r="BF191" i="10"/>
  <c r="BF192" i="10"/>
  <c r="BF193" i="10"/>
  <c r="BF194" i="10"/>
  <c r="BF195" i="10"/>
  <c r="BF196" i="10"/>
  <c r="BF197" i="10"/>
  <c r="BF198" i="10"/>
  <c r="BF199" i="10"/>
  <c r="BF200" i="10"/>
  <c r="BF201" i="10"/>
  <c r="BF202" i="10"/>
  <c r="BF203" i="10"/>
  <c r="BF204" i="10"/>
  <c r="BF205" i="10"/>
  <c r="BF206" i="10"/>
  <c r="BF207" i="10"/>
  <c r="BF208" i="10"/>
  <c r="BF209" i="10"/>
  <c r="BF210" i="10"/>
  <c r="BF211" i="10"/>
  <c r="BF212" i="10"/>
  <c r="BF213" i="10"/>
  <c r="BF214" i="10"/>
  <c r="BF215" i="10"/>
  <c r="BF216" i="10"/>
  <c r="BF217" i="10"/>
  <c r="BF218" i="10"/>
  <c r="BF219" i="10"/>
  <c r="BF220" i="10"/>
  <c r="BF221" i="10"/>
  <c r="BF222" i="10"/>
  <c r="BF223" i="10"/>
  <c r="BF224" i="10"/>
  <c r="BF225" i="10"/>
  <c r="BF226" i="10"/>
  <c r="BF227" i="10"/>
  <c r="BF228" i="10"/>
  <c r="BF229" i="10"/>
  <c r="BF230" i="10"/>
  <c r="BF231" i="10"/>
  <c r="BF232" i="10"/>
  <c r="BF233" i="10"/>
  <c r="BF234" i="10"/>
  <c r="BF235" i="10"/>
  <c r="BF236" i="10"/>
  <c r="BF237" i="10"/>
  <c r="BF238" i="10"/>
  <c r="BF239" i="10"/>
  <c r="BF240" i="10"/>
  <c r="BF241" i="10"/>
  <c r="BF242" i="10"/>
  <c r="BF243" i="10"/>
  <c r="BF244" i="10"/>
  <c r="BF245" i="10"/>
  <c r="BF246" i="10"/>
  <c r="BF247" i="10"/>
  <c r="BF248" i="10"/>
  <c r="BF249" i="10"/>
  <c r="BF250" i="10"/>
  <c r="BF251" i="10"/>
  <c r="BF252" i="10"/>
  <c r="BF253" i="10"/>
  <c r="BF254" i="10"/>
  <c r="BF255" i="10"/>
  <c r="BF256" i="10"/>
  <c r="BF257" i="10"/>
  <c r="BF258" i="10"/>
  <c r="BF259" i="10"/>
  <c r="BF260" i="10"/>
  <c r="BF261" i="10"/>
  <c r="BF262" i="10"/>
  <c r="BF263" i="10"/>
  <c r="BF264" i="10"/>
  <c r="BF265" i="10"/>
  <c r="BF266" i="10"/>
  <c r="BF267" i="10"/>
  <c r="BF268" i="10"/>
  <c r="BF269" i="10"/>
  <c r="BF270" i="10"/>
  <c r="BF271" i="10"/>
  <c r="BF272" i="10"/>
  <c r="BF273" i="10"/>
  <c r="BF274" i="10"/>
  <c r="BF275" i="10"/>
  <c r="BF276" i="10"/>
  <c r="BF277" i="10"/>
  <c r="BF278" i="10"/>
  <c r="BF279" i="10"/>
  <c r="BF280" i="10"/>
  <c r="BF281" i="10"/>
  <c r="BF282" i="10"/>
  <c r="BF283" i="10"/>
  <c r="BF284" i="10"/>
  <c r="BF285" i="10"/>
  <c r="BF286" i="10"/>
  <c r="BF287" i="10"/>
  <c r="BF288" i="10"/>
  <c r="BF289" i="10"/>
  <c r="BF290" i="10"/>
  <c r="BF291" i="10"/>
  <c r="BF292" i="10"/>
  <c r="BF293" i="10"/>
  <c r="BF294" i="10"/>
  <c r="BF295" i="10"/>
  <c r="BF296" i="10"/>
  <c r="BF297" i="10"/>
  <c r="BF298" i="10"/>
  <c r="BF299" i="10"/>
  <c r="BF300" i="10"/>
  <c r="BF301" i="10"/>
  <c r="BF302" i="10"/>
  <c r="BF303" i="10"/>
  <c r="BF304" i="10"/>
  <c r="BF305" i="10"/>
  <c r="BF306" i="10"/>
  <c r="BF307" i="10"/>
  <c r="BF308" i="10"/>
  <c r="BF309" i="10"/>
  <c r="BF310" i="10"/>
  <c r="BF311" i="10"/>
  <c r="BF312" i="10"/>
  <c r="BF313" i="10"/>
  <c r="BF314" i="10"/>
  <c r="BF315" i="10"/>
  <c r="BF316" i="10"/>
  <c r="BF317" i="10"/>
  <c r="BF318" i="10"/>
  <c r="BF319" i="10"/>
  <c r="BF320" i="10"/>
  <c r="BF321" i="10"/>
  <c r="BF322" i="10"/>
  <c r="BF323" i="10"/>
  <c r="BF324" i="10"/>
  <c r="BF325" i="10"/>
  <c r="BF326" i="10"/>
  <c r="BF327" i="10"/>
  <c r="BF328" i="10"/>
  <c r="BF329" i="10"/>
  <c r="BF330" i="10"/>
  <c r="BF331" i="10"/>
  <c r="BF332" i="10"/>
  <c r="BF333" i="10"/>
  <c r="BF334" i="10"/>
  <c r="BF335" i="10"/>
  <c r="BF336" i="10"/>
  <c r="BF337" i="10"/>
  <c r="BF338" i="10"/>
  <c r="BF339" i="10"/>
  <c r="BF340" i="10"/>
  <c r="BF341" i="10"/>
  <c r="BF342" i="10"/>
  <c r="BF343" i="10"/>
  <c r="BF344" i="10"/>
  <c r="BF345" i="10"/>
  <c r="BF346" i="10"/>
  <c r="BF347" i="10"/>
  <c r="BF348" i="10"/>
  <c r="BF349" i="10"/>
  <c r="BF350" i="10"/>
  <c r="BF351" i="10"/>
  <c r="BF352" i="10"/>
  <c r="BF353" i="10"/>
  <c r="BF354" i="10"/>
  <c r="BF355" i="10"/>
  <c r="BF356" i="10"/>
  <c r="BF357" i="10"/>
  <c r="BF358" i="10"/>
  <c r="BF359" i="10"/>
  <c r="BF360" i="10"/>
  <c r="BF361" i="10"/>
  <c r="BF362" i="10"/>
  <c r="BF363" i="10"/>
  <c r="BF364" i="10"/>
  <c r="BF365" i="10"/>
  <c r="BF366" i="10"/>
  <c r="BF367" i="10"/>
  <c r="BF368" i="10"/>
  <c r="BF369" i="10"/>
  <c r="BF370" i="10"/>
  <c r="BF371" i="10"/>
  <c r="BF372" i="10"/>
  <c r="BF373" i="10"/>
  <c r="BF374" i="10"/>
  <c r="BF375" i="10"/>
  <c r="BF376" i="10"/>
  <c r="BF377" i="10"/>
  <c r="BF378" i="10"/>
  <c r="BF379" i="10"/>
  <c r="BF380" i="10"/>
  <c r="BF381" i="10"/>
  <c r="BF382" i="10"/>
  <c r="BF383" i="10"/>
  <c r="BF384" i="10"/>
  <c r="BF385" i="10"/>
  <c r="BF386" i="10"/>
  <c r="BF387" i="10"/>
  <c r="BF388" i="10"/>
  <c r="BF389" i="10"/>
  <c r="BF390" i="10"/>
  <c r="BF391" i="10"/>
  <c r="BF392" i="10"/>
  <c r="BF393" i="10"/>
  <c r="BF394" i="10"/>
  <c r="BF395" i="10"/>
  <c r="BF396" i="10"/>
  <c r="BF397" i="10"/>
  <c r="BF398" i="10"/>
  <c r="BF399" i="10"/>
  <c r="BF400" i="10"/>
  <c r="BF401" i="10"/>
  <c r="BF402" i="10"/>
  <c r="BF403" i="10"/>
  <c r="BF404" i="10"/>
  <c r="BF405" i="10"/>
  <c r="BF406" i="10"/>
  <c r="BF407" i="10"/>
  <c r="BF408" i="10"/>
  <c r="BF409" i="10"/>
  <c r="BF410" i="10"/>
  <c r="BF411" i="10"/>
  <c r="BF412" i="10"/>
  <c r="BF413" i="10"/>
  <c r="BF414" i="10"/>
  <c r="BF415" i="10"/>
  <c r="BF416" i="10"/>
  <c r="BF417" i="10"/>
  <c r="BF418" i="10"/>
  <c r="BF419" i="10"/>
  <c r="BF420" i="10"/>
  <c r="BF421" i="10"/>
  <c r="BF422" i="10"/>
  <c r="BF423" i="10"/>
  <c r="BF424" i="10"/>
  <c r="BF425" i="10"/>
  <c r="BF426" i="10"/>
  <c r="BF427" i="10"/>
  <c r="BF428" i="10"/>
  <c r="BF429" i="10"/>
  <c r="BF430" i="10"/>
  <c r="BF431" i="10"/>
  <c r="BF432" i="10"/>
  <c r="BF433" i="10"/>
  <c r="BF434" i="10"/>
  <c r="BF435" i="10"/>
  <c r="BF436" i="10"/>
  <c r="BF437" i="10"/>
  <c r="BF438" i="10"/>
  <c r="BF439" i="10"/>
  <c r="BF440" i="10"/>
  <c r="BF441" i="10"/>
  <c r="BF442" i="10"/>
  <c r="BF443" i="10"/>
  <c r="BF444" i="10"/>
  <c r="BF445" i="10"/>
  <c r="BF446" i="10"/>
  <c r="BF447" i="10"/>
  <c r="BF448" i="10"/>
  <c r="BF449" i="10"/>
  <c r="BF450" i="10"/>
  <c r="BF451" i="10"/>
  <c r="BF452" i="10"/>
  <c r="BF453" i="10"/>
  <c r="BF454" i="10"/>
  <c r="BF455" i="10"/>
  <c r="BF456" i="10"/>
  <c r="BF457" i="10"/>
  <c r="BF458" i="10"/>
  <c r="BF459" i="10"/>
  <c r="BF460" i="10"/>
  <c r="BF461" i="10"/>
  <c r="BF462" i="10"/>
  <c r="BF463" i="10"/>
  <c r="BF464" i="10"/>
  <c r="BF465" i="10"/>
  <c r="BF466" i="10"/>
  <c r="BF467" i="10"/>
  <c r="BF468" i="10"/>
  <c r="BF469" i="10"/>
  <c r="BF470" i="10"/>
  <c r="BF471" i="10"/>
  <c r="BF472" i="10"/>
  <c r="BF473" i="10"/>
  <c r="BF474" i="10"/>
  <c r="BF475" i="10"/>
  <c r="BF476" i="10"/>
  <c r="BF477" i="10"/>
  <c r="BF478" i="10"/>
  <c r="BF479" i="10"/>
  <c r="BF480" i="10"/>
  <c r="BF481" i="10"/>
  <c r="BF482" i="10"/>
  <c r="BF483" i="10"/>
  <c r="BF484" i="10"/>
  <c r="BF485" i="10"/>
  <c r="BF486" i="10"/>
  <c r="BF487" i="10"/>
  <c r="BF488" i="10"/>
  <c r="BF489" i="10"/>
  <c r="BF490" i="10"/>
  <c r="BF491" i="10"/>
  <c r="BF492" i="10"/>
  <c r="BF493" i="10"/>
  <c r="BF494" i="10"/>
  <c r="BF495" i="10"/>
  <c r="BF496" i="10"/>
  <c r="BF497" i="10"/>
  <c r="BF498" i="10"/>
  <c r="BF499" i="10"/>
  <c r="BF500" i="10"/>
  <c r="BF501" i="10"/>
  <c r="BF502" i="10"/>
  <c r="BF503" i="10"/>
  <c r="BF504" i="10"/>
  <c r="BF505" i="10"/>
  <c r="BF506" i="10"/>
  <c r="BF507" i="10"/>
  <c r="BF508" i="10"/>
  <c r="BF509" i="10"/>
  <c r="BF510" i="10"/>
  <c r="BF511" i="10"/>
  <c r="BF512" i="10"/>
  <c r="BF513" i="10"/>
  <c r="BF514" i="10"/>
  <c r="BF515" i="10"/>
  <c r="BF516" i="10"/>
  <c r="BF517" i="10"/>
  <c r="BF518" i="10"/>
  <c r="BF519" i="10"/>
  <c r="BF520" i="10"/>
  <c r="BF521" i="10"/>
  <c r="BF522" i="10"/>
  <c r="BF523" i="10"/>
  <c r="BF524" i="10"/>
  <c r="BF525" i="10"/>
  <c r="BF526" i="10"/>
  <c r="BF527" i="10"/>
  <c r="BF528" i="10"/>
  <c r="BF529" i="10"/>
  <c r="BF530" i="10"/>
  <c r="BF531" i="10"/>
  <c r="BF532" i="10"/>
  <c r="BF533" i="10"/>
  <c r="BF534" i="10"/>
  <c r="BF535" i="10"/>
  <c r="BF536" i="10"/>
  <c r="BF537" i="10"/>
  <c r="BF538" i="10"/>
  <c r="BF539" i="10"/>
  <c r="BF540" i="10"/>
  <c r="BF541" i="10"/>
  <c r="BF542" i="10"/>
  <c r="BF543" i="10"/>
  <c r="BF544" i="10"/>
  <c r="BF545" i="10"/>
  <c r="BF546" i="10"/>
  <c r="BF547" i="10"/>
  <c r="BF548" i="10"/>
  <c r="BF549" i="10"/>
  <c r="BF550" i="10"/>
  <c r="BF551" i="10"/>
  <c r="BF552" i="10"/>
  <c r="BF553" i="10"/>
  <c r="BF554" i="10"/>
  <c r="BF555" i="10"/>
  <c r="BF556" i="10"/>
  <c r="BF557" i="10"/>
  <c r="BF558" i="10"/>
  <c r="BF559" i="10"/>
  <c r="BF560" i="10"/>
  <c r="BF561" i="10"/>
  <c r="BF562" i="10"/>
  <c r="BF563" i="10"/>
  <c r="BF564" i="10"/>
  <c r="BF565" i="10"/>
  <c r="BF566" i="10"/>
  <c r="BF567" i="10"/>
  <c r="BF568" i="10"/>
  <c r="BF569" i="10"/>
  <c r="BF570" i="10"/>
  <c r="BF571" i="10"/>
  <c r="BF572" i="10"/>
  <c r="BF573" i="10"/>
  <c r="BF574" i="10"/>
  <c r="BF575" i="10"/>
  <c r="BF576" i="10"/>
  <c r="BF577" i="10"/>
  <c r="BF578" i="10"/>
  <c r="BF579" i="10"/>
  <c r="BF580" i="10"/>
  <c r="BF581" i="10"/>
  <c r="BF582" i="10"/>
  <c r="BF583" i="10"/>
  <c r="BF2" i="10"/>
  <c r="BE3" i="10"/>
  <c r="BE4" i="10"/>
  <c r="BE5" i="10"/>
  <c r="BE6" i="10"/>
  <c r="BE7" i="10"/>
  <c r="BE8" i="10"/>
  <c r="BE9" i="10"/>
  <c r="BE10" i="10"/>
  <c r="BE11" i="10"/>
  <c r="BE12" i="10"/>
  <c r="BE13" i="10"/>
  <c r="BE14" i="10"/>
  <c r="BE15" i="10"/>
  <c r="BE16" i="10"/>
  <c r="BE17" i="10"/>
  <c r="BE18" i="10"/>
  <c r="BE19" i="10"/>
  <c r="BE20" i="10"/>
  <c r="BE21" i="10"/>
  <c r="BE22" i="10"/>
  <c r="BE23" i="10"/>
  <c r="BE24" i="10"/>
  <c r="BE25" i="10"/>
  <c r="BE26" i="10"/>
  <c r="BE27" i="10"/>
  <c r="BE28" i="10"/>
  <c r="BE29" i="10"/>
  <c r="BE30" i="10"/>
  <c r="BE31" i="10"/>
  <c r="BE32" i="10"/>
  <c r="BE33" i="10"/>
  <c r="BE34" i="10"/>
  <c r="BE35" i="10"/>
  <c r="BE36" i="10"/>
  <c r="BE37" i="10"/>
  <c r="BE38" i="10"/>
  <c r="BE39" i="10"/>
  <c r="BE40" i="10"/>
  <c r="BE41" i="10"/>
  <c r="BE42" i="10"/>
  <c r="BE43" i="10"/>
  <c r="BE44" i="10"/>
  <c r="BE45" i="10"/>
  <c r="BE46" i="10"/>
  <c r="BE47" i="10"/>
  <c r="BE48" i="10"/>
  <c r="BE49" i="10"/>
  <c r="BE50" i="10"/>
  <c r="BE51" i="10"/>
  <c r="BE52" i="10"/>
  <c r="BE53" i="10"/>
  <c r="BE54" i="10"/>
  <c r="BE55" i="10"/>
  <c r="BE56" i="10"/>
  <c r="BE57" i="10"/>
  <c r="BE58" i="10"/>
  <c r="BE59" i="10"/>
  <c r="BE60" i="10"/>
  <c r="BE61" i="10"/>
  <c r="BE62" i="10"/>
  <c r="BE63" i="10"/>
  <c r="BE64" i="10"/>
  <c r="BE65" i="10"/>
  <c r="BE66" i="10"/>
  <c r="BE67" i="10"/>
  <c r="BE68" i="10"/>
  <c r="BE69" i="10"/>
  <c r="BE70" i="10"/>
  <c r="BE71" i="10"/>
  <c r="BE72" i="10"/>
  <c r="BE73" i="10"/>
  <c r="BE74" i="10"/>
  <c r="BE75" i="10"/>
  <c r="BE76" i="10"/>
  <c r="BE77" i="10"/>
  <c r="BE78" i="10"/>
  <c r="BE79" i="10"/>
  <c r="BE80" i="10"/>
  <c r="BE81" i="10"/>
  <c r="BE82" i="10"/>
  <c r="BE83" i="10"/>
  <c r="BE84" i="10"/>
  <c r="BE85" i="10"/>
  <c r="BE86" i="10"/>
  <c r="BE87" i="10"/>
  <c r="BE88" i="10"/>
  <c r="BE89" i="10"/>
  <c r="BE90" i="10"/>
  <c r="BE91" i="10"/>
  <c r="BE92" i="10"/>
  <c r="BE93" i="10"/>
  <c r="BE94" i="10"/>
  <c r="BE95" i="10"/>
  <c r="BE96" i="10"/>
  <c r="BE97" i="10"/>
  <c r="BE98" i="10"/>
  <c r="BE99" i="10"/>
  <c r="BE100" i="10"/>
  <c r="BE101" i="10"/>
  <c r="BE102" i="10"/>
  <c r="BE103" i="10"/>
  <c r="BE104" i="10"/>
  <c r="BE105" i="10"/>
  <c r="BE106" i="10"/>
  <c r="BE107" i="10"/>
  <c r="BE108" i="10"/>
  <c r="BE109" i="10"/>
  <c r="BE110" i="10"/>
  <c r="BE111" i="10"/>
  <c r="BE112" i="10"/>
  <c r="BE113" i="10"/>
  <c r="BE114" i="10"/>
  <c r="BE115" i="10"/>
  <c r="BE116" i="10"/>
  <c r="BE117" i="10"/>
  <c r="BE118" i="10"/>
  <c r="BE119" i="10"/>
  <c r="BE120" i="10"/>
  <c r="BE121" i="10"/>
  <c r="BE122" i="10"/>
  <c r="BE123" i="10"/>
  <c r="BE124" i="10"/>
  <c r="BE125" i="10"/>
  <c r="BE126" i="10"/>
  <c r="BE127" i="10"/>
  <c r="BE128" i="10"/>
  <c r="BE129" i="10"/>
  <c r="BE130" i="10"/>
  <c r="BE131" i="10"/>
  <c r="BE132" i="10"/>
  <c r="BE133" i="10"/>
  <c r="BE134" i="10"/>
  <c r="BE135" i="10"/>
  <c r="BE136" i="10"/>
  <c r="BE137" i="10"/>
  <c r="BE138" i="10"/>
  <c r="BE139" i="10"/>
  <c r="BE140" i="10"/>
  <c r="BE141" i="10"/>
  <c r="BE142" i="10"/>
  <c r="BE143" i="10"/>
  <c r="BE144" i="10"/>
  <c r="BE145" i="10"/>
  <c r="BE146" i="10"/>
  <c r="BE147" i="10"/>
  <c r="BE148" i="10"/>
  <c r="BE149" i="10"/>
  <c r="BE150" i="10"/>
  <c r="BE151" i="10"/>
  <c r="BE152" i="10"/>
  <c r="BE153" i="10"/>
  <c r="BE154" i="10"/>
  <c r="BE155" i="10"/>
  <c r="BE156" i="10"/>
  <c r="BE157" i="10"/>
  <c r="BE158" i="10"/>
  <c r="BE159" i="10"/>
  <c r="BE160" i="10"/>
  <c r="BE161" i="10"/>
  <c r="BE162" i="10"/>
  <c r="BE163" i="10"/>
  <c r="BE164" i="10"/>
  <c r="BE165" i="10"/>
  <c r="BE166" i="10"/>
  <c r="BE167" i="10"/>
  <c r="BE168" i="10"/>
  <c r="BE169" i="10"/>
  <c r="BE170" i="10"/>
  <c r="BE171" i="10"/>
  <c r="BE172" i="10"/>
  <c r="BE173" i="10"/>
  <c r="BE174" i="10"/>
  <c r="BE175" i="10"/>
  <c r="BE176" i="10"/>
  <c r="BE177" i="10"/>
  <c r="BE178" i="10"/>
  <c r="BE179" i="10"/>
  <c r="BE180" i="10"/>
  <c r="BE181" i="10"/>
  <c r="BE182" i="10"/>
  <c r="BE183" i="10"/>
  <c r="BE184" i="10"/>
  <c r="BE185" i="10"/>
  <c r="BE186" i="10"/>
  <c r="BE187" i="10"/>
  <c r="BE188" i="10"/>
  <c r="BE189" i="10"/>
  <c r="BE190" i="10"/>
  <c r="BE191" i="10"/>
  <c r="BE192" i="10"/>
  <c r="BE193" i="10"/>
  <c r="BE194" i="10"/>
  <c r="BE195" i="10"/>
  <c r="BE196" i="10"/>
  <c r="BE197" i="10"/>
  <c r="BE198" i="10"/>
  <c r="BE199" i="10"/>
  <c r="BE200" i="10"/>
  <c r="BE201" i="10"/>
  <c r="BE202" i="10"/>
  <c r="BE203" i="10"/>
  <c r="BE204" i="10"/>
  <c r="BE205" i="10"/>
  <c r="BE206" i="10"/>
  <c r="BE207" i="10"/>
  <c r="BE208" i="10"/>
  <c r="BE209" i="10"/>
  <c r="BE210" i="10"/>
  <c r="BE211" i="10"/>
  <c r="BE212" i="10"/>
  <c r="BE213" i="10"/>
  <c r="BE214" i="10"/>
  <c r="BE215" i="10"/>
  <c r="BE216" i="10"/>
  <c r="BE217" i="10"/>
  <c r="BE218" i="10"/>
  <c r="BE219" i="10"/>
  <c r="BE220" i="10"/>
  <c r="BE221" i="10"/>
  <c r="BE222" i="10"/>
  <c r="BE223" i="10"/>
  <c r="BE224" i="10"/>
  <c r="BE225" i="10"/>
  <c r="BE226" i="10"/>
  <c r="BE227" i="10"/>
  <c r="BE228" i="10"/>
  <c r="BE229" i="10"/>
  <c r="BE230" i="10"/>
  <c r="BE231" i="10"/>
  <c r="BE232" i="10"/>
  <c r="BE233" i="10"/>
  <c r="BE234" i="10"/>
  <c r="BE235" i="10"/>
  <c r="BE236" i="10"/>
  <c r="BE237" i="10"/>
  <c r="BE238" i="10"/>
  <c r="BE239" i="10"/>
  <c r="BE240" i="10"/>
  <c r="BE241" i="10"/>
  <c r="BE242" i="10"/>
  <c r="BE243" i="10"/>
  <c r="BE244" i="10"/>
  <c r="BE245" i="10"/>
  <c r="BE246" i="10"/>
  <c r="BE247" i="10"/>
  <c r="BE248" i="10"/>
  <c r="BE249" i="10"/>
  <c r="BE250" i="10"/>
  <c r="BE251" i="10"/>
  <c r="BE252" i="10"/>
  <c r="BE253" i="10"/>
  <c r="BE254" i="10"/>
  <c r="BE255" i="10"/>
  <c r="BE256" i="10"/>
  <c r="BE257" i="10"/>
  <c r="BE258" i="10"/>
  <c r="BE259" i="10"/>
  <c r="BE260" i="10"/>
  <c r="BE261" i="10"/>
  <c r="BE262" i="10"/>
  <c r="BE263" i="10"/>
  <c r="BE264" i="10"/>
  <c r="BE265" i="10"/>
  <c r="BE266" i="10"/>
  <c r="BE267" i="10"/>
  <c r="BE268" i="10"/>
  <c r="BE269" i="10"/>
  <c r="BE270" i="10"/>
  <c r="BE271" i="10"/>
  <c r="BE272" i="10"/>
  <c r="BE273" i="10"/>
  <c r="BE274" i="10"/>
  <c r="BE275" i="10"/>
  <c r="BE276" i="10"/>
  <c r="BE277" i="10"/>
  <c r="BE278" i="10"/>
  <c r="BE279" i="10"/>
  <c r="BE280" i="10"/>
  <c r="BE281" i="10"/>
  <c r="BE282" i="10"/>
  <c r="BE283" i="10"/>
  <c r="BE284" i="10"/>
  <c r="BE285" i="10"/>
  <c r="BE286" i="10"/>
  <c r="BE287" i="10"/>
  <c r="BE288" i="10"/>
  <c r="BE289" i="10"/>
  <c r="BE290" i="10"/>
  <c r="BE291" i="10"/>
  <c r="BE292" i="10"/>
  <c r="BE293" i="10"/>
  <c r="BE294" i="10"/>
  <c r="BE295" i="10"/>
  <c r="BE296" i="10"/>
  <c r="BE297" i="10"/>
  <c r="BE298" i="10"/>
  <c r="BE299" i="10"/>
  <c r="BE300" i="10"/>
  <c r="BE301" i="10"/>
  <c r="BE302" i="10"/>
  <c r="BE303" i="10"/>
  <c r="BE304" i="10"/>
  <c r="BE305" i="10"/>
  <c r="BE306" i="10"/>
  <c r="BE307" i="10"/>
  <c r="BE308" i="10"/>
  <c r="BE309" i="10"/>
  <c r="BE310" i="10"/>
  <c r="BE311" i="10"/>
  <c r="BE312" i="10"/>
  <c r="BE313" i="10"/>
  <c r="BE314" i="10"/>
  <c r="BE315" i="10"/>
  <c r="BE316" i="10"/>
  <c r="BE317" i="10"/>
  <c r="BE318" i="10"/>
  <c r="BE319" i="10"/>
  <c r="BE320" i="10"/>
  <c r="BE321" i="10"/>
  <c r="BE322" i="10"/>
  <c r="BE323" i="10"/>
  <c r="BE324" i="10"/>
  <c r="BE325" i="10"/>
  <c r="BE326" i="10"/>
  <c r="BE327" i="10"/>
  <c r="BE328" i="10"/>
  <c r="BE329" i="10"/>
  <c r="BE330" i="10"/>
  <c r="BE331" i="10"/>
  <c r="BE332" i="10"/>
  <c r="BE333" i="10"/>
  <c r="BE334" i="10"/>
  <c r="BE335" i="10"/>
  <c r="BE336" i="10"/>
  <c r="BE337" i="10"/>
  <c r="BE338" i="10"/>
  <c r="BE339" i="10"/>
  <c r="BE340" i="10"/>
  <c r="BE341" i="10"/>
  <c r="BE342" i="10"/>
  <c r="BE343" i="10"/>
  <c r="BE344" i="10"/>
  <c r="BE345" i="10"/>
  <c r="BE346" i="10"/>
  <c r="BE347" i="10"/>
  <c r="BE348" i="10"/>
  <c r="BE349" i="10"/>
  <c r="BE350" i="10"/>
  <c r="BE351" i="10"/>
  <c r="BE352" i="10"/>
  <c r="BE353" i="10"/>
  <c r="BE354" i="10"/>
  <c r="BE355" i="10"/>
  <c r="BE356" i="10"/>
  <c r="BE357" i="10"/>
  <c r="BE358" i="10"/>
  <c r="BE359" i="10"/>
  <c r="BE360" i="10"/>
  <c r="BE361" i="10"/>
  <c r="BE362" i="10"/>
  <c r="BE363" i="10"/>
  <c r="BE364" i="10"/>
  <c r="BE365" i="10"/>
  <c r="BE366" i="10"/>
  <c r="BE367" i="10"/>
  <c r="BE368" i="10"/>
  <c r="BE369" i="10"/>
  <c r="BE370" i="10"/>
  <c r="BE371" i="10"/>
  <c r="BE372" i="10"/>
  <c r="BE373" i="10"/>
  <c r="BE374" i="10"/>
  <c r="BE375" i="10"/>
  <c r="BE376" i="10"/>
  <c r="BE377" i="10"/>
  <c r="BE378" i="10"/>
  <c r="BE379" i="10"/>
  <c r="BE380" i="10"/>
  <c r="BE381" i="10"/>
  <c r="BE382" i="10"/>
  <c r="BE383" i="10"/>
  <c r="BE384" i="10"/>
  <c r="BE385" i="10"/>
  <c r="BE386" i="10"/>
  <c r="BE387" i="10"/>
  <c r="BE388" i="10"/>
  <c r="BE389" i="10"/>
  <c r="BE390" i="10"/>
  <c r="BE391" i="10"/>
  <c r="BE392" i="10"/>
  <c r="BE393" i="10"/>
  <c r="BE394" i="10"/>
  <c r="BE395" i="10"/>
  <c r="BE396" i="10"/>
  <c r="BE397" i="10"/>
  <c r="BE398" i="10"/>
  <c r="BE399" i="10"/>
  <c r="BE400" i="10"/>
  <c r="BE401" i="10"/>
  <c r="BE402" i="10"/>
  <c r="BE403" i="10"/>
  <c r="BE404" i="10"/>
  <c r="BE405" i="10"/>
  <c r="BE406" i="10"/>
  <c r="BE407" i="10"/>
  <c r="BE408" i="10"/>
  <c r="BE409" i="10"/>
  <c r="BE410" i="10"/>
  <c r="BE411" i="10"/>
  <c r="BE412" i="10"/>
  <c r="BE413" i="10"/>
  <c r="BE414" i="10"/>
  <c r="BE415" i="10"/>
  <c r="BE416" i="10"/>
  <c r="BE417" i="10"/>
  <c r="BE418" i="10"/>
  <c r="BE419" i="10"/>
  <c r="BE420" i="10"/>
  <c r="BE421" i="10"/>
  <c r="BE422" i="10"/>
  <c r="BE423" i="10"/>
  <c r="BE424" i="10"/>
  <c r="BE425" i="10"/>
  <c r="BE426" i="10"/>
  <c r="BE427" i="10"/>
  <c r="BE428" i="10"/>
  <c r="BE429" i="10"/>
  <c r="BE430" i="10"/>
  <c r="BE431" i="10"/>
  <c r="BE432" i="10"/>
  <c r="BE433" i="10"/>
  <c r="BE434" i="10"/>
  <c r="BE435" i="10"/>
  <c r="BE436" i="10"/>
  <c r="BE437" i="10"/>
  <c r="BE438" i="10"/>
  <c r="BE439" i="10"/>
  <c r="BE440" i="10"/>
  <c r="BE441" i="10"/>
  <c r="BE442" i="10"/>
  <c r="BE443" i="10"/>
  <c r="BE444" i="10"/>
  <c r="BE445" i="10"/>
  <c r="BE446" i="10"/>
  <c r="BE447" i="10"/>
  <c r="BE448" i="10"/>
  <c r="BE449" i="10"/>
  <c r="BE450" i="10"/>
  <c r="BE451" i="10"/>
  <c r="BE452" i="10"/>
  <c r="BE453" i="10"/>
  <c r="BE454" i="10"/>
  <c r="BE455" i="10"/>
  <c r="BE456" i="10"/>
  <c r="BE457" i="10"/>
  <c r="BE458" i="10"/>
  <c r="BE459" i="10"/>
  <c r="BE460" i="10"/>
  <c r="BE461" i="10"/>
  <c r="BE462" i="10"/>
  <c r="BE463" i="10"/>
  <c r="BE464" i="10"/>
  <c r="BE465" i="10"/>
  <c r="BE466" i="10"/>
  <c r="BE467" i="10"/>
  <c r="BE468" i="10"/>
  <c r="BE469" i="10"/>
  <c r="BE470" i="10"/>
  <c r="BE471" i="10"/>
  <c r="BE472" i="10"/>
  <c r="BE473" i="10"/>
  <c r="BE474" i="10"/>
  <c r="BE475" i="10"/>
  <c r="BE476" i="10"/>
  <c r="BE477" i="10"/>
  <c r="BE478" i="10"/>
  <c r="BE479" i="10"/>
  <c r="BE480" i="10"/>
  <c r="BE481" i="10"/>
  <c r="BE482" i="10"/>
  <c r="BE483" i="10"/>
  <c r="BE484" i="10"/>
  <c r="BE485" i="10"/>
  <c r="BE486" i="10"/>
  <c r="BE487" i="10"/>
  <c r="BE488" i="10"/>
  <c r="BE489" i="10"/>
  <c r="BE490" i="10"/>
  <c r="BE491" i="10"/>
  <c r="BE492" i="10"/>
  <c r="BE493" i="10"/>
  <c r="BE494" i="10"/>
  <c r="BE495" i="10"/>
  <c r="BE496" i="10"/>
  <c r="BE497" i="10"/>
  <c r="BE498" i="10"/>
  <c r="BE499" i="10"/>
  <c r="BE500" i="10"/>
  <c r="BE501" i="10"/>
  <c r="BE502" i="10"/>
  <c r="BE503" i="10"/>
  <c r="BE504" i="10"/>
  <c r="BE505" i="10"/>
  <c r="BE506" i="10"/>
  <c r="BE507" i="10"/>
  <c r="BE508" i="10"/>
  <c r="BE509" i="10"/>
  <c r="BE510" i="10"/>
  <c r="BE511" i="10"/>
  <c r="BE512" i="10"/>
  <c r="BE513" i="10"/>
  <c r="BE514" i="10"/>
  <c r="BE515" i="10"/>
  <c r="BE516" i="10"/>
  <c r="BE517" i="10"/>
  <c r="BE518" i="10"/>
  <c r="BE519" i="10"/>
  <c r="BE520" i="10"/>
  <c r="BE521" i="10"/>
  <c r="BE522" i="10"/>
  <c r="BE523" i="10"/>
  <c r="BE524" i="10"/>
  <c r="BE525" i="10"/>
  <c r="BE526" i="10"/>
  <c r="BE527" i="10"/>
  <c r="BE528" i="10"/>
  <c r="BE529" i="10"/>
  <c r="BE530" i="10"/>
  <c r="BE531" i="10"/>
  <c r="BE532" i="10"/>
  <c r="BE533" i="10"/>
  <c r="BE534" i="10"/>
  <c r="BE535" i="10"/>
  <c r="BE536" i="10"/>
  <c r="BE537" i="10"/>
  <c r="BE538" i="10"/>
  <c r="BE539" i="10"/>
  <c r="BE540" i="10"/>
  <c r="BE541" i="10"/>
  <c r="BE542" i="10"/>
  <c r="BE543" i="10"/>
  <c r="BE544" i="10"/>
  <c r="BE545" i="10"/>
  <c r="BE546" i="10"/>
  <c r="BE547" i="10"/>
  <c r="BE548" i="10"/>
  <c r="BE549" i="10"/>
  <c r="BE550" i="10"/>
  <c r="BE551" i="10"/>
  <c r="BE552" i="10"/>
  <c r="BE553" i="10"/>
  <c r="BE554" i="10"/>
  <c r="BE555" i="10"/>
  <c r="BE556" i="10"/>
  <c r="BE557" i="10"/>
  <c r="BE558" i="10"/>
  <c r="BE559" i="10"/>
  <c r="BE560" i="10"/>
  <c r="BE561" i="10"/>
  <c r="BE562" i="10"/>
  <c r="BE563" i="10"/>
  <c r="BE564" i="10"/>
  <c r="BE565" i="10"/>
  <c r="BE566" i="10"/>
  <c r="BE567" i="10"/>
  <c r="BE568" i="10"/>
  <c r="BE569" i="10"/>
  <c r="BE570" i="10"/>
  <c r="BE571" i="10"/>
  <c r="BE572" i="10"/>
  <c r="BE573" i="10"/>
  <c r="BE574" i="10"/>
  <c r="BE575" i="10"/>
  <c r="BE576" i="10"/>
  <c r="BE577" i="10"/>
  <c r="BE578" i="10"/>
  <c r="BE579" i="10"/>
  <c r="BE580" i="10"/>
  <c r="BE581" i="10"/>
  <c r="BE582" i="10"/>
  <c r="BE583" i="10"/>
  <c r="BE2" i="10"/>
  <c r="BD3" i="10"/>
  <c r="BD4" i="10"/>
  <c r="BD5" i="10"/>
  <c r="BD6" i="10"/>
  <c r="BD7" i="10"/>
  <c r="BD8" i="10"/>
  <c r="BD9" i="10"/>
  <c r="BD10" i="10"/>
  <c r="BD11" i="10"/>
  <c r="BD12" i="10"/>
  <c r="BD13" i="10"/>
  <c r="BD14" i="10"/>
  <c r="BD15" i="10"/>
  <c r="BD16" i="10"/>
  <c r="BD17" i="10"/>
  <c r="BD18" i="10"/>
  <c r="BD19" i="10"/>
  <c r="BD20" i="10"/>
  <c r="BD21" i="10"/>
  <c r="BD22" i="10"/>
  <c r="BD23" i="10"/>
  <c r="BD24" i="10"/>
  <c r="BD25" i="10"/>
  <c r="BD26" i="10"/>
  <c r="BD27" i="10"/>
  <c r="BD28" i="10"/>
  <c r="BD29" i="10"/>
  <c r="BD30" i="10"/>
  <c r="BD31" i="10"/>
  <c r="BD32" i="10"/>
  <c r="BD33" i="10"/>
  <c r="BD34" i="10"/>
  <c r="BD35" i="10"/>
  <c r="BD36" i="10"/>
  <c r="BD37" i="10"/>
  <c r="BD38" i="10"/>
  <c r="BD39" i="10"/>
  <c r="BD40" i="10"/>
  <c r="BD41" i="10"/>
  <c r="BD42" i="10"/>
  <c r="BD43" i="10"/>
  <c r="BD44" i="10"/>
  <c r="BD45" i="10"/>
  <c r="BD46" i="10"/>
  <c r="BD47" i="10"/>
  <c r="BD48" i="10"/>
  <c r="BD49" i="10"/>
  <c r="BD50" i="10"/>
  <c r="BD51" i="10"/>
  <c r="BD52" i="10"/>
  <c r="BD53" i="10"/>
  <c r="BD54" i="10"/>
  <c r="BD55" i="10"/>
  <c r="BD56" i="10"/>
  <c r="BD57" i="10"/>
  <c r="BD58" i="10"/>
  <c r="BD59" i="10"/>
  <c r="BD60" i="10"/>
  <c r="BD61" i="10"/>
  <c r="BD62" i="10"/>
  <c r="BD63" i="10"/>
  <c r="BD64" i="10"/>
  <c r="BD65" i="10"/>
  <c r="BD66" i="10"/>
  <c r="BD67" i="10"/>
  <c r="BD68" i="10"/>
  <c r="BD69" i="10"/>
  <c r="BD70" i="10"/>
  <c r="BD71" i="10"/>
  <c r="BD72" i="10"/>
  <c r="BD73" i="10"/>
  <c r="BD74" i="10"/>
  <c r="BD75" i="10"/>
  <c r="BD76" i="10"/>
  <c r="BD77" i="10"/>
  <c r="BD78" i="10"/>
  <c r="BD79" i="10"/>
  <c r="BD80" i="10"/>
  <c r="BD81" i="10"/>
  <c r="BD82" i="10"/>
  <c r="BD83" i="10"/>
  <c r="BD84" i="10"/>
  <c r="BD85" i="10"/>
  <c r="BD86" i="10"/>
  <c r="BD87" i="10"/>
  <c r="BD88" i="10"/>
  <c r="BD89" i="10"/>
  <c r="BD90" i="10"/>
  <c r="BD91" i="10"/>
  <c r="BD92" i="10"/>
  <c r="BD93" i="10"/>
  <c r="BD94" i="10"/>
  <c r="BD95" i="10"/>
  <c r="BD96" i="10"/>
  <c r="BD97" i="10"/>
  <c r="BD98" i="10"/>
  <c r="BD99" i="10"/>
  <c r="BD100" i="10"/>
  <c r="BD101" i="10"/>
  <c r="BD102" i="10"/>
  <c r="BD103" i="10"/>
  <c r="BD104" i="10"/>
  <c r="BD105" i="10"/>
  <c r="BD106" i="10"/>
  <c r="BD107" i="10"/>
  <c r="BD108" i="10"/>
  <c r="BD109" i="10"/>
  <c r="BD110" i="10"/>
  <c r="BD111" i="10"/>
  <c r="BD112" i="10"/>
  <c r="BD113" i="10"/>
  <c r="BD114" i="10"/>
  <c r="BD115" i="10"/>
  <c r="BD116" i="10"/>
  <c r="BD117" i="10"/>
  <c r="BD118" i="10"/>
  <c r="BD119" i="10"/>
  <c r="BD120" i="10"/>
  <c r="BD121" i="10"/>
  <c r="BD122" i="10"/>
  <c r="BD123" i="10"/>
  <c r="BD124" i="10"/>
  <c r="BD125" i="10"/>
  <c r="BD126" i="10"/>
  <c r="BD127" i="10"/>
  <c r="BD128" i="10"/>
  <c r="BD129" i="10"/>
  <c r="BD130" i="10"/>
  <c r="BD131" i="10"/>
  <c r="BD132" i="10"/>
  <c r="BD133" i="10"/>
  <c r="BD134" i="10"/>
  <c r="BD135" i="10"/>
  <c r="BD136" i="10"/>
  <c r="BD137" i="10"/>
  <c r="BD138" i="10"/>
  <c r="BD139" i="10"/>
  <c r="BD140" i="10"/>
  <c r="BD141" i="10"/>
  <c r="BD142" i="10"/>
  <c r="BD143" i="10"/>
  <c r="BD144" i="10"/>
  <c r="BD145" i="10"/>
  <c r="BD146" i="10"/>
  <c r="BD147" i="10"/>
  <c r="BD148" i="10"/>
  <c r="BD149" i="10"/>
  <c r="BD150" i="10"/>
  <c r="BD151" i="10"/>
  <c r="BD152" i="10"/>
  <c r="BD153" i="10"/>
  <c r="BD154" i="10"/>
  <c r="BD155" i="10"/>
  <c r="BD156" i="10"/>
  <c r="BD157" i="10"/>
  <c r="BD158" i="10"/>
  <c r="BD159" i="10"/>
  <c r="BD160" i="10"/>
  <c r="BD161" i="10"/>
  <c r="BD162" i="10"/>
  <c r="BD163" i="10"/>
  <c r="BD164" i="10"/>
  <c r="BD165" i="10"/>
  <c r="BD166" i="10"/>
  <c r="BD167" i="10"/>
  <c r="BD168" i="10"/>
  <c r="BD169" i="10"/>
  <c r="BD170" i="10"/>
  <c r="BD171" i="10"/>
  <c r="BD172" i="10"/>
  <c r="BD173" i="10"/>
  <c r="BD174" i="10"/>
  <c r="BD175" i="10"/>
  <c r="BD176" i="10"/>
  <c r="BD177" i="10"/>
  <c r="BD178" i="10"/>
  <c r="BD179" i="10"/>
  <c r="BD180" i="10"/>
  <c r="BD181" i="10"/>
  <c r="BD182" i="10"/>
  <c r="BD183" i="10"/>
  <c r="BD184" i="10"/>
  <c r="BD185" i="10"/>
  <c r="BD186" i="10"/>
  <c r="BD187" i="10"/>
  <c r="BD188" i="10"/>
  <c r="BD189" i="10"/>
  <c r="BD190" i="10"/>
  <c r="BD191" i="10"/>
  <c r="BD192" i="10"/>
  <c r="BD193" i="10"/>
  <c r="BD194" i="10"/>
  <c r="BD195" i="10"/>
  <c r="BD196" i="10"/>
  <c r="BD197" i="10"/>
  <c r="BD198" i="10"/>
  <c r="BD199" i="10"/>
  <c r="BD200" i="10"/>
  <c r="BD201" i="10"/>
  <c r="BD202" i="10"/>
  <c r="BD203" i="10"/>
  <c r="BD204" i="10"/>
  <c r="BD205" i="10"/>
  <c r="BD206" i="10"/>
  <c r="BD207" i="10"/>
  <c r="BD208" i="10"/>
  <c r="BD209" i="10"/>
  <c r="BD210" i="10"/>
  <c r="BD211" i="10"/>
  <c r="BD212" i="10"/>
  <c r="BD213" i="10"/>
  <c r="BD214" i="10"/>
  <c r="BD215" i="10"/>
  <c r="BD216" i="10"/>
  <c r="BD217" i="10"/>
  <c r="BD218" i="10"/>
  <c r="BD219" i="10"/>
  <c r="BD220" i="10"/>
  <c r="BD221" i="10"/>
  <c r="BD222" i="10"/>
  <c r="BD223" i="10"/>
  <c r="BD224" i="10"/>
  <c r="BD225" i="10"/>
  <c r="BD226" i="10"/>
  <c r="BD227" i="10"/>
  <c r="BD228" i="10"/>
  <c r="BD229" i="10"/>
  <c r="BD230" i="10"/>
  <c r="BD231" i="10"/>
  <c r="BD232" i="10"/>
  <c r="BD233" i="10"/>
  <c r="BD234" i="10"/>
  <c r="BD235" i="10"/>
  <c r="BD236" i="10"/>
  <c r="BD237" i="10"/>
  <c r="BD238" i="10"/>
  <c r="BD239" i="10"/>
  <c r="BD240" i="10"/>
  <c r="BD241" i="10"/>
  <c r="BD242" i="10"/>
  <c r="BD243" i="10"/>
  <c r="BD244" i="10"/>
  <c r="BD245" i="10"/>
  <c r="BD246" i="10"/>
  <c r="BD247" i="10"/>
  <c r="BD248" i="10"/>
  <c r="BD249" i="10"/>
  <c r="BD250" i="10"/>
  <c r="BD251" i="10"/>
  <c r="BD252" i="10"/>
  <c r="BD253" i="10"/>
  <c r="BD254" i="10"/>
  <c r="BD255" i="10"/>
  <c r="BD256" i="10"/>
  <c r="BD257" i="10"/>
  <c r="BD258" i="10"/>
  <c r="BD259" i="10"/>
  <c r="BD260" i="10"/>
  <c r="BD261" i="10"/>
  <c r="BD262" i="10"/>
  <c r="BD263" i="10"/>
  <c r="BD264" i="10"/>
  <c r="BD265" i="10"/>
  <c r="BD266" i="10"/>
  <c r="BD267" i="10"/>
  <c r="BD268" i="10"/>
  <c r="BD269" i="10"/>
  <c r="BD270" i="10"/>
  <c r="BD271" i="10"/>
  <c r="BD272" i="10"/>
  <c r="BD273" i="10"/>
  <c r="BD274" i="10"/>
  <c r="BD275" i="10"/>
  <c r="BD276" i="10"/>
  <c r="BD277" i="10"/>
  <c r="BD278" i="10"/>
  <c r="BD279" i="10"/>
  <c r="BD280" i="10"/>
  <c r="BD281" i="10"/>
  <c r="BD282" i="10"/>
  <c r="BD283" i="10"/>
  <c r="BD284" i="10"/>
  <c r="BD285" i="10"/>
  <c r="BD286" i="10"/>
  <c r="BD287" i="10"/>
  <c r="BD288" i="10"/>
  <c r="BD289" i="10"/>
  <c r="BD290" i="10"/>
  <c r="BD291" i="10"/>
  <c r="BD292" i="10"/>
  <c r="BD293" i="10"/>
  <c r="BD294" i="10"/>
  <c r="BD295" i="10"/>
  <c r="BD296" i="10"/>
  <c r="BD297" i="10"/>
  <c r="BD298" i="10"/>
  <c r="BD299" i="10"/>
  <c r="BD300" i="10"/>
  <c r="BD301" i="10"/>
  <c r="BD302" i="10"/>
  <c r="BD303" i="10"/>
  <c r="BD304" i="10"/>
  <c r="BD305" i="10"/>
  <c r="BD306" i="10"/>
  <c r="BD307" i="10"/>
  <c r="BD308" i="10"/>
  <c r="BD309" i="10"/>
  <c r="BD310" i="10"/>
  <c r="BD311" i="10"/>
  <c r="BD312" i="10"/>
  <c r="BD313" i="10"/>
  <c r="BD314" i="10"/>
  <c r="BD315" i="10"/>
  <c r="BD316" i="10"/>
  <c r="BD317" i="10"/>
  <c r="BD318" i="10"/>
  <c r="BD319" i="10"/>
  <c r="BD320" i="10"/>
  <c r="BD321" i="10"/>
  <c r="BD322" i="10"/>
  <c r="BD323" i="10"/>
  <c r="BD324" i="10"/>
  <c r="BD325" i="10"/>
  <c r="BD326" i="10"/>
  <c r="BD327" i="10"/>
  <c r="BD328" i="10"/>
  <c r="BD329" i="10"/>
  <c r="BD330" i="10"/>
  <c r="BD331" i="10"/>
  <c r="BD332" i="10"/>
  <c r="BD333" i="10"/>
  <c r="BD334" i="10"/>
  <c r="BD335" i="10"/>
  <c r="BD336" i="10"/>
  <c r="BD337" i="10"/>
  <c r="BD338" i="10"/>
  <c r="BD339" i="10"/>
  <c r="BD340" i="10"/>
  <c r="BD341" i="10"/>
  <c r="BD342" i="10"/>
  <c r="BD343" i="10"/>
  <c r="BD344" i="10"/>
  <c r="BD345" i="10"/>
  <c r="BD346" i="10"/>
  <c r="BD347" i="10"/>
  <c r="BD348" i="10"/>
  <c r="BD349" i="10"/>
  <c r="BD350" i="10"/>
  <c r="BD351" i="10"/>
  <c r="BD352" i="10"/>
  <c r="BD353" i="10"/>
  <c r="BD354" i="10"/>
  <c r="BD355" i="10"/>
  <c r="BD356" i="10"/>
  <c r="BD357" i="10"/>
  <c r="BD358" i="10"/>
  <c r="BD359" i="10"/>
  <c r="BD360" i="10"/>
  <c r="BD361" i="10"/>
  <c r="BD362" i="10"/>
  <c r="BD363" i="10"/>
  <c r="BD364" i="10"/>
  <c r="BD365" i="10"/>
  <c r="BD366" i="10"/>
  <c r="BD367" i="10"/>
  <c r="BD368" i="10"/>
  <c r="BD369" i="10"/>
  <c r="BD370" i="10"/>
  <c r="BD371" i="10"/>
  <c r="BD372" i="10"/>
  <c r="BD373" i="10"/>
  <c r="BD374" i="10"/>
  <c r="BD375" i="10"/>
  <c r="BD376" i="10"/>
  <c r="BD377" i="10"/>
  <c r="BD378" i="10"/>
  <c r="BD379" i="10"/>
  <c r="BD380" i="10"/>
  <c r="BD381" i="10"/>
  <c r="BD382" i="10"/>
  <c r="BD383" i="10"/>
  <c r="BD384" i="10"/>
  <c r="BD385" i="10"/>
  <c r="BD386" i="10"/>
  <c r="BD387" i="10"/>
  <c r="BD388" i="10"/>
  <c r="BD389" i="10"/>
  <c r="BD390" i="10"/>
  <c r="BD391" i="10"/>
  <c r="BD392" i="10"/>
  <c r="BD393" i="10"/>
  <c r="BD394" i="10"/>
  <c r="BD395" i="10"/>
  <c r="BD396" i="10"/>
  <c r="BD397" i="10"/>
  <c r="BD398" i="10"/>
  <c r="BD399" i="10"/>
  <c r="BD400" i="10"/>
  <c r="BD401" i="10"/>
  <c r="BD402" i="10"/>
  <c r="BD403" i="10"/>
  <c r="BD404" i="10"/>
  <c r="BD405" i="10"/>
  <c r="BD406" i="10"/>
  <c r="BD407" i="10"/>
  <c r="BD408" i="10"/>
  <c r="BD409" i="10"/>
  <c r="BD410" i="10"/>
  <c r="BD411" i="10"/>
  <c r="BD412" i="10"/>
  <c r="BD413" i="10"/>
  <c r="BD414" i="10"/>
  <c r="BD415" i="10"/>
  <c r="BD416" i="10"/>
  <c r="BD417" i="10"/>
  <c r="BD418" i="10"/>
  <c r="BD419" i="10"/>
  <c r="BD420" i="10"/>
  <c r="BD421" i="10"/>
  <c r="BD422" i="10"/>
  <c r="BD423" i="10"/>
  <c r="BD424" i="10"/>
  <c r="BD425" i="10"/>
  <c r="BD426" i="10"/>
  <c r="BD427" i="10"/>
  <c r="BD428" i="10"/>
  <c r="BD429" i="10"/>
  <c r="BD430" i="10"/>
  <c r="BD431" i="10"/>
  <c r="BD432" i="10"/>
  <c r="BD433" i="10"/>
  <c r="BD434" i="10"/>
  <c r="BD435" i="10"/>
  <c r="BD436" i="10"/>
  <c r="BD437" i="10"/>
  <c r="BD438" i="10"/>
  <c r="BD439" i="10"/>
  <c r="BD440" i="10"/>
  <c r="BD441" i="10"/>
  <c r="BD442" i="10"/>
  <c r="BD443" i="10"/>
  <c r="BD444" i="10"/>
  <c r="BD445" i="10"/>
  <c r="BD446" i="10"/>
  <c r="BD447" i="10"/>
  <c r="BD448" i="10"/>
  <c r="BD449" i="10"/>
  <c r="BD450" i="10"/>
  <c r="BD451" i="10"/>
  <c r="BD452" i="10"/>
  <c r="BD453" i="10"/>
  <c r="BD454" i="10"/>
  <c r="BD455" i="10"/>
  <c r="BD456" i="10"/>
  <c r="BD457" i="10"/>
  <c r="BD458" i="10"/>
  <c r="BD459" i="10"/>
  <c r="BD460" i="10"/>
  <c r="BD461" i="10"/>
  <c r="BD462" i="10"/>
  <c r="BD463" i="10"/>
  <c r="BD464" i="10"/>
  <c r="BD465" i="10"/>
  <c r="BD466" i="10"/>
  <c r="BD467" i="10"/>
  <c r="BD468" i="10"/>
  <c r="BD469" i="10"/>
  <c r="BD470" i="10"/>
  <c r="BD471" i="10"/>
  <c r="BD472" i="10"/>
  <c r="BD473" i="10"/>
  <c r="BD474" i="10"/>
  <c r="BD475" i="10"/>
  <c r="BD476" i="10"/>
  <c r="BD477" i="10"/>
  <c r="BD478" i="10"/>
  <c r="BD479" i="10"/>
  <c r="BD480" i="10"/>
  <c r="BD481" i="10"/>
  <c r="BD482" i="10"/>
  <c r="BD483" i="10"/>
  <c r="BD484" i="10"/>
  <c r="BD485" i="10"/>
  <c r="BD486" i="10"/>
  <c r="BD487" i="10"/>
  <c r="BD488" i="10"/>
  <c r="BD489" i="10"/>
  <c r="BD490" i="10"/>
  <c r="BD491" i="10"/>
  <c r="BD492" i="10"/>
  <c r="BD493" i="10"/>
  <c r="BD494" i="10"/>
  <c r="BD495" i="10"/>
  <c r="BD496" i="10"/>
  <c r="BD497" i="10"/>
  <c r="BD498" i="10"/>
  <c r="BD499" i="10"/>
  <c r="BD500" i="10"/>
  <c r="BD501" i="10"/>
  <c r="BD502" i="10"/>
  <c r="BD503" i="10"/>
  <c r="BD504" i="10"/>
  <c r="BD505" i="10"/>
  <c r="BD506" i="10"/>
  <c r="BD507" i="10"/>
  <c r="BD508" i="10"/>
  <c r="BD509" i="10"/>
  <c r="BD510" i="10"/>
  <c r="BD511" i="10"/>
  <c r="BD512" i="10"/>
  <c r="BD513" i="10"/>
  <c r="BD514" i="10"/>
  <c r="BD515" i="10"/>
  <c r="BD516" i="10"/>
  <c r="BD517" i="10"/>
  <c r="BD518" i="10"/>
  <c r="BD519" i="10"/>
  <c r="BD520" i="10"/>
  <c r="BD521" i="10"/>
  <c r="BD522" i="10"/>
  <c r="BD523" i="10"/>
  <c r="BD524" i="10"/>
  <c r="BD525" i="10"/>
  <c r="BD526" i="10"/>
  <c r="BD527" i="10"/>
  <c r="BD528" i="10"/>
  <c r="BD529" i="10"/>
  <c r="BD530" i="10"/>
  <c r="BD531" i="10"/>
  <c r="BD532" i="10"/>
  <c r="BD533" i="10"/>
  <c r="BD534" i="10"/>
  <c r="BD535" i="10"/>
  <c r="BD536" i="10"/>
  <c r="BD537" i="10"/>
  <c r="BD538" i="10"/>
  <c r="BD539" i="10"/>
  <c r="BD540" i="10"/>
  <c r="BD541" i="10"/>
  <c r="BD542" i="10"/>
  <c r="BD543" i="10"/>
  <c r="BD544" i="10"/>
  <c r="BD545" i="10"/>
  <c r="BD546" i="10"/>
  <c r="BD547" i="10"/>
  <c r="BD548" i="10"/>
  <c r="BD549" i="10"/>
  <c r="BD550" i="10"/>
  <c r="BD551" i="10"/>
  <c r="BD552" i="10"/>
  <c r="BD553" i="10"/>
  <c r="BD554" i="10"/>
  <c r="BD555" i="10"/>
  <c r="BD556" i="10"/>
  <c r="BD557" i="10"/>
  <c r="BD558" i="10"/>
  <c r="BD559" i="10"/>
  <c r="BD560" i="10"/>
  <c r="BD561" i="10"/>
  <c r="BD562" i="10"/>
  <c r="BD563" i="10"/>
  <c r="BD564" i="10"/>
  <c r="BD565" i="10"/>
  <c r="BD566" i="10"/>
  <c r="BD567" i="10"/>
  <c r="BD568" i="10"/>
  <c r="BD569" i="10"/>
  <c r="BD570" i="10"/>
  <c r="BD571" i="10"/>
  <c r="BD572" i="10"/>
  <c r="BD573" i="10"/>
  <c r="BD574" i="10"/>
  <c r="BD575" i="10"/>
  <c r="BD576" i="10"/>
  <c r="BD577" i="10"/>
  <c r="BD578" i="10"/>
  <c r="BD579" i="10"/>
  <c r="BD580" i="10"/>
  <c r="BD581" i="10"/>
  <c r="BD582" i="10"/>
  <c r="BD583" i="10"/>
  <c r="BD2" i="10"/>
  <c r="BC3" i="10"/>
  <c r="BC4" i="10"/>
  <c r="BC5" i="10"/>
  <c r="BC6" i="10"/>
  <c r="BC7" i="10"/>
  <c r="BC8" i="10"/>
  <c r="BC9" i="10"/>
  <c r="BC10" i="10"/>
  <c r="BC11" i="10"/>
  <c r="BC12" i="10"/>
  <c r="BC13" i="10"/>
  <c r="BC14" i="10"/>
  <c r="BC15" i="10"/>
  <c r="BC16" i="10"/>
  <c r="BC17" i="10"/>
  <c r="BC18" i="10"/>
  <c r="BC19" i="10"/>
  <c r="BC20" i="10"/>
  <c r="BC21" i="10"/>
  <c r="BC22" i="10"/>
  <c r="BC23" i="10"/>
  <c r="BC24" i="10"/>
  <c r="BC25" i="10"/>
  <c r="BC26" i="10"/>
  <c r="BC27" i="10"/>
  <c r="BC28" i="10"/>
  <c r="BC29" i="10"/>
  <c r="BC30" i="10"/>
  <c r="BC31" i="10"/>
  <c r="BC32" i="10"/>
  <c r="BC33" i="10"/>
  <c r="BC34" i="10"/>
  <c r="BC35" i="10"/>
  <c r="BC36" i="10"/>
  <c r="BC37" i="10"/>
  <c r="BC38" i="10"/>
  <c r="BC39" i="10"/>
  <c r="BC40" i="10"/>
  <c r="BC41" i="10"/>
  <c r="BC42" i="10"/>
  <c r="BC43" i="10"/>
  <c r="BC44" i="10"/>
  <c r="BC45" i="10"/>
  <c r="BC46" i="10"/>
  <c r="BC47" i="10"/>
  <c r="BC48" i="10"/>
  <c r="BC49" i="10"/>
  <c r="BC50" i="10"/>
  <c r="BC51" i="10"/>
  <c r="BC52" i="10"/>
  <c r="BC53" i="10"/>
  <c r="BC54" i="10"/>
  <c r="BC55" i="10"/>
  <c r="BC56" i="10"/>
  <c r="BC57" i="10"/>
  <c r="BC58" i="10"/>
  <c r="BC59" i="10"/>
  <c r="BC60" i="10"/>
  <c r="BC61" i="10"/>
  <c r="BC62" i="10"/>
  <c r="BC63" i="10"/>
  <c r="BC64" i="10"/>
  <c r="BC65" i="10"/>
  <c r="BC66" i="10"/>
  <c r="BC67" i="10"/>
  <c r="BC68" i="10"/>
  <c r="BC69" i="10"/>
  <c r="BC70" i="10"/>
  <c r="BC71" i="10"/>
  <c r="BC72" i="10"/>
  <c r="BC73" i="10"/>
  <c r="BC74" i="10"/>
  <c r="BC75" i="10"/>
  <c r="BC76" i="10"/>
  <c r="BC77" i="10"/>
  <c r="BC78" i="10"/>
  <c r="BC79" i="10"/>
  <c r="BC80" i="10"/>
  <c r="BC81" i="10"/>
  <c r="BC82" i="10"/>
  <c r="BC83" i="10"/>
  <c r="BC84" i="10"/>
  <c r="BC85" i="10"/>
  <c r="BC86" i="10"/>
  <c r="BC87" i="10"/>
  <c r="BC88" i="10"/>
  <c r="BC89" i="10"/>
  <c r="BC90" i="10"/>
  <c r="BC91" i="10"/>
  <c r="BC92" i="10"/>
  <c r="BC93" i="10"/>
  <c r="BC94" i="10"/>
  <c r="BC95" i="10"/>
  <c r="BC96" i="10"/>
  <c r="BC97" i="10"/>
  <c r="BC98" i="10"/>
  <c r="BC99" i="10"/>
  <c r="BC100" i="10"/>
  <c r="BC101" i="10"/>
  <c r="BC102" i="10"/>
  <c r="BC103" i="10"/>
  <c r="BC104" i="10"/>
  <c r="BC105" i="10"/>
  <c r="BC106" i="10"/>
  <c r="BC107" i="10"/>
  <c r="BC108" i="10"/>
  <c r="BC109" i="10"/>
  <c r="BC110" i="10"/>
  <c r="BC111" i="10"/>
  <c r="BC112" i="10"/>
  <c r="BC113" i="10"/>
  <c r="BC114" i="10"/>
  <c r="BC115" i="10"/>
  <c r="BC116" i="10"/>
  <c r="BC117" i="10"/>
  <c r="BC118" i="10"/>
  <c r="BC119" i="10"/>
  <c r="BC120" i="10"/>
  <c r="BC121" i="10"/>
  <c r="BC122" i="10"/>
  <c r="BC123" i="10"/>
  <c r="BC124" i="10"/>
  <c r="BC125" i="10"/>
  <c r="BC126" i="10"/>
  <c r="BC127" i="10"/>
  <c r="BC128" i="10"/>
  <c r="BC129" i="10"/>
  <c r="BC130" i="10"/>
  <c r="BC131" i="10"/>
  <c r="BC132" i="10"/>
  <c r="BC133" i="10"/>
  <c r="BC134" i="10"/>
  <c r="BC135" i="10"/>
  <c r="BC136" i="10"/>
  <c r="BC137" i="10"/>
  <c r="BC138" i="10"/>
  <c r="BC139" i="10"/>
  <c r="BC140" i="10"/>
  <c r="BC141" i="10"/>
  <c r="BC142" i="10"/>
  <c r="BC143" i="10"/>
  <c r="BC144" i="10"/>
  <c r="BC145" i="10"/>
  <c r="BC146" i="10"/>
  <c r="BC147" i="10"/>
  <c r="BC148" i="10"/>
  <c r="BC149" i="10"/>
  <c r="BC150" i="10"/>
  <c r="BC151" i="10"/>
  <c r="BC152" i="10"/>
  <c r="BC153" i="10"/>
  <c r="BC154" i="10"/>
  <c r="BC155" i="10"/>
  <c r="BC156" i="10"/>
  <c r="BC157" i="10"/>
  <c r="BC158" i="10"/>
  <c r="BC159" i="10"/>
  <c r="BC160" i="10"/>
  <c r="BC161" i="10"/>
  <c r="BC162" i="10"/>
  <c r="BC163" i="10"/>
  <c r="BC164" i="10"/>
  <c r="BC165" i="10"/>
  <c r="BC166" i="10"/>
  <c r="BC167" i="10"/>
  <c r="BC168" i="10"/>
  <c r="BC169" i="10"/>
  <c r="BC170" i="10"/>
  <c r="BC171" i="10"/>
  <c r="BC172" i="10"/>
  <c r="BC173" i="10"/>
  <c r="BC174" i="10"/>
  <c r="BC175" i="10"/>
  <c r="BC176" i="10"/>
  <c r="BC177" i="10"/>
  <c r="BC178" i="10"/>
  <c r="BC179" i="10"/>
  <c r="BC180" i="10"/>
  <c r="BC181" i="10"/>
  <c r="BC182" i="10"/>
  <c r="BC183" i="10"/>
  <c r="BC184" i="10"/>
  <c r="BC185" i="10"/>
  <c r="BC186" i="10"/>
  <c r="BC187" i="10"/>
  <c r="BC188" i="10"/>
  <c r="BC189" i="10"/>
  <c r="BC190" i="10"/>
  <c r="BC191" i="10"/>
  <c r="BC192" i="10"/>
  <c r="BC193" i="10"/>
  <c r="BC194" i="10"/>
  <c r="BC195" i="10"/>
  <c r="BC196" i="10"/>
  <c r="BC197" i="10"/>
  <c r="BC198" i="10"/>
  <c r="BC199" i="10"/>
  <c r="BC200" i="10"/>
  <c r="BC201" i="10"/>
  <c r="BC202" i="10"/>
  <c r="BC203" i="10"/>
  <c r="BC204" i="10"/>
  <c r="BC205" i="10"/>
  <c r="BC206" i="10"/>
  <c r="BC207" i="10"/>
  <c r="BC208" i="10"/>
  <c r="BC209" i="10"/>
  <c r="BC210" i="10"/>
  <c r="BC211" i="10"/>
  <c r="BC212" i="10"/>
  <c r="BC213" i="10"/>
  <c r="BC214" i="10"/>
  <c r="BC215" i="10"/>
  <c r="BC216" i="10"/>
  <c r="BC217" i="10"/>
  <c r="BC218" i="10"/>
  <c r="BC219" i="10"/>
  <c r="BC220" i="10"/>
  <c r="BC221" i="10"/>
  <c r="BC222" i="10"/>
  <c r="BC223" i="10"/>
  <c r="BC224" i="10"/>
  <c r="BC225" i="10"/>
  <c r="BC226" i="10"/>
  <c r="BC227" i="10"/>
  <c r="BC228" i="10"/>
  <c r="BC229" i="10"/>
  <c r="BC230" i="10"/>
  <c r="BC231" i="10"/>
  <c r="BC232" i="10"/>
  <c r="BC233" i="10"/>
  <c r="BC234" i="10"/>
  <c r="BC235" i="10"/>
  <c r="BC236" i="10"/>
  <c r="BC237" i="10"/>
  <c r="BC238" i="10"/>
  <c r="BC239" i="10"/>
  <c r="BC240" i="10"/>
  <c r="BC241" i="10"/>
  <c r="BC242" i="10"/>
  <c r="BC243" i="10"/>
  <c r="BC244" i="10"/>
  <c r="BC245" i="10"/>
  <c r="BC246" i="10"/>
  <c r="BC247" i="10"/>
  <c r="BC248" i="10"/>
  <c r="BC249" i="10"/>
  <c r="BC250" i="10"/>
  <c r="BC251" i="10"/>
  <c r="BC252" i="10"/>
  <c r="BC253" i="10"/>
  <c r="BC254" i="10"/>
  <c r="BC255" i="10"/>
  <c r="BC256" i="10"/>
  <c r="BC257" i="10"/>
  <c r="BC258" i="10"/>
  <c r="BC259" i="10"/>
  <c r="BC260" i="10"/>
  <c r="BC261" i="10"/>
  <c r="BC262" i="10"/>
  <c r="BC263" i="10"/>
  <c r="BC264" i="10"/>
  <c r="BC265" i="10"/>
  <c r="BC266" i="10"/>
  <c r="BC267" i="10"/>
  <c r="BC268" i="10"/>
  <c r="BC269" i="10"/>
  <c r="BC270" i="10"/>
  <c r="BC271" i="10"/>
  <c r="BC272" i="10"/>
  <c r="BC273" i="10"/>
  <c r="BC274" i="10"/>
  <c r="BC275" i="10"/>
  <c r="BC276" i="10"/>
  <c r="BC277" i="10"/>
  <c r="BC278" i="10"/>
  <c r="BC279" i="10"/>
  <c r="BC280" i="10"/>
  <c r="BC281" i="10"/>
  <c r="BC282" i="10"/>
  <c r="BC283" i="10"/>
  <c r="BC284" i="10"/>
  <c r="BC285" i="10"/>
  <c r="BC286" i="10"/>
  <c r="BC287" i="10"/>
  <c r="BC288" i="10"/>
  <c r="BC289" i="10"/>
  <c r="BC290" i="10"/>
  <c r="BC291" i="10"/>
  <c r="BC292" i="10"/>
  <c r="BC293" i="10"/>
  <c r="BC294" i="10"/>
  <c r="BC295" i="10"/>
  <c r="BC296" i="10"/>
  <c r="BC297" i="10"/>
  <c r="BC298" i="10"/>
  <c r="BC299" i="10"/>
  <c r="BC300" i="10"/>
  <c r="BC301" i="10"/>
  <c r="BC302" i="10"/>
  <c r="BC303" i="10"/>
  <c r="BC304" i="10"/>
  <c r="BC305" i="10"/>
  <c r="BC306" i="10"/>
  <c r="BC307" i="10"/>
  <c r="BC308" i="10"/>
  <c r="BC309" i="10"/>
  <c r="BC310" i="10"/>
  <c r="BC311" i="10"/>
  <c r="BC312" i="10"/>
  <c r="BC313" i="10"/>
  <c r="BC314" i="10"/>
  <c r="BC315" i="10"/>
  <c r="BC316" i="10"/>
  <c r="BC317" i="10"/>
  <c r="BC318" i="10"/>
  <c r="BC319" i="10"/>
  <c r="BC320" i="10"/>
  <c r="BC321" i="10"/>
  <c r="BC322" i="10"/>
  <c r="BC323" i="10"/>
  <c r="BC324" i="10"/>
  <c r="BC325" i="10"/>
  <c r="BC326" i="10"/>
  <c r="BC327" i="10"/>
  <c r="BC328" i="10"/>
  <c r="BC329" i="10"/>
  <c r="BC330" i="10"/>
  <c r="BC331" i="10"/>
  <c r="BC332" i="10"/>
  <c r="BC333" i="10"/>
  <c r="BC334" i="10"/>
  <c r="BC335" i="10"/>
  <c r="BC336" i="10"/>
  <c r="BC337" i="10"/>
  <c r="BC338" i="10"/>
  <c r="BC339" i="10"/>
  <c r="BC340" i="10"/>
  <c r="BC341" i="10"/>
  <c r="BC342" i="10"/>
  <c r="BC343" i="10"/>
  <c r="BC344" i="10"/>
  <c r="BC345" i="10"/>
  <c r="BC346" i="10"/>
  <c r="BC347" i="10"/>
  <c r="BC348" i="10"/>
  <c r="BC349" i="10"/>
  <c r="BC350" i="10"/>
  <c r="BC351" i="10"/>
  <c r="BC352" i="10"/>
  <c r="BC353" i="10"/>
  <c r="BC354" i="10"/>
  <c r="BC355" i="10"/>
  <c r="BC356" i="10"/>
  <c r="BC357" i="10"/>
  <c r="BC358" i="10"/>
  <c r="BC359" i="10"/>
  <c r="BC360" i="10"/>
  <c r="BC361" i="10"/>
  <c r="BC362" i="10"/>
  <c r="BC363" i="10"/>
  <c r="BC364" i="10"/>
  <c r="BC365" i="10"/>
  <c r="BC366" i="10"/>
  <c r="BC367" i="10"/>
  <c r="BC368" i="10"/>
  <c r="BC369" i="10"/>
  <c r="BC370" i="10"/>
  <c r="BC371" i="10"/>
  <c r="BC372" i="10"/>
  <c r="BC373" i="10"/>
  <c r="BC374" i="10"/>
  <c r="BC375" i="10"/>
  <c r="BC376" i="10"/>
  <c r="BC377" i="10"/>
  <c r="BC378" i="10"/>
  <c r="BC379" i="10"/>
  <c r="BC380" i="10"/>
  <c r="BC381" i="10"/>
  <c r="BC382" i="10"/>
  <c r="BC383" i="10"/>
  <c r="BC384" i="10"/>
  <c r="BC385" i="10"/>
  <c r="BC386" i="10"/>
  <c r="BC387" i="10"/>
  <c r="BC388" i="10"/>
  <c r="BC389" i="10"/>
  <c r="BC390" i="10"/>
  <c r="BC391" i="10"/>
  <c r="BC392" i="10"/>
  <c r="BC393" i="10"/>
  <c r="BC394" i="10"/>
  <c r="BC395" i="10"/>
  <c r="BC396" i="10"/>
  <c r="BC397" i="10"/>
  <c r="BC398" i="10"/>
  <c r="BC399" i="10"/>
  <c r="BC400" i="10"/>
  <c r="BC401" i="10"/>
  <c r="BC402" i="10"/>
  <c r="BC403" i="10"/>
  <c r="BC404" i="10"/>
  <c r="BC405" i="10"/>
  <c r="BC406" i="10"/>
  <c r="BC407" i="10"/>
  <c r="BC408" i="10"/>
  <c r="BC409" i="10"/>
  <c r="BC410" i="10"/>
  <c r="BC411" i="10"/>
  <c r="BC412" i="10"/>
  <c r="BC413" i="10"/>
  <c r="BC414" i="10"/>
  <c r="BC415" i="10"/>
  <c r="BC416" i="10"/>
  <c r="BC417" i="10"/>
  <c r="BC418" i="10"/>
  <c r="BC419" i="10"/>
  <c r="BC420" i="10"/>
  <c r="BC421" i="10"/>
  <c r="BC422" i="10"/>
  <c r="BC423" i="10"/>
  <c r="BC424" i="10"/>
  <c r="BC425" i="10"/>
  <c r="BC426" i="10"/>
  <c r="BC427" i="10"/>
  <c r="BC428" i="10"/>
  <c r="BC429" i="10"/>
  <c r="BC430" i="10"/>
  <c r="BC431" i="10"/>
  <c r="BC432" i="10"/>
  <c r="BC433" i="10"/>
  <c r="BC434" i="10"/>
  <c r="BC435" i="10"/>
  <c r="BC436" i="10"/>
  <c r="BC437" i="10"/>
  <c r="BC438" i="10"/>
  <c r="BC439" i="10"/>
  <c r="BC440" i="10"/>
  <c r="BC441" i="10"/>
  <c r="BC442" i="10"/>
  <c r="BC443" i="10"/>
  <c r="BC444" i="10"/>
  <c r="BC445" i="10"/>
  <c r="BC446" i="10"/>
  <c r="BC447" i="10"/>
  <c r="BC448" i="10"/>
  <c r="BC449" i="10"/>
  <c r="BC450" i="10"/>
  <c r="BC451" i="10"/>
  <c r="BC452" i="10"/>
  <c r="BC453" i="10"/>
  <c r="BC454" i="10"/>
  <c r="BC455" i="10"/>
  <c r="BC456" i="10"/>
  <c r="BC457" i="10"/>
  <c r="BC458" i="10"/>
  <c r="BC459" i="10"/>
  <c r="BC460" i="10"/>
  <c r="BC461" i="10"/>
  <c r="BC462" i="10"/>
  <c r="BC463" i="10"/>
  <c r="BC464" i="10"/>
  <c r="BC465" i="10"/>
  <c r="BC466" i="10"/>
  <c r="BC467" i="10"/>
  <c r="BC468" i="10"/>
  <c r="BC469" i="10"/>
  <c r="BC470" i="10"/>
  <c r="BC471" i="10"/>
  <c r="BC472" i="10"/>
  <c r="BC473" i="10"/>
  <c r="BC474" i="10"/>
  <c r="BC475" i="10"/>
  <c r="BC476" i="10"/>
  <c r="BC477" i="10"/>
  <c r="BC478" i="10"/>
  <c r="BC479" i="10"/>
  <c r="BC480" i="10"/>
  <c r="BC481" i="10"/>
  <c r="BC482" i="10"/>
  <c r="BC483" i="10"/>
  <c r="BC484" i="10"/>
  <c r="BC485" i="10"/>
  <c r="BC486" i="10"/>
  <c r="BC487" i="10"/>
  <c r="BC488" i="10"/>
  <c r="BC489" i="10"/>
  <c r="BC490" i="10"/>
  <c r="BC491" i="10"/>
  <c r="BC492" i="10"/>
  <c r="BC493" i="10"/>
  <c r="BC494" i="10"/>
  <c r="BC495" i="10"/>
  <c r="BC496" i="10"/>
  <c r="BC497" i="10"/>
  <c r="BC498" i="10"/>
  <c r="BC499" i="10"/>
  <c r="BC500" i="10"/>
  <c r="BC501" i="10"/>
  <c r="BC502" i="10"/>
  <c r="BC503" i="10"/>
  <c r="BC504" i="10"/>
  <c r="BC505" i="10"/>
  <c r="BC506" i="10"/>
  <c r="BC507" i="10"/>
  <c r="BC508" i="10"/>
  <c r="BC509" i="10"/>
  <c r="BC510" i="10"/>
  <c r="BC511" i="10"/>
  <c r="BC512" i="10"/>
  <c r="BC513" i="10"/>
  <c r="BC514" i="10"/>
  <c r="BC515" i="10"/>
  <c r="BC516" i="10"/>
  <c r="BC517" i="10"/>
  <c r="BC518" i="10"/>
  <c r="BC519" i="10"/>
  <c r="BC520" i="10"/>
  <c r="BC521" i="10"/>
  <c r="BC522" i="10"/>
  <c r="BC523" i="10"/>
  <c r="BC524" i="10"/>
  <c r="BC525" i="10"/>
  <c r="BC526" i="10"/>
  <c r="BC527" i="10"/>
  <c r="BC528" i="10"/>
  <c r="BC529" i="10"/>
  <c r="BC530" i="10"/>
  <c r="BC531" i="10"/>
  <c r="BC532" i="10"/>
  <c r="BC533" i="10"/>
  <c r="BC534" i="10"/>
  <c r="BC535" i="10"/>
  <c r="BC536" i="10"/>
  <c r="BC537" i="10"/>
  <c r="BC538" i="10"/>
  <c r="BC539" i="10"/>
  <c r="BC540" i="10"/>
  <c r="BC541" i="10"/>
  <c r="BC542" i="10"/>
  <c r="BC543" i="10"/>
  <c r="BC544" i="10"/>
  <c r="BC545" i="10"/>
  <c r="BC546" i="10"/>
  <c r="BC547" i="10"/>
  <c r="BC548" i="10"/>
  <c r="BC549" i="10"/>
  <c r="BC550" i="10"/>
  <c r="BC551" i="10"/>
  <c r="BC552" i="10"/>
  <c r="BC553" i="10"/>
  <c r="BC554" i="10"/>
  <c r="BC555" i="10"/>
  <c r="BC556" i="10"/>
  <c r="BC557" i="10"/>
  <c r="BC558" i="10"/>
  <c r="BC559" i="10"/>
  <c r="BC560" i="10"/>
  <c r="BC561" i="10"/>
  <c r="BC562" i="10"/>
  <c r="BC563" i="10"/>
  <c r="BC564" i="10"/>
  <c r="BC565" i="10"/>
  <c r="BC566" i="10"/>
  <c r="BC567" i="10"/>
  <c r="BC568" i="10"/>
  <c r="BC569" i="10"/>
  <c r="BC570" i="10"/>
  <c r="BC571" i="10"/>
  <c r="BC572" i="10"/>
  <c r="BC573" i="10"/>
  <c r="BC574" i="10"/>
  <c r="BC575" i="10"/>
  <c r="BC576" i="10"/>
  <c r="BC577" i="10"/>
  <c r="BC578" i="10"/>
  <c r="BC579" i="10"/>
  <c r="BC580" i="10"/>
  <c r="BC581" i="10"/>
  <c r="BC582" i="10"/>
  <c r="BC583" i="10"/>
  <c r="BC2" i="10"/>
  <c r="BB3" i="10"/>
  <c r="BB4" i="10"/>
  <c r="BB5" i="10"/>
  <c r="BB6" i="10"/>
  <c r="BB7" i="10"/>
  <c r="BB8" i="10"/>
  <c r="BB9" i="10"/>
  <c r="BB10" i="10"/>
  <c r="BB11" i="10"/>
  <c r="BB12" i="10"/>
  <c r="BB13" i="10"/>
  <c r="BB14" i="10"/>
  <c r="BB15" i="10"/>
  <c r="BB16" i="10"/>
  <c r="BB17" i="10"/>
  <c r="BB18" i="10"/>
  <c r="BB19" i="10"/>
  <c r="BB20" i="10"/>
  <c r="BB21" i="10"/>
  <c r="BB22" i="10"/>
  <c r="BB23" i="10"/>
  <c r="BB24" i="10"/>
  <c r="BB25" i="10"/>
  <c r="BB26" i="10"/>
  <c r="BB27" i="10"/>
  <c r="BB28" i="10"/>
  <c r="BB29" i="10"/>
  <c r="BB30" i="10"/>
  <c r="BB31" i="10"/>
  <c r="BB32" i="10"/>
  <c r="BB33" i="10"/>
  <c r="BB34" i="10"/>
  <c r="BB35" i="10"/>
  <c r="BB36" i="10"/>
  <c r="BB37" i="10"/>
  <c r="BB38" i="10"/>
  <c r="BB39" i="10"/>
  <c r="BB40" i="10"/>
  <c r="BB41" i="10"/>
  <c r="BB42" i="10"/>
  <c r="BB43" i="10"/>
  <c r="BB44" i="10"/>
  <c r="BB45" i="10"/>
  <c r="BB46" i="10"/>
  <c r="BB47" i="10"/>
  <c r="BB48" i="10"/>
  <c r="BB49" i="10"/>
  <c r="BB50" i="10"/>
  <c r="BB51" i="10"/>
  <c r="BB52" i="10"/>
  <c r="BB53" i="10"/>
  <c r="BB54" i="10"/>
  <c r="BB55" i="10"/>
  <c r="BB56" i="10"/>
  <c r="BB57" i="10"/>
  <c r="BB58" i="10"/>
  <c r="BB59" i="10"/>
  <c r="BB60" i="10"/>
  <c r="BB61" i="10"/>
  <c r="BB62" i="10"/>
  <c r="BB63" i="10"/>
  <c r="BB64" i="10"/>
  <c r="BB65" i="10"/>
  <c r="BB66" i="10"/>
  <c r="BB67" i="10"/>
  <c r="BB68" i="10"/>
  <c r="BB69" i="10"/>
  <c r="BB70" i="10"/>
  <c r="BB71" i="10"/>
  <c r="BB72" i="10"/>
  <c r="BB73" i="10"/>
  <c r="BB74" i="10"/>
  <c r="BB75" i="10"/>
  <c r="BB76" i="10"/>
  <c r="BB77" i="10"/>
  <c r="BB78" i="10"/>
  <c r="BB79" i="10"/>
  <c r="BB80" i="10"/>
  <c r="BB81" i="10"/>
  <c r="BB82" i="10"/>
  <c r="BB83" i="10"/>
  <c r="BB84" i="10"/>
  <c r="BB85" i="10"/>
  <c r="BB86" i="10"/>
  <c r="BB87" i="10"/>
  <c r="BB88" i="10"/>
  <c r="BB89" i="10"/>
  <c r="BB90" i="10"/>
  <c r="BB91" i="10"/>
  <c r="BB92" i="10"/>
  <c r="BB93" i="10"/>
  <c r="BB94" i="10"/>
  <c r="BB95" i="10"/>
  <c r="BB96" i="10"/>
  <c r="BB97" i="10"/>
  <c r="BB98" i="10"/>
  <c r="BB99" i="10"/>
  <c r="BB100" i="10"/>
  <c r="BB101" i="10"/>
  <c r="BB102" i="10"/>
  <c r="BB103" i="10"/>
  <c r="BB104" i="10"/>
  <c r="BB105" i="10"/>
  <c r="BB106" i="10"/>
  <c r="BB107" i="10"/>
  <c r="BB108" i="10"/>
  <c r="BB109" i="10"/>
  <c r="BB110" i="10"/>
  <c r="BB111" i="10"/>
  <c r="BB112" i="10"/>
  <c r="BB113" i="10"/>
  <c r="BB114" i="10"/>
  <c r="BB115" i="10"/>
  <c r="BB116" i="10"/>
  <c r="BB117" i="10"/>
  <c r="BB118" i="10"/>
  <c r="BB119" i="10"/>
  <c r="BB120" i="10"/>
  <c r="BB121" i="10"/>
  <c r="BB122" i="10"/>
  <c r="BB123" i="10"/>
  <c r="BB124" i="10"/>
  <c r="BB125" i="10"/>
  <c r="BB126" i="10"/>
  <c r="BB127" i="10"/>
  <c r="BB128" i="10"/>
  <c r="BB129" i="10"/>
  <c r="BB130" i="10"/>
  <c r="BB131" i="10"/>
  <c r="BB132" i="10"/>
  <c r="BB133" i="10"/>
  <c r="BB134" i="10"/>
  <c r="BB135" i="10"/>
  <c r="BB136" i="10"/>
  <c r="BB137" i="10"/>
  <c r="BB138" i="10"/>
  <c r="BB139" i="10"/>
  <c r="BB140" i="10"/>
  <c r="BB141" i="10"/>
  <c r="BB142" i="10"/>
  <c r="BB143" i="10"/>
  <c r="BB144" i="10"/>
  <c r="BB145" i="10"/>
  <c r="BB146" i="10"/>
  <c r="BB147" i="10"/>
  <c r="BB148" i="10"/>
  <c r="BB149" i="10"/>
  <c r="BB150" i="10"/>
  <c r="BB151" i="10"/>
  <c r="BB152" i="10"/>
  <c r="BB153" i="10"/>
  <c r="BB154" i="10"/>
  <c r="BB155" i="10"/>
  <c r="BB156" i="10"/>
  <c r="BB157" i="10"/>
  <c r="BB158" i="10"/>
  <c r="BB159" i="10"/>
  <c r="BB160" i="10"/>
  <c r="BB161" i="10"/>
  <c r="BB162" i="10"/>
  <c r="BB163" i="10"/>
  <c r="BB164" i="10"/>
  <c r="BB165" i="10"/>
  <c r="BB166" i="10"/>
  <c r="BB167" i="10"/>
  <c r="BB168" i="10"/>
  <c r="BB169" i="10"/>
  <c r="BB170" i="10"/>
  <c r="BB171" i="10"/>
  <c r="BB172" i="10"/>
  <c r="BB173" i="10"/>
  <c r="BB174" i="10"/>
  <c r="BB175" i="10"/>
  <c r="BB176" i="10"/>
  <c r="BB177" i="10"/>
  <c r="BB178" i="10"/>
  <c r="BB179" i="10"/>
  <c r="BB180" i="10"/>
  <c r="BB181" i="10"/>
  <c r="BB182" i="10"/>
  <c r="BB183" i="10"/>
  <c r="BB184" i="10"/>
  <c r="BB185" i="10"/>
  <c r="BB186" i="10"/>
  <c r="BB187" i="10"/>
  <c r="BB188" i="10"/>
  <c r="BB189" i="10"/>
  <c r="BB190" i="10"/>
  <c r="BB191" i="10"/>
  <c r="BB192" i="10"/>
  <c r="BB193" i="10"/>
  <c r="BB194" i="10"/>
  <c r="BB195" i="10"/>
  <c r="BB196" i="10"/>
  <c r="BB197" i="10"/>
  <c r="BB198" i="10"/>
  <c r="BB199" i="10"/>
  <c r="BB200" i="10"/>
  <c r="BB201" i="10"/>
  <c r="BB202" i="10"/>
  <c r="BB203" i="10"/>
  <c r="BB204" i="10"/>
  <c r="BB205" i="10"/>
  <c r="BB206" i="10"/>
  <c r="BB207" i="10"/>
  <c r="BB208" i="10"/>
  <c r="BB209" i="10"/>
  <c r="BB210" i="10"/>
  <c r="BB211" i="10"/>
  <c r="BB212" i="10"/>
  <c r="BB213" i="10"/>
  <c r="BB214" i="10"/>
  <c r="BB215" i="10"/>
  <c r="BB216" i="10"/>
  <c r="BB217" i="10"/>
  <c r="BB218" i="10"/>
  <c r="BB219" i="10"/>
  <c r="BB220" i="10"/>
  <c r="BB221" i="10"/>
  <c r="BB222" i="10"/>
  <c r="BB223" i="10"/>
  <c r="BB224" i="10"/>
  <c r="BB225" i="10"/>
  <c r="BB226" i="10"/>
  <c r="BB227" i="10"/>
  <c r="BB228" i="10"/>
  <c r="BB229" i="10"/>
  <c r="BB230" i="10"/>
  <c r="BB231" i="10"/>
  <c r="BB232" i="10"/>
  <c r="BB233" i="10"/>
  <c r="BB234" i="10"/>
  <c r="BB235" i="10"/>
  <c r="BB236" i="10"/>
  <c r="BB237" i="10"/>
  <c r="BB238" i="10"/>
  <c r="BB239" i="10"/>
  <c r="BB240" i="10"/>
  <c r="BB241" i="10"/>
  <c r="BB242" i="10"/>
  <c r="BB243" i="10"/>
  <c r="BB244" i="10"/>
  <c r="BB245" i="10"/>
  <c r="BB246" i="10"/>
  <c r="BB247" i="10"/>
  <c r="BB248" i="10"/>
  <c r="BB249" i="10"/>
  <c r="BB250" i="10"/>
  <c r="BB251" i="10"/>
  <c r="BB252" i="10"/>
  <c r="BB253" i="10"/>
  <c r="BB254" i="10"/>
  <c r="BB255" i="10"/>
  <c r="BB256" i="10"/>
  <c r="BB257" i="10"/>
  <c r="BB258" i="10"/>
  <c r="BB259" i="10"/>
  <c r="BB260" i="10"/>
  <c r="BB261" i="10"/>
  <c r="BB262" i="10"/>
  <c r="BB263" i="10"/>
  <c r="BB264" i="10"/>
  <c r="BB265" i="10"/>
  <c r="BB266" i="10"/>
  <c r="BB267" i="10"/>
  <c r="BB268" i="10"/>
  <c r="BB269" i="10"/>
  <c r="BB270" i="10"/>
  <c r="BB271" i="10"/>
  <c r="BB272" i="10"/>
  <c r="BB273" i="10"/>
  <c r="BB274" i="10"/>
  <c r="BB275" i="10"/>
  <c r="BB276" i="10"/>
  <c r="BB277" i="10"/>
  <c r="BB278" i="10"/>
  <c r="BB279" i="10"/>
  <c r="BB280" i="10"/>
  <c r="BB281" i="10"/>
  <c r="BB282" i="10"/>
  <c r="BB283" i="10"/>
  <c r="BB284" i="10"/>
  <c r="BB285" i="10"/>
  <c r="BB286" i="10"/>
  <c r="BB287" i="10"/>
  <c r="BB288" i="10"/>
  <c r="BB289" i="10"/>
  <c r="BB290" i="10"/>
  <c r="BB291" i="10"/>
  <c r="BB292" i="10"/>
  <c r="BB293" i="10"/>
  <c r="BB294" i="10"/>
  <c r="BB295" i="10"/>
  <c r="BB296" i="10"/>
  <c r="BB297" i="10"/>
  <c r="BB298" i="10"/>
  <c r="BB299" i="10"/>
  <c r="BB300" i="10"/>
  <c r="BB301" i="10"/>
  <c r="BB302" i="10"/>
  <c r="BB303" i="10"/>
  <c r="BB304" i="10"/>
  <c r="BB305" i="10"/>
  <c r="BB306" i="10"/>
  <c r="BB307" i="10"/>
  <c r="BB308" i="10"/>
  <c r="BB309" i="10"/>
  <c r="BB310" i="10"/>
  <c r="BB311" i="10"/>
  <c r="BB312" i="10"/>
  <c r="BB313" i="10"/>
  <c r="BB314" i="10"/>
  <c r="BB315" i="10"/>
  <c r="BB316" i="10"/>
  <c r="BB317" i="10"/>
  <c r="BB318" i="10"/>
  <c r="BB319" i="10"/>
  <c r="BB320" i="10"/>
  <c r="BB321" i="10"/>
  <c r="BB322" i="10"/>
  <c r="BB323" i="10"/>
  <c r="BB324" i="10"/>
  <c r="BB325" i="10"/>
  <c r="BB326" i="10"/>
  <c r="BB327" i="10"/>
  <c r="BB328" i="10"/>
  <c r="BB329" i="10"/>
  <c r="BB330" i="10"/>
  <c r="BB331" i="10"/>
  <c r="BB332" i="10"/>
  <c r="BB333" i="10"/>
  <c r="BB334" i="10"/>
  <c r="BB335" i="10"/>
  <c r="BB336" i="10"/>
  <c r="BB337" i="10"/>
  <c r="BB338" i="10"/>
  <c r="BB339" i="10"/>
  <c r="BB340" i="10"/>
  <c r="BB341" i="10"/>
  <c r="BB342" i="10"/>
  <c r="BB343" i="10"/>
  <c r="BB344" i="10"/>
  <c r="BB345" i="10"/>
  <c r="BB346" i="10"/>
  <c r="BB347" i="10"/>
  <c r="BB348" i="10"/>
  <c r="BB349" i="10"/>
  <c r="BB350" i="10"/>
  <c r="BB351" i="10"/>
  <c r="BB352" i="10"/>
  <c r="BB353" i="10"/>
  <c r="BB354" i="10"/>
  <c r="BB355" i="10"/>
  <c r="BB356" i="10"/>
  <c r="BB357" i="10"/>
  <c r="BB358" i="10"/>
  <c r="BB359" i="10"/>
  <c r="BB360" i="10"/>
  <c r="BB361" i="10"/>
  <c r="BB362" i="10"/>
  <c r="BB363" i="10"/>
  <c r="BB364" i="10"/>
  <c r="BB365" i="10"/>
  <c r="BB366" i="10"/>
  <c r="BB367" i="10"/>
  <c r="BB368" i="10"/>
  <c r="BB369" i="10"/>
  <c r="BB370" i="10"/>
  <c r="BB371" i="10"/>
  <c r="BB372" i="10"/>
  <c r="BB373" i="10"/>
  <c r="BB374" i="10"/>
  <c r="BB375" i="10"/>
  <c r="BB376" i="10"/>
  <c r="BB377" i="10"/>
  <c r="BB378" i="10"/>
  <c r="BB379" i="10"/>
  <c r="BB380" i="10"/>
  <c r="BB381" i="10"/>
  <c r="BB382" i="10"/>
  <c r="BB383" i="10"/>
  <c r="BB384" i="10"/>
  <c r="BB385" i="10"/>
  <c r="BB386" i="10"/>
  <c r="BB387" i="10"/>
  <c r="BB388" i="10"/>
  <c r="BB389" i="10"/>
  <c r="BB390" i="10"/>
  <c r="BB391" i="10"/>
  <c r="BB392" i="10"/>
  <c r="BB393" i="10"/>
  <c r="BB394" i="10"/>
  <c r="BB395" i="10"/>
  <c r="BB396" i="10"/>
  <c r="BB397" i="10"/>
  <c r="BB398" i="10"/>
  <c r="BB399" i="10"/>
  <c r="BB400" i="10"/>
  <c r="BB401" i="10"/>
  <c r="BB402" i="10"/>
  <c r="BB403" i="10"/>
  <c r="BB404" i="10"/>
  <c r="BB405" i="10"/>
  <c r="BB406" i="10"/>
  <c r="BB407" i="10"/>
  <c r="BB408" i="10"/>
  <c r="BB409" i="10"/>
  <c r="BB410" i="10"/>
  <c r="BB411" i="10"/>
  <c r="BB412" i="10"/>
  <c r="BB413" i="10"/>
  <c r="BB414" i="10"/>
  <c r="BB415" i="10"/>
  <c r="BB416" i="10"/>
  <c r="BB417" i="10"/>
  <c r="BB418" i="10"/>
  <c r="BB419" i="10"/>
  <c r="BB420" i="10"/>
  <c r="BB421" i="10"/>
  <c r="BB422" i="10"/>
  <c r="BB423" i="10"/>
  <c r="BB424" i="10"/>
  <c r="BB425" i="10"/>
  <c r="BB426" i="10"/>
  <c r="BB427" i="10"/>
  <c r="BB428" i="10"/>
  <c r="BB429" i="10"/>
  <c r="BB430" i="10"/>
  <c r="BB431" i="10"/>
  <c r="BB432" i="10"/>
  <c r="BB433" i="10"/>
  <c r="BB434" i="10"/>
  <c r="BB435" i="10"/>
  <c r="BB436" i="10"/>
  <c r="BB437" i="10"/>
  <c r="BB438" i="10"/>
  <c r="BB439" i="10"/>
  <c r="BB440" i="10"/>
  <c r="BB441" i="10"/>
  <c r="BB442" i="10"/>
  <c r="BB443" i="10"/>
  <c r="BB444" i="10"/>
  <c r="BB445" i="10"/>
  <c r="BB446" i="10"/>
  <c r="BB447" i="10"/>
  <c r="BB448" i="10"/>
  <c r="BB449" i="10"/>
  <c r="BB450" i="10"/>
  <c r="BB451" i="10"/>
  <c r="BB452" i="10"/>
  <c r="BB453" i="10"/>
  <c r="BB454" i="10"/>
  <c r="BB455" i="10"/>
  <c r="BB456" i="10"/>
  <c r="BB457" i="10"/>
  <c r="BB458" i="10"/>
  <c r="BB459" i="10"/>
  <c r="BB460" i="10"/>
  <c r="BB461" i="10"/>
  <c r="BB462" i="10"/>
  <c r="BB463" i="10"/>
  <c r="BB464" i="10"/>
  <c r="BB465" i="10"/>
  <c r="BB466" i="10"/>
  <c r="BB467" i="10"/>
  <c r="BB468" i="10"/>
  <c r="BB469" i="10"/>
  <c r="BB470" i="10"/>
  <c r="BB471" i="10"/>
  <c r="BB472" i="10"/>
  <c r="BB473" i="10"/>
  <c r="BB474" i="10"/>
  <c r="BB475" i="10"/>
  <c r="BB476" i="10"/>
  <c r="BB477" i="10"/>
  <c r="BB478" i="10"/>
  <c r="BB479" i="10"/>
  <c r="BB480" i="10"/>
  <c r="BB481" i="10"/>
  <c r="BB482" i="10"/>
  <c r="BB483" i="10"/>
  <c r="BB484" i="10"/>
  <c r="BB485" i="10"/>
  <c r="BB486" i="10"/>
  <c r="BB487" i="10"/>
  <c r="BB488" i="10"/>
  <c r="BB489" i="10"/>
  <c r="BB490" i="10"/>
  <c r="BB491" i="10"/>
  <c r="BB492" i="10"/>
  <c r="BB493" i="10"/>
  <c r="BB494" i="10"/>
  <c r="BB495" i="10"/>
  <c r="BB496" i="10"/>
  <c r="BB497" i="10"/>
  <c r="BB498" i="10"/>
  <c r="BB499" i="10"/>
  <c r="BB500" i="10"/>
  <c r="BB501" i="10"/>
  <c r="BB502" i="10"/>
  <c r="BB503" i="10"/>
  <c r="BB504" i="10"/>
  <c r="BB505" i="10"/>
  <c r="BB506" i="10"/>
  <c r="BB507" i="10"/>
  <c r="BB508" i="10"/>
  <c r="BB509" i="10"/>
  <c r="BB510" i="10"/>
  <c r="BB511" i="10"/>
  <c r="BB512" i="10"/>
  <c r="BB513" i="10"/>
  <c r="BB514" i="10"/>
  <c r="BB515" i="10"/>
  <c r="BB516" i="10"/>
  <c r="BB517" i="10"/>
  <c r="BB518" i="10"/>
  <c r="BB519" i="10"/>
  <c r="BB520" i="10"/>
  <c r="BB521" i="10"/>
  <c r="BB522" i="10"/>
  <c r="BB523" i="10"/>
  <c r="BB524" i="10"/>
  <c r="BB525" i="10"/>
  <c r="BB526" i="10"/>
  <c r="BB527" i="10"/>
  <c r="BB528" i="10"/>
  <c r="BB529" i="10"/>
  <c r="BB530" i="10"/>
  <c r="BB531" i="10"/>
  <c r="BB532" i="10"/>
  <c r="BB533" i="10"/>
  <c r="BB534" i="10"/>
  <c r="BB535" i="10"/>
  <c r="BB536" i="10"/>
  <c r="BB537" i="10"/>
  <c r="BB538" i="10"/>
  <c r="BB539" i="10"/>
  <c r="BB540" i="10"/>
  <c r="BB541" i="10"/>
  <c r="BB542" i="10"/>
  <c r="BB543" i="10"/>
  <c r="BB544" i="10"/>
  <c r="BB545" i="10"/>
  <c r="BB546" i="10"/>
  <c r="BB547" i="10"/>
  <c r="BB548" i="10"/>
  <c r="BB549" i="10"/>
  <c r="BB550" i="10"/>
  <c r="BB551" i="10"/>
  <c r="BB552" i="10"/>
  <c r="BB553" i="10"/>
  <c r="BB554" i="10"/>
  <c r="BB555" i="10"/>
  <c r="BB556" i="10"/>
  <c r="BB557" i="10"/>
  <c r="BB558" i="10"/>
  <c r="BB559" i="10"/>
  <c r="BB560" i="10"/>
  <c r="BB561" i="10"/>
  <c r="BB562" i="10"/>
  <c r="BB563" i="10"/>
  <c r="BB564" i="10"/>
  <c r="BB565" i="10"/>
  <c r="BB566" i="10"/>
  <c r="BB567" i="10"/>
  <c r="BB568" i="10"/>
  <c r="BB569" i="10"/>
  <c r="BB570" i="10"/>
  <c r="BB571" i="10"/>
  <c r="BB572" i="10"/>
  <c r="BB573" i="10"/>
  <c r="BB574" i="10"/>
  <c r="BB575" i="10"/>
  <c r="BB576" i="10"/>
  <c r="BB577" i="10"/>
  <c r="BB578" i="10"/>
  <c r="BB579" i="10"/>
  <c r="BB580" i="10"/>
  <c r="BB581" i="10"/>
  <c r="BB582" i="10"/>
  <c r="BB583" i="10"/>
  <c r="BB2" i="10"/>
  <c r="AZ3" i="10"/>
  <c r="AZ4" i="10"/>
  <c r="AZ5" i="10"/>
  <c r="AZ6" i="10"/>
  <c r="AZ7" i="10"/>
  <c r="AZ8" i="10"/>
  <c r="AZ9" i="10"/>
  <c r="AZ10" i="10"/>
  <c r="AZ11" i="10"/>
  <c r="AZ12" i="10"/>
  <c r="AZ13" i="10"/>
  <c r="AZ14" i="10"/>
  <c r="AZ15" i="10"/>
  <c r="AZ16" i="10"/>
  <c r="AZ17" i="10"/>
  <c r="AZ18" i="10"/>
  <c r="AZ19" i="10"/>
  <c r="AZ20" i="10"/>
  <c r="AZ21" i="10"/>
  <c r="AZ22" i="10"/>
  <c r="AZ23" i="10"/>
  <c r="AZ24" i="10"/>
  <c r="AZ25" i="10"/>
  <c r="AZ26" i="10"/>
  <c r="AZ27" i="10"/>
  <c r="AZ28" i="10"/>
  <c r="AZ29" i="10"/>
  <c r="AZ30" i="10"/>
  <c r="AZ31" i="10"/>
  <c r="AZ32" i="10"/>
  <c r="AZ33" i="10"/>
  <c r="AZ34" i="10"/>
  <c r="AZ35" i="10"/>
  <c r="AZ36" i="10"/>
  <c r="AZ37" i="10"/>
  <c r="AZ38" i="10"/>
  <c r="AZ39" i="10"/>
  <c r="AZ40" i="10"/>
  <c r="AZ41" i="10"/>
  <c r="AZ42" i="10"/>
  <c r="AZ43" i="10"/>
  <c r="AZ44" i="10"/>
  <c r="AZ45" i="10"/>
  <c r="AZ46" i="10"/>
  <c r="AZ47" i="10"/>
  <c r="AZ48" i="10"/>
  <c r="AZ49" i="10"/>
  <c r="AZ50" i="10"/>
  <c r="AZ51" i="10"/>
  <c r="AZ52" i="10"/>
  <c r="AZ53" i="10"/>
  <c r="AZ54" i="10"/>
  <c r="AZ55" i="10"/>
  <c r="AZ56" i="10"/>
  <c r="AZ57" i="10"/>
  <c r="AZ58" i="10"/>
  <c r="AZ59" i="10"/>
  <c r="AZ60" i="10"/>
  <c r="AZ61" i="10"/>
  <c r="AZ62" i="10"/>
  <c r="AZ63" i="10"/>
  <c r="AZ64" i="10"/>
  <c r="AZ65" i="10"/>
  <c r="AZ66" i="10"/>
  <c r="AZ67" i="10"/>
  <c r="AZ68" i="10"/>
  <c r="AZ69" i="10"/>
  <c r="AZ70" i="10"/>
  <c r="AZ71" i="10"/>
  <c r="AZ72" i="10"/>
  <c r="AZ73" i="10"/>
  <c r="AZ74" i="10"/>
  <c r="AZ75" i="10"/>
  <c r="AZ76" i="10"/>
  <c r="AZ77" i="10"/>
  <c r="AZ78" i="10"/>
  <c r="AZ79" i="10"/>
  <c r="AZ80" i="10"/>
  <c r="AZ81" i="10"/>
  <c r="AZ82" i="10"/>
  <c r="AZ83" i="10"/>
  <c r="AZ84" i="10"/>
  <c r="AZ85" i="10"/>
  <c r="AZ86" i="10"/>
  <c r="AZ87" i="10"/>
  <c r="AZ88" i="10"/>
  <c r="AZ89" i="10"/>
  <c r="AZ90" i="10"/>
  <c r="AZ91" i="10"/>
  <c r="AZ92" i="10"/>
  <c r="AZ93" i="10"/>
  <c r="AZ94" i="10"/>
  <c r="AZ95" i="10"/>
  <c r="AZ96" i="10"/>
  <c r="AZ97" i="10"/>
  <c r="AZ98" i="10"/>
  <c r="AZ99" i="10"/>
  <c r="AZ100" i="10"/>
  <c r="AZ101" i="10"/>
  <c r="AZ102" i="10"/>
  <c r="AZ103" i="10"/>
  <c r="AZ104" i="10"/>
  <c r="AZ105" i="10"/>
  <c r="AZ106" i="10"/>
  <c r="AZ107" i="10"/>
  <c r="AZ108" i="10"/>
  <c r="AZ109" i="10"/>
  <c r="AZ110" i="10"/>
  <c r="AZ111" i="10"/>
  <c r="AZ112" i="10"/>
  <c r="AZ113" i="10"/>
  <c r="AZ114" i="10"/>
  <c r="AZ115" i="10"/>
  <c r="AZ116" i="10"/>
  <c r="AZ117" i="10"/>
  <c r="AZ118" i="10"/>
  <c r="AZ119" i="10"/>
  <c r="AZ120" i="10"/>
  <c r="AZ121" i="10"/>
  <c r="AZ122" i="10"/>
  <c r="AZ123" i="10"/>
  <c r="AZ124" i="10"/>
  <c r="AZ125" i="10"/>
  <c r="AZ126" i="10"/>
  <c r="AZ127" i="10"/>
  <c r="AZ128" i="10"/>
  <c r="AZ129" i="10"/>
  <c r="AZ130" i="10"/>
  <c r="AZ131" i="10"/>
  <c r="AZ132" i="10"/>
  <c r="AZ133" i="10"/>
  <c r="AZ134" i="10"/>
  <c r="AZ135" i="10"/>
  <c r="AZ136" i="10"/>
  <c r="AZ137" i="10"/>
  <c r="AZ138" i="10"/>
  <c r="AZ139" i="10"/>
  <c r="AZ140" i="10"/>
  <c r="AZ141" i="10"/>
  <c r="AZ142" i="10"/>
  <c r="AZ143" i="10"/>
  <c r="AZ144" i="10"/>
  <c r="AZ145" i="10"/>
  <c r="AZ146" i="10"/>
  <c r="AZ147" i="10"/>
  <c r="AZ148" i="10"/>
  <c r="AZ149" i="10"/>
  <c r="AZ150" i="10"/>
  <c r="AZ151" i="10"/>
  <c r="AZ152" i="10"/>
  <c r="AZ153" i="10"/>
  <c r="AZ154" i="10"/>
  <c r="AZ155" i="10"/>
  <c r="AZ156" i="10"/>
  <c r="AZ157" i="10"/>
  <c r="AZ158" i="10"/>
  <c r="AZ159" i="10"/>
  <c r="AZ160" i="10"/>
  <c r="AZ161" i="10"/>
  <c r="AZ162" i="10"/>
  <c r="AZ163" i="10"/>
  <c r="AZ164" i="10"/>
  <c r="AZ165" i="10"/>
  <c r="AZ166" i="10"/>
  <c r="AZ167" i="10"/>
  <c r="AZ168" i="10"/>
  <c r="AZ169" i="10"/>
  <c r="AZ170" i="10"/>
  <c r="AZ171" i="10"/>
  <c r="AZ172" i="10"/>
  <c r="AZ173" i="10"/>
  <c r="AZ174" i="10"/>
  <c r="AZ175" i="10"/>
  <c r="AZ176" i="10"/>
  <c r="AZ177" i="10"/>
  <c r="AZ178" i="10"/>
  <c r="AZ179" i="10"/>
  <c r="AZ180" i="10"/>
  <c r="AZ181" i="10"/>
  <c r="AZ182" i="10"/>
  <c r="AZ183" i="10"/>
  <c r="AZ184" i="10"/>
  <c r="AZ185" i="10"/>
  <c r="AZ186" i="10"/>
  <c r="AZ187" i="10"/>
  <c r="AZ188" i="10"/>
  <c r="AZ189" i="10"/>
  <c r="AZ190" i="10"/>
  <c r="AZ191" i="10"/>
  <c r="AZ192" i="10"/>
  <c r="AZ193" i="10"/>
  <c r="AZ194" i="10"/>
  <c r="AZ195" i="10"/>
  <c r="AZ196" i="10"/>
  <c r="AZ197" i="10"/>
  <c r="AZ198" i="10"/>
  <c r="AZ199" i="10"/>
  <c r="AZ200" i="10"/>
  <c r="AZ201" i="10"/>
  <c r="AZ202" i="10"/>
  <c r="AZ203" i="10"/>
  <c r="AZ204" i="10"/>
  <c r="AZ205" i="10"/>
  <c r="AZ206" i="10"/>
  <c r="AZ207" i="10"/>
  <c r="AZ208" i="10"/>
  <c r="AZ209" i="10"/>
  <c r="AZ210" i="10"/>
  <c r="AZ211" i="10"/>
  <c r="AZ212" i="10"/>
  <c r="AZ213" i="10"/>
  <c r="AZ214" i="10"/>
  <c r="AZ215" i="10"/>
  <c r="AZ216" i="10"/>
  <c r="AZ217" i="10"/>
  <c r="AZ218" i="10"/>
  <c r="AZ219" i="10"/>
  <c r="AZ220" i="10"/>
  <c r="AZ221" i="10"/>
  <c r="AZ222" i="10"/>
  <c r="AZ223" i="10"/>
  <c r="AZ224" i="10"/>
  <c r="AZ225" i="10"/>
  <c r="AZ226" i="10"/>
  <c r="AZ227" i="10"/>
  <c r="AZ228" i="10"/>
  <c r="AZ229" i="10"/>
  <c r="AZ230" i="10"/>
  <c r="AZ231" i="10"/>
  <c r="AZ232" i="10"/>
  <c r="AZ233" i="10"/>
  <c r="AZ234" i="10"/>
  <c r="AZ235" i="10"/>
  <c r="AZ236" i="10"/>
  <c r="AZ237" i="10"/>
  <c r="AZ238" i="10"/>
  <c r="AZ239" i="10"/>
  <c r="AZ240" i="10"/>
  <c r="AZ241" i="10"/>
  <c r="AZ242" i="10"/>
  <c r="AZ243" i="10"/>
  <c r="AZ244" i="10"/>
  <c r="AZ245" i="10"/>
  <c r="AZ246" i="10"/>
  <c r="AZ247" i="10"/>
  <c r="AZ248" i="10"/>
  <c r="AZ249" i="10"/>
  <c r="AZ250" i="10"/>
  <c r="AZ251" i="10"/>
  <c r="AZ252" i="10"/>
  <c r="AZ253" i="10"/>
  <c r="AZ254" i="10"/>
  <c r="AZ255" i="10"/>
  <c r="AZ256" i="10"/>
  <c r="AZ257" i="10"/>
  <c r="AZ258" i="10"/>
  <c r="AZ259" i="10"/>
  <c r="AZ260" i="10"/>
  <c r="AZ261" i="10"/>
  <c r="AZ262" i="10"/>
  <c r="AZ263" i="10"/>
  <c r="AZ264" i="10"/>
  <c r="AZ265" i="10"/>
  <c r="AZ266" i="10"/>
  <c r="AZ267" i="10"/>
  <c r="AZ268" i="10"/>
  <c r="AZ269" i="10"/>
  <c r="AZ270" i="10"/>
  <c r="AZ271" i="10"/>
  <c r="AZ272" i="10"/>
  <c r="AZ273" i="10"/>
  <c r="AZ274" i="10"/>
  <c r="AZ275" i="10"/>
  <c r="AZ276" i="10"/>
  <c r="AZ277" i="10"/>
  <c r="AZ278" i="10"/>
  <c r="AZ279" i="10"/>
  <c r="AZ280" i="10"/>
  <c r="AZ281" i="10"/>
  <c r="AZ282" i="10"/>
  <c r="AZ283" i="10"/>
  <c r="AZ284" i="10"/>
  <c r="AZ285" i="10"/>
  <c r="AZ286" i="10"/>
  <c r="AZ287" i="10"/>
  <c r="AZ288" i="10"/>
  <c r="AZ289" i="10"/>
  <c r="AZ290" i="10"/>
  <c r="AZ291" i="10"/>
  <c r="AZ292" i="10"/>
  <c r="AZ293" i="10"/>
  <c r="AZ294" i="10"/>
  <c r="AZ295" i="10"/>
  <c r="AZ296" i="10"/>
  <c r="AZ297" i="10"/>
  <c r="AZ298" i="10"/>
  <c r="AZ299" i="10"/>
  <c r="AZ300" i="10"/>
  <c r="AZ301" i="10"/>
  <c r="AZ302" i="10"/>
  <c r="AZ303" i="10"/>
  <c r="AZ304" i="10"/>
  <c r="AZ305" i="10"/>
  <c r="AZ306" i="10"/>
  <c r="AZ307" i="10"/>
  <c r="AZ308" i="10"/>
  <c r="AZ309" i="10"/>
  <c r="AZ310" i="10"/>
  <c r="AZ311" i="10"/>
  <c r="AZ312" i="10"/>
  <c r="AZ313" i="10"/>
  <c r="AZ314" i="10"/>
  <c r="AZ315" i="10"/>
  <c r="AZ316" i="10"/>
  <c r="AZ317" i="10"/>
  <c r="AZ318" i="10"/>
  <c r="AZ319" i="10"/>
  <c r="AZ320" i="10"/>
  <c r="AZ321" i="10"/>
  <c r="AZ322" i="10"/>
  <c r="AZ323" i="10"/>
  <c r="AZ324" i="10"/>
  <c r="AZ325" i="10"/>
  <c r="AZ326" i="10"/>
  <c r="AZ327" i="10"/>
  <c r="AZ328" i="10"/>
  <c r="AZ329" i="10"/>
  <c r="AZ330" i="10"/>
  <c r="AZ331" i="10"/>
  <c r="AZ332" i="10"/>
  <c r="AZ333" i="10"/>
  <c r="AZ334" i="10"/>
  <c r="AZ335" i="10"/>
  <c r="AZ336" i="10"/>
  <c r="AZ337" i="10"/>
  <c r="AZ338" i="10"/>
  <c r="AZ339" i="10"/>
  <c r="AZ340" i="10"/>
  <c r="AZ341" i="10"/>
  <c r="AZ342" i="10"/>
  <c r="AZ343" i="10"/>
  <c r="AZ344" i="10"/>
  <c r="AZ345" i="10"/>
  <c r="AZ346" i="10"/>
  <c r="AZ347" i="10"/>
  <c r="AZ348" i="10"/>
  <c r="AZ349" i="10"/>
  <c r="AZ350" i="10"/>
  <c r="AZ351" i="10"/>
  <c r="AZ352" i="10"/>
  <c r="AZ353" i="10"/>
  <c r="AZ354" i="10"/>
  <c r="AZ355" i="10"/>
  <c r="AZ356" i="10"/>
  <c r="AZ357" i="10"/>
  <c r="AZ358" i="10"/>
  <c r="AZ359" i="10"/>
  <c r="AZ360" i="10"/>
  <c r="AZ361" i="10"/>
  <c r="AZ362" i="10"/>
  <c r="AZ363" i="10"/>
  <c r="AZ364" i="10"/>
  <c r="AZ365" i="10"/>
  <c r="AZ366" i="10"/>
  <c r="AZ367" i="10"/>
  <c r="AZ368" i="10"/>
  <c r="AZ369" i="10"/>
  <c r="AZ370" i="10"/>
  <c r="AZ371" i="10"/>
  <c r="AZ372" i="10"/>
  <c r="AZ373" i="10"/>
  <c r="AZ374" i="10"/>
  <c r="AZ375" i="10"/>
  <c r="AZ376" i="10"/>
  <c r="AZ377" i="10"/>
  <c r="AZ378" i="10"/>
  <c r="AZ379" i="10"/>
  <c r="AZ380" i="10"/>
  <c r="AZ381" i="10"/>
  <c r="AZ382" i="10"/>
  <c r="AZ383" i="10"/>
  <c r="AZ384" i="10"/>
  <c r="AZ385" i="10"/>
  <c r="AZ386" i="10"/>
  <c r="AZ387" i="10"/>
  <c r="AZ388" i="10"/>
  <c r="AZ389" i="10"/>
  <c r="AZ390" i="10"/>
  <c r="AZ391" i="10"/>
  <c r="AZ392" i="10"/>
  <c r="AZ393" i="10"/>
  <c r="AZ394" i="10"/>
  <c r="AZ395" i="10"/>
  <c r="AZ396" i="10"/>
  <c r="AZ397" i="10"/>
  <c r="AZ398" i="10"/>
  <c r="AZ399" i="10"/>
  <c r="AZ400" i="10"/>
  <c r="AZ401" i="10"/>
  <c r="AZ402" i="10"/>
  <c r="AZ403" i="10"/>
  <c r="AZ404" i="10"/>
  <c r="AZ405" i="10"/>
  <c r="AZ406" i="10"/>
  <c r="AZ407" i="10"/>
  <c r="AZ408" i="10"/>
  <c r="AZ409" i="10"/>
  <c r="AZ410" i="10"/>
  <c r="AZ411" i="10"/>
  <c r="AZ412" i="10"/>
  <c r="AZ413" i="10"/>
  <c r="AZ414" i="10"/>
  <c r="AZ415" i="10"/>
  <c r="AZ416" i="10"/>
  <c r="AZ417" i="10"/>
  <c r="AZ418" i="10"/>
  <c r="AZ419" i="10"/>
  <c r="AZ420" i="10"/>
  <c r="AZ421" i="10"/>
  <c r="AZ422" i="10"/>
  <c r="AZ423" i="10"/>
  <c r="AZ424" i="10"/>
  <c r="AZ425" i="10"/>
  <c r="AZ426" i="10"/>
  <c r="AZ427" i="10"/>
  <c r="AZ428" i="10"/>
  <c r="AZ429" i="10"/>
  <c r="AZ430" i="10"/>
  <c r="AZ431" i="10"/>
  <c r="AZ432" i="10"/>
  <c r="AZ433" i="10"/>
  <c r="AZ434" i="10"/>
  <c r="AZ435" i="10"/>
  <c r="AZ436" i="10"/>
  <c r="AZ437" i="10"/>
  <c r="AZ438" i="10"/>
  <c r="AZ439" i="10"/>
  <c r="AZ440" i="10"/>
  <c r="AZ441" i="10"/>
  <c r="AZ442" i="10"/>
  <c r="AZ443" i="10"/>
  <c r="AZ444" i="10"/>
  <c r="AZ445" i="10"/>
  <c r="AZ446" i="10"/>
  <c r="AZ447" i="10"/>
  <c r="AZ448" i="10"/>
  <c r="AZ449" i="10"/>
  <c r="AZ450" i="10"/>
  <c r="AZ451" i="10"/>
  <c r="AZ452" i="10"/>
  <c r="AZ453" i="10"/>
  <c r="AZ454" i="10"/>
  <c r="AZ455" i="10"/>
  <c r="AZ456" i="10"/>
  <c r="AZ457" i="10"/>
  <c r="AZ458" i="10"/>
  <c r="AZ459" i="10"/>
  <c r="AZ460" i="10"/>
  <c r="AZ461" i="10"/>
  <c r="AZ462" i="10"/>
  <c r="AZ463" i="10"/>
  <c r="AZ464" i="10"/>
  <c r="AZ465" i="10"/>
  <c r="AZ466" i="10"/>
  <c r="AZ467" i="10"/>
  <c r="AZ468" i="10"/>
  <c r="AZ469" i="10"/>
  <c r="AZ470" i="10"/>
  <c r="AZ471" i="10"/>
  <c r="AZ472" i="10"/>
  <c r="AZ473" i="10"/>
  <c r="AZ474" i="10"/>
  <c r="AZ475" i="10"/>
  <c r="AZ476" i="10"/>
  <c r="AZ477" i="10"/>
  <c r="AZ478" i="10"/>
  <c r="AZ479" i="10"/>
  <c r="AZ480" i="10"/>
  <c r="AZ481" i="10"/>
  <c r="AZ482" i="10"/>
  <c r="AZ483" i="10"/>
  <c r="AZ484" i="10"/>
  <c r="AZ485" i="10"/>
  <c r="AZ486" i="10"/>
  <c r="AZ487" i="10"/>
  <c r="AZ488" i="10"/>
  <c r="AZ489" i="10"/>
  <c r="AZ490" i="10"/>
  <c r="AZ491" i="10"/>
  <c r="AZ492" i="10"/>
  <c r="AZ493" i="10"/>
  <c r="AZ494" i="10"/>
  <c r="AZ495" i="10"/>
  <c r="AZ496" i="10"/>
  <c r="AZ497" i="10"/>
  <c r="AZ498" i="10"/>
  <c r="AZ499" i="10"/>
  <c r="AZ500" i="10"/>
  <c r="AZ501" i="10"/>
  <c r="AZ502" i="10"/>
  <c r="AZ503" i="10"/>
  <c r="AZ504" i="10"/>
  <c r="AZ505" i="10"/>
  <c r="AZ506" i="10"/>
  <c r="AZ507" i="10"/>
  <c r="AZ508" i="10"/>
  <c r="AZ509" i="10"/>
  <c r="AZ510" i="10"/>
  <c r="AZ511" i="10"/>
  <c r="AZ512" i="10"/>
  <c r="AZ513" i="10"/>
  <c r="AZ514" i="10"/>
  <c r="AZ515" i="10"/>
  <c r="AZ516" i="10"/>
  <c r="AZ517" i="10"/>
  <c r="AZ518" i="10"/>
  <c r="AZ519" i="10"/>
  <c r="AZ520" i="10"/>
  <c r="AZ521" i="10"/>
  <c r="AZ522" i="10"/>
  <c r="AZ523" i="10"/>
  <c r="AZ524" i="10"/>
  <c r="AZ525" i="10"/>
  <c r="AZ526" i="10"/>
  <c r="AZ527" i="10"/>
  <c r="AZ528" i="10"/>
  <c r="AZ529" i="10"/>
  <c r="AZ530" i="10"/>
  <c r="AZ531" i="10"/>
  <c r="AZ532" i="10"/>
  <c r="AZ533" i="10"/>
  <c r="AZ534" i="10"/>
  <c r="AZ535" i="10"/>
  <c r="AZ536" i="10"/>
  <c r="AZ537" i="10"/>
  <c r="AZ538" i="10"/>
  <c r="AZ539" i="10"/>
  <c r="AZ540" i="10"/>
  <c r="AZ541" i="10"/>
  <c r="AZ542" i="10"/>
  <c r="AZ543" i="10"/>
  <c r="AZ544" i="10"/>
  <c r="AZ545" i="10"/>
  <c r="AZ546" i="10"/>
  <c r="AZ547" i="10"/>
  <c r="AZ548" i="10"/>
  <c r="AZ549" i="10"/>
  <c r="AZ550" i="10"/>
  <c r="AZ551" i="10"/>
  <c r="AZ552" i="10"/>
  <c r="AZ553" i="10"/>
  <c r="AZ554" i="10"/>
  <c r="AZ555" i="10"/>
  <c r="AZ556" i="10"/>
  <c r="AZ557" i="10"/>
  <c r="AZ558" i="10"/>
  <c r="AZ559" i="10"/>
  <c r="AZ560" i="10"/>
  <c r="AZ561" i="10"/>
  <c r="AZ562" i="10"/>
  <c r="AZ563" i="10"/>
  <c r="AZ564" i="10"/>
  <c r="AZ565" i="10"/>
  <c r="AZ566" i="10"/>
  <c r="AZ567" i="10"/>
  <c r="AZ568" i="10"/>
  <c r="AZ569" i="10"/>
  <c r="AZ570" i="10"/>
  <c r="AZ571" i="10"/>
  <c r="AZ572" i="10"/>
  <c r="AZ573" i="10"/>
  <c r="AZ574" i="10"/>
  <c r="AZ575" i="10"/>
  <c r="AZ576" i="10"/>
  <c r="AZ577" i="10"/>
  <c r="AZ578" i="10"/>
  <c r="AZ579" i="10"/>
  <c r="AZ580" i="10"/>
  <c r="AZ581" i="10"/>
  <c r="AZ582" i="10"/>
  <c r="AZ583" i="10"/>
  <c r="AZ2" i="10"/>
  <c r="AY3" i="10"/>
  <c r="AY4" i="10"/>
  <c r="AY5" i="10"/>
  <c r="AY6" i="10"/>
  <c r="AY7" i="10"/>
  <c r="AY8" i="10"/>
  <c r="AY9" i="10"/>
  <c r="AY10" i="10"/>
  <c r="AY11" i="10"/>
  <c r="AY12" i="10"/>
  <c r="AY13" i="10"/>
  <c r="AY14" i="10"/>
  <c r="AY15" i="10"/>
  <c r="AY16" i="10"/>
  <c r="AY17" i="10"/>
  <c r="AY18" i="10"/>
  <c r="AY19" i="10"/>
  <c r="AY20" i="10"/>
  <c r="AY21" i="10"/>
  <c r="AY22" i="10"/>
  <c r="AY23" i="10"/>
  <c r="AY24" i="10"/>
  <c r="AY25" i="10"/>
  <c r="AY26" i="10"/>
  <c r="AY27" i="10"/>
  <c r="AY28" i="10"/>
  <c r="AY29" i="10"/>
  <c r="AY30" i="10"/>
  <c r="AY31" i="10"/>
  <c r="AY32" i="10"/>
  <c r="AY33" i="10"/>
  <c r="AY34" i="10"/>
  <c r="AY35" i="10"/>
  <c r="AY36" i="10"/>
  <c r="AY37" i="10"/>
  <c r="AY38" i="10"/>
  <c r="AY39" i="10"/>
  <c r="AY40" i="10"/>
  <c r="AY41" i="10"/>
  <c r="AY42" i="10"/>
  <c r="AY43" i="10"/>
  <c r="AY44" i="10"/>
  <c r="AY45" i="10"/>
  <c r="AY46" i="10"/>
  <c r="AY47" i="10"/>
  <c r="AY48" i="10"/>
  <c r="AY49" i="10"/>
  <c r="AY50" i="10"/>
  <c r="AY51" i="10"/>
  <c r="AY52" i="10"/>
  <c r="AY53" i="10"/>
  <c r="AY54" i="10"/>
  <c r="AY55" i="10"/>
  <c r="AY56" i="10"/>
  <c r="AY57" i="10"/>
  <c r="AY58" i="10"/>
  <c r="AY59" i="10"/>
  <c r="AY60" i="10"/>
  <c r="AY61" i="10"/>
  <c r="AY62" i="10"/>
  <c r="AY63" i="10"/>
  <c r="AY64" i="10"/>
  <c r="AY65" i="10"/>
  <c r="AY66" i="10"/>
  <c r="AY67" i="10"/>
  <c r="AY68" i="10"/>
  <c r="AY69" i="10"/>
  <c r="AY70" i="10"/>
  <c r="AY71" i="10"/>
  <c r="AY72" i="10"/>
  <c r="AY73" i="10"/>
  <c r="AY74" i="10"/>
  <c r="AY75" i="10"/>
  <c r="AY76" i="10"/>
  <c r="AY77" i="10"/>
  <c r="AY78" i="10"/>
  <c r="AY79" i="10"/>
  <c r="AY80" i="10"/>
  <c r="AY81" i="10"/>
  <c r="AY82" i="10"/>
  <c r="AY83" i="10"/>
  <c r="AY84" i="10"/>
  <c r="AY85" i="10"/>
  <c r="AY86" i="10"/>
  <c r="AY87" i="10"/>
  <c r="AY88" i="10"/>
  <c r="AY89" i="10"/>
  <c r="AY90" i="10"/>
  <c r="AY91" i="10"/>
  <c r="AY92" i="10"/>
  <c r="AY93" i="10"/>
  <c r="AY94" i="10"/>
  <c r="AY95" i="10"/>
  <c r="AY96" i="10"/>
  <c r="AY97" i="10"/>
  <c r="AY98" i="10"/>
  <c r="AY99" i="10"/>
  <c r="AY100" i="10"/>
  <c r="AY101" i="10"/>
  <c r="AY102" i="10"/>
  <c r="AY103" i="10"/>
  <c r="AY104" i="10"/>
  <c r="AY105" i="10"/>
  <c r="AY106" i="10"/>
  <c r="AY107" i="10"/>
  <c r="AY108" i="10"/>
  <c r="AY109" i="10"/>
  <c r="AY110" i="10"/>
  <c r="AY111" i="10"/>
  <c r="AY112" i="10"/>
  <c r="AY113" i="10"/>
  <c r="AY114" i="10"/>
  <c r="AY115" i="10"/>
  <c r="AY116" i="10"/>
  <c r="AY117" i="10"/>
  <c r="AY118" i="10"/>
  <c r="AY119" i="10"/>
  <c r="AY120" i="10"/>
  <c r="AY121" i="10"/>
  <c r="AY122" i="10"/>
  <c r="AY123" i="10"/>
  <c r="AY124" i="10"/>
  <c r="AY125" i="10"/>
  <c r="AY126" i="10"/>
  <c r="AY127" i="10"/>
  <c r="AY128" i="10"/>
  <c r="AY129" i="10"/>
  <c r="AY130" i="10"/>
  <c r="AY131" i="10"/>
  <c r="AY132" i="10"/>
  <c r="AY133" i="10"/>
  <c r="AY134" i="10"/>
  <c r="AY135" i="10"/>
  <c r="AY136" i="10"/>
  <c r="AY137" i="10"/>
  <c r="AY138" i="10"/>
  <c r="AY139" i="10"/>
  <c r="AY140" i="10"/>
  <c r="AY141" i="10"/>
  <c r="AY142" i="10"/>
  <c r="AY143" i="10"/>
  <c r="AY144" i="10"/>
  <c r="AY145" i="10"/>
  <c r="AY146" i="10"/>
  <c r="AY147" i="10"/>
  <c r="AY148" i="10"/>
  <c r="AY149" i="10"/>
  <c r="AY150" i="10"/>
  <c r="AY151" i="10"/>
  <c r="AY152" i="10"/>
  <c r="AY153" i="10"/>
  <c r="AY154" i="10"/>
  <c r="AY155" i="10"/>
  <c r="AY156" i="10"/>
  <c r="AY157" i="10"/>
  <c r="AY158" i="10"/>
  <c r="AY159" i="10"/>
  <c r="AY160" i="10"/>
  <c r="AY161" i="10"/>
  <c r="AY162" i="10"/>
  <c r="AY163" i="10"/>
  <c r="AY164" i="10"/>
  <c r="AY165" i="10"/>
  <c r="AY166" i="10"/>
  <c r="AY167" i="10"/>
  <c r="AY168" i="10"/>
  <c r="AY169" i="10"/>
  <c r="AY170" i="10"/>
  <c r="AY171" i="10"/>
  <c r="AY172" i="10"/>
  <c r="AY173" i="10"/>
  <c r="AY174" i="10"/>
  <c r="AY175" i="10"/>
  <c r="AY176" i="10"/>
  <c r="AY177" i="10"/>
  <c r="AY178" i="10"/>
  <c r="AY179" i="10"/>
  <c r="AY180" i="10"/>
  <c r="AY181" i="10"/>
  <c r="AY182" i="10"/>
  <c r="AY183" i="10"/>
  <c r="AY184" i="10"/>
  <c r="AY185" i="10"/>
  <c r="AY186" i="10"/>
  <c r="AY187" i="10"/>
  <c r="AY188" i="10"/>
  <c r="AY189" i="10"/>
  <c r="AY190" i="10"/>
  <c r="AY191" i="10"/>
  <c r="AY192" i="10"/>
  <c r="AY193" i="10"/>
  <c r="AY194" i="10"/>
  <c r="AY195" i="10"/>
  <c r="AY196" i="10"/>
  <c r="AY197" i="10"/>
  <c r="AY198" i="10"/>
  <c r="AY199" i="10"/>
  <c r="AY200" i="10"/>
  <c r="AY201" i="10"/>
  <c r="AY202" i="10"/>
  <c r="AY203" i="10"/>
  <c r="AY204" i="10"/>
  <c r="AY205" i="10"/>
  <c r="AY206" i="10"/>
  <c r="AY207" i="10"/>
  <c r="AY208" i="10"/>
  <c r="AY209" i="10"/>
  <c r="AY210" i="10"/>
  <c r="AY211" i="10"/>
  <c r="AY212" i="10"/>
  <c r="AY213" i="10"/>
  <c r="AY214" i="10"/>
  <c r="AY215" i="10"/>
  <c r="AY216" i="10"/>
  <c r="AY217" i="10"/>
  <c r="AY218" i="10"/>
  <c r="AY219" i="10"/>
  <c r="AY220" i="10"/>
  <c r="AY221" i="10"/>
  <c r="AY222" i="10"/>
  <c r="AY223" i="10"/>
  <c r="AY224" i="10"/>
  <c r="AY225" i="10"/>
  <c r="AY226" i="10"/>
  <c r="AY227" i="10"/>
  <c r="AY228" i="10"/>
  <c r="AY229" i="10"/>
  <c r="AY230" i="10"/>
  <c r="AY231" i="10"/>
  <c r="AY232" i="10"/>
  <c r="AY233" i="10"/>
  <c r="AY234" i="10"/>
  <c r="AY235" i="10"/>
  <c r="AY236" i="10"/>
  <c r="AY237" i="10"/>
  <c r="AY238" i="10"/>
  <c r="AY239" i="10"/>
  <c r="AY240" i="10"/>
  <c r="AY241" i="10"/>
  <c r="AY242" i="10"/>
  <c r="AY243" i="10"/>
  <c r="AY244" i="10"/>
  <c r="AY245" i="10"/>
  <c r="AY246" i="10"/>
  <c r="AY247" i="10"/>
  <c r="AY248" i="10"/>
  <c r="AY249" i="10"/>
  <c r="AY250" i="10"/>
  <c r="AY251" i="10"/>
  <c r="AY252" i="10"/>
  <c r="AY253" i="10"/>
  <c r="AY254" i="10"/>
  <c r="AY255" i="10"/>
  <c r="AY256" i="10"/>
  <c r="AY257" i="10"/>
  <c r="AY258" i="10"/>
  <c r="AY259" i="10"/>
  <c r="AY260" i="10"/>
  <c r="AY261" i="10"/>
  <c r="AY262" i="10"/>
  <c r="AY263" i="10"/>
  <c r="AY264" i="10"/>
  <c r="AY265" i="10"/>
  <c r="AY266" i="10"/>
  <c r="AY267" i="10"/>
  <c r="AY268" i="10"/>
  <c r="AY269" i="10"/>
  <c r="AY270" i="10"/>
  <c r="AY271" i="10"/>
  <c r="AY272" i="10"/>
  <c r="AY273" i="10"/>
  <c r="AY274" i="10"/>
  <c r="AY275" i="10"/>
  <c r="AY276" i="10"/>
  <c r="AY277" i="10"/>
  <c r="AY278" i="10"/>
  <c r="AY279" i="10"/>
  <c r="AY280" i="10"/>
  <c r="AY281" i="10"/>
  <c r="AY282" i="10"/>
  <c r="AY283" i="10"/>
  <c r="AY284" i="10"/>
  <c r="AY285" i="10"/>
  <c r="AY286" i="10"/>
  <c r="AY287" i="10"/>
  <c r="AY288" i="10"/>
  <c r="AY289" i="10"/>
  <c r="AY290" i="10"/>
  <c r="AY291" i="10"/>
  <c r="AY292" i="10"/>
  <c r="AY293" i="10"/>
  <c r="AY294" i="10"/>
  <c r="AY295" i="10"/>
  <c r="AY296" i="10"/>
  <c r="AY297" i="10"/>
  <c r="AY298" i="10"/>
  <c r="AY299" i="10"/>
  <c r="AY300" i="10"/>
  <c r="AY301" i="10"/>
  <c r="AY302" i="10"/>
  <c r="AY303" i="10"/>
  <c r="AY304" i="10"/>
  <c r="AY305" i="10"/>
  <c r="AY306" i="10"/>
  <c r="AY307" i="10"/>
  <c r="AY308" i="10"/>
  <c r="AY309" i="10"/>
  <c r="AY310" i="10"/>
  <c r="AY311" i="10"/>
  <c r="AY312" i="10"/>
  <c r="AY313" i="10"/>
  <c r="AY314" i="10"/>
  <c r="AY315" i="10"/>
  <c r="AY316" i="10"/>
  <c r="AY317" i="10"/>
  <c r="AY318" i="10"/>
  <c r="AY319" i="10"/>
  <c r="AY320" i="10"/>
  <c r="AY321" i="10"/>
  <c r="AY322" i="10"/>
  <c r="AY323" i="10"/>
  <c r="AY324" i="10"/>
  <c r="AY325" i="10"/>
  <c r="AY326" i="10"/>
  <c r="AY327" i="10"/>
  <c r="AY328" i="10"/>
  <c r="AY329" i="10"/>
  <c r="AY330" i="10"/>
  <c r="AY331" i="10"/>
  <c r="AY332" i="10"/>
  <c r="AY333" i="10"/>
  <c r="AY334" i="10"/>
  <c r="AY335" i="10"/>
  <c r="AY336" i="10"/>
  <c r="AY337" i="10"/>
  <c r="AY338" i="10"/>
  <c r="AY339" i="10"/>
  <c r="AY340" i="10"/>
  <c r="AY341" i="10"/>
  <c r="AY342" i="10"/>
  <c r="AY343" i="10"/>
  <c r="AY344" i="10"/>
  <c r="AY345" i="10"/>
  <c r="AY346" i="10"/>
  <c r="AY347" i="10"/>
  <c r="AY348" i="10"/>
  <c r="AY349" i="10"/>
  <c r="AY350" i="10"/>
  <c r="AY351" i="10"/>
  <c r="AY352" i="10"/>
  <c r="AY353" i="10"/>
  <c r="AY354" i="10"/>
  <c r="AY355" i="10"/>
  <c r="AY356" i="10"/>
  <c r="AY357" i="10"/>
  <c r="AY358" i="10"/>
  <c r="AY359" i="10"/>
  <c r="AY360" i="10"/>
  <c r="AY361" i="10"/>
  <c r="AY362" i="10"/>
  <c r="AY363" i="10"/>
  <c r="AY364" i="10"/>
  <c r="AY365" i="10"/>
  <c r="AY366" i="10"/>
  <c r="AY367" i="10"/>
  <c r="AY368" i="10"/>
  <c r="AY369" i="10"/>
  <c r="AY370" i="10"/>
  <c r="AY371" i="10"/>
  <c r="AY372" i="10"/>
  <c r="AY373" i="10"/>
  <c r="AY374" i="10"/>
  <c r="AY375" i="10"/>
  <c r="AY376" i="10"/>
  <c r="AY377" i="10"/>
  <c r="AY378" i="10"/>
  <c r="AY379" i="10"/>
  <c r="AY380" i="10"/>
  <c r="AY381" i="10"/>
  <c r="AY382" i="10"/>
  <c r="AY383" i="10"/>
  <c r="AY384" i="10"/>
  <c r="AY385" i="10"/>
  <c r="AY386" i="10"/>
  <c r="AY387" i="10"/>
  <c r="AY388" i="10"/>
  <c r="AY389" i="10"/>
  <c r="AY390" i="10"/>
  <c r="AY391" i="10"/>
  <c r="AY392" i="10"/>
  <c r="AY393" i="10"/>
  <c r="AY394" i="10"/>
  <c r="AY395" i="10"/>
  <c r="AY396" i="10"/>
  <c r="AY397" i="10"/>
  <c r="AY398" i="10"/>
  <c r="AY399" i="10"/>
  <c r="AY400" i="10"/>
  <c r="AY401" i="10"/>
  <c r="AY402" i="10"/>
  <c r="AY403" i="10"/>
  <c r="AY404" i="10"/>
  <c r="AY405" i="10"/>
  <c r="AY406" i="10"/>
  <c r="AY407" i="10"/>
  <c r="AY408" i="10"/>
  <c r="AY409" i="10"/>
  <c r="AY410" i="10"/>
  <c r="AY411" i="10"/>
  <c r="AY412" i="10"/>
  <c r="AY413" i="10"/>
  <c r="AY414" i="10"/>
  <c r="AY415" i="10"/>
  <c r="AY416" i="10"/>
  <c r="AY417" i="10"/>
  <c r="AY418" i="10"/>
  <c r="AY419" i="10"/>
  <c r="AY420" i="10"/>
  <c r="AY421" i="10"/>
  <c r="AY422" i="10"/>
  <c r="AY423" i="10"/>
  <c r="AY424" i="10"/>
  <c r="AY425" i="10"/>
  <c r="AY426" i="10"/>
  <c r="AY427" i="10"/>
  <c r="AY428" i="10"/>
  <c r="AY429" i="10"/>
  <c r="AY430" i="10"/>
  <c r="AY431" i="10"/>
  <c r="AY432" i="10"/>
  <c r="AY433" i="10"/>
  <c r="AY434" i="10"/>
  <c r="AY435" i="10"/>
  <c r="AY436" i="10"/>
  <c r="AY437" i="10"/>
  <c r="AY438" i="10"/>
  <c r="AY439" i="10"/>
  <c r="AY440" i="10"/>
  <c r="AY441" i="10"/>
  <c r="AY442" i="10"/>
  <c r="AY443" i="10"/>
  <c r="AY444" i="10"/>
  <c r="AY445" i="10"/>
  <c r="AY446" i="10"/>
  <c r="AY447" i="10"/>
  <c r="AY448" i="10"/>
  <c r="AY449" i="10"/>
  <c r="AY450" i="10"/>
  <c r="AY451" i="10"/>
  <c r="AY452" i="10"/>
  <c r="AY453" i="10"/>
  <c r="AY454" i="10"/>
  <c r="AY455" i="10"/>
  <c r="AY456" i="10"/>
  <c r="AY457" i="10"/>
  <c r="AY458" i="10"/>
  <c r="AY459" i="10"/>
  <c r="AY460" i="10"/>
  <c r="AY461" i="10"/>
  <c r="AY462" i="10"/>
  <c r="AY463" i="10"/>
  <c r="AY464" i="10"/>
  <c r="AY465" i="10"/>
  <c r="AY466" i="10"/>
  <c r="AY467" i="10"/>
  <c r="AY468" i="10"/>
  <c r="AY469" i="10"/>
  <c r="AY470" i="10"/>
  <c r="AY471" i="10"/>
  <c r="AY472" i="10"/>
  <c r="AY473" i="10"/>
  <c r="AY474" i="10"/>
  <c r="AY475" i="10"/>
  <c r="AY476" i="10"/>
  <c r="AY477" i="10"/>
  <c r="AY478" i="10"/>
  <c r="AY479" i="10"/>
  <c r="AY480" i="10"/>
  <c r="AY481" i="10"/>
  <c r="AY482" i="10"/>
  <c r="AY483" i="10"/>
  <c r="AY484" i="10"/>
  <c r="AY485" i="10"/>
  <c r="AY486" i="10"/>
  <c r="AY487" i="10"/>
  <c r="AY488" i="10"/>
  <c r="AY489" i="10"/>
  <c r="AY490" i="10"/>
  <c r="AY491" i="10"/>
  <c r="AY492" i="10"/>
  <c r="AY493" i="10"/>
  <c r="AY494" i="10"/>
  <c r="AY495" i="10"/>
  <c r="AY496" i="10"/>
  <c r="AY497" i="10"/>
  <c r="AY498" i="10"/>
  <c r="AY499" i="10"/>
  <c r="AY500" i="10"/>
  <c r="AY501" i="10"/>
  <c r="AY502" i="10"/>
  <c r="AY503" i="10"/>
  <c r="AY504" i="10"/>
  <c r="AY505" i="10"/>
  <c r="AY506" i="10"/>
  <c r="AY507" i="10"/>
  <c r="AY508" i="10"/>
  <c r="AY509" i="10"/>
  <c r="AY510" i="10"/>
  <c r="AY511" i="10"/>
  <c r="AY512" i="10"/>
  <c r="AY513" i="10"/>
  <c r="AY514" i="10"/>
  <c r="AY515" i="10"/>
  <c r="AY516" i="10"/>
  <c r="AY517" i="10"/>
  <c r="AY518" i="10"/>
  <c r="AY519" i="10"/>
  <c r="AY520" i="10"/>
  <c r="AY521" i="10"/>
  <c r="AY522" i="10"/>
  <c r="AY523" i="10"/>
  <c r="AY524" i="10"/>
  <c r="AY525" i="10"/>
  <c r="AY526" i="10"/>
  <c r="AY527" i="10"/>
  <c r="AY528" i="10"/>
  <c r="AY529" i="10"/>
  <c r="AY530" i="10"/>
  <c r="AY531" i="10"/>
  <c r="AY532" i="10"/>
  <c r="AY533" i="10"/>
  <c r="AY534" i="10"/>
  <c r="AY535" i="10"/>
  <c r="AY536" i="10"/>
  <c r="AY537" i="10"/>
  <c r="AY538" i="10"/>
  <c r="AY539" i="10"/>
  <c r="AY540" i="10"/>
  <c r="AY541" i="10"/>
  <c r="AY542" i="10"/>
  <c r="AY543" i="10"/>
  <c r="AY544" i="10"/>
  <c r="AY545" i="10"/>
  <c r="AY546" i="10"/>
  <c r="AY547" i="10"/>
  <c r="AY548" i="10"/>
  <c r="AY549" i="10"/>
  <c r="AY550" i="10"/>
  <c r="AY551" i="10"/>
  <c r="AY552" i="10"/>
  <c r="AY553" i="10"/>
  <c r="AY554" i="10"/>
  <c r="AY555" i="10"/>
  <c r="AY556" i="10"/>
  <c r="AY557" i="10"/>
  <c r="AY558" i="10"/>
  <c r="AY559" i="10"/>
  <c r="AY560" i="10"/>
  <c r="AY561" i="10"/>
  <c r="AY562" i="10"/>
  <c r="AY563" i="10"/>
  <c r="AY564" i="10"/>
  <c r="AY565" i="10"/>
  <c r="AY566" i="10"/>
  <c r="AY567" i="10"/>
  <c r="AY568" i="10"/>
  <c r="AY569" i="10"/>
  <c r="AY570" i="10"/>
  <c r="AY571" i="10"/>
  <c r="AY572" i="10"/>
  <c r="AY573" i="10"/>
  <c r="AY574" i="10"/>
  <c r="AY575" i="10"/>
  <c r="AY576" i="10"/>
  <c r="AY577" i="10"/>
  <c r="AY578" i="10"/>
  <c r="AY579" i="10"/>
  <c r="AY580" i="10"/>
  <c r="AY581" i="10"/>
  <c r="AY582" i="10"/>
  <c r="AY583" i="10"/>
  <c r="AY2" i="10"/>
  <c r="AX3" i="10"/>
  <c r="AX4" i="10"/>
  <c r="AX5" i="10"/>
  <c r="AX6" i="10"/>
  <c r="AX7" i="10"/>
  <c r="AX8" i="10"/>
  <c r="AX9" i="10"/>
  <c r="AX10" i="10"/>
  <c r="AX11" i="10"/>
  <c r="AX12" i="10"/>
  <c r="AX13" i="10"/>
  <c r="AX14" i="10"/>
  <c r="AX15" i="10"/>
  <c r="AX16" i="10"/>
  <c r="AX17" i="10"/>
  <c r="AX18" i="10"/>
  <c r="AX19" i="10"/>
  <c r="AX20" i="10"/>
  <c r="AX21" i="10"/>
  <c r="AX22" i="10"/>
  <c r="AX23" i="10"/>
  <c r="AX24" i="10"/>
  <c r="AX25" i="10"/>
  <c r="AX26" i="10"/>
  <c r="AX27" i="10"/>
  <c r="AX28" i="10"/>
  <c r="AX29" i="10"/>
  <c r="AX30" i="10"/>
  <c r="AX31" i="10"/>
  <c r="AX32" i="10"/>
  <c r="AX33" i="10"/>
  <c r="AX34" i="10"/>
  <c r="AX35" i="10"/>
  <c r="AX36" i="10"/>
  <c r="AX37" i="10"/>
  <c r="AX38" i="10"/>
  <c r="AX39" i="10"/>
  <c r="AX40" i="10"/>
  <c r="AX41" i="10"/>
  <c r="AX42" i="10"/>
  <c r="AX43" i="10"/>
  <c r="AX44" i="10"/>
  <c r="AX45" i="10"/>
  <c r="AX46" i="10"/>
  <c r="AX47" i="10"/>
  <c r="AX48" i="10"/>
  <c r="AX49" i="10"/>
  <c r="AX50" i="10"/>
  <c r="AX51" i="10"/>
  <c r="AX52" i="10"/>
  <c r="AX53" i="10"/>
  <c r="AX54" i="10"/>
  <c r="AX55" i="10"/>
  <c r="AX56" i="10"/>
  <c r="AX57" i="10"/>
  <c r="AX58" i="10"/>
  <c r="AX59" i="10"/>
  <c r="AX60" i="10"/>
  <c r="AX61" i="10"/>
  <c r="AX62" i="10"/>
  <c r="AX63" i="10"/>
  <c r="AX64" i="10"/>
  <c r="AX65" i="10"/>
  <c r="AX66" i="10"/>
  <c r="AX67" i="10"/>
  <c r="AX68" i="10"/>
  <c r="AX69" i="10"/>
  <c r="AX70" i="10"/>
  <c r="AX71" i="10"/>
  <c r="AX72" i="10"/>
  <c r="AX73" i="10"/>
  <c r="AX74" i="10"/>
  <c r="AX75" i="10"/>
  <c r="AX76" i="10"/>
  <c r="AX77" i="10"/>
  <c r="AX78" i="10"/>
  <c r="AX79" i="10"/>
  <c r="AX80" i="10"/>
  <c r="AX81" i="10"/>
  <c r="AX82" i="10"/>
  <c r="AX83" i="10"/>
  <c r="AX84" i="10"/>
  <c r="AX85" i="10"/>
  <c r="AX86" i="10"/>
  <c r="AX87" i="10"/>
  <c r="AX88" i="10"/>
  <c r="AX89" i="10"/>
  <c r="AX90" i="10"/>
  <c r="AX91" i="10"/>
  <c r="AX92" i="10"/>
  <c r="AX93" i="10"/>
  <c r="AX94" i="10"/>
  <c r="AX95" i="10"/>
  <c r="AX96" i="10"/>
  <c r="AX97" i="10"/>
  <c r="AX98" i="10"/>
  <c r="AX99" i="10"/>
  <c r="AX100" i="10"/>
  <c r="AX101" i="10"/>
  <c r="AX102" i="10"/>
  <c r="AX103" i="10"/>
  <c r="AX104" i="10"/>
  <c r="AX105" i="10"/>
  <c r="AX106" i="10"/>
  <c r="AX107" i="10"/>
  <c r="AX108" i="10"/>
  <c r="AX109" i="10"/>
  <c r="AX110" i="10"/>
  <c r="AX111" i="10"/>
  <c r="AX112" i="10"/>
  <c r="AX113" i="10"/>
  <c r="AX114" i="10"/>
  <c r="AX115" i="10"/>
  <c r="AX116" i="10"/>
  <c r="AX117" i="10"/>
  <c r="AX118" i="10"/>
  <c r="AX119" i="10"/>
  <c r="AX120" i="10"/>
  <c r="AX121" i="10"/>
  <c r="AX122" i="10"/>
  <c r="AX123" i="10"/>
  <c r="AX124" i="10"/>
  <c r="AX125" i="10"/>
  <c r="AX126" i="10"/>
  <c r="AX127" i="10"/>
  <c r="AX128" i="10"/>
  <c r="AX129" i="10"/>
  <c r="AX130" i="10"/>
  <c r="AX131" i="10"/>
  <c r="AX132" i="10"/>
  <c r="AX133" i="10"/>
  <c r="AX134" i="10"/>
  <c r="AX135" i="10"/>
  <c r="AX136" i="10"/>
  <c r="AX137" i="10"/>
  <c r="AX138" i="10"/>
  <c r="AX139" i="10"/>
  <c r="AX140" i="10"/>
  <c r="AX141" i="10"/>
  <c r="AX142" i="10"/>
  <c r="AX143" i="10"/>
  <c r="AX144" i="10"/>
  <c r="AX145" i="10"/>
  <c r="AX146" i="10"/>
  <c r="AX147" i="10"/>
  <c r="AX148" i="10"/>
  <c r="AX149" i="10"/>
  <c r="AX150" i="10"/>
  <c r="AX151" i="10"/>
  <c r="AX152" i="10"/>
  <c r="AX153" i="10"/>
  <c r="AX154" i="10"/>
  <c r="AX155" i="10"/>
  <c r="AX156" i="10"/>
  <c r="AX157" i="10"/>
  <c r="AX158" i="10"/>
  <c r="AX159" i="10"/>
  <c r="AX160" i="10"/>
  <c r="AX161" i="10"/>
  <c r="AX162" i="10"/>
  <c r="AX163" i="10"/>
  <c r="AX164" i="10"/>
  <c r="AX165" i="10"/>
  <c r="AX166" i="10"/>
  <c r="AX167" i="10"/>
  <c r="AX168" i="10"/>
  <c r="AX169" i="10"/>
  <c r="AX170" i="10"/>
  <c r="AX171" i="10"/>
  <c r="AX172" i="10"/>
  <c r="AX173" i="10"/>
  <c r="AX174" i="10"/>
  <c r="AX175" i="10"/>
  <c r="AX176" i="10"/>
  <c r="AX177" i="10"/>
  <c r="AX178" i="10"/>
  <c r="AX179" i="10"/>
  <c r="AX180" i="10"/>
  <c r="AX181" i="10"/>
  <c r="AX182" i="10"/>
  <c r="AX183" i="10"/>
  <c r="AX184" i="10"/>
  <c r="AX185" i="10"/>
  <c r="AX186" i="10"/>
  <c r="AX187" i="10"/>
  <c r="AX188" i="10"/>
  <c r="AX189" i="10"/>
  <c r="AX190" i="10"/>
  <c r="AX191" i="10"/>
  <c r="AX192" i="10"/>
  <c r="AX193" i="10"/>
  <c r="AX194" i="10"/>
  <c r="AX195" i="10"/>
  <c r="AX196" i="10"/>
  <c r="AX197" i="10"/>
  <c r="AX198" i="10"/>
  <c r="AX199" i="10"/>
  <c r="AX200" i="10"/>
  <c r="AX201" i="10"/>
  <c r="AX202" i="10"/>
  <c r="AX203" i="10"/>
  <c r="AX204" i="10"/>
  <c r="AX205" i="10"/>
  <c r="AX206" i="10"/>
  <c r="AX207" i="10"/>
  <c r="AX208" i="10"/>
  <c r="AX209" i="10"/>
  <c r="AX210" i="10"/>
  <c r="AX211" i="10"/>
  <c r="AX212" i="10"/>
  <c r="AX213" i="10"/>
  <c r="AX214" i="10"/>
  <c r="AX215" i="10"/>
  <c r="AX216" i="10"/>
  <c r="AX217" i="10"/>
  <c r="AX218" i="10"/>
  <c r="AX219" i="10"/>
  <c r="AX220" i="10"/>
  <c r="AX221" i="10"/>
  <c r="AX222" i="10"/>
  <c r="AX223" i="10"/>
  <c r="AX224" i="10"/>
  <c r="AX225" i="10"/>
  <c r="AX226" i="10"/>
  <c r="AX227" i="10"/>
  <c r="AX228" i="10"/>
  <c r="AX229" i="10"/>
  <c r="AX230" i="10"/>
  <c r="AX231" i="10"/>
  <c r="AX232" i="10"/>
  <c r="AX233" i="10"/>
  <c r="AX234" i="10"/>
  <c r="AX235" i="10"/>
  <c r="AX236" i="10"/>
  <c r="AX237" i="10"/>
  <c r="AX238" i="10"/>
  <c r="AX239" i="10"/>
  <c r="AX240" i="10"/>
  <c r="AX241" i="10"/>
  <c r="AX242" i="10"/>
  <c r="AX243" i="10"/>
  <c r="AX244" i="10"/>
  <c r="AX245" i="10"/>
  <c r="AX246" i="10"/>
  <c r="AX247" i="10"/>
  <c r="AX248" i="10"/>
  <c r="AX249" i="10"/>
  <c r="AX250" i="10"/>
  <c r="AX251" i="10"/>
  <c r="AX252" i="10"/>
  <c r="AX253" i="10"/>
  <c r="AX254" i="10"/>
  <c r="AX255" i="10"/>
  <c r="AX256" i="10"/>
  <c r="AX257" i="10"/>
  <c r="AX258" i="10"/>
  <c r="AX259" i="10"/>
  <c r="AX260" i="10"/>
  <c r="AX261" i="10"/>
  <c r="AX262" i="10"/>
  <c r="AX263" i="10"/>
  <c r="AX264" i="10"/>
  <c r="AX265" i="10"/>
  <c r="AX266" i="10"/>
  <c r="AX267" i="10"/>
  <c r="AX268" i="10"/>
  <c r="AX269" i="10"/>
  <c r="AX270" i="10"/>
  <c r="AX271" i="10"/>
  <c r="AX272" i="10"/>
  <c r="AX273" i="10"/>
  <c r="AX274" i="10"/>
  <c r="AX275" i="10"/>
  <c r="AX276" i="10"/>
  <c r="AX277" i="10"/>
  <c r="AX278" i="10"/>
  <c r="AX279" i="10"/>
  <c r="AX280" i="10"/>
  <c r="AX281" i="10"/>
  <c r="AX282" i="10"/>
  <c r="AX283" i="10"/>
  <c r="AX284" i="10"/>
  <c r="AX285" i="10"/>
  <c r="AX286" i="10"/>
  <c r="AX287" i="10"/>
  <c r="AX288" i="10"/>
  <c r="AX289" i="10"/>
  <c r="AX290" i="10"/>
  <c r="AX291" i="10"/>
  <c r="AX292" i="10"/>
  <c r="AX293" i="10"/>
  <c r="AX294" i="10"/>
  <c r="AX295" i="10"/>
  <c r="AX296" i="10"/>
  <c r="AX297" i="10"/>
  <c r="AX298" i="10"/>
  <c r="AX299" i="10"/>
  <c r="AX300" i="10"/>
  <c r="AX301" i="10"/>
  <c r="AX302" i="10"/>
  <c r="AX303" i="10"/>
  <c r="AX304" i="10"/>
  <c r="AX305" i="10"/>
  <c r="AX306" i="10"/>
  <c r="AX307" i="10"/>
  <c r="AX308" i="10"/>
  <c r="AX309" i="10"/>
  <c r="AX310" i="10"/>
  <c r="AX311" i="10"/>
  <c r="AX312" i="10"/>
  <c r="AX313" i="10"/>
  <c r="AX314" i="10"/>
  <c r="AX315" i="10"/>
  <c r="AX316" i="10"/>
  <c r="AX317" i="10"/>
  <c r="AX318" i="10"/>
  <c r="AX319" i="10"/>
  <c r="AX320" i="10"/>
  <c r="AX321" i="10"/>
  <c r="AX322" i="10"/>
  <c r="AX323" i="10"/>
  <c r="AX324" i="10"/>
  <c r="AX325" i="10"/>
  <c r="AX326" i="10"/>
  <c r="AX327" i="10"/>
  <c r="AX328" i="10"/>
  <c r="AX329" i="10"/>
  <c r="AX330" i="10"/>
  <c r="AX331" i="10"/>
  <c r="AX332" i="10"/>
  <c r="AX333" i="10"/>
  <c r="AX334" i="10"/>
  <c r="AX335" i="10"/>
  <c r="AX336" i="10"/>
  <c r="AX337" i="10"/>
  <c r="AX338" i="10"/>
  <c r="AX339" i="10"/>
  <c r="AX340" i="10"/>
  <c r="AX341" i="10"/>
  <c r="AX342" i="10"/>
  <c r="AX343" i="10"/>
  <c r="AX344" i="10"/>
  <c r="AX345" i="10"/>
  <c r="AX346" i="10"/>
  <c r="AX347" i="10"/>
  <c r="AX348" i="10"/>
  <c r="AX349" i="10"/>
  <c r="AX350" i="10"/>
  <c r="AX351" i="10"/>
  <c r="AX352" i="10"/>
  <c r="AX353" i="10"/>
  <c r="AX354" i="10"/>
  <c r="AX355" i="10"/>
  <c r="AX356" i="10"/>
  <c r="AX357" i="10"/>
  <c r="AX358" i="10"/>
  <c r="AX359" i="10"/>
  <c r="AX360" i="10"/>
  <c r="AX361" i="10"/>
  <c r="AX362" i="10"/>
  <c r="AX363" i="10"/>
  <c r="AX364" i="10"/>
  <c r="AX365" i="10"/>
  <c r="AX366" i="10"/>
  <c r="AX367" i="10"/>
  <c r="AX368" i="10"/>
  <c r="AX369" i="10"/>
  <c r="AX370" i="10"/>
  <c r="AX371" i="10"/>
  <c r="AX372" i="10"/>
  <c r="AX373" i="10"/>
  <c r="AX374" i="10"/>
  <c r="AX375" i="10"/>
  <c r="AX376" i="10"/>
  <c r="AX377" i="10"/>
  <c r="AX378" i="10"/>
  <c r="AX379" i="10"/>
  <c r="AX380" i="10"/>
  <c r="AX381" i="10"/>
  <c r="AX382" i="10"/>
  <c r="AX383" i="10"/>
  <c r="AX384" i="10"/>
  <c r="AX385" i="10"/>
  <c r="AX386" i="10"/>
  <c r="AX387" i="10"/>
  <c r="AX388" i="10"/>
  <c r="AX389" i="10"/>
  <c r="AX390" i="10"/>
  <c r="AX391" i="10"/>
  <c r="AX392" i="10"/>
  <c r="AX393" i="10"/>
  <c r="AX394" i="10"/>
  <c r="AX395" i="10"/>
  <c r="AX396" i="10"/>
  <c r="AX397" i="10"/>
  <c r="AX398" i="10"/>
  <c r="AX399" i="10"/>
  <c r="AX400" i="10"/>
  <c r="AX401" i="10"/>
  <c r="AX402" i="10"/>
  <c r="AX403" i="10"/>
  <c r="AX404" i="10"/>
  <c r="AX405" i="10"/>
  <c r="AX406" i="10"/>
  <c r="AX407" i="10"/>
  <c r="AX408" i="10"/>
  <c r="AX409" i="10"/>
  <c r="AX410" i="10"/>
  <c r="AX411" i="10"/>
  <c r="AX412" i="10"/>
  <c r="AX413" i="10"/>
  <c r="AX414" i="10"/>
  <c r="AX415" i="10"/>
  <c r="AX416" i="10"/>
  <c r="AX417" i="10"/>
  <c r="AX418" i="10"/>
  <c r="AX419" i="10"/>
  <c r="AX420" i="10"/>
  <c r="AX421" i="10"/>
  <c r="AX422" i="10"/>
  <c r="AX423" i="10"/>
  <c r="AX424" i="10"/>
  <c r="AX425" i="10"/>
  <c r="AX426" i="10"/>
  <c r="AX427" i="10"/>
  <c r="AX428" i="10"/>
  <c r="AX429" i="10"/>
  <c r="AX430" i="10"/>
  <c r="AX431" i="10"/>
  <c r="AX432" i="10"/>
  <c r="AX433" i="10"/>
  <c r="AX434" i="10"/>
  <c r="AX435" i="10"/>
  <c r="AX436" i="10"/>
  <c r="AX437" i="10"/>
  <c r="AX438" i="10"/>
  <c r="AX439" i="10"/>
  <c r="AX440" i="10"/>
  <c r="AX441" i="10"/>
  <c r="AX442" i="10"/>
  <c r="AX443" i="10"/>
  <c r="AX444" i="10"/>
  <c r="AX445" i="10"/>
  <c r="AX446" i="10"/>
  <c r="AX447" i="10"/>
  <c r="AX448" i="10"/>
  <c r="AX449" i="10"/>
  <c r="AX450" i="10"/>
  <c r="AX451" i="10"/>
  <c r="AX452" i="10"/>
  <c r="AX453" i="10"/>
  <c r="AX454" i="10"/>
  <c r="AX455" i="10"/>
  <c r="AX456" i="10"/>
  <c r="AX457" i="10"/>
  <c r="AX458" i="10"/>
  <c r="AX459" i="10"/>
  <c r="AX460" i="10"/>
  <c r="AX461" i="10"/>
  <c r="AX462" i="10"/>
  <c r="AX463" i="10"/>
  <c r="AX464" i="10"/>
  <c r="AX465" i="10"/>
  <c r="AX466" i="10"/>
  <c r="AX467" i="10"/>
  <c r="AX468" i="10"/>
  <c r="AX469" i="10"/>
  <c r="AX470" i="10"/>
  <c r="AX471" i="10"/>
  <c r="AX472" i="10"/>
  <c r="AX473" i="10"/>
  <c r="AX474" i="10"/>
  <c r="AX475" i="10"/>
  <c r="AX476" i="10"/>
  <c r="AX477" i="10"/>
  <c r="AX478" i="10"/>
  <c r="AX479" i="10"/>
  <c r="AX480" i="10"/>
  <c r="AX481" i="10"/>
  <c r="AX482" i="10"/>
  <c r="AX483" i="10"/>
  <c r="AX484" i="10"/>
  <c r="AX485" i="10"/>
  <c r="AX486" i="10"/>
  <c r="AX487" i="10"/>
  <c r="AX488" i="10"/>
  <c r="AX489" i="10"/>
  <c r="AX490" i="10"/>
  <c r="AX491" i="10"/>
  <c r="AX492" i="10"/>
  <c r="AX493" i="10"/>
  <c r="AX494" i="10"/>
  <c r="AX495" i="10"/>
  <c r="AX496" i="10"/>
  <c r="AX497" i="10"/>
  <c r="AX498" i="10"/>
  <c r="AX499" i="10"/>
  <c r="AX500" i="10"/>
  <c r="AX501" i="10"/>
  <c r="AX502" i="10"/>
  <c r="AX503" i="10"/>
  <c r="AX504" i="10"/>
  <c r="AX505" i="10"/>
  <c r="AX506" i="10"/>
  <c r="AX507" i="10"/>
  <c r="AX508" i="10"/>
  <c r="AX509" i="10"/>
  <c r="AX510" i="10"/>
  <c r="AX511" i="10"/>
  <c r="AX512" i="10"/>
  <c r="AX513" i="10"/>
  <c r="AX514" i="10"/>
  <c r="AX515" i="10"/>
  <c r="AX516" i="10"/>
  <c r="AX517" i="10"/>
  <c r="AX518" i="10"/>
  <c r="AX519" i="10"/>
  <c r="AX520" i="10"/>
  <c r="AX521" i="10"/>
  <c r="AX522" i="10"/>
  <c r="AX523" i="10"/>
  <c r="AX524" i="10"/>
  <c r="AX525" i="10"/>
  <c r="AX526" i="10"/>
  <c r="AX527" i="10"/>
  <c r="AX528" i="10"/>
  <c r="AX529" i="10"/>
  <c r="AX530" i="10"/>
  <c r="AX531" i="10"/>
  <c r="AX532" i="10"/>
  <c r="AX533" i="10"/>
  <c r="AX534" i="10"/>
  <c r="AX535" i="10"/>
  <c r="AX536" i="10"/>
  <c r="AX537" i="10"/>
  <c r="AX538" i="10"/>
  <c r="AX539" i="10"/>
  <c r="AX540" i="10"/>
  <c r="AX541" i="10"/>
  <c r="AX542" i="10"/>
  <c r="AX543" i="10"/>
  <c r="AX544" i="10"/>
  <c r="AX545" i="10"/>
  <c r="AX546" i="10"/>
  <c r="AX547" i="10"/>
  <c r="AX548" i="10"/>
  <c r="AX549" i="10"/>
  <c r="AX550" i="10"/>
  <c r="AX551" i="10"/>
  <c r="AX552" i="10"/>
  <c r="AX553" i="10"/>
  <c r="AX554" i="10"/>
  <c r="AX555" i="10"/>
  <c r="AX556" i="10"/>
  <c r="AX557" i="10"/>
  <c r="AX558" i="10"/>
  <c r="AX559" i="10"/>
  <c r="AX560" i="10"/>
  <c r="AX561" i="10"/>
  <c r="AX562" i="10"/>
  <c r="AX563" i="10"/>
  <c r="AX564" i="10"/>
  <c r="AX565" i="10"/>
  <c r="AX566" i="10"/>
  <c r="AX567" i="10"/>
  <c r="AX568" i="10"/>
  <c r="AX569" i="10"/>
  <c r="AX570" i="10"/>
  <c r="AX571" i="10"/>
  <c r="AX572" i="10"/>
  <c r="AX573" i="10"/>
  <c r="AX574" i="10"/>
  <c r="AX575" i="10"/>
  <c r="AX576" i="10"/>
  <c r="AX577" i="10"/>
  <c r="AX578" i="10"/>
  <c r="AX579" i="10"/>
  <c r="AX580" i="10"/>
  <c r="AX581" i="10"/>
  <c r="AX582" i="10"/>
  <c r="AX583" i="10"/>
  <c r="AX2" i="10"/>
  <c r="AH583" i="10"/>
  <c r="AG583" i="10"/>
  <c r="AF583" i="10"/>
  <c r="AH582" i="10"/>
  <c r="AG582" i="10"/>
  <c r="AF582" i="10"/>
  <c r="AH581" i="10"/>
  <c r="AG581" i="10"/>
  <c r="AF581" i="10"/>
  <c r="AH580" i="10"/>
  <c r="AG580" i="10"/>
  <c r="AF580" i="10"/>
  <c r="AH579" i="10"/>
  <c r="AG579" i="10"/>
  <c r="AF579" i="10"/>
  <c r="AH578" i="10"/>
  <c r="AG578" i="10"/>
  <c r="AF578" i="10"/>
  <c r="AH577" i="10"/>
  <c r="AG577" i="10"/>
  <c r="AF577" i="10"/>
  <c r="AH576" i="10"/>
  <c r="AG576" i="10"/>
  <c r="AF576" i="10"/>
  <c r="AH575" i="10"/>
  <c r="AG575" i="10"/>
  <c r="AF575" i="10"/>
  <c r="AH574" i="10"/>
  <c r="AG574" i="10"/>
  <c r="AF574" i="10"/>
  <c r="AH573" i="10"/>
  <c r="AG573" i="10"/>
  <c r="AF573" i="10"/>
  <c r="AH572" i="10"/>
  <c r="AG572" i="10"/>
  <c r="AF572" i="10"/>
  <c r="AH571" i="10"/>
  <c r="AG571" i="10"/>
  <c r="AF571" i="10"/>
  <c r="AH570" i="10"/>
  <c r="AG570" i="10"/>
  <c r="AF570" i="10"/>
  <c r="AH569" i="10"/>
  <c r="AG569" i="10"/>
  <c r="AF569" i="10"/>
  <c r="AH568" i="10"/>
  <c r="AG568" i="10"/>
  <c r="AF568" i="10"/>
  <c r="AH567" i="10"/>
  <c r="AG567" i="10"/>
  <c r="AF567" i="10"/>
  <c r="AH566" i="10"/>
  <c r="AG566" i="10"/>
  <c r="AF566" i="10"/>
  <c r="AH565" i="10"/>
  <c r="AG565" i="10"/>
  <c r="AF565" i="10"/>
  <c r="AH564" i="10"/>
  <c r="AG564" i="10"/>
  <c r="AF564" i="10"/>
  <c r="AH563" i="10"/>
  <c r="AG563" i="10"/>
  <c r="AF563" i="10"/>
  <c r="AH562" i="10"/>
  <c r="AG562" i="10"/>
  <c r="AF562" i="10"/>
  <c r="AH561" i="10"/>
  <c r="AG561" i="10"/>
  <c r="AF561" i="10"/>
  <c r="AH560" i="10"/>
  <c r="AG560" i="10"/>
  <c r="AF560" i="10"/>
  <c r="AH559" i="10"/>
  <c r="AG559" i="10"/>
  <c r="AF559" i="10"/>
  <c r="AH558" i="10"/>
  <c r="AG558" i="10"/>
  <c r="AF558" i="10"/>
  <c r="AH557" i="10"/>
  <c r="AG557" i="10"/>
  <c r="AF557" i="10"/>
  <c r="AH556" i="10"/>
  <c r="AG556" i="10"/>
  <c r="AF556" i="10"/>
  <c r="AH555" i="10"/>
  <c r="AG555" i="10"/>
  <c r="AF555" i="10"/>
  <c r="AH554" i="10"/>
  <c r="AG554" i="10"/>
  <c r="AF554" i="10"/>
  <c r="AH553" i="10"/>
  <c r="AG553" i="10"/>
  <c r="AF553" i="10"/>
  <c r="AH552" i="10"/>
  <c r="AG552" i="10"/>
  <c r="AF552" i="10"/>
  <c r="AH551" i="10"/>
  <c r="AG551" i="10"/>
  <c r="AF551" i="10"/>
  <c r="AH550" i="10"/>
  <c r="AG550" i="10"/>
  <c r="AF550" i="10"/>
  <c r="AH549" i="10"/>
  <c r="AG549" i="10"/>
  <c r="AF549" i="10"/>
  <c r="AH548" i="10"/>
  <c r="AG548" i="10"/>
  <c r="AF548" i="10"/>
  <c r="AH547" i="10"/>
  <c r="AG547" i="10"/>
  <c r="AF547" i="10"/>
  <c r="AH546" i="10"/>
  <c r="AG546" i="10"/>
  <c r="AF546" i="10"/>
  <c r="AH545" i="10"/>
  <c r="AG545" i="10"/>
  <c r="AF545" i="10"/>
  <c r="AH544" i="10"/>
  <c r="AG544" i="10"/>
  <c r="AF544" i="10"/>
  <c r="AH543" i="10"/>
  <c r="AG543" i="10"/>
  <c r="AF543" i="10"/>
  <c r="AH542" i="10"/>
  <c r="AG542" i="10"/>
  <c r="AF542" i="10"/>
  <c r="AH541" i="10"/>
  <c r="AG541" i="10"/>
  <c r="AF541" i="10"/>
  <c r="AH540" i="10"/>
  <c r="AG540" i="10"/>
  <c r="AF540" i="10"/>
  <c r="AH539" i="10"/>
  <c r="AG539" i="10"/>
  <c r="AF539" i="10"/>
  <c r="AH538" i="10"/>
  <c r="AG538" i="10"/>
  <c r="AF538" i="10"/>
  <c r="AH537" i="10"/>
  <c r="AG537" i="10"/>
  <c r="AF537" i="10"/>
  <c r="AH536" i="10"/>
  <c r="AG536" i="10"/>
  <c r="AF536" i="10"/>
  <c r="AH535" i="10"/>
  <c r="AG535" i="10"/>
  <c r="AF535" i="10"/>
  <c r="AH534" i="10"/>
  <c r="AG534" i="10"/>
  <c r="AF534" i="10"/>
  <c r="AH533" i="10"/>
  <c r="AG533" i="10"/>
  <c r="AF533" i="10"/>
  <c r="AH532" i="10"/>
  <c r="AG532" i="10"/>
  <c r="AF532" i="10"/>
  <c r="AH531" i="10"/>
  <c r="AG531" i="10"/>
  <c r="AF531" i="10"/>
  <c r="AH530" i="10"/>
  <c r="AG530" i="10"/>
  <c r="AF530" i="10"/>
  <c r="AH529" i="10"/>
  <c r="AG529" i="10"/>
  <c r="AF529" i="10"/>
  <c r="AH528" i="10"/>
  <c r="AG528" i="10"/>
  <c r="AF528" i="10"/>
  <c r="AH527" i="10"/>
  <c r="AG527" i="10"/>
  <c r="AF527" i="10"/>
  <c r="AH526" i="10"/>
  <c r="AG526" i="10"/>
  <c r="AF526" i="10"/>
  <c r="AH525" i="10"/>
  <c r="AG525" i="10"/>
  <c r="AF525" i="10"/>
  <c r="AH524" i="10"/>
  <c r="AG524" i="10"/>
  <c r="AF524" i="10"/>
  <c r="AH523" i="10"/>
  <c r="AG523" i="10"/>
  <c r="AF523" i="10"/>
  <c r="AH522" i="10"/>
  <c r="AG522" i="10"/>
  <c r="AF522" i="10"/>
  <c r="AH521" i="10"/>
  <c r="AG521" i="10"/>
  <c r="AF521" i="10"/>
  <c r="AH520" i="10"/>
  <c r="AG520" i="10"/>
  <c r="AF520" i="10"/>
  <c r="AH519" i="10"/>
  <c r="AG519" i="10"/>
  <c r="AF519" i="10"/>
  <c r="AH518" i="10"/>
  <c r="AG518" i="10"/>
  <c r="AF518" i="10"/>
  <c r="AH517" i="10"/>
  <c r="AG517" i="10"/>
  <c r="AF517" i="10"/>
  <c r="AH516" i="10"/>
  <c r="AG516" i="10"/>
  <c r="AF516" i="10"/>
  <c r="AH515" i="10"/>
  <c r="AG515" i="10"/>
  <c r="AF515" i="10"/>
  <c r="AH514" i="10"/>
  <c r="AG514" i="10"/>
  <c r="AF514" i="10"/>
  <c r="AH513" i="10"/>
  <c r="AG513" i="10"/>
  <c r="AF513" i="10"/>
  <c r="AH512" i="10"/>
  <c r="AG512" i="10"/>
  <c r="AF512" i="10"/>
  <c r="AH511" i="10"/>
  <c r="AG511" i="10"/>
  <c r="AF511" i="10"/>
  <c r="AH510" i="10"/>
  <c r="AG510" i="10"/>
  <c r="AF510" i="10"/>
  <c r="AH509" i="10"/>
  <c r="AG509" i="10"/>
  <c r="AF509" i="10"/>
  <c r="AH508" i="10"/>
  <c r="AG508" i="10"/>
  <c r="AF508" i="10"/>
  <c r="AH507" i="10"/>
  <c r="AG507" i="10"/>
  <c r="AF507" i="10"/>
  <c r="AH506" i="10"/>
  <c r="AG506" i="10"/>
  <c r="AF506" i="10"/>
  <c r="AH505" i="10"/>
  <c r="AG505" i="10"/>
  <c r="AF505" i="10"/>
  <c r="AH504" i="10"/>
  <c r="AG504" i="10"/>
  <c r="AF504" i="10"/>
  <c r="AH503" i="10"/>
  <c r="AG503" i="10"/>
  <c r="AF503" i="10"/>
  <c r="AH502" i="10"/>
  <c r="AG502" i="10"/>
  <c r="AF502" i="10"/>
  <c r="AH501" i="10"/>
  <c r="AG501" i="10"/>
  <c r="AF501" i="10"/>
  <c r="AH500" i="10"/>
  <c r="AG500" i="10"/>
  <c r="AF500" i="10"/>
  <c r="AH499" i="10"/>
  <c r="AG499" i="10"/>
  <c r="AF499" i="10"/>
  <c r="AH498" i="10"/>
  <c r="AG498" i="10"/>
  <c r="AF498" i="10"/>
  <c r="AH497" i="10"/>
  <c r="AG497" i="10"/>
  <c r="AF497" i="10"/>
  <c r="AH496" i="10"/>
  <c r="AG496" i="10"/>
  <c r="AF496" i="10"/>
  <c r="AH495" i="10"/>
  <c r="AG495" i="10"/>
  <c r="AF495" i="10"/>
  <c r="AH494" i="10"/>
  <c r="AG494" i="10"/>
  <c r="AF494" i="10"/>
  <c r="AH493" i="10"/>
  <c r="AG493" i="10"/>
  <c r="AF493" i="10"/>
  <c r="AH492" i="10"/>
  <c r="AG492" i="10"/>
  <c r="AF492" i="10"/>
  <c r="AH491" i="10"/>
  <c r="AG491" i="10"/>
  <c r="AF491" i="10"/>
  <c r="AH490" i="10"/>
  <c r="AG490" i="10"/>
  <c r="AF490" i="10"/>
  <c r="AH489" i="10"/>
  <c r="AG489" i="10"/>
  <c r="AF489" i="10"/>
  <c r="AH488" i="10"/>
  <c r="AG488" i="10"/>
  <c r="AF488" i="10"/>
  <c r="AH487" i="10"/>
  <c r="AG487" i="10"/>
  <c r="AF487" i="10"/>
  <c r="AH486" i="10"/>
  <c r="AG486" i="10"/>
  <c r="AF486" i="10"/>
  <c r="AH485" i="10"/>
  <c r="AG485" i="10"/>
  <c r="AF485" i="10"/>
  <c r="AH484" i="10"/>
  <c r="AG484" i="10"/>
  <c r="AF484" i="10"/>
  <c r="AH483" i="10"/>
  <c r="AG483" i="10"/>
  <c r="AF483" i="10"/>
  <c r="AH482" i="10"/>
  <c r="AG482" i="10"/>
  <c r="AF482" i="10"/>
  <c r="AH481" i="10"/>
  <c r="AG481" i="10"/>
  <c r="AF481" i="10"/>
  <c r="AH480" i="10"/>
  <c r="AG480" i="10"/>
  <c r="AF480" i="10"/>
  <c r="AH479" i="10"/>
  <c r="AG479" i="10"/>
  <c r="AF479" i="10"/>
  <c r="AH478" i="10"/>
  <c r="AG478" i="10"/>
  <c r="AF478" i="10"/>
  <c r="AH477" i="10"/>
  <c r="AG477" i="10"/>
  <c r="AF477" i="10"/>
  <c r="AH476" i="10"/>
  <c r="AG476" i="10"/>
  <c r="AF476" i="10"/>
  <c r="AH475" i="10"/>
  <c r="AG475" i="10"/>
  <c r="AF475" i="10"/>
  <c r="AH474" i="10"/>
  <c r="AG474" i="10"/>
  <c r="AF474" i="10"/>
  <c r="AH473" i="10"/>
  <c r="AG473" i="10"/>
  <c r="AF473" i="10"/>
  <c r="AH472" i="10"/>
  <c r="AG472" i="10"/>
  <c r="AF472" i="10"/>
  <c r="AH471" i="10"/>
  <c r="AG471" i="10"/>
  <c r="AF471" i="10"/>
  <c r="AH470" i="10"/>
  <c r="AG470" i="10"/>
  <c r="AF470" i="10"/>
  <c r="AH469" i="10"/>
  <c r="AG469" i="10"/>
  <c r="AF469" i="10"/>
  <c r="AH468" i="10"/>
  <c r="AG468" i="10"/>
  <c r="AF468" i="10"/>
  <c r="AH467" i="10"/>
  <c r="AG467" i="10"/>
  <c r="AF467" i="10"/>
  <c r="AH466" i="10"/>
  <c r="AG466" i="10"/>
  <c r="AF466" i="10"/>
  <c r="AH465" i="10"/>
  <c r="AG465" i="10"/>
  <c r="AF465" i="10"/>
  <c r="AH464" i="10"/>
  <c r="AG464" i="10"/>
  <c r="AF464" i="10"/>
  <c r="AH463" i="10"/>
  <c r="AG463" i="10"/>
  <c r="AF463" i="10"/>
  <c r="AH462" i="10"/>
  <c r="AG462" i="10"/>
  <c r="AF462" i="10"/>
  <c r="AH461" i="10"/>
  <c r="AG461" i="10"/>
  <c r="AF461" i="10"/>
  <c r="AH460" i="10"/>
  <c r="AG460" i="10"/>
  <c r="AF460" i="10"/>
  <c r="AH459" i="10"/>
  <c r="AG459" i="10"/>
  <c r="AF459" i="10"/>
  <c r="AH458" i="10"/>
  <c r="AG458" i="10"/>
  <c r="AF458" i="10"/>
  <c r="AH457" i="10"/>
  <c r="AG457" i="10"/>
  <c r="AF457" i="10"/>
  <c r="AH456" i="10"/>
  <c r="AG456" i="10"/>
  <c r="AF456" i="10"/>
  <c r="AH455" i="10"/>
  <c r="AG455" i="10"/>
  <c r="AF455" i="10"/>
  <c r="AH454" i="10"/>
  <c r="AG454" i="10"/>
  <c r="AF454" i="10"/>
  <c r="AH453" i="10"/>
  <c r="AG453" i="10"/>
  <c r="AF453" i="10"/>
  <c r="AH452" i="10"/>
  <c r="AG452" i="10"/>
  <c r="AF452" i="10"/>
  <c r="AH451" i="10"/>
  <c r="AG451" i="10"/>
  <c r="AF451" i="10"/>
  <c r="AH450" i="10"/>
  <c r="AG450" i="10"/>
  <c r="AF450" i="10"/>
  <c r="AH449" i="10"/>
  <c r="AG449" i="10"/>
  <c r="AF449" i="10"/>
  <c r="AH448" i="10"/>
  <c r="AG448" i="10"/>
  <c r="AF448" i="10"/>
  <c r="AH447" i="10"/>
  <c r="AG447" i="10"/>
  <c r="AF447" i="10"/>
  <c r="AH446" i="10"/>
  <c r="AG446" i="10"/>
  <c r="AF446" i="10"/>
  <c r="AH445" i="10"/>
  <c r="AG445" i="10"/>
  <c r="AF445" i="10"/>
  <c r="AH444" i="10"/>
  <c r="AG444" i="10"/>
  <c r="AF444" i="10"/>
  <c r="AH443" i="10"/>
  <c r="AG443" i="10"/>
  <c r="AF443" i="10"/>
  <c r="AH442" i="10"/>
  <c r="AG442" i="10"/>
  <c r="AF442" i="10"/>
  <c r="AH441" i="10"/>
  <c r="AG441" i="10"/>
  <c r="AF441" i="10"/>
  <c r="AH440" i="10"/>
  <c r="AG440" i="10"/>
  <c r="AF440" i="10"/>
  <c r="AH439" i="10"/>
  <c r="AG439" i="10"/>
  <c r="AF439" i="10"/>
  <c r="AH438" i="10"/>
  <c r="AG438" i="10"/>
  <c r="AF438" i="10"/>
  <c r="AH437" i="10"/>
  <c r="AG437" i="10"/>
  <c r="AF437" i="10"/>
  <c r="AH436" i="10"/>
  <c r="AG436" i="10"/>
  <c r="AF436" i="10"/>
  <c r="AH435" i="10"/>
  <c r="AG435" i="10"/>
  <c r="AF435" i="10"/>
  <c r="AH434" i="10"/>
  <c r="AG434" i="10"/>
  <c r="AF434" i="10"/>
  <c r="AH433" i="10"/>
  <c r="AG433" i="10"/>
  <c r="AF433" i="10"/>
  <c r="AH432" i="10"/>
  <c r="AG432" i="10"/>
  <c r="AF432" i="10"/>
  <c r="AH431" i="10"/>
  <c r="AG431" i="10"/>
  <c r="AF431" i="10"/>
  <c r="AH430" i="10"/>
  <c r="AG430" i="10"/>
  <c r="AF430" i="10"/>
  <c r="AH429" i="10"/>
  <c r="AG429" i="10"/>
  <c r="AF429" i="10"/>
  <c r="AH428" i="10"/>
  <c r="AG428" i="10"/>
  <c r="AF428" i="10"/>
  <c r="AH427" i="10"/>
  <c r="AG427" i="10"/>
  <c r="AF427" i="10"/>
  <c r="AH426" i="10"/>
  <c r="AG426" i="10"/>
  <c r="AF426" i="10"/>
  <c r="AH425" i="10"/>
  <c r="AG425" i="10"/>
  <c r="AF425" i="10"/>
  <c r="AH424" i="10"/>
  <c r="AG424" i="10"/>
  <c r="AF424" i="10"/>
  <c r="AH423" i="10"/>
  <c r="AG423" i="10"/>
  <c r="AF423" i="10"/>
  <c r="AH422" i="10"/>
  <c r="AG422" i="10"/>
  <c r="AF422" i="10"/>
  <c r="AH421" i="10"/>
  <c r="AG421" i="10"/>
  <c r="AF421" i="10"/>
  <c r="AH420" i="10"/>
  <c r="AG420" i="10"/>
  <c r="AF420" i="10"/>
  <c r="AH419" i="10"/>
  <c r="AG419" i="10"/>
  <c r="AF419" i="10"/>
  <c r="AH418" i="10"/>
  <c r="AG418" i="10"/>
  <c r="AF418" i="10"/>
  <c r="AH417" i="10"/>
  <c r="AG417" i="10"/>
  <c r="AF417" i="10"/>
  <c r="AH416" i="10"/>
  <c r="AG416" i="10"/>
  <c r="AF416" i="10"/>
  <c r="AH415" i="10"/>
  <c r="AG415" i="10"/>
  <c r="AF415" i="10"/>
  <c r="AH414" i="10"/>
  <c r="AG414" i="10"/>
  <c r="AF414" i="10"/>
  <c r="AH413" i="10"/>
  <c r="AG413" i="10"/>
  <c r="AF413" i="10"/>
  <c r="AH412" i="10"/>
  <c r="AG412" i="10"/>
  <c r="AF412" i="10"/>
  <c r="AH411" i="10"/>
  <c r="AG411" i="10"/>
  <c r="AF411" i="10"/>
  <c r="AH410" i="10"/>
  <c r="AG410" i="10"/>
  <c r="AF410" i="10"/>
  <c r="AH409" i="10"/>
  <c r="AG409" i="10"/>
  <c r="AF409" i="10"/>
  <c r="AH408" i="10"/>
  <c r="AG408" i="10"/>
  <c r="AF408" i="10"/>
  <c r="AH407" i="10"/>
  <c r="AG407" i="10"/>
  <c r="AF407" i="10"/>
  <c r="AH406" i="10"/>
  <c r="AG406" i="10"/>
  <c r="AF406" i="10"/>
  <c r="AH405" i="10"/>
  <c r="AG405" i="10"/>
  <c r="AF405" i="10"/>
  <c r="AH404" i="10"/>
  <c r="AG404" i="10"/>
  <c r="AF404" i="10"/>
  <c r="AH403" i="10"/>
  <c r="AG403" i="10"/>
  <c r="AF403" i="10"/>
  <c r="AH402" i="10"/>
  <c r="AG402" i="10"/>
  <c r="AF402" i="10"/>
  <c r="AH401" i="10"/>
  <c r="AG401" i="10"/>
  <c r="AF401" i="10"/>
  <c r="AH400" i="10"/>
  <c r="AG400" i="10"/>
  <c r="AF400" i="10"/>
  <c r="AH399" i="10"/>
  <c r="AG399" i="10"/>
  <c r="AF399" i="10"/>
  <c r="AH398" i="10"/>
  <c r="AG398" i="10"/>
  <c r="AF398" i="10"/>
  <c r="AH397" i="10"/>
  <c r="AG397" i="10"/>
  <c r="AF397" i="10"/>
  <c r="AH396" i="10"/>
  <c r="AG396" i="10"/>
  <c r="AF396" i="10"/>
  <c r="AH395" i="10"/>
  <c r="AG395" i="10"/>
  <c r="AF395" i="10"/>
  <c r="AH394" i="10"/>
  <c r="AG394" i="10"/>
  <c r="AF394" i="10"/>
  <c r="AH393" i="10"/>
  <c r="AG393" i="10"/>
  <c r="AF393" i="10"/>
  <c r="AH392" i="10"/>
  <c r="AG392" i="10"/>
  <c r="AF392" i="10"/>
  <c r="AH391" i="10"/>
  <c r="AG391" i="10"/>
  <c r="AF391" i="10"/>
  <c r="AH390" i="10"/>
  <c r="AG390" i="10"/>
  <c r="AF390" i="10"/>
  <c r="AH389" i="10"/>
  <c r="AG389" i="10"/>
  <c r="AF389" i="10"/>
  <c r="AH388" i="10"/>
  <c r="AG388" i="10"/>
  <c r="AF388" i="10"/>
  <c r="AH387" i="10"/>
  <c r="AG387" i="10"/>
  <c r="AF387" i="10"/>
  <c r="AH386" i="10"/>
  <c r="AG386" i="10"/>
  <c r="AF386" i="10"/>
  <c r="AH385" i="10"/>
  <c r="AG385" i="10"/>
  <c r="AF385" i="10"/>
  <c r="AH384" i="10"/>
  <c r="AG384" i="10"/>
  <c r="AF384" i="10"/>
  <c r="AH383" i="10"/>
  <c r="AG383" i="10"/>
  <c r="AF383" i="10"/>
  <c r="AH382" i="10"/>
  <c r="AG382" i="10"/>
  <c r="AF382" i="10"/>
  <c r="AH381" i="10"/>
  <c r="AG381" i="10"/>
  <c r="AF381" i="10"/>
  <c r="AH380" i="10"/>
  <c r="AG380" i="10"/>
  <c r="AF380" i="10"/>
  <c r="AH379" i="10"/>
  <c r="AG379" i="10"/>
  <c r="AF379" i="10"/>
  <c r="AH378" i="10"/>
  <c r="AG378" i="10"/>
  <c r="AF378" i="10"/>
  <c r="AH377" i="10"/>
  <c r="AG377" i="10"/>
  <c r="AF377" i="10"/>
  <c r="AH376" i="10"/>
  <c r="AG376" i="10"/>
  <c r="AF376" i="10"/>
  <c r="AH375" i="10"/>
  <c r="AG375" i="10"/>
  <c r="AF375" i="10"/>
  <c r="AH374" i="10"/>
  <c r="AG374" i="10"/>
  <c r="AF374" i="10"/>
  <c r="AH373" i="10"/>
  <c r="AG373" i="10"/>
  <c r="AF373" i="10"/>
  <c r="AH372" i="10"/>
  <c r="AG372" i="10"/>
  <c r="AF372" i="10"/>
  <c r="AH371" i="10"/>
  <c r="AG371" i="10"/>
  <c r="AF371" i="10"/>
  <c r="AH370" i="10"/>
  <c r="AG370" i="10"/>
  <c r="AF370" i="10"/>
  <c r="AH369" i="10"/>
  <c r="AG369" i="10"/>
  <c r="AF369" i="10"/>
  <c r="AH368" i="10"/>
  <c r="AG368" i="10"/>
  <c r="AF368" i="10"/>
  <c r="AH367" i="10"/>
  <c r="AG367" i="10"/>
  <c r="AF367" i="10"/>
  <c r="AH366" i="10"/>
  <c r="AG366" i="10"/>
  <c r="AF366" i="10"/>
  <c r="AH365" i="10"/>
  <c r="AG365" i="10"/>
  <c r="AF365" i="10"/>
  <c r="AH364" i="10"/>
  <c r="AG364" i="10"/>
  <c r="AF364" i="10"/>
  <c r="AH363" i="10"/>
  <c r="AG363" i="10"/>
  <c r="AF363" i="10"/>
  <c r="AH362" i="10"/>
  <c r="AG362" i="10"/>
  <c r="AF362" i="10"/>
  <c r="AH361" i="10"/>
  <c r="AG361" i="10"/>
  <c r="AF361" i="10"/>
  <c r="AH360" i="10"/>
  <c r="AG360" i="10"/>
  <c r="AF360" i="10"/>
  <c r="AH359" i="10"/>
  <c r="AG359" i="10"/>
  <c r="AF359" i="10"/>
  <c r="AH358" i="10"/>
  <c r="AG358" i="10"/>
  <c r="AF358" i="10"/>
  <c r="AH357" i="10"/>
  <c r="AG357" i="10"/>
  <c r="AF357" i="10"/>
  <c r="AH356" i="10"/>
  <c r="AG356" i="10"/>
  <c r="AF356" i="10"/>
  <c r="AH355" i="10"/>
  <c r="AG355" i="10"/>
  <c r="AF355" i="10"/>
  <c r="AH354" i="10"/>
  <c r="AG354" i="10"/>
  <c r="AF354" i="10"/>
  <c r="AH353" i="10"/>
  <c r="AG353" i="10"/>
  <c r="AF353" i="10"/>
  <c r="AH352" i="10"/>
  <c r="AG352" i="10"/>
  <c r="AF352" i="10"/>
  <c r="AH351" i="10"/>
  <c r="AG351" i="10"/>
  <c r="AF351" i="10"/>
  <c r="AH350" i="10"/>
  <c r="AG350" i="10"/>
  <c r="AF350" i="10"/>
  <c r="AH349" i="10"/>
  <c r="AG349" i="10"/>
  <c r="AF349" i="10"/>
  <c r="AH348" i="10"/>
  <c r="AG348" i="10"/>
  <c r="AF348" i="10"/>
  <c r="AH347" i="10"/>
  <c r="AG347" i="10"/>
  <c r="AF347" i="10"/>
  <c r="AH346" i="10"/>
  <c r="AG346" i="10"/>
  <c r="AF346" i="10"/>
  <c r="AH345" i="10"/>
  <c r="AG345" i="10"/>
  <c r="AF345" i="10"/>
  <c r="AH344" i="10"/>
  <c r="AG344" i="10"/>
  <c r="AF344" i="10"/>
  <c r="AH343" i="10"/>
  <c r="AG343" i="10"/>
  <c r="AF343" i="10"/>
  <c r="AH342" i="10"/>
  <c r="AG342" i="10"/>
  <c r="AF342" i="10"/>
  <c r="AH341" i="10"/>
  <c r="AG341" i="10"/>
  <c r="AF341" i="10"/>
  <c r="AH340" i="10"/>
  <c r="AG340" i="10"/>
  <c r="AF340" i="10"/>
  <c r="AH339" i="10"/>
  <c r="AG339" i="10"/>
  <c r="AF339" i="10"/>
  <c r="AH338" i="10"/>
  <c r="AG338" i="10"/>
  <c r="AF338" i="10"/>
  <c r="AH337" i="10"/>
  <c r="AG337" i="10"/>
  <c r="AF337" i="10"/>
  <c r="AH336" i="10"/>
  <c r="AG336" i="10"/>
  <c r="AF336" i="10"/>
  <c r="AH335" i="10"/>
  <c r="AG335" i="10"/>
  <c r="AF335" i="10"/>
  <c r="AH334" i="10"/>
  <c r="AG334" i="10"/>
  <c r="AF334" i="10"/>
  <c r="AH333" i="10"/>
  <c r="AG333" i="10"/>
  <c r="AF333" i="10"/>
  <c r="AH332" i="10"/>
  <c r="AG332" i="10"/>
  <c r="AF332" i="10"/>
  <c r="AH331" i="10"/>
  <c r="AG331" i="10"/>
  <c r="AF331" i="10"/>
  <c r="AH330" i="10"/>
  <c r="AG330" i="10"/>
  <c r="AF330" i="10"/>
  <c r="AH329" i="10"/>
  <c r="AG329" i="10"/>
  <c r="AF329" i="10"/>
  <c r="AH328" i="10"/>
  <c r="AG328" i="10"/>
  <c r="AF328" i="10"/>
  <c r="AH327" i="10"/>
  <c r="AG327" i="10"/>
  <c r="AF327" i="10"/>
  <c r="AH326" i="10"/>
  <c r="AG326" i="10"/>
  <c r="AF326" i="10"/>
  <c r="AH325" i="10"/>
  <c r="AG325" i="10"/>
  <c r="AF325" i="10"/>
  <c r="AH324" i="10"/>
  <c r="AG324" i="10"/>
  <c r="AF324" i="10"/>
  <c r="AH323" i="10"/>
  <c r="AG323" i="10"/>
  <c r="AF323" i="10"/>
  <c r="AH322" i="10"/>
  <c r="AG322" i="10"/>
  <c r="AF322" i="10"/>
  <c r="AH321" i="10"/>
  <c r="AG321" i="10"/>
  <c r="AF321" i="10"/>
  <c r="AH320" i="10"/>
  <c r="AG320" i="10"/>
  <c r="AF320" i="10"/>
  <c r="AH319" i="10"/>
  <c r="AG319" i="10"/>
  <c r="AF319" i="10"/>
  <c r="AH318" i="10"/>
  <c r="AG318" i="10"/>
  <c r="AF318" i="10"/>
  <c r="AH317" i="10"/>
  <c r="AG317" i="10"/>
  <c r="AF317" i="10"/>
  <c r="AH316" i="10"/>
  <c r="AG316" i="10"/>
  <c r="AF316" i="10"/>
  <c r="AH315" i="10"/>
  <c r="AG315" i="10"/>
  <c r="AF315" i="10"/>
  <c r="AH314" i="10"/>
  <c r="AG314" i="10"/>
  <c r="AF314" i="10"/>
  <c r="AH313" i="10"/>
  <c r="AG313" i="10"/>
  <c r="AF313" i="10"/>
  <c r="AH312" i="10"/>
  <c r="AG312" i="10"/>
  <c r="AF312" i="10"/>
  <c r="AH311" i="10"/>
  <c r="AG311" i="10"/>
  <c r="AF311" i="10"/>
  <c r="AH310" i="10"/>
  <c r="AG310" i="10"/>
  <c r="AF310" i="10"/>
  <c r="AH309" i="10"/>
  <c r="AG309" i="10"/>
  <c r="AF309" i="10"/>
  <c r="AH308" i="10"/>
  <c r="AG308" i="10"/>
  <c r="AF308" i="10"/>
  <c r="AH307" i="10"/>
  <c r="AG307" i="10"/>
  <c r="AF307" i="10"/>
  <c r="AH306" i="10"/>
  <c r="AG306" i="10"/>
  <c r="AF306" i="10"/>
  <c r="AH305" i="10"/>
  <c r="AG305" i="10"/>
  <c r="AF305" i="10"/>
  <c r="AH304" i="10"/>
  <c r="AG304" i="10"/>
  <c r="AF304" i="10"/>
  <c r="AH303" i="10"/>
  <c r="AG303" i="10"/>
  <c r="AF303" i="10"/>
  <c r="AH302" i="10"/>
  <c r="AG302" i="10"/>
  <c r="AF302" i="10"/>
  <c r="AH301" i="10"/>
  <c r="AG301" i="10"/>
  <c r="AF301" i="10"/>
  <c r="AH300" i="10"/>
  <c r="AG300" i="10"/>
  <c r="AF300" i="10"/>
  <c r="AH299" i="10"/>
  <c r="AG299" i="10"/>
  <c r="AF299" i="10"/>
  <c r="AH298" i="10"/>
  <c r="AG298" i="10"/>
  <c r="AF298" i="10"/>
  <c r="AH297" i="10"/>
  <c r="AG297" i="10"/>
  <c r="AF297" i="10"/>
  <c r="AH296" i="10"/>
  <c r="AG296" i="10"/>
  <c r="AF296" i="10"/>
  <c r="AH295" i="10"/>
  <c r="AG295" i="10"/>
  <c r="AF295" i="10"/>
  <c r="AH294" i="10"/>
  <c r="AG294" i="10"/>
  <c r="AF294" i="10"/>
  <c r="AH293" i="10"/>
  <c r="AG293" i="10"/>
  <c r="AF293" i="10"/>
  <c r="AH292" i="10"/>
  <c r="AG292" i="10"/>
  <c r="AF292" i="10"/>
  <c r="AH291" i="10"/>
  <c r="AG291" i="10"/>
  <c r="AF291" i="10"/>
  <c r="AH290" i="10"/>
  <c r="AG290" i="10"/>
  <c r="AF290" i="10"/>
  <c r="AH289" i="10"/>
  <c r="AG289" i="10"/>
  <c r="AF289" i="10"/>
  <c r="AH288" i="10"/>
  <c r="AG288" i="10"/>
  <c r="AF288" i="10"/>
  <c r="AH287" i="10"/>
  <c r="AG287" i="10"/>
  <c r="AF287" i="10"/>
  <c r="AH286" i="10"/>
  <c r="AG286" i="10"/>
  <c r="AF286" i="10"/>
  <c r="AH285" i="10"/>
  <c r="AG285" i="10"/>
  <c r="AF285" i="10"/>
  <c r="AH284" i="10"/>
  <c r="AG284" i="10"/>
  <c r="AF284" i="10"/>
  <c r="AH283" i="10"/>
  <c r="AG283" i="10"/>
  <c r="AF283" i="10"/>
  <c r="AH282" i="10"/>
  <c r="AG282" i="10"/>
  <c r="AF282" i="10"/>
  <c r="AH281" i="10"/>
  <c r="AG281" i="10"/>
  <c r="AF281" i="10"/>
  <c r="AH280" i="10"/>
  <c r="AG280" i="10"/>
  <c r="AF280" i="10"/>
  <c r="AH279" i="10"/>
  <c r="AG279" i="10"/>
  <c r="AF279" i="10"/>
  <c r="AH278" i="10"/>
  <c r="AG278" i="10"/>
  <c r="AF278" i="10"/>
  <c r="AH277" i="10"/>
  <c r="AG277" i="10"/>
  <c r="AF277" i="10"/>
  <c r="AH276" i="10"/>
  <c r="AG276" i="10"/>
  <c r="AF276" i="10"/>
  <c r="AH275" i="10"/>
  <c r="AG275" i="10"/>
  <c r="AF275" i="10"/>
  <c r="AH274" i="10"/>
  <c r="AG274" i="10"/>
  <c r="AF274" i="10"/>
  <c r="AH273" i="10"/>
  <c r="AG273" i="10"/>
  <c r="AF273" i="10"/>
  <c r="AH272" i="10"/>
  <c r="AG272" i="10"/>
  <c r="AF272" i="10"/>
  <c r="AH271" i="10"/>
  <c r="AG271" i="10"/>
  <c r="AF271" i="10"/>
  <c r="AH270" i="10"/>
  <c r="AG270" i="10"/>
  <c r="AF270" i="10"/>
  <c r="AH269" i="10"/>
  <c r="AG269" i="10"/>
  <c r="AF269" i="10"/>
  <c r="AH268" i="10"/>
  <c r="AG268" i="10"/>
  <c r="AF268" i="10"/>
  <c r="AH267" i="10"/>
  <c r="AG267" i="10"/>
  <c r="AF267" i="10"/>
  <c r="AH266" i="10"/>
  <c r="AG266" i="10"/>
  <c r="AF266" i="10"/>
  <c r="AH265" i="10"/>
  <c r="AG265" i="10"/>
  <c r="AF265" i="10"/>
  <c r="AH264" i="10"/>
  <c r="AG264" i="10"/>
  <c r="AF264" i="10"/>
  <c r="AH263" i="10"/>
  <c r="AG263" i="10"/>
  <c r="AF263" i="10"/>
  <c r="AH262" i="10"/>
  <c r="AG262" i="10"/>
  <c r="AF262" i="10"/>
  <c r="AH261" i="10"/>
  <c r="AG261" i="10"/>
  <c r="AF261" i="10"/>
  <c r="AH260" i="10"/>
  <c r="AG260" i="10"/>
  <c r="AF260" i="10"/>
  <c r="AH259" i="10"/>
  <c r="AG259" i="10"/>
  <c r="AF259" i="10"/>
  <c r="AH258" i="10"/>
  <c r="AG258" i="10"/>
  <c r="AF258" i="10"/>
  <c r="AH257" i="10"/>
  <c r="AG257" i="10"/>
  <c r="AF257" i="10"/>
  <c r="AH256" i="10"/>
  <c r="AG256" i="10"/>
  <c r="AF256" i="10"/>
  <c r="AH255" i="10"/>
  <c r="AG255" i="10"/>
  <c r="AF255" i="10"/>
  <c r="AH254" i="10"/>
  <c r="AG254" i="10"/>
  <c r="AF254" i="10"/>
  <c r="AH253" i="10"/>
  <c r="AG253" i="10"/>
  <c r="AF253" i="10"/>
  <c r="AH252" i="10"/>
  <c r="AG252" i="10"/>
  <c r="AF252" i="10"/>
  <c r="AH251" i="10"/>
  <c r="AG251" i="10"/>
  <c r="AF251" i="10"/>
  <c r="AH250" i="10"/>
  <c r="AG250" i="10"/>
  <c r="AF250" i="10"/>
  <c r="AH249" i="10"/>
  <c r="AG249" i="10"/>
  <c r="AF249" i="10"/>
  <c r="AH248" i="10"/>
  <c r="AG248" i="10"/>
  <c r="AF248" i="10"/>
  <c r="AH247" i="10"/>
  <c r="AG247" i="10"/>
  <c r="AF247" i="10"/>
  <c r="AH246" i="10"/>
  <c r="AG246" i="10"/>
  <c r="AF246" i="10"/>
  <c r="AH245" i="10"/>
  <c r="AG245" i="10"/>
  <c r="AF245" i="10"/>
  <c r="AH244" i="10"/>
  <c r="AG244" i="10"/>
  <c r="AF244" i="10"/>
  <c r="AH243" i="10"/>
  <c r="AG243" i="10"/>
  <c r="AF243" i="10"/>
  <c r="AH242" i="10"/>
  <c r="AG242" i="10"/>
  <c r="AF242" i="10"/>
  <c r="AH241" i="10"/>
  <c r="AG241" i="10"/>
  <c r="AF241" i="10"/>
  <c r="AH240" i="10"/>
  <c r="AG240" i="10"/>
  <c r="AF240" i="10"/>
  <c r="AH239" i="10"/>
  <c r="AG239" i="10"/>
  <c r="AF239" i="10"/>
  <c r="AH238" i="10"/>
  <c r="AG238" i="10"/>
  <c r="AF238" i="10"/>
  <c r="AH237" i="10"/>
  <c r="AG237" i="10"/>
  <c r="AF237" i="10"/>
  <c r="AH236" i="10"/>
  <c r="AG236" i="10"/>
  <c r="AF236" i="10"/>
  <c r="AH235" i="10"/>
  <c r="AG235" i="10"/>
  <c r="AF235" i="10"/>
  <c r="AH234" i="10"/>
  <c r="AG234" i="10"/>
  <c r="AF234" i="10"/>
  <c r="AH233" i="10"/>
  <c r="AG233" i="10"/>
  <c r="AF233" i="10"/>
  <c r="AH232" i="10"/>
  <c r="AG232" i="10"/>
  <c r="AF232" i="10"/>
  <c r="AH231" i="10"/>
  <c r="AG231" i="10"/>
  <c r="AF231" i="10"/>
  <c r="AH230" i="10"/>
  <c r="AG230" i="10"/>
  <c r="AF230" i="10"/>
  <c r="AH229" i="10"/>
  <c r="AG229" i="10"/>
  <c r="AF229" i="10"/>
  <c r="AH228" i="10"/>
  <c r="AG228" i="10"/>
  <c r="AF228" i="10"/>
  <c r="AH227" i="10"/>
  <c r="AG227" i="10"/>
  <c r="AF227" i="10"/>
  <c r="AH226" i="10"/>
  <c r="AG226" i="10"/>
  <c r="AF226" i="10"/>
  <c r="AH225" i="10"/>
  <c r="AG225" i="10"/>
  <c r="AF225" i="10"/>
  <c r="AH224" i="10"/>
  <c r="AG224" i="10"/>
  <c r="AF224" i="10"/>
  <c r="AH223" i="10"/>
  <c r="AG223" i="10"/>
  <c r="AF223" i="10"/>
  <c r="AH222" i="10"/>
  <c r="AG222" i="10"/>
  <c r="AF222" i="10"/>
  <c r="AH221" i="10"/>
  <c r="AG221" i="10"/>
  <c r="AF221" i="10"/>
  <c r="AH220" i="10"/>
  <c r="AG220" i="10"/>
  <c r="AF220" i="10"/>
  <c r="AH219" i="10"/>
  <c r="AG219" i="10"/>
  <c r="AF219" i="10"/>
  <c r="AH218" i="10"/>
  <c r="AG218" i="10"/>
  <c r="AF218" i="10"/>
  <c r="AH217" i="10"/>
  <c r="AG217" i="10"/>
  <c r="AF217" i="10"/>
  <c r="AH216" i="10"/>
  <c r="AG216" i="10"/>
  <c r="AF216" i="10"/>
  <c r="AH215" i="10"/>
  <c r="AG215" i="10"/>
  <c r="AF215" i="10"/>
  <c r="AH214" i="10"/>
  <c r="AG214" i="10"/>
  <c r="AF214" i="10"/>
  <c r="AH213" i="10"/>
  <c r="AG213" i="10"/>
  <c r="AF213" i="10"/>
  <c r="AH212" i="10"/>
  <c r="AG212" i="10"/>
  <c r="AF212" i="10"/>
  <c r="AH211" i="10"/>
  <c r="AG211" i="10"/>
  <c r="AF211" i="10"/>
  <c r="AH210" i="10"/>
  <c r="AG210" i="10"/>
  <c r="AF210" i="10"/>
  <c r="AH209" i="10"/>
  <c r="AG209" i="10"/>
  <c r="AF209" i="10"/>
  <c r="AH208" i="10"/>
  <c r="AG208" i="10"/>
  <c r="AF208" i="10"/>
  <c r="AH207" i="10"/>
  <c r="AG207" i="10"/>
  <c r="AF207" i="10"/>
  <c r="AH206" i="10"/>
  <c r="AG206" i="10"/>
  <c r="AF206" i="10"/>
  <c r="AH205" i="10"/>
  <c r="AG205" i="10"/>
  <c r="AF205" i="10"/>
  <c r="AH204" i="10"/>
  <c r="AG204" i="10"/>
  <c r="AF204" i="10"/>
  <c r="AH203" i="10"/>
  <c r="AG203" i="10"/>
  <c r="AF203" i="10"/>
  <c r="AH202" i="10"/>
  <c r="AG202" i="10"/>
  <c r="AF202" i="10"/>
  <c r="AH201" i="10"/>
  <c r="AG201" i="10"/>
  <c r="AF201" i="10"/>
  <c r="AH200" i="10"/>
  <c r="AG200" i="10"/>
  <c r="AF200" i="10"/>
  <c r="AH199" i="10"/>
  <c r="AG199" i="10"/>
  <c r="AF199" i="10"/>
  <c r="AH198" i="10"/>
  <c r="AG198" i="10"/>
  <c r="AF198" i="10"/>
  <c r="AH197" i="10"/>
  <c r="AG197" i="10"/>
  <c r="AF197" i="10"/>
  <c r="AH196" i="10"/>
  <c r="AG196" i="10"/>
  <c r="AF196" i="10"/>
  <c r="AH195" i="10"/>
  <c r="AG195" i="10"/>
  <c r="AF195" i="10"/>
  <c r="AH194" i="10"/>
  <c r="AG194" i="10"/>
  <c r="AF194" i="10"/>
  <c r="AH193" i="10"/>
  <c r="AG193" i="10"/>
  <c r="AF193" i="10"/>
  <c r="AH192" i="10"/>
  <c r="AG192" i="10"/>
  <c r="AF192" i="10"/>
  <c r="AH191" i="10"/>
  <c r="AG191" i="10"/>
  <c r="AF191" i="10"/>
  <c r="AH190" i="10"/>
  <c r="AG190" i="10"/>
  <c r="AF190" i="10"/>
  <c r="AH189" i="10"/>
  <c r="AG189" i="10"/>
  <c r="AF189" i="10"/>
  <c r="AH188" i="10"/>
  <c r="AG188" i="10"/>
  <c r="AF188" i="10"/>
  <c r="AH187" i="10"/>
  <c r="AG187" i="10"/>
  <c r="AF187" i="10"/>
  <c r="AH186" i="10"/>
  <c r="AG186" i="10"/>
  <c r="AF186" i="10"/>
  <c r="AH185" i="10"/>
  <c r="AG185" i="10"/>
  <c r="AF185" i="10"/>
  <c r="AH184" i="10"/>
  <c r="AG184" i="10"/>
  <c r="AF184" i="10"/>
  <c r="AH183" i="10"/>
  <c r="AG183" i="10"/>
  <c r="AF183" i="10"/>
  <c r="AH182" i="10"/>
  <c r="AG182" i="10"/>
  <c r="AF182" i="10"/>
  <c r="AH181" i="10"/>
  <c r="AG181" i="10"/>
  <c r="AF181" i="10"/>
  <c r="AH180" i="10"/>
  <c r="AG180" i="10"/>
  <c r="AF180" i="10"/>
  <c r="AH179" i="10"/>
  <c r="AG179" i="10"/>
  <c r="AF179" i="10"/>
  <c r="AH178" i="10"/>
  <c r="AG178" i="10"/>
  <c r="AF178" i="10"/>
  <c r="AH177" i="10"/>
  <c r="AG177" i="10"/>
  <c r="AF177" i="10"/>
  <c r="AH176" i="10"/>
  <c r="AG176" i="10"/>
  <c r="AF176" i="10"/>
  <c r="AH175" i="10"/>
  <c r="AG175" i="10"/>
  <c r="AF175" i="10"/>
  <c r="AH174" i="10"/>
  <c r="AG174" i="10"/>
  <c r="AF174" i="10"/>
  <c r="AH173" i="10"/>
  <c r="AG173" i="10"/>
  <c r="AF173" i="10"/>
  <c r="AH172" i="10"/>
  <c r="AG172" i="10"/>
  <c r="AF172" i="10"/>
  <c r="AH171" i="10"/>
  <c r="AG171" i="10"/>
  <c r="AF171" i="10"/>
  <c r="AH170" i="10"/>
  <c r="AG170" i="10"/>
  <c r="AF170" i="10"/>
  <c r="AH169" i="10"/>
  <c r="AG169" i="10"/>
  <c r="AF169" i="10"/>
  <c r="AH168" i="10"/>
  <c r="AG168" i="10"/>
  <c r="AF168" i="10"/>
  <c r="AH167" i="10"/>
  <c r="AG167" i="10"/>
  <c r="AF167" i="10"/>
  <c r="AH166" i="10"/>
  <c r="AG166" i="10"/>
  <c r="AF166" i="10"/>
  <c r="AH165" i="10"/>
  <c r="AG165" i="10"/>
  <c r="AF165" i="10"/>
  <c r="AH164" i="10"/>
  <c r="AG164" i="10"/>
  <c r="AF164" i="10"/>
  <c r="AH163" i="10"/>
  <c r="AG163" i="10"/>
  <c r="AF163" i="10"/>
  <c r="AH162" i="10"/>
  <c r="AG162" i="10"/>
  <c r="AF162" i="10"/>
  <c r="AH161" i="10"/>
  <c r="AG161" i="10"/>
  <c r="AF161" i="10"/>
  <c r="AH160" i="10"/>
  <c r="AG160" i="10"/>
  <c r="AF160" i="10"/>
  <c r="AH159" i="10"/>
  <c r="AG159" i="10"/>
  <c r="AF159" i="10"/>
  <c r="AH158" i="10"/>
  <c r="AG158" i="10"/>
  <c r="AF158" i="10"/>
  <c r="AH157" i="10"/>
  <c r="AG157" i="10"/>
  <c r="AF157" i="10"/>
  <c r="AH156" i="10"/>
  <c r="AG156" i="10"/>
  <c r="AF156" i="10"/>
  <c r="AH155" i="10"/>
  <c r="AG155" i="10"/>
  <c r="AF155" i="10"/>
  <c r="AH154" i="10"/>
  <c r="AG154" i="10"/>
  <c r="AF154" i="10"/>
  <c r="AH153" i="10"/>
  <c r="AG153" i="10"/>
  <c r="AF153" i="10"/>
  <c r="AH152" i="10"/>
  <c r="AG152" i="10"/>
  <c r="AF152" i="10"/>
  <c r="AH151" i="10"/>
  <c r="AG151" i="10"/>
  <c r="AF151" i="10"/>
  <c r="AH150" i="10"/>
  <c r="AG150" i="10"/>
  <c r="AF150" i="10"/>
  <c r="AH149" i="10"/>
  <c r="AG149" i="10"/>
  <c r="AF149" i="10"/>
  <c r="AH148" i="10"/>
  <c r="AG148" i="10"/>
  <c r="AF148" i="10"/>
  <c r="AH147" i="10"/>
  <c r="AG147" i="10"/>
  <c r="AF147" i="10"/>
  <c r="AH146" i="10"/>
  <c r="AG146" i="10"/>
  <c r="AF146" i="10"/>
  <c r="AH145" i="10"/>
  <c r="AG145" i="10"/>
  <c r="AF145" i="10"/>
  <c r="AH144" i="10"/>
  <c r="AG144" i="10"/>
  <c r="AF144" i="10"/>
  <c r="AH143" i="10"/>
  <c r="AG143" i="10"/>
  <c r="AF143" i="10"/>
  <c r="AH142" i="10"/>
  <c r="AG142" i="10"/>
  <c r="AF142" i="10"/>
  <c r="AH141" i="10"/>
  <c r="AG141" i="10"/>
  <c r="AF141" i="10"/>
  <c r="AH140" i="10"/>
  <c r="AG140" i="10"/>
  <c r="AF140" i="10"/>
  <c r="AH139" i="10"/>
  <c r="AG139" i="10"/>
  <c r="AF139" i="10"/>
  <c r="AH138" i="10"/>
  <c r="AG138" i="10"/>
  <c r="AF138" i="10"/>
  <c r="AH137" i="10"/>
  <c r="AG137" i="10"/>
  <c r="AF137" i="10"/>
  <c r="AH136" i="10"/>
  <c r="AG136" i="10"/>
  <c r="AF136" i="10"/>
  <c r="AH135" i="10"/>
  <c r="AG135" i="10"/>
  <c r="AF135" i="10"/>
  <c r="AH134" i="10"/>
  <c r="AG134" i="10"/>
  <c r="AF134" i="10"/>
  <c r="AH133" i="10"/>
  <c r="AG133" i="10"/>
  <c r="AF133" i="10"/>
  <c r="AH132" i="10"/>
  <c r="AG132" i="10"/>
  <c r="AF132" i="10"/>
  <c r="AH131" i="10"/>
  <c r="AG131" i="10"/>
  <c r="AF131" i="10"/>
  <c r="AH130" i="10"/>
  <c r="AG130" i="10"/>
  <c r="AF130" i="10"/>
  <c r="AH129" i="10"/>
  <c r="AG129" i="10"/>
  <c r="AF129" i="10"/>
  <c r="AH128" i="10"/>
  <c r="AG128" i="10"/>
  <c r="AF128" i="10"/>
  <c r="AH127" i="10"/>
  <c r="AG127" i="10"/>
  <c r="AF127" i="10"/>
  <c r="AH126" i="10"/>
  <c r="AG126" i="10"/>
  <c r="AF126" i="10"/>
  <c r="AH125" i="10"/>
  <c r="AG125" i="10"/>
  <c r="AF125" i="10"/>
  <c r="AH124" i="10"/>
  <c r="AG124" i="10"/>
  <c r="AF124" i="10"/>
  <c r="AH123" i="10"/>
  <c r="AG123" i="10"/>
  <c r="AF123" i="10"/>
  <c r="AH122" i="10"/>
  <c r="AG122" i="10"/>
  <c r="AF122" i="10"/>
  <c r="AH121" i="10"/>
  <c r="AG121" i="10"/>
  <c r="AF121" i="10"/>
  <c r="AH120" i="10"/>
  <c r="AG120" i="10"/>
  <c r="AF120" i="10"/>
  <c r="AH119" i="10"/>
  <c r="AG119" i="10"/>
  <c r="AF119" i="10"/>
  <c r="AH118" i="10"/>
  <c r="AG118" i="10"/>
  <c r="AF118" i="10"/>
  <c r="AH117" i="10"/>
  <c r="AG117" i="10"/>
  <c r="AF117" i="10"/>
  <c r="AH116" i="10"/>
  <c r="AG116" i="10"/>
  <c r="AF116" i="10"/>
  <c r="AH115" i="10"/>
  <c r="AG115" i="10"/>
  <c r="AF115" i="10"/>
  <c r="AH114" i="10"/>
  <c r="AG114" i="10"/>
  <c r="AF114" i="10"/>
  <c r="AH113" i="10"/>
  <c r="AG113" i="10"/>
  <c r="AF113" i="10"/>
  <c r="AH112" i="10"/>
  <c r="AG112" i="10"/>
  <c r="AF112" i="10"/>
  <c r="AH111" i="10"/>
  <c r="AG111" i="10"/>
  <c r="AF111" i="10"/>
  <c r="AH110" i="10"/>
  <c r="AG110" i="10"/>
  <c r="AF110" i="10"/>
  <c r="AH109" i="10"/>
  <c r="AG109" i="10"/>
  <c r="AF109" i="10"/>
  <c r="AH108" i="10"/>
  <c r="AG108" i="10"/>
  <c r="AF108" i="10"/>
  <c r="AH107" i="10"/>
  <c r="AG107" i="10"/>
  <c r="AF107" i="10"/>
  <c r="AH106" i="10"/>
  <c r="AG106" i="10"/>
  <c r="AF106" i="10"/>
  <c r="AH105" i="10"/>
  <c r="AG105" i="10"/>
  <c r="AF105" i="10"/>
  <c r="AH104" i="10"/>
  <c r="AG104" i="10"/>
  <c r="AF104" i="10"/>
  <c r="AH103" i="10"/>
  <c r="AG103" i="10"/>
  <c r="AF103" i="10"/>
  <c r="AH102" i="10"/>
  <c r="AG102" i="10"/>
  <c r="AF102" i="10"/>
  <c r="AH101" i="10"/>
  <c r="AG101" i="10"/>
  <c r="AF101" i="10"/>
  <c r="AH100" i="10"/>
  <c r="AG100" i="10"/>
  <c r="AF100" i="10"/>
  <c r="AH99" i="10"/>
  <c r="AG99" i="10"/>
  <c r="AF99" i="10"/>
  <c r="AH98" i="10"/>
  <c r="AG98" i="10"/>
  <c r="AF98" i="10"/>
  <c r="AH97" i="10"/>
  <c r="AG97" i="10"/>
  <c r="AF97" i="10"/>
  <c r="AH96" i="10"/>
  <c r="AG96" i="10"/>
  <c r="AF96" i="10"/>
  <c r="AH95" i="10"/>
  <c r="AG95" i="10"/>
  <c r="AF95" i="10"/>
  <c r="AH94" i="10"/>
  <c r="AG94" i="10"/>
  <c r="AF94" i="10"/>
  <c r="AH93" i="10"/>
  <c r="AG93" i="10"/>
  <c r="AF93" i="10"/>
  <c r="AH92" i="10"/>
  <c r="AG92" i="10"/>
  <c r="AF92" i="10"/>
  <c r="AH91" i="10"/>
  <c r="AG91" i="10"/>
  <c r="AF91" i="10"/>
  <c r="AH90" i="10"/>
  <c r="AG90" i="10"/>
  <c r="AF90" i="10"/>
  <c r="AH89" i="10"/>
  <c r="AG89" i="10"/>
  <c r="AF89" i="10"/>
  <c r="AH88" i="10"/>
  <c r="AG88" i="10"/>
  <c r="AF88" i="10"/>
  <c r="AH87" i="10"/>
  <c r="AG87" i="10"/>
  <c r="AF87" i="10"/>
  <c r="AH86" i="10"/>
  <c r="AG86" i="10"/>
  <c r="AF86" i="10"/>
  <c r="AH85" i="10"/>
  <c r="AG85" i="10"/>
  <c r="AF85" i="10"/>
  <c r="AH84" i="10"/>
  <c r="AG84" i="10"/>
  <c r="AF84" i="10"/>
  <c r="AH83" i="10"/>
  <c r="AG83" i="10"/>
  <c r="AF83" i="10"/>
  <c r="AH82" i="10"/>
  <c r="AG82" i="10"/>
  <c r="AF82" i="10"/>
  <c r="AH81" i="10"/>
  <c r="AG81" i="10"/>
  <c r="AF81" i="10"/>
  <c r="AH80" i="10"/>
  <c r="AG80" i="10"/>
  <c r="AF80" i="10"/>
  <c r="AH79" i="10"/>
  <c r="AG79" i="10"/>
  <c r="AF79" i="10"/>
  <c r="AH78" i="10"/>
  <c r="AG78" i="10"/>
  <c r="AF78" i="10"/>
  <c r="AH77" i="10"/>
  <c r="AG77" i="10"/>
  <c r="AF77" i="10"/>
  <c r="AH76" i="10"/>
  <c r="AG76" i="10"/>
  <c r="AF76" i="10"/>
  <c r="AH75" i="10"/>
  <c r="AG75" i="10"/>
  <c r="AF75" i="10"/>
  <c r="AH74" i="10"/>
  <c r="AG74" i="10"/>
  <c r="AF74" i="10"/>
  <c r="AH73" i="10"/>
  <c r="AG73" i="10"/>
  <c r="AF73" i="10"/>
  <c r="AH72" i="10"/>
  <c r="AG72" i="10"/>
  <c r="AF72" i="10"/>
  <c r="AH71" i="10"/>
  <c r="AG71" i="10"/>
  <c r="AF71" i="10"/>
  <c r="AH70" i="10"/>
  <c r="AG70" i="10"/>
  <c r="AF70" i="10"/>
  <c r="AH69" i="10"/>
  <c r="AG69" i="10"/>
  <c r="AF69" i="10"/>
  <c r="AH68" i="10"/>
  <c r="AG68" i="10"/>
  <c r="AF68" i="10"/>
  <c r="AH67" i="10"/>
  <c r="AG67" i="10"/>
  <c r="AF67" i="10"/>
  <c r="AH66" i="10"/>
  <c r="AG66" i="10"/>
  <c r="AF66" i="10"/>
  <c r="AH65" i="10"/>
  <c r="AG65" i="10"/>
  <c r="AF65" i="10"/>
  <c r="AH64" i="10"/>
  <c r="AG64" i="10"/>
  <c r="AF64" i="10"/>
  <c r="AH63" i="10"/>
  <c r="AG63" i="10"/>
  <c r="AF63" i="10"/>
  <c r="AH62" i="10"/>
  <c r="AG62" i="10"/>
  <c r="AF62" i="10"/>
  <c r="AH61" i="10"/>
  <c r="AG61" i="10"/>
  <c r="AF61" i="10"/>
  <c r="AH60" i="10"/>
  <c r="AG60" i="10"/>
  <c r="AF60" i="10"/>
  <c r="AH59" i="10"/>
  <c r="AG59" i="10"/>
  <c r="AF59" i="10"/>
  <c r="AH58" i="10"/>
  <c r="AG58" i="10"/>
  <c r="AF58" i="10"/>
  <c r="AH57" i="10"/>
  <c r="AG57" i="10"/>
  <c r="AF57" i="10"/>
  <c r="AH56" i="10"/>
  <c r="AG56" i="10"/>
  <c r="AF56" i="10"/>
  <c r="AH55" i="10"/>
  <c r="AG55" i="10"/>
  <c r="AF55" i="10"/>
  <c r="AH54" i="10"/>
  <c r="AG54" i="10"/>
  <c r="AF54" i="10"/>
  <c r="AH53" i="10"/>
  <c r="AG53" i="10"/>
  <c r="AF53" i="10"/>
  <c r="AH52" i="10"/>
  <c r="AG52" i="10"/>
  <c r="AF52" i="10"/>
  <c r="AH51" i="10"/>
  <c r="AG51" i="10"/>
  <c r="AF51" i="10"/>
  <c r="AH50" i="10"/>
  <c r="AG50" i="10"/>
  <c r="AF50" i="10"/>
  <c r="AH49" i="10"/>
  <c r="AG49" i="10"/>
  <c r="AF49" i="10"/>
  <c r="AH48" i="10"/>
  <c r="AG48" i="10"/>
  <c r="AF48" i="10"/>
  <c r="AH47" i="10"/>
  <c r="AG47" i="10"/>
  <c r="AF47" i="10"/>
  <c r="AH46" i="10"/>
  <c r="AG46" i="10"/>
  <c r="AF46" i="10"/>
  <c r="AH45" i="10"/>
  <c r="AG45" i="10"/>
  <c r="AF45" i="10"/>
  <c r="AH44" i="10"/>
  <c r="AG44" i="10"/>
  <c r="AF44" i="10"/>
  <c r="AH43" i="10"/>
  <c r="AG43" i="10"/>
  <c r="AF43" i="10"/>
  <c r="AH42" i="10"/>
  <c r="AG42" i="10"/>
  <c r="AF42" i="10"/>
  <c r="AH41" i="10"/>
  <c r="AG41" i="10"/>
  <c r="AF41" i="10"/>
  <c r="AH40" i="10"/>
  <c r="AG40" i="10"/>
  <c r="AF40" i="10"/>
  <c r="AH39" i="10"/>
  <c r="AG39" i="10"/>
  <c r="AF39" i="10"/>
  <c r="AH38" i="10"/>
  <c r="AG38" i="10"/>
  <c r="AF38" i="10"/>
  <c r="AH37" i="10"/>
  <c r="AG37" i="10"/>
  <c r="AF37" i="10"/>
  <c r="AH36" i="10"/>
  <c r="AG36" i="10"/>
  <c r="AF36" i="10"/>
  <c r="AH35" i="10"/>
  <c r="AG35" i="10"/>
  <c r="AF35" i="10"/>
  <c r="AH34" i="10"/>
  <c r="AG34" i="10"/>
  <c r="AF34" i="10"/>
  <c r="AH33" i="10"/>
  <c r="AG33" i="10"/>
  <c r="AF33" i="10"/>
  <c r="AH32" i="10"/>
  <c r="AG32" i="10"/>
  <c r="AF32" i="10"/>
  <c r="AH31" i="10"/>
  <c r="AG31" i="10"/>
  <c r="AF31" i="10"/>
  <c r="AH30" i="10"/>
  <c r="AG30" i="10"/>
  <c r="AF30" i="10"/>
  <c r="AH29" i="10"/>
  <c r="AG29" i="10"/>
  <c r="AF29" i="10"/>
  <c r="AH28" i="10"/>
  <c r="AG28" i="10"/>
  <c r="AF28" i="10"/>
  <c r="AH27" i="10"/>
  <c r="AG27" i="10"/>
  <c r="AF27" i="10"/>
  <c r="AH26" i="10"/>
  <c r="AG26" i="10"/>
  <c r="AF26" i="10"/>
  <c r="AH25" i="10"/>
  <c r="AG25" i="10"/>
  <c r="AF25" i="10"/>
  <c r="AH24" i="10"/>
  <c r="AG24" i="10"/>
  <c r="AF24" i="10"/>
  <c r="AH23" i="10"/>
  <c r="AG23" i="10"/>
  <c r="AF23" i="10"/>
  <c r="AH22" i="10"/>
  <c r="AG22" i="10"/>
  <c r="AF22" i="10"/>
  <c r="AH21" i="10"/>
  <c r="AG21" i="10"/>
  <c r="AF21" i="10"/>
  <c r="AH20" i="10"/>
  <c r="AG20" i="10"/>
  <c r="AF20" i="10"/>
  <c r="AH19" i="10"/>
  <c r="AG19" i="10"/>
  <c r="AF19" i="10"/>
  <c r="AH18" i="10"/>
  <c r="AG18" i="10"/>
  <c r="AF18" i="10"/>
  <c r="AH17" i="10"/>
  <c r="AG17" i="10"/>
  <c r="AF17" i="10"/>
  <c r="AH16" i="10"/>
  <c r="AG16" i="10"/>
  <c r="AF16" i="10"/>
  <c r="AH15" i="10"/>
  <c r="AG15" i="10"/>
  <c r="AF15" i="10"/>
  <c r="AH14" i="10"/>
  <c r="AG14" i="10"/>
  <c r="AF14" i="10"/>
  <c r="AH13" i="10"/>
  <c r="AG13" i="10"/>
  <c r="AF13" i="10"/>
  <c r="AH12" i="10"/>
  <c r="AG12" i="10"/>
  <c r="AF12" i="10"/>
  <c r="AH11" i="10"/>
  <c r="AG11" i="10"/>
  <c r="AF11" i="10"/>
  <c r="AH10" i="10"/>
  <c r="AG10" i="10"/>
  <c r="AF10" i="10"/>
  <c r="AH9" i="10"/>
  <c r="AG9" i="10"/>
  <c r="AF9" i="10"/>
  <c r="AH8" i="10"/>
  <c r="AG8" i="10"/>
  <c r="AF8" i="10"/>
  <c r="AH7" i="10"/>
  <c r="AG7" i="10"/>
  <c r="AF7" i="10"/>
  <c r="AH6" i="10"/>
  <c r="AG6" i="10"/>
  <c r="AF6" i="10"/>
  <c r="AH5" i="10"/>
  <c r="AG5" i="10"/>
  <c r="AF5" i="10"/>
  <c r="AH4" i="10"/>
  <c r="AG4" i="10"/>
  <c r="AF4" i="10"/>
  <c r="AH3" i="10"/>
  <c r="AG3" i="10"/>
  <c r="AF3" i="10"/>
  <c r="AH2" i="10"/>
  <c r="AG2" i="10"/>
  <c r="AF2" i="10"/>
  <c r="AD583" i="2"/>
  <c r="AC583" i="2"/>
  <c r="AB583" i="2"/>
  <c r="AE583" i="2" s="1"/>
  <c r="AD582" i="2"/>
  <c r="AC582" i="2"/>
  <c r="AB582" i="2"/>
  <c r="AE582" i="2" s="1"/>
  <c r="AD581" i="2"/>
  <c r="AC581" i="2"/>
  <c r="AB581" i="2"/>
  <c r="AE581" i="2" s="1"/>
  <c r="AD580" i="2"/>
  <c r="AC580" i="2"/>
  <c r="AB580" i="2"/>
  <c r="AE580" i="2" s="1"/>
  <c r="AD579" i="2"/>
  <c r="AC579" i="2"/>
  <c r="AB579" i="2"/>
  <c r="AE579" i="2" s="1"/>
  <c r="AD578" i="2"/>
  <c r="AC578" i="2"/>
  <c r="AB578" i="2"/>
  <c r="AE578" i="2" s="1"/>
  <c r="AE577" i="2"/>
  <c r="AD577" i="2"/>
  <c r="AC577" i="2"/>
  <c r="AB577" i="2"/>
  <c r="AD576" i="2"/>
  <c r="AC576" i="2"/>
  <c r="AB576" i="2"/>
  <c r="AD575" i="2"/>
  <c r="AC575" i="2"/>
  <c r="AB575" i="2"/>
  <c r="AE575" i="2" s="1"/>
  <c r="AE574" i="2"/>
  <c r="AD574" i="2"/>
  <c r="AC574" i="2"/>
  <c r="AB574" i="2"/>
  <c r="AD573" i="2"/>
  <c r="AC573" i="2"/>
  <c r="AB573" i="2"/>
  <c r="AE573" i="2" s="1"/>
  <c r="AD572" i="2"/>
  <c r="AC572" i="2"/>
  <c r="AB572" i="2"/>
  <c r="AE572" i="2" s="1"/>
  <c r="AE571" i="2"/>
  <c r="AD571" i="2"/>
  <c r="AC571" i="2"/>
  <c r="AB571" i="2"/>
  <c r="AD570" i="2"/>
  <c r="AC570" i="2"/>
  <c r="AB570" i="2"/>
  <c r="AE570" i="2" s="1"/>
  <c r="AD569" i="2"/>
  <c r="AC569" i="2"/>
  <c r="AB569" i="2"/>
  <c r="AE569" i="2" s="1"/>
  <c r="AE568" i="2"/>
  <c r="AD568" i="2"/>
  <c r="AC568" i="2"/>
  <c r="AB568" i="2"/>
  <c r="AD567" i="2"/>
  <c r="AC567" i="2"/>
  <c r="AB567" i="2"/>
  <c r="AD566" i="2"/>
  <c r="AC566" i="2"/>
  <c r="AB566" i="2"/>
  <c r="AE566" i="2" s="1"/>
  <c r="AE565" i="2"/>
  <c r="AD565" i="2"/>
  <c r="AC565" i="2"/>
  <c r="AB565" i="2"/>
  <c r="AD564" i="2"/>
  <c r="AC564" i="2"/>
  <c r="AB564" i="2"/>
  <c r="AE564" i="2" s="1"/>
  <c r="AD563" i="2"/>
  <c r="AC563" i="2"/>
  <c r="AB563" i="2"/>
  <c r="AE563" i="2" s="1"/>
  <c r="AD562" i="2"/>
  <c r="AC562" i="2"/>
  <c r="AB562" i="2"/>
  <c r="AE562" i="2" s="1"/>
  <c r="AD561" i="2"/>
  <c r="AC561" i="2"/>
  <c r="AB561" i="2"/>
  <c r="AE561" i="2" s="1"/>
  <c r="AD560" i="2"/>
  <c r="AC560" i="2"/>
  <c r="AB560" i="2"/>
  <c r="AE560" i="2" s="1"/>
  <c r="AD559" i="2"/>
  <c r="AC559" i="2"/>
  <c r="AB559" i="2"/>
  <c r="AE559" i="2" s="1"/>
  <c r="AD558" i="2"/>
  <c r="AC558" i="2"/>
  <c r="AB558" i="2"/>
  <c r="AE558" i="2" s="1"/>
  <c r="AD557" i="2"/>
  <c r="AC557" i="2"/>
  <c r="AB557" i="2"/>
  <c r="AE557" i="2" s="1"/>
  <c r="AD556" i="2"/>
  <c r="AC556" i="2"/>
  <c r="AB556" i="2"/>
  <c r="AE556" i="2" s="1"/>
  <c r="AD555" i="2"/>
  <c r="AC555" i="2"/>
  <c r="AB555" i="2"/>
  <c r="AE555" i="2" s="1"/>
  <c r="AD554" i="2"/>
  <c r="AC554" i="2"/>
  <c r="AB554" i="2"/>
  <c r="AE554" i="2" s="1"/>
  <c r="AD553" i="2"/>
  <c r="AC553" i="2"/>
  <c r="AB553" i="2"/>
  <c r="AE553" i="2" s="1"/>
  <c r="AD552" i="2"/>
  <c r="AC552" i="2"/>
  <c r="AB552" i="2"/>
  <c r="AE552" i="2" s="1"/>
  <c r="AD551" i="2"/>
  <c r="AC551" i="2"/>
  <c r="AB551" i="2"/>
  <c r="AE551" i="2" s="1"/>
  <c r="AD550" i="2"/>
  <c r="AC550" i="2"/>
  <c r="AB550" i="2"/>
  <c r="AE550" i="2" s="1"/>
  <c r="AD549" i="2"/>
  <c r="AC549" i="2"/>
  <c r="AB549" i="2"/>
  <c r="AE549" i="2" s="1"/>
  <c r="AD548" i="2"/>
  <c r="AC548" i="2"/>
  <c r="AB548" i="2"/>
  <c r="AE548" i="2" s="1"/>
  <c r="AD547" i="2"/>
  <c r="AC547" i="2"/>
  <c r="AB547" i="2"/>
  <c r="AE547" i="2" s="1"/>
  <c r="AD546" i="2"/>
  <c r="AC546" i="2"/>
  <c r="AB546" i="2"/>
  <c r="AE546" i="2" s="1"/>
  <c r="AD545" i="2"/>
  <c r="AC545" i="2"/>
  <c r="AB545" i="2"/>
  <c r="AE545" i="2" s="1"/>
  <c r="AD544" i="2"/>
  <c r="AC544" i="2"/>
  <c r="AB544" i="2"/>
  <c r="AE544" i="2" s="1"/>
  <c r="AD543" i="2"/>
  <c r="AC543" i="2"/>
  <c r="AB543" i="2"/>
  <c r="AE543" i="2" s="1"/>
  <c r="AD542" i="2"/>
  <c r="AC542" i="2"/>
  <c r="AB542" i="2"/>
  <c r="AE542" i="2" s="1"/>
  <c r="AD541" i="2"/>
  <c r="AC541" i="2"/>
  <c r="AB541" i="2"/>
  <c r="AE541" i="2" s="1"/>
  <c r="AD540" i="2"/>
  <c r="AC540" i="2"/>
  <c r="AB540" i="2"/>
  <c r="AE540" i="2" s="1"/>
  <c r="AD539" i="2"/>
  <c r="AC539" i="2"/>
  <c r="AB539" i="2"/>
  <c r="AE539" i="2" s="1"/>
  <c r="AD538" i="2"/>
  <c r="AC538" i="2"/>
  <c r="AB538" i="2"/>
  <c r="AE538" i="2" s="1"/>
  <c r="AD537" i="2"/>
  <c r="AC537" i="2"/>
  <c r="AB537" i="2"/>
  <c r="AE537" i="2" s="1"/>
  <c r="AD536" i="2"/>
  <c r="AC536" i="2"/>
  <c r="AB536" i="2"/>
  <c r="AE536" i="2" s="1"/>
  <c r="AD535" i="2"/>
  <c r="AC535" i="2"/>
  <c r="AB535" i="2"/>
  <c r="AE535" i="2" s="1"/>
  <c r="AD534" i="2"/>
  <c r="AC534" i="2"/>
  <c r="AB534" i="2"/>
  <c r="AE534" i="2" s="1"/>
  <c r="AD533" i="2"/>
  <c r="AC533" i="2"/>
  <c r="AB533" i="2"/>
  <c r="AE533" i="2" s="1"/>
  <c r="AD532" i="2"/>
  <c r="AC532" i="2"/>
  <c r="AB532" i="2"/>
  <c r="AE532" i="2" s="1"/>
  <c r="AD531" i="2"/>
  <c r="AC531" i="2"/>
  <c r="AB531" i="2"/>
  <c r="AE531" i="2" s="1"/>
  <c r="AD530" i="2"/>
  <c r="AC530" i="2"/>
  <c r="AB530" i="2"/>
  <c r="AE530" i="2" s="1"/>
  <c r="AD529" i="2"/>
  <c r="AC529" i="2"/>
  <c r="AB529" i="2"/>
  <c r="AE529" i="2" s="1"/>
  <c r="AD528" i="2"/>
  <c r="AC528" i="2"/>
  <c r="AB528" i="2"/>
  <c r="AE528" i="2" s="1"/>
  <c r="AD527" i="2"/>
  <c r="AC527" i="2"/>
  <c r="AB527" i="2"/>
  <c r="AE527" i="2" s="1"/>
  <c r="AD526" i="2"/>
  <c r="AC526" i="2"/>
  <c r="AB526" i="2"/>
  <c r="AE526" i="2" s="1"/>
  <c r="AD525" i="2"/>
  <c r="AC525" i="2"/>
  <c r="AB525" i="2"/>
  <c r="AE525" i="2" s="1"/>
  <c r="AD524" i="2"/>
  <c r="AC524" i="2"/>
  <c r="AB524" i="2"/>
  <c r="AE524" i="2" s="1"/>
  <c r="AD523" i="2"/>
  <c r="AC523" i="2"/>
  <c r="AB523" i="2"/>
  <c r="AE523" i="2" s="1"/>
  <c r="AD522" i="2"/>
  <c r="AC522" i="2"/>
  <c r="AB522" i="2"/>
  <c r="AE522" i="2" s="1"/>
  <c r="AD521" i="2"/>
  <c r="AC521" i="2"/>
  <c r="AB521" i="2"/>
  <c r="AE521" i="2" s="1"/>
  <c r="AD520" i="2"/>
  <c r="AC520" i="2"/>
  <c r="AB520" i="2"/>
  <c r="AE520" i="2" s="1"/>
  <c r="AD519" i="2"/>
  <c r="AC519" i="2"/>
  <c r="AB519" i="2"/>
  <c r="AE519" i="2" s="1"/>
  <c r="AD518" i="2"/>
  <c r="AC518" i="2"/>
  <c r="AB518" i="2"/>
  <c r="AE518" i="2" s="1"/>
  <c r="AD517" i="2"/>
  <c r="AC517" i="2"/>
  <c r="AB517" i="2"/>
  <c r="AE517" i="2" s="1"/>
  <c r="AD516" i="2"/>
  <c r="AC516" i="2"/>
  <c r="AB516" i="2"/>
  <c r="AE516" i="2" s="1"/>
  <c r="AD515" i="2"/>
  <c r="AC515" i="2"/>
  <c r="AB515" i="2"/>
  <c r="AE515" i="2" s="1"/>
  <c r="AD514" i="2"/>
  <c r="AC514" i="2"/>
  <c r="AB514" i="2"/>
  <c r="AE514" i="2" s="1"/>
  <c r="AD513" i="2"/>
  <c r="AC513" i="2"/>
  <c r="AB513" i="2"/>
  <c r="AE513" i="2" s="1"/>
  <c r="AD512" i="2"/>
  <c r="AC512" i="2"/>
  <c r="AB512" i="2"/>
  <c r="AE512" i="2" s="1"/>
  <c r="AD511" i="2"/>
  <c r="AC511" i="2"/>
  <c r="AB511" i="2"/>
  <c r="AE511" i="2" s="1"/>
  <c r="AD510" i="2"/>
  <c r="AC510" i="2"/>
  <c r="AB510" i="2"/>
  <c r="AE510" i="2" s="1"/>
  <c r="AD509" i="2"/>
  <c r="AC509" i="2"/>
  <c r="AB509" i="2"/>
  <c r="AE509" i="2" s="1"/>
  <c r="AD508" i="2"/>
  <c r="AC508" i="2"/>
  <c r="AB508" i="2"/>
  <c r="AE508" i="2" s="1"/>
  <c r="AD507" i="2"/>
  <c r="AC507" i="2"/>
  <c r="AB507" i="2"/>
  <c r="AE507" i="2" s="1"/>
  <c r="AD506" i="2"/>
  <c r="AC506" i="2"/>
  <c r="AB506" i="2"/>
  <c r="AE506" i="2" s="1"/>
  <c r="AD505" i="2"/>
  <c r="AC505" i="2"/>
  <c r="AB505" i="2"/>
  <c r="AE505" i="2" s="1"/>
  <c r="AD504" i="2"/>
  <c r="AC504" i="2"/>
  <c r="AB504" i="2"/>
  <c r="AE504" i="2" s="1"/>
  <c r="AD503" i="2"/>
  <c r="AC503" i="2"/>
  <c r="AB503" i="2"/>
  <c r="AE503" i="2" s="1"/>
  <c r="AD502" i="2"/>
  <c r="AC502" i="2"/>
  <c r="AB502" i="2"/>
  <c r="AE502" i="2" s="1"/>
  <c r="AD501" i="2"/>
  <c r="AC501" i="2"/>
  <c r="AB501" i="2"/>
  <c r="AE501" i="2" s="1"/>
  <c r="AD500" i="2"/>
  <c r="AC500" i="2"/>
  <c r="AB500" i="2"/>
  <c r="AE500" i="2" s="1"/>
  <c r="AD499" i="2"/>
  <c r="AC499" i="2"/>
  <c r="AB499" i="2"/>
  <c r="AE499" i="2" s="1"/>
  <c r="AD498" i="2"/>
  <c r="AC498" i="2"/>
  <c r="AB498" i="2"/>
  <c r="AE498" i="2" s="1"/>
  <c r="AD497" i="2"/>
  <c r="AC497" i="2"/>
  <c r="AB497" i="2"/>
  <c r="AE497" i="2" s="1"/>
  <c r="AD496" i="2"/>
  <c r="AC496" i="2"/>
  <c r="AB496" i="2"/>
  <c r="AE496" i="2" s="1"/>
  <c r="AD495" i="2"/>
  <c r="AC495" i="2"/>
  <c r="AB495" i="2"/>
  <c r="AE495" i="2" s="1"/>
  <c r="AD494" i="2"/>
  <c r="AC494" i="2"/>
  <c r="AB494" i="2"/>
  <c r="AE494" i="2" s="1"/>
  <c r="AD493" i="2"/>
  <c r="AC493" i="2"/>
  <c r="AB493" i="2"/>
  <c r="AE493" i="2" s="1"/>
  <c r="AD492" i="2"/>
  <c r="AC492" i="2"/>
  <c r="AB492" i="2"/>
  <c r="AE492" i="2" s="1"/>
  <c r="AD491" i="2"/>
  <c r="AC491" i="2"/>
  <c r="AB491" i="2"/>
  <c r="AE491" i="2" s="1"/>
  <c r="AE490" i="2"/>
  <c r="AD490" i="2"/>
  <c r="AC490" i="2"/>
  <c r="AB490" i="2"/>
  <c r="AD489" i="2"/>
  <c r="AC489" i="2"/>
  <c r="AB489" i="2"/>
  <c r="AE489" i="2" s="1"/>
  <c r="AD488" i="2"/>
  <c r="AC488" i="2"/>
  <c r="AB488" i="2"/>
  <c r="AD487" i="2"/>
  <c r="AC487" i="2"/>
  <c r="AB487" i="2"/>
  <c r="AE487" i="2" s="1"/>
  <c r="AD486" i="2"/>
  <c r="AC486" i="2"/>
  <c r="AB486" i="2"/>
  <c r="AD485" i="2"/>
  <c r="AC485" i="2"/>
  <c r="AB485" i="2"/>
  <c r="AD484" i="2"/>
  <c r="AC484" i="2"/>
  <c r="AB484" i="2"/>
  <c r="AE484" i="2" s="1"/>
  <c r="AD483" i="2"/>
  <c r="AC483" i="2"/>
  <c r="AB483" i="2"/>
  <c r="AE483" i="2" s="1"/>
  <c r="AD482" i="2"/>
  <c r="AC482" i="2"/>
  <c r="AB482" i="2"/>
  <c r="AE482" i="2" s="1"/>
  <c r="AE481" i="2"/>
  <c r="AD481" i="2"/>
  <c r="AC481" i="2"/>
  <c r="AB481" i="2"/>
  <c r="AD480" i="2"/>
  <c r="AC480" i="2"/>
  <c r="AB480" i="2"/>
  <c r="AD479" i="2"/>
  <c r="AC479" i="2"/>
  <c r="AB479" i="2"/>
  <c r="AD478" i="2"/>
  <c r="AC478" i="2"/>
  <c r="AB478" i="2"/>
  <c r="AE478" i="2" s="1"/>
  <c r="AD477" i="2"/>
  <c r="AC477" i="2"/>
  <c r="AB477" i="2"/>
  <c r="AD476" i="2"/>
  <c r="AC476" i="2"/>
  <c r="AB476" i="2"/>
  <c r="AE476" i="2" s="1"/>
  <c r="AE475" i="2"/>
  <c r="AD475" i="2"/>
  <c r="AC475" i="2"/>
  <c r="AB475" i="2"/>
  <c r="AD474" i="2"/>
  <c r="AC474" i="2"/>
  <c r="AB474" i="2"/>
  <c r="AE474" i="2" s="1"/>
  <c r="AD473" i="2"/>
  <c r="AC473" i="2"/>
  <c r="AB473" i="2"/>
  <c r="AE473" i="2" s="1"/>
  <c r="AE472" i="2"/>
  <c r="AD472" i="2"/>
  <c r="AC472" i="2"/>
  <c r="AB472" i="2"/>
  <c r="AD471" i="2"/>
  <c r="AC471" i="2"/>
  <c r="AB471" i="2"/>
  <c r="AE471" i="2" s="1"/>
  <c r="AD470" i="2"/>
  <c r="AC470" i="2"/>
  <c r="AB470" i="2"/>
  <c r="AD469" i="2"/>
  <c r="AC469" i="2"/>
  <c r="AB469" i="2"/>
  <c r="AE469" i="2" s="1"/>
  <c r="AD468" i="2"/>
  <c r="AC468" i="2"/>
  <c r="AB468" i="2"/>
  <c r="AD467" i="2"/>
  <c r="AC467" i="2"/>
  <c r="AB467" i="2"/>
  <c r="AD466" i="2"/>
  <c r="AC466" i="2"/>
  <c r="AB466" i="2"/>
  <c r="AE466" i="2" s="1"/>
  <c r="AD465" i="2"/>
  <c r="AC465" i="2"/>
  <c r="AB465" i="2"/>
  <c r="AD464" i="2"/>
  <c r="AC464" i="2"/>
  <c r="AB464" i="2"/>
  <c r="AE464" i="2" s="1"/>
  <c r="AD463" i="2"/>
  <c r="AE463" i="2" s="1"/>
  <c r="AC463" i="2"/>
  <c r="AB463" i="2"/>
  <c r="AD462" i="2"/>
  <c r="AC462" i="2"/>
  <c r="AB462" i="2"/>
  <c r="AD461" i="2"/>
  <c r="AC461" i="2"/>
  <c r="AB461" i="2"/>
  <c r="AD460" i="2"/>
  <c r="AC460" i="2"/>
  <c r="AB460" i="2"/>
  <c r="AD459" i="2"/>
  <c r="AC459" i="2"/>
  <c r="AB459" i="2"/>
  <c r="AD458" i="2"/>
  <c r="AC458" i="2"/>
  <c r="AB458" i="2"/>
  <c r="AE457" i="2"/>
  <c r="AD457" i="2"/>
  <c r="AC457" i="2"/>
  <c r="AB457" i="2"/>
  <c r="AD456" i="2"/>
  <c r="AC456" i="2"/>
  <c r="AB456" i="2"/>
  <c r="AD455" i="2"/>
  <c r="AC455" i="2"/>
  <c r="AB455" i="2"/>
  <c r="AE455" i="2" s="1"/>
  <c r="AE454" i="2"/>
  <c r="AD454" i="2"/>
  <c r="AC454" i="2"/>
  <c r="AB454" i="2"/>
  <c r="AD453" i="2"/>
  <c r="AC453" i="2"/>
  <c r="AB453" i="2"/>
  <c r="AE453" i="2" s="1"/>
  <c r="AD452" i="2"/>
  <c r="AC452" i="2"/>
  <c r="AB452" i="2"/>
  <c r="AD451" i="2"/>
  <c r="AC451" i="2"/>
  <c r="AB451" i="2"/>
  <c r="AE451" i="2" s="1"/>
  <c r="AD450" i="2"/>
  <c r="AC450" i="2"/>
  <c r="AB450" i="2"/>
  <c r="AD449" i="2"/>
  <c r="AC449" i="2"/>
  <c r="AB449" i="2"/>
  <c r="AE449" i="2" s="1"/>
  <c r="AD448" i="2"/>
  <c r="AC448" i="2"/>
  <c r="AB448" i="2"/>
  <c r="AE448" i="2" s="1"/>
  <c r="AD447" i="2"/>
  <c r="AC447" i="2"/>
  <c r="AB447" i="2"/>
  <c r="AD446" i="2"/>
  <c r="AC446" i="2"/>
  <c r="AB446" i="2"/>
  <c r="AE446" i="2" s="1"/>
  <c r="AD445" i="2"/>
  <c r="AE445" i="2" s="1"/>
  <c r="AC445" i="2"/>
  <c r="AB445" i="2"/>
  <c r="AD444" i="2"/>
  <c r="AC444" i="2"/>
  <c r="AB444" i="2"/>
  <c r="AD443" i="2"/>
  <c r="AC443" i="2"/>
  <c r="AB443" i="2"/>
  <c r="AD442" i="2"/>
  <c r="AC442" i="2"/>
  <c r="AB442" i="2"/>
  <c r="AE442" i="2" s="1"/>
  <c r="AD441" i="2"/>
  <c r="AC441" i="2"/>
  <c r="AB441" i="2"/>
  <c r="AD440" i="2"/>
  <c r="AC440" i="2"/>
  <c r="AB440" i="2"/>
  <c r="AE440" i="2" s="1"/>
  <c r="AE439" i="2"/>
  <c r="AD439" i="2"/>
  <c r="AC439" i="2"/>
  <c r="AB439" i="2"/>
  <c r="AD438" i="2"/>
  <c r="AC438" i="2"/>
  <c r="AB438" i="2"/>
  <c r="AE438" i="2" s="1"/>
  <c r="AD437" i="2"/>
  <c r="AC437" i="2"/>
  <c r="AB437" i="2"/>
  <c r="AE437" i="2" s="1"/>
  <c r="AE436" i="2"/>
  <c r="AD436" i="2"/>
  <c r="AC436" i="2"/>
  <c r="AB436" i="2"/>
  <c r="AD435" i="2"/>
  <c r="AC435" i="2"/>
  <c r="AB435" i="2"/>
  <c r="AE435" i="2" s="1"/>
  <c r="AD434" i="2"/>
  <c r="AC434" i="2"/>
  <c r="AB434" i="2"/>
  <c r="AD433" i="2"/>
  <c r="AC433" i="2"/>
  <c r="AB433" i="2"/>
  <c r="AE433" i="2" s="1"/>
  <c r="AD432" i="2"/>
  <c r="AC432" i="2"/>
  <c r="AB432" i="2"/>
  <c r="AE432" i="2" s="1"/>
  <c r="AD431" i="2"/>
  <c r="AC431" i="2"/>
  <c r="AB431" i="2"/>
  <c r="AD430" i="2"/>
  <c r="AC430" i="2"/>
  <c r="AB430" i="2"/>
  <c r="AD429" i="2"/>
  <c r="AC429" i="2"/>
  <c r="AB429" i="2"/>
  <c r="AE429" i="2" s="1"/>
  <c r="AD428" i="2"/>
  <c r="AC428" i="2"/>
  <c r="AB428" i="2"/>
  <c r="AD427" i="2"/>
  <c r="AC427" i="2"/>
  <c r="AB427" i="2"/>
  <c r="AE427" i="2" s="1"/>
  <c r="AD426" i="2"/>
  <c r="AE426" i="2" s="1"/>
  <c r="AC426" i="2"/>
  <c r="AB426" i="2"/>
  <c r="AD425" i="2"/>
  <c r="AC425" i="2"/>
  <c r="AB425" i="2"/>
  <c r="AE424" i="2"/>
  <c r="AD424" i="2"/>
  <c r="AC424" i="2"/>
  <c r="AB424" i="2"/>
  <c r="AE423" i="2"/>
  <c r="AD423" i="2"/>
  <c r="AC423" i="2"/>
  <c r="AB423" i="2"/>
  <c r="AD422" i="2"/>
  <c r="AC422" i="2"/>
  <c r="AB422" i="2"/>
  <c r="AE422" i="2" s="1"/>
  <c r="AD421" i="2"/>
  <c r="AE421" i="2" s="1"/>
  <c r="AC421" i="2"/>
  <c r="AB421" i="2"/>
  <c r="AD420" i="2"/>
  <c r="AC420" i="2"/>
  <c r="AB420" i="2"/>
  <c r="AE420" i="2" s="1"/>
  <c r="AD419" i="2"/>
  <c r="AC419" i="2"/>
  <c r="AB419" i="2"/>
  <c r="AE419" i="2" s="1"/>
  <c r="AE418" i="2"/>
  <c r="AD418" i="2"/>
  <c r="AC418" i="2"/>
  <c r="AB418" i="2"/>
  <c r="AD417" i="2"/>
  <c r="AC417" i="2"/>
  <c r="AB417" i="2"/>
  <c r="AE417" i="2" s="1"/>
  <c r="AD416" i="2"/>
  <c r="AC416" i="2"/>
  <c r="AB416" i="2"/>
  <c r="AD415" i="2"/>
  <c r="AE415" i="2" s="1"/>
  <c r="AC415" i="2"/>
  <c r="AB415" i="2"/>
  <c r="AD414" i="2"/>
  <c r="AC414" i="2"/>
  <c r="AB414" i="2"/>
  <c r="AE414" i="2" s="1"/>
  <c r="AD413" i="2"/>
  <c r="AC413" i="2"/>
  <c r="AB413" i="2"/>
  <c r="AD412" i="2"/>
  <c r="AC412" i="2"/>
  <c r="AB412" i="2"/>
  <c r="AD411" i="2"/>
  <c r="AC411" i="2"/>
  <c r="AB411" i="2"/>
  <c r="AE411" i="2" s="1"/>
  <c r="AD410" i="2"/>
  <c r="AC410" i="2"/>
  <c r="AB410" i="2"/>
  <c r="AE410" i="2" s="1"/>
  <c r="AD409" i="2"/>
  <c r="AC409" i="2"/>
  <c r="AB409" i="2"/>
  <c r="AE409" i="2" s="1"/>
  <c r="AD408" i="2"/>
  <c r="AE408" i="2" s="1"/>
  <c r="AC408" i="2"/>
  <c r="AB408" i="2"/>
  <c r="AD407" i="2"/>
  <c r="AC407" i="2"/>
  <c r="AB407" i="2"/>
  <c r="AE406" i="2"/>
  <c r="AD406" i="2"/>
  <c r="AC406" i="2"/>
  <c r="AB406" i="2"/>
  <c r="AE405" i="2"/>
  <c r="AD405" i="2"/>
  <c r="AC405" i="2"/>
  <c r="AB405" i="2"/>
  <c r="AD404" i="2"/>
  <c r="AC404" i="2"/>
  <c r="AB404" i="2"/>
  <c r="AE404" i="2" s="1"/>
  <c r="AD403" i="2"/>
  <c r="AE403" i="2" s="1"/>
  <c r="AC403" i="2"/>
  <c r="AB403" i="2"/>
  <c r="AD402" i="2"/>
  <c r="AC402" i="2"/>
  <c r="AB402" i="2"/>
  <c r="AE402" i="2" s="1"/>
  <c r="AD401" i="2"/>
  <c r="AC401" i="2"/>
  <c r="AB401" i="2"/>
  <c r="AE401" i="2" s="1"/>
  <c r="AE400" i="2"/>
  <c r="AD400" i="2"/>
  <c r="AC400" i="2"/>
  <c r="AB400" i="2"/>
  <c r="AD399" i="2"/>
  <c r="AC399" i="2"/>
  <c r="AB399" i="2"/>
  <c r="AD398" i="2"/>
  <c r="AC398" i="2"/>
  <c r="AB398" i="2"/>
  <c r="AE397" i="2"/>
  <c r="AD397" i="2"/>
  <c r="AC397" i="2"/>
  <c r="AB397" i="2"/>
  <c r="AD396" i="2"/>
  <c r="AC396" i="2"/>
  <c r="AB396" i="2"/>
  <c r="AE396" i="2" s="1"/>
  <c r="AD395" i="2"/>
  <c r="AC395" i="2"/>
  <c r="AB395" i="2"/>
  <c r="AD394" i="2"/>
  <c r="AC394" i="2"/>
  <c r="AB394" i="2"/>
  <c r="AE394" i="2" s="1"/>
  <c r="AD393" i="2"/>
  <c r="AC393" i="2"/>
  <c r="AB393" i="2"/>
  <c r="AE393" i="2" s="1"/>
  <c r="AD392" i="2"/>
  <c r="AC392" i="2"/>
  <c r="AB392" i="2"/>
  <c r="AD391" i="2"/>
  <c r="AC391" i="2"/>
  <c r="AB391" i="2"/>
  <c r="AE391" i="2" s="1"/>
  <c r="AD390" i="2"/>
  <c r="AE390" i="2" s="1"/>
  <c r="AC390" i="2"/>
  <c r="AB390" i="2"/>
  <c r="AD389" i="2"/>
  <c r="AC389" i="2"/>
  <c r="AB389" i="2"/>
  <c r="AE388" i="2"/>
  <c r="AD388" i="2"/>
  <c r="AC388" i="2"/>
  <c r="AB388" i="2"/>
  <c r="AD387" i="2"/>
  <c r="AC387" i="2"/>
  <c r="AE387" i="2" s="1"/>
  <c r="AB387" i="2"/>
  <c r="AD386" i="2"/>
  <c r="AC386" i="2"/>
  <c r="AB386" i="2"/>
  <c r="AE386" i="2" s="1"/>
  <c r="AD385" i="2"/>
  <c r="AE385" i="2" s="1"/>
  <c r="AC385" i="2"/>
  <c r="AB385" i="2"/>
  <c r="AD384" i="2"/>
  <c r="AC384" i="2"/>
  <c r="AB384" i="2"/>
  <c r="AE384" i="2" s="1"/>
  <c r="AD383" i="2"/>
  <c r="AC383" i="2"/>
  <c r="AB383" i="2"/>
  <c r="AE383" i="2" s="1"/>
  <c r="AE382" i="2"/>
  <c r="AD382" i="2"/>
  <c r="AC382" i="2"/>
  <c r="AB382" i="2"/>
  <c r="AD381" i="2"/>
  <c r="AC381" i="2"/>
  <c r="AB381" i="2"/>
  <c r="AE381" i="2" s="1"/>
  <c r="AD380" i="2"/>
  <c r="AC380" i="2"/>
  <c r="AB380" i="2"/>
  <c r="AD379" i="2"/>
  <c r="AC379" i="2"/>
  <c r="AB379" i="2"/>
  <c r="AE379" i="2" s="1"/>
  <c r="AD378" i="2"/>
  <c r="AC378" i="2"/>
  <c r="AB378" i="2"/>
  <c r="AE378" i="2" s="1"/>
  <c r="AD377" i="2"/>
  <c r="AC377" i="2"/>
  <c r="AB377" i="2"/>
  <c r="AD376" i="2"/>
  <c r="AC376" i="2"/>
  <c r="AB376" i="2"/>
  <c r="AD375" i="2"/>
  <c r="AC375" i="2"/>
  <c r="AB375" i="2"/>
  <c r="AE375" i="2" s="1"/>
  <c r="AD374" i="2"/>
  <c r="AC374" i="2"/>
  <c r="AB374" i="2"/>
  <c r="AD373" i="2"/>
  <c r="AC373" i="2"/>
  <c r="AB373" i="2"/>
  <c r="AE373" i="2" s="1"/>
  <c r="AD372" i="2"/>
  <c r="AE372" i="2" s="1"/>
  <c r="AC372" i="2"/>
  <c r="AB372" i="2"/>
  <c r="AD371" i="2"/>
  <c r="AC371" i="2"/>
  <c r="AB371" i="2"/>
  <c r="AE370" i="2"/>
  <c r="AD370" i="2"/>
  <c r="AC370" i="2"/>
  <c r="AB370" i="2"/>
  <c r="AE369" i="2"/>
  <c r="AD369" i="2"/>
  <c r="AC369" i="2"/>
  <c r="AB369" i="2"/>
  <c r="AD368" i="2"/>
  <c r="AC368" i="2"/>
  <c r="AB368" i="2"/>
  <c r="AE368" i="2" s="1"/>
  <c r="AD367" i="2"/>
  <c r="AE367" i="2" s="1"/>
  <c r="AC367" i="2"/>
  <c r="AB367" i="2"/>
  <c r="AD366" i="2"/>
  <c r="AC366" i="2"/>
  <c r="AB366" i="2"/>
  <c r="AD365" i="2"/>
  <c r="AC365" i="2"/>
  <c r="AB365" i="2"/>
  <c r="AE365" i="2" s="1"/>
  <c r="AE364" i="2"/>
  <c r="AD364" i="2"/>
  <c r="AC364" i="2"/>
  <c r="AB364" i="2"/>
  <c r="AD363" i="2"/>
  <c r="AC363" i="2"/>
  <c r="AB363" i="2"/>
  <c r="AE363" i="2" s="1"/>
  <c r="AD362" i="2"/>
  <c r="AC362" i="2"/>
  <c r="AB362" i="2"/>
  <c r="AD361" i="2"/>
  <c r="AE361" i="2" s="1"/>
  <c r="AC361" i="2"/>
  <c r="AB361" i="2"/>
  <c r="AD360" i="2"/>
  <c r="AC360" i="2"/>
  <c r="AB360" i="2"/>
  <c r="AE360" i="2" s="1"/>
  <c r="AD359" i="2"/>
  <c r="AC359" i="2"/>
  <c r="AB359" i="2"/>
  <c r="AD358" i="2"/>
  <c r="AC358" i="2"/>
  <c r="AB358" i="2"/>
  <c r="AD357" i="2"/>
  <c r="AC357" i="2"/>
  <c r="AB357" i="2"/>
  <c r="AE357" i="2" s="1"/>
  <c r="AD356" i="2"/>
  <c r="AC356" i="2"/>
  <c r="AB356" i="2"/>
  <c r="AD355" i="2"/>
  <c r="AC355" i="2"/>
  <c r="AB355" i="2"/>
  <c r="AE355" i="2" s="1"/>
  <c r="AD354" i="2"/>
  <c r="AE354" i="2" s="1"/>
  <c r="AC354" i="2"/>
  <c r="AB354" i="2"/>
  <c r="AD353" i="2"/>
  <c r="AC353" i="2"/>
  <c r="AB353" i="2"/>
  <c r="AE352" i="2"/>
  <c r="AD352" i="2"/>
  <c r="AC352" i="2"/>
  <c r="AB352" i="2"/>
  <c r="AE351" i="2"/>
  <c r="AD351" i="2"/>
  <c r="AC351" i="2"/>
  <c r="AB351" i="2"/>
  <c r="AD350" i="2"/>
  <c r="AC350" i="2"/>
  <c r="AB350" i="2"/>
  <c r="AE350" i="2" s="1"/>
  <c r="AD349" i="2"/>
  <c r="AE349" i="2" s="1"/>
  <c r="AC349" i="2"/>
  <c r="AB349" i="2"/>
  <c r="AD348" i="2"/>
  <c r="AC348" i="2"/>
  <c r="AB348" i="2"/>
  <c r="AE348" i="2" s="1"/>
  <c r="AD347" i="2"/>
  <c r="AC347" i="2"/>
  <c r="AB347" i="2"/>
  <c r="AE347" i="2" s="1"/>
  <c r="AE346" i="2"/>
  <c r="AD346" i="2"/>
  <c r="AC346" i="2"/>
  <c r="AB346" i="2"/>
  <c r="AD345" i="2"/>
  <c r="AC345" i="2"/>
  <c r="AB345" i="2"/>
  <c r="AD344" i="2"/>
  <c r="AC344" i="2"/>
  <c r="AB344" i="2"/>
  <c r="AE343" i="2"/>
  <c r="AD343" i="2"/>
  <c r="AC343" i="2"/>
  <c r="AB343" i="2"/>
  <c r="AD342" i="2"/>
  <c r="AC342" i="2"/>
  <c r="AB342" i="2"/>
  <c r="AE342" i="2" s="1"/>
  <c r="AD341" i="2"/>
  <c r="AC341" i="2"/>
  <c r="AB341" i="2"/>
  <c r="AD340" i="2"/>
  <c r="AC340" i="2"/>
  <c r="AB340" i="2"/>
  <c r="AD339" i="2"/>
  <c r="AC339" i="2"/>
  <c r="AB339" i="2"/>
  <c r="AE339" i="2" s="1"/>
  <c r="AD338" i="2"/>
  <c r="AC338" i="2"/>
  <c r="AB338" i="2"/>
  <c r="AD337" i="2"/>
  <c r="AC337" i="2"/>
  <c r="AB337" i="2"/>
  <c r="AE337" i="2" s="1"/>
  <c r="AE336" i="2"/>
  <c r="AD336" i="2"/>
  <c r="AC336" i="2"/>
  <c r="AB336" i="2"/>
  <c r="AD335" i="2"/>
  <c r="AC335" i="2"/>
  <c r="AB335" i="2"/>
  <c r="AE335" i="2" s="1"/>
  <c r="AE334" i="2"/>
  <c r="AD334" i="2"/>
  <c r="AC334" i="2"/>
  <c r="AB334" i="2"/>
  <c r="AD333" i="2"/>
  <c r="AC333" i="2"/>
  <c r="AE333" i="2" s="1"/>
  <c r="AB333" i="2"/>
  <c r="AD332" i="2"/>
  <c r="AC332" i="2"/>
  <c r="AB332" i="2"/>
  <c r="AE332" i="2" s="1"/>
  <c r="AE331" i="2"/>
  <c r="AD331" i="2"/>
  <c r="AC331" i="2"/>
  <c r="AB331" i="2"/>
  <c r="AD330" i="2"/>
  <c r="AC330" i="2"/>
  <c r="AB330" i="2"/>
  <c r="AE330" i="2" s="1"/>
  <c r="AD329" i="2"/>
  <c r="AC329" i="2"/>
  <c r="AB329" i="2"/>
  <c r="AE329" i="2" s="1"/>
  <c r="AD328" i="2"/>
  <c r="AC328" i="2"/>
  <c r="AE328" i="2" s="1"/>
  <c r="AB328" i="2"/>
  <c r="AD327" i="2"/>
  <c r="AC327" i="2"/>
  <c r="AB327" i="2"/>
  <c r="AD326" i="2"/>
  <c r="AC326" i="2"/>
  <c r="AB326" i="2"/>
  <c r="AE326" i="2" s="1"/>
  <c r="AD325" i="2"/>
  <c r="AC325" i="2"/>
  <c r="AE325" i="2" s="1"/>
  <c r="AB325" i="2"/>
  <c r="AD324" i="2"/>
  <c r="AC324" i="2"/>
  <c r="AB324" i="2"/>
  <c r="AE323" i="2"/>
  <c r="AD323" i="2"/>
  <c r="AC323" i="2"/>
  <c r="AB323" i="2"/>
  <c r="AE322" i="2"/>
  <c r="AD322" i="2"/>
  <c r="AC322" i="2"/>
  <c r="AB322" i="2"/>
  <c r="AD321" i="2"/>
  <c r="AC321" i="2"/>
  <c r="AB321" i="2"/>
  <c r="AE321" i="2" s="1"/>
  <c r="AD320" i="2"/>
  <c r="AC320" i="2"/>
  <c r="AB320" i="2"/>
  <c r="AE320" i="2" s="1"/>
  <c r="AD319" i="2"/>
  <c r="AC319" i="2"/>
  <c r="AE319" i="2" s="1"/>
  <c r="AB319" i="2"/>
  <c r="AD318" i="2"/>
  <c r="AC318" i="2"/>
  <c r="AB318" i="2"/>
  <c r="AD317" i="2"/>
  <c r="AC317" i="2"/>
  <c r="AB317" i="2"/>
  <c r="AE317" i="2" s="1"/>
  <c r="AD316" i="2"/>
  <c r="AC316" i="2"/>
  <c r="AE316" i="2" s="1"/>
  <c r="AB316" i="2"/>
  <c r="AD315" i="2"/>
  <c r="AC315" i="2"/>
  <c r="AB315" i="2"/>
  <c r="AD314" i="2"/>
  <c r="AC314" i="2"/>
  <c r="AB314" i="2"/>
  <c r="AE314" i="2" s="1"/>
  <c r="AD313" i="2"/>
  <c r="AE313" i="2" s="1"/>
  <c r="AC313" i="2"/>
  <c r="AB313" i="2"/>
  <c r="AD312" i="2"/>
  <c r="AC312" i="2"/>
  <c r="AB312" i="2"/>
  <c r="AE311" i="2"/>
  <c r="AD311" i="2"/>
  <c r="AC311" i="2"/>
  <c r="AB311" i="2"/>
  <c r="AE310" i="2"/>
  <c r="AD310" i="2"/>
  <c r="AC310" i="2"/>
  <c r="AB310" i="2"/>
  <c r="AD309" i="2"/>
  <c r="AC309" i="2"/>
  <c r="AB309" i="2"/>
  <c r="AE309" i="2" s="1"/>
  <c r="AE308" i="2"/>
  <c r="AD308" i="2"/>
  <c r="AC308" i="2"/>
  <c r="AB308" i="2"/>
  <c r="AD307" i="2"/>
  <c r="AC307" i="2"/>
  <c r="AB307" i="2"/>
  <c r="AD306" i="2"/>
  <c r="AC306" i="2"/>
  <c r="AB306" i="2"/>
  <c r="AD305" i="2"/>
  <c r="AE305" i="2" s="1"/>
  <c r="AC305" i="2"/>
  <c r="AB305" i="2"/>
  <c r="AD304" i="2"/>
  <c r="AC304" i="2"/>
  <c r="AB304" i="2"/>
  <c r="AE304" i="2" s="1"/>
  <c r="AD303" i="2"/>
  <c r="AC303" i="2"/>
  <c r="AB303" i="2"/>
  <c r="AD302" i="2"/>
  <c r="AC302" i="2"/>
  <c r="AB302" i="2"/>
  <c r="AE302" i="2" s="1"/>
  <c r="AD301" i="2"/>
  <c r="AC301" i="2"/>
  <c r="AB301" i="2"/>
  <c r="AD300" i="2"/>
  <c r="AC300" i="2"/>
  <c r="AB300" i="2"/>
  <c r="AE299" i="2"/>
  <c r="AD299" i="2"/>
  <c r="AC299" i="2"/>
  <c r="AB299" i="2"/>
  <c r="AD298" i="2"/>
  <c r="AC298" i="2"/>
  <c r="AE298" i="2" s="1"/>
  <c r="AB298" i="2"/>
  <c r="AD297" i="2"/>
  <c r="AC297" i="2"/>
  <c r="AB297" i="2"/>
  <c r="AE297" i="2" s="1"/>
  <c r="AD296" i="2"/>
  <c r="AC296" i="2"/>
  <c r="AB296" i="2"/>
  <c r="AD295" i="2"/>
  <c r="AC295" i="2"/>
  <c r="AB295" i="2"/>
  <c r="AE295" i="2" s="1"/>
  <c r="AD294" i="2"/>
  <c r="AC294" i="2"/>
  <c r="AB294" i="2"/>
  <c r="AE293" i="2"/>
  <c r="AD293" i="2"/>
  <c r="AC293" i="2"/>
  <c r="AB293" i="2"/>
  <c r="AE292" i="2"/>
  <c r="AD292" i="2"/>
  <c r="AC292" i="2"/>
  <c r="AB292" i="2"/>
  <c r="AD291" i="2"/>
  <c r="AC291" i="2"/>
  <c r="AB291" i="2"/>
  <c r="AD290" i="2"/>
  <c r="AC290" i="2"/>
  <c r="AB290" i="2"/>
  <c r="AE290" i="2" s="1"/>
  <c r="AD289" i="2"/>
  <c r="AC289" i="2"/>
  <c r="AB289" i="2"/>
  <c r="AD288" i="2"/>
  <c r="AC288" i="2"/>
  <c r="AB288" i="2"/>
  <c r="AD287" i="2"/>
  <c r="AE287" i="2" s="1"/>
  <c r="AC287" i="2"/>
  <c r="AB287" i="2"/>
  <c r="AD286" i="2"/>
  <c r="AC286" i="2"/>
  <c r="AB286" i="2"/>
  <c r="AE286" i="2" s="1"/>
  <c r="AD285" i="2"/>
  <c r="AC285" i="2"/>
  <c r="AB285" i="2"/>
  <c r="AE285" i="2" s="1"/>
  <c r="AD284" i="2"/>
  <c r="AC284" i="2"/>
  <c r="AB284" i="2"/>
  <c r="AD283" i="2"/>
  <c r="AC283" i="2"/>
  <c r="AB283" i="2"/>
  <c r="AE283" i="2" s="1"/>
  <c r="AD282" i="2"/>
  <c r="AC282" i="2"/>
  <c r="AB282" i="2"/>
  <c r="AD281" i="2"/>
  <c r="AC281" i="2"/>
  <c r="AB281" i="2"/>
  <c r="AE281" i="2" s="1"/>
  <c r="AE280" i="2"/>
  <c r="AD280" i="2"/>
  <c r="AC280" i="2"/>
  <c r="AB280" i="2"/>
  <c r="AD279" i="2"/>
  <c r="AC279" i="2"/>
  <c r="AB279" i="2"/>
  <c r="AD278" i="2"/>
  <c r="AC278" i="2"/>
  <c r="AB278" i="2"/>
  <c r="AD277" i="2"/>
  <c r="AC277" i="2"/>
  <c r="AB277" i="2"/>
  <c r="AE277" i="2" s="1"/>
  <c r="AD276" i="2"/>
  <c r="AC276" i="2"/>
  <c r="AB276" i="2"/>
  <c r="AE276" i="2" s="1"/>
  <c r="AE275" i="2"/>
  <c r="AD275" i="2"/>
  <c r="AC275" i="2"/>
  <c r="AB275" i="2"/>
  <c r="AD274" i="2"/>
  <c r="AC274" i="2"/>
  <c r="AE274" i="2" s="1"/>
  <c r="AB274" i="2"/>
  <c r="AD273" i="2"/>
  <c r="AC273" i="2"/>
  <c r="AB273" i="2"/>
  <c r="AD272" i="2"/>
  <c r="AC272" i="2"/>
  <c r="AB272" i="2"/>
  <c r="AE272" i="2" s="1"/>
  <c r="AD271" i="2"/>
  <c r="AC271" i="2"/>
  <c r="AB271" i="2"/>
  <c r="AE271" i="2" s="1"/>
  <c r="AD270" i="2"/>
  <c r="AC270" i="2"/>
  <c r="AB270" i="2"/>
  <c r="AD269" i="2"/>
  <c r="AE269" i="2" s="1"/>
  <c r="AC269" i="2"/>
  <c r="AB269" i="2"/>
  <c r="AE268" i="2"/>
  <c r="AD268" i="2"/>
  <c r="AC268" i="2"/>
  <c r="AB268" i="2"/>
  <c r="AD267" i="2"/>
  <c r="AC267" i="2"/>
  <c r="AB267" i="2"/>
  <c r="AE267" i="2" s="1"/>
  <c r="AD266" i="2"/>
  <c r="AC266" i="2"/>
  <c r="AB266" i="2"/>
  <c r="AD265" i="2"/>
  <c r="AC265" i="2"/>
  <c r="AB265" i="2"/>
  <c r="AE265" i="2" s="1"/>
  <c r="AD264" i="2"/>
  <c r="AC264" i="2"/>
  <c r="AB264" i="2"/>
  <c r="AD263" i="2"/>
  <c r="AC263" i="2"/>
  <c r="AB263" i="2"/>
  <c r="AE263" i="2" s="1"/>
  <c r="AD262" i="2"/>
  <c r="AC262" i="2"/>
  <c r="AE262" i="2" s="1"/>
  <c r="AB262" i="2"/>
  <c r="AD261" i="2"/>
  <c r="AC261" i="2"/>
  <c r="AB261" i="2"/>
  <c r="AD260" i="2"/>
  <c r="AC260" i="2"/>
  <c r="AB260" i="2"/>
  <c r="AE260" i="2" s="1"/>
  <c r="AD259" i="2"/>
  <c r="AE259" i="2" s="1"/>
  <c r="AC259" i="2"/>
  <c r="AB259" i="2"/>
  <c r="AD258" i="2"/>
  <c r="AC258" i="2"/>
  <c r="AB258" i="2"/>
  <c r="AE257" i="2"/>
  <c r="AD257" i="2"/>
  <c r="AC257" i="2"/>
  <c r="AB257" i="2"/>
  <c r="AE256" i="2"/>
  <c r="AD256" i="2"/>
  <c r="AC256" i="2"/>
  <c r="AB256" i="2"/>
  <c r="AD255" i="2"/>
  <c r="AC255" i="2"/>
  <c r="AB255" i="2"/>
  <c r="AE255" i="2" s="1"/>
  <c r="AD254" i="2"/>
  <c r="AE254" i="2" s="1"/>
  <c r="AC254" i="2"/>
  <c r="AB254" i="2"/>
  <c r="AD253" i="2"/>
  <c r="AC253" i="2"/>
  <c r="AB253" i="2"/>
  <c r="AD252" i="2"/>
  <c r="AC252" i="2"/>
  <c r="AB252" i="2"/>
  <c r="AD251" i="2"/>
  <c r="AE251" i="2" s="1"/>
  <c r="AC251" i="2"/>
  <c r="AB251" i="2"/>
  <c r="AD250" i="2"/>
  <c r="AC250" i="2"/>
  <c r="AB250" i="2"/>
  <c r="AE250" i="2" s="1"/>
  <c r="AD249" i="2"/>
  <c r="AC249" i="2"/>
  <c r="AB249" i="2"/>
  <c r="AD248" i="2"/>
  <c r="AC248" i="2"/>
  <c r="AB248" i="2"/>
  <c r="AE248" i="2" s="1"/>
  <c r="AD247" i="2"/>
  <c r="AC247" i="2"/>
  <c r="AB247" i="2"/>
  <c r="AD246" i="2"/>
  <c r="AC246" i="2"/>
  <c r="AB246" i="2"/>
  <c r="AE245" i="2"/>
  <c r="AD245" i="2"/>
  <c r="AC245" i="2"/>
  <c r="AB245" i="2"/>
  <c r="AD244" i="2"/>
  <c r="AC244" i="2"/>
  <c r="AE244" i="2" s="1"/>
  <c r="AB244" i="2"/>
  <c r="AD243" i="2"/>
  <c r="AC243" i="2"/>
  <c r="AB243" i="2"/>
  <c r="AE243" i="2" s="1"/>
  <c r="AD242" i="2"/>
  <c r="AC242" i="2"/>
  <c r="AB242" i="2"/>
  <c r="AD241" i="2"/>
  <c r="AC241" i="2"/>
  <c r="AB241" i="2"/>
  <c r="AE241" i="2" s="1"/>
  <c r="AD240" i="2"/>
  <c r="AC240" i="2"/>
  <c r="AB240" i="2"/>
  <c r="AE239" i="2"/>
  <c r="AD239" i="2"/>
  <c r="AC239" i="2"/>
  <c r="AB239" i="2"/>
  <c r="AE238" i="2"/>
  <c r="AD238" i="2"/>
  <c r="AC238" i="2"/>
  <c r="AB238" i="2"/>
  <c r="AD237" i="2"/>
  <c r="AC237" i="2"/>
  <c r="AB237" i="2"/>
  <c r="AD236" i="2"/>
  <c r="AC236" i="2"/>
  <c r="AB236" i="2"/>
  <c r="AE236" i="2" s="1"/>
  <c r="AD235" i="2"/>
  <c r="AC235" i="2"/>
  <c r="AB235" i="2"/>
  <c r="AD234" i="2"/>
  <c r="AC234" i="2"/>
  <c r="AB234" i="2"/>
  <c r="AD233" i="2"/>
  <c r="AE233" i="2" s="1"/>
  <c r="AC233" i="2"/>
  <c r="AB233" i="2"/>
  <c r="AD232" i="2"/>
  <c r="AC232" i="2"/>
  <c r="AB232" i="2"/>
  <c r="AE232" i="2" s="1"/>
  <c r="AD231" i="2"/>
  <c r="AC231" i="2"/>
  <c r="AB231" i="2"/>
  <c r="AE231" i="2" s="1"/>
  <c r="AD230" i="2"/>
  <c r="AC230" i="2"/>
  <c r="AB230" i="2"/>
  <c r="AD229" i="2"/>
  <c r="AC229" i="2"/>
  <c r="AB229" i="2"/>
  <c r="AE229" i="2" s="1"/>
  <c r="AD228" i="2"/>
  <c r="AC228" i="2"/>
  <c r="AB228" i="2"/>
  <c r="AD227" i="2"/>
  <c r="AC227" i="2"/>
  <c r="AB227" i="2"/>
  <c r="AE227" i="2" s="1"/>
  <c r="AE226" i="2"/>
  <c r="AD226" i="2"/>
  <c r="AC226" i="2"/>
  <c r="AB226" i="2"/>
  <c r="AD225" i="2"/>
  <c r="AC225" i="2"/>
  <c r="AB225" i="2"/>
  <c r="AD224" i="2"/>
  <c r="AC224" i="2"/>
  <c r="AB224" i="2"/>
  <c r="AD223" i="2"/>
  <c r="AC223" i="2"/>
  <c r="AB223" i="2"/>
  <c r="AE223" i="2" s="1"/>
  <c r="AD222" i="2"/>
  <c r="AC222" i="2"/>
  <c r="AB222" i="2"/>
  <c r="AE222" i="2" s="1"/>
  <c r="AE221" i="2"/>
  <c r="AD221" i="2"/>
  <c r="AC221" i="2"/>
  <c r="AB221" i="2"/>
  <c r="AD220" i="2"/>
  <c r="AC220" i="2"/>
  <c r="AE220" i="2" s="1"/>
  <c r="AB220" i="2"/>
  <c r="AD219" i="2"/>
  <c r="AC219" i="2"/>
  <c r="AB219" i="2"/>
  <c r="AD218" i="2"/>
  <c r="AC218" i="2"/>
  <c r="AB218" i="2"/>
  <c r="AE218" i="2" s="1"/>
  <c r="AD217" i="2"/>
  <c r="AC217" i="2"/>
  <c r="AB217" i="2"/>
  <c r="AE217" i="2" s="1"/>
  <c r="AD216" i="2"/>
  <c r="AC216" i="2"/>
  <c r="AB216" i="2"/>
  <c r="AD215" i="2"/>
  <c r="AE215" i="2" s="1"/>
  <c r="AC215" i="2"/>
  <c r="AB215" i="2"/>
  <c r="AE214" i="2"/>
  <c r="AD214" i="2"/>
  <c r="AC214" i="2"/>
  <c r="AB214" i="2"/>
  <c r="AD213" i="2"/>
  <c r="AC213" i="2"/>
  <c r="AB213" i="2"/>
  <c r="AE213" i="2" s="1"/>
  <c r="AD212" i="2"/>
  <c r="AC212" i="2"/>
  <c r="AB212" i="2"/>
  <c r="AD211" i="2"/>
  <c r="AC211" i="2"/>
  <c r="AB211" i="2"/>
  <c r="AE211" i="2" s="1"/>
  <c r="AD210" i="2"/>
  <c r="AC210" i="2"/>
  <c r="AB210" i="2"/>
  <c r="AD209" i="2"/>
  <c r="AC209" i="2"/>
  <c r="AB209" i="2"/>
  <c r="AE209" i="2" s="1"/>
  <c r="AD208" i="2"/>
  <c r="AC208" i="2"/>
  <c r="AE208" i="2" s="1"/>
  <c r="AB208" i="2"/>
  <c r="AD207" i="2"/>
  <c r="AC207" i="2"/>
  <c r="AB207" i="2"/>
  <c r="AD206" i="2"/>
  <c r="AC206" i="2"/>
  <c r="AB206" i="2"/>
  <c r="AE206" i="2" s="1"/>
  <c r="AD205" i="2"/>
  <c r="AE205" i="2" s="1"/>
  <c r="AC205" i="2"/>
  <c r="AB205" i="2"/>
  <c r="AD204" i="2"/>
  <c r="AC204" i="2"/>
  <c r="AB204" i="2"/>
  <c r="AE203" i="2"/>
  <c r="AD203" i="2"/>
  <c r="AC203" i="2"/>
  <c r="AB203" i="2"/>
  <c r="AD202" i="2"/>
  <c r="AC202" i="2"/>
  <c r="AE202" i="2" s="1"/>
  <c r="AB202" i="2"/>
  <c r="AD201" i="2"/>
  <c r="AC201" i="2"/>
  <c r="AB201" i="2"/>
  <c r="AE201" i="2" s="1"/>
  <c r="AD200" i="2"/>
  <c r="AE200" i="2" s="1"/>
  <c r="AC200" i="2"/>
  <c r="AB200" i="2"/>
  <c r="AD199" i="2"/>
  <c r="AC199" i="2"/>
  <c r="AB199" i="2"/>
  <c r="AD198" i="2"/>
  <c r="AC198" i="2"/>
  <c r="AB198" i="2"/>
  <c r="AD197" i="2"/>
  <c r="AE197" i="2" s="1"/>
  <c r="AC197" i="2"/>
  <c r="AB197" i="2"/>
  <c r="AD196" i="2"/>
  <c r="AC196" i="2"/>
  <c r="AB196" i="2"/>
  <c r="AE196" i="2" s="1"/>
  <c r="AD195" i="2"/>
  <c r="AC195" i="2"/>
  <c r="AB195" i="2"/>
  <c r="AD194" i="2"/>
  <c r="AC194" i="2"/>
  <c r="AB194" i="2"/>
  <c r="AE194" i="2" s="1"/>
  <c r="AD193" i="2"/>
  <c r="AC193" i="2"/>
  <c r="AB193" i="2"/>
  <c r="AD192" i="2"/>
  <c r="AC192" i="2"/>
  <c r="AB192" i="2"/>
  <c r="AE191" i="2"/>
  <c r="AD191" i="2"/>
  <c r="AC191" i="2"/>
  <c r="AB191" i="2"/>
  <c r="AD190" i="2"/>
  <c r="AC190" i="2"/>
  <c r="AE190" i="2" s="1"/>
  <c r="AB190" i="2"/>
  <c r="AD189" i="2"/>
  <c r="AC189" i="2"/>
  <c r="AB189" i="2"/>
  <c r="AE189" i="2" s="1"/>
  <c r="AD188" i="2"/>
  <c r="AC188" i="2"/>
  <c r="AB188" i="2"/>
  <c r="AE188" i="2" s="1"/>
  <c r="AD187" i="2"/>
  <c r="AC187" i="2"/>
  <c r="AB187" i="2"/>
  <c r="AE187" i="2" s="1"/>
  <c r="AD186" i="2"/>
  <c r="AC186" i="2"/>
  <c r="AB186" i="2"/>
  <c r="AE185" i="2"/>
  <c r="AD185" i="2"/>
  <c r="AC185" i="2"/>
  <c r="AB185" i="2"/>
  <c r="AE184" i="2"/>
  <c r="AD184" i="2"/>
  <c r="AC184" i="2"/>
  <c r="AB184" i="2"/>
  <c r="AD183" i="2"/>
  <c r="AC183" i="2"/>
  <c r="AB183" i="2"/>
  <c r="AE183" i="2" s="1"/>
  <c r="AD182" i="2"/>
  <c r="AC182" i="2"/>
  <c r="AB182" i="2"/>
  <c r="AE182" i="2" s="1"/>
  <c r="AD181" i="2"/>
  <c r="AC181" i="2"/>
  <c r="AB181" i="2"/>
  <c r="AD180" i="2"/>
  <c r="AC180" i="2"/>
  <c r="AB180" i="2"/>
  <c r="AD179" i="2"/>
  <c r="AE179" i="2" s="1"/>
  <c r="AC179" i="2"/>
  <c r="AB179" i="2"/>
  <c r="AD178" i="2"/>
  <c r="AC178" i="2"/>
  <c r="AB178" i="2"/>
  <c r="AE178" i="2" s="1"/>
  <c r="AD177" i="2"/>
  <c r="AC177" i="2"/>
  <c r="AB177" i="2"/>
  <c r="AE177" i="2" s="1"/>
  <c r="AD176" i="2"/>
  <c r="AC176" i="2"/>
  <c r="AB176" i="2"/>
  <c r="AE176" i="2" s="1"/>
  <c r="AD175" i="2"/>
  <c r="AC175" i="2"/>
  <c r="AB175" i="2"/>
  <c r="AE175" i="2" s="1"/>
  <c r="AD174" i="2"/>
  <c r="AC174" i="2"/>
  <c r="AB174" i="2"/>
  <c r="AD173" i="2"/>
  <c r="AC173" i="2"/>
  <c r="AB173" i="2"/>
  <c r="AE173" i="2" s="1"/>
  <c r="AE172" i="2"/>
  <c r="AD172" i="2"/>
  <c r="AC172" i="2"/>
  <c r="AB172" i="2"/>
  <c r="AD171" i="2"/>
  <c r="AC171" i="2"/>
  <c r="AB171" i="2"/>
  <c r="AD170" i="2"/>
  <c r="AC170" i="2"/>
  <c r="AB170" i="2"/>
  <c r="AD169" i="2"/>
  <c r="AC169" i="2"/>
  <c r="AB169" i="2"/>
  <c r="AE169" i="2" s="1"/>
  <c r="AD168" i="2"/>
  <c r="AC168" i="2"/>
  <c r="AB168" i="2"/>
  <c r="AE168" i="2" s="1"/>
  <c r="AD167" i="2"/>
  <c r="AC167" i="2"/>
  <c r="AB167" i="2"/>
  <c r="AE167" i="2" s="1"/>
  <c r="AD166" i="2"/>
  <c r="AC166" i="2"/>
  <c r="AB166" i="2"/>
  <c r="AE166" i="2" s="1"/>
  <c r="AD165" i="2"/>
  <c r="AC165" i="2"/>
  <c r="AB165" i="2"/>
  <c r="AD164" i="2"/>
  <c r="AC164" i="2"/>
  <c r="AB164" i="2"/>
  <c r="AE164" i="2" s="1"/>
  <c r="AD163" i="2"/>
  <c r="AE163" i="2" s="1"/>
  <c r="AC163" i="2"/>
  <c r="AB163" i="2"/>
  <c r="AD162" i="2"/>
  <c r="AC162" i="2"/>
  <c r="AB162" i="2"/>
  <c r="AE162" i="2" s="1"/>
  <c r="AD161" i="2"/>
  <c r="AC161" i="2"/>
  <c r="AB161" i="2"/>
  <c r="AD160" i="2"/>
  <c r="AC160" i="2"/>
  <c r="AB160" i="2"/>
  <c r="AE160" i="2" s="1"/>
  <c r="AD159" i="2"/>
  <c r="AC159" i="2"/>
  <c r="AB159" i="2"/>
  <c r="AE159" i="2" s="1"/>
  <c r="AD158" i="2"/>
  <c r="AC158" i="2"/>
  <c r="AB158" i="2"/>
  <c r="AE158" i="2" s="1"/>
  <c r="AD157" i="2"/>
  <c r="AC157" i="2"/>
  <c r="AB157" i="2"/>
  <c r="AE157" i="2" s="1"/>
  <c r="AD156" i="2"/>
  <c r="AC156" i="2"/>
  <c r="AB156" i="2"/>
  <c r="AD155" i="2"/>
  <c r="AC155" i="2"/>
  <c r="AB155" i="2"/>
  <c r="AE155" i="2" s="1"/>
  <c r="AD154" i="2"/>
  <c r="AE154" i="2" s="1"/>
  <c r="AC154" i="2"/>
  <c r="AB154" i="2"/>
  <c r="AD153" i="2"/>
  <c r="AC153" i="2"/>
  <c r="AB153" i="2"/>
  <c r="AE153" i="2" s="1"/>
  <c r="AD152" i="2"/>
  <c r="AC152" i="2"/>
  <c r="AB152" i="2"/>
  <c r="AD151" i="2"/>
  <c r="AC151" i="2"/>
  <c r="AB151" i="2"/>
  <c r="AE151" i="2" s="1"/>
  <c r="AD150" i="2"/>
  <c r="AC150" i="2"/>
  <c r="AB150" i="2"/>
  <c r="AE150" i="2" s="1"/>
  <c r="AD149" i="2"/>
  <c r="AC149" i="2"/>
  <c r="AB149" i="2"/>
  <c r="AE149" i="2" s="1"/>
  <c r="AD148" i="2"/>
  <c r="AC148" i="2"/>
  <c r="AB148" i="2"/>
  <c r="AE148" i="2" s="1"/>
  <c r="AD147" i="2"/>
  <c r="AC147" i="2"/>
  <c r="AB147" i="2"/>
  <c r="AD146" i="2"/>
  <c r="AC146" i="2"/>
  <c r="AB146" i="2"/>
  <c r="AE146" i="2" s="1"/>
  <c r="AD145" i="2"/>
  <c r="AE145" i="2" s="1"/>
  <c r="AC145" i="2"/>
  <c r="AB145" i="2"/>
  <c r="AD144" i="2"/>
  <c r="AC144" i="2"/>
  <c r="AB144" i="2"/>
  <c r="AE144" i="2" s="1"/>
  <c r="AD143" i="2"/>
  <c r="AC143" i="2"/>
  <c r="AB143" i="2"/>
  <c r="AD142" i="2"/>
  <c r="AC142" i="2"/>
  <c r="AB142" i="2"/>
  <c r="AE142" i="2" s="1"/>
  <c r="AD141" i="2"/>
  <c r="AC141" i="2"/>
  <c r="AB141" i="2"/>
  <c r="AE141" i="2" s="1"/>
  <c r="AD140" i="2"/>
  <c r="AC140" i="2"/>
  <c r="AB140" i="2"/>
  <c r="AE140" i="2" s="1"/>
  <c r="AD139" i="2"/>
  <c r="AC139" i="2"/>
  <c r="AB139" i="2"/>
  <c r="AE139" i="2" s="1"/>
  <c r="AD138" i="2"/>
  <c r="AC138" i="2"/>
  <c r="AB138" i="2"/>
  <c r="AD137" i="2"/>
  <c r="AC137" i="2"/>
  <c r="AB137" i="2"/>
  <c r="AE137" i="2" s="1"/>
  <c r="AD136" i="2"/>
  <c r="AE136" i="2" s="1"/>
  <c r="AC136" i="2"/>
  <c r="AB136" i="2"/>
  <c r="AD135" i="2"/>
  <c r="AC135" i="2"/>
  <c r="AB135" i="2"/>
  <c r="AE135" i="2" s="1"/>
  <c r="AD134" i="2"/>
  <c r="AC134" i="2"/>
  <c r="AB134" i="2"/>
  <c r="AD133" i="2"/>
  <c r="AC133" i="2"/>
  <c r="AB133" i="2"/>
  <c r="AE133" i="2" s="1"/>
  <c r="AD132" i="2"/>
  <c r="AC132" i="2"/>
  <c r="AB132" i="2"/>
  <c r="AE132" i="2" s="1"/>
  <c r="AD131" i="2"/>
  <c r="AC131" i="2"/>
  <c r="AB131" i="2"/>
  <c r="AE131" i="2" s="1"/>
  <c r="AD130" i="2"/>
  <c r="AC130" i="2"/>
  <c r="AB130" i="2"/>
  <c r="AE130" i="2" s="1"/>
  <c r="AD129" i="2"/>
  <c r="AC129" i="2"/>
  <c r="AB129" i="2"/>
  <c r="AD128" i="2"/>
  <c r="AC128" i="2"/>
  <c r="AB128" i="2"/>
  <c r="AE128" i="2" s="1"/>
  <c r="AD127" i="2"/>
  <c r="AE127" i="2" s="1"/>
  <c r="AC127" i="2"/>
  <c r="AB127" i="2"/>
  <c r="AD126" i="2"/>
  <c r="AC126" i="2"/>
  <c r="AB126" i="2"/>
  <c r="AE126" i="2" s="1"/>
  <c r="AD125" i="2"/>
  <c r="AC125" i="2"/>
  <c r="AB125" i="2"/>
  <c r="AD124" i="2"/>
  <c r="AC124" i="2"/>
  <c r="AB124" i="2"/>
  <c r="AE124" i="2" s="1"/>
  <c r="AD123" i="2"/>
  <c r="AC123" i="2"/>
  <c r="AB123" i="2"/>
  <c r="AE123" i="2" s="1"/>
  <c r="AD122" i="2"/>
  <c r="AC122" i="2"/>
  <c r="AB122" i="2"/>
  <c r="AD121" i="2"/>
  <c r="AC121" i="2"/>
  <c r="AB121" i="2"/>
  <c r="AE121" i="2" s="1"/>
  <c r="AE120" i="2"/>
  <c r="AD120" i="2"/>
  <c r="AC120" i="2"/>
  <c r="AB120" i="2"/>
  <c r="AD119" i="2"/>
  <c r="AC119" i="2"/>
  <c r="AB119" i="2"/>
  <c r="AE119" i="2" s="1"/>
  <c r="AD118" i="2"/>
  <c r="AC118" i="2"/>
  <c r="AB118" i="2"/>
  <c r="AE118" i="2" s="1"/>
  <c r="AD117" i="2"/>
  <c r="AE117" i="2" s="1"/>
  <c r="AC117" i="2"/>
  <c r="AB117" i="2"/>
  <c r="AD116" i="2"/>
  <c r="AC116" i="2"/>
  <c r="AB116" i="2"/>
  <c r="AE116" i="2" s="1"/>
  <c r="AE115" i="2"/>
  <c r="AD115" i="2"/>
  <c r="AC115" i="2"/>
  <c r="AB115" i="2"/>
  <c r="AD114" i="2"/>
  <c r="AC114" i="2"/>
  <c r="AE114" i="2" s="1"/>
  <c r="AB114" i="2"/>
  <c r="AD113" i="2"/>
  <c r="AC113" i="2"/>
  <c r="AB113" i="2"/>
  <c r="AE113" i="2" s="1"/>
  <c r="AD112" i="2"/>
  <c r="AE112" i="2" s="1"/>
  <c r="AC112" i="2"/>
  <c r="AB112" i="2"/>
  <c r="AD111" i="2"/>
  <c r="AC111" i="2"/>
  <c r="AB111" i="2"/>
  <c r="AE111" i="2" s="1"/>
  <c r="AD110" i="2"/>
  <c r="AC110" i="2"/>
  <c r="AB110" i="2"/>
  <c r="AE110" i="2" s="1"/>
  <c r="AD109" i="2"/>
  <c r="AE109" i="2" s="1"/>
  <c r="AC109" i="2"/>
  <c r="AB109" i="2"/>
  <c r="AD108" i="2"/>
  <c r="AC108" i="2"/>
  <c r="AB108" i="2"/>
  <c r="AE108" i="2" s="1"/>
  <c r="AD107" i="2"/>
  <c r="AC107" i="2"/>
  <c r="AB107" i="2"/>
  <c r="AD106" i="2"/>
  <c r="AC106" i="2"/>
  <c r="AB106" i="2"/>
  <c r="AE106" i="2" s="1"/>
  <c r="AD105" i="2"/>
  <c r="AC105" i="2"/>
  <c r="AB105" i="2"/>
  <c r="AE105" i="2" s="1"/>
  <c r="AD104" i="2"/>
  <c r="AC104" i="2"/>
  <c r="AB104" i="2"/>
  <c r="AD103" i="2"/>
  <c r="AC103" i="2"/>
  <c r="AB103" i="2"/>
  <c r="AE103" i="2" s="1"/>
  <c r="AE102" i="2"/>
  <c r="AD102" i="2"/>
  <c r="AC102" i="2"/>
  <c r="AB102" i="2"/>
  <c r="AD101" i="2"/>
  <c r="AC101" i="2"/>
  <c r="AB101" i="2"/>
  <c r="AE101" i="2" s="1"/>
  <c r="AD100" i="2"/>
  <c r="AC100" i="2"/>
  <c r="AB100" i="2"/>
  <c r="AE100" i="2" s="1"/>
  <c r="AD99" i="2"/>
  <c r="AE99" i="2" s="1"/>
  <c r="AC99" i="2"/>
  <c r="AB99" i="2"/>
  <c r="AD98" i="2"/>
  <c r="AC98" i="2"/>
  <c r="AB98" i="2"/>
  <c r="AE98" i="2" s="1"/>
  <c r="AE97" i="2"/>
  <c r="AD97" i="2"/>
  <c r="AC97" i="2"/>
  <c r="AB97" i="2"/>
  <c r="AD96" i="2"/>
  <c r="AC96" i="2"/>
  <c r="AE96" i="2" s="1"/>
  <c r="AB96" i="2"/>
  <c r="AD95" i="2"/>
  <c r="AC95" i="2"/>
  <c r="AB95" i="2"/>
  <c r="AE95" i="2" s="1"/>
  <c r="AD94" i="2"/>
  <c r="AE94" i="2" s="1"/>
  <c r="AC94" i="2"/>
  <c r="AB94" i="2"/>
  <c r="AD93" i="2"/>
  <c r="AC93" i="2"/>
  <c r="AB93" i="2"/>
  <c r="AE93" i="2" s="1"/>
  <c r="AD92" i="2"/>
  <c r="AC92" i="2"/>
  <c r="AB92" i="2"/>
  <c r="AE92" i="2" s="1"/>
  <c r="AD91" i="2"/>
  <c r="AE91" i="2" s="1"/>
  <c r="AC91" i="2"/>
  <c r="AB91" i="2"/>
  <c r="AD90" i="2"/>
  <c r="AC90" i="2"/>
  <c r="AB90" i="2"/>
  <c r="AE90" i="2" s="1"/>
  <c r="AD89" i="2"/>
  <c r="AC89" i="2"/>
  <c r="AB89" i="2"/>
  <c r="AD88" i="2"/>
  <c r="AC88" i="2"/>
  <c r="AB88" i="2"/>
  <c r="AE88" i="2" s="1"/>
  <c r="AD87" i="2"/>
  <c r="AC87" i="2"/>
  <c r="AB87" i="2"/>
  <c r="AE87" i="2" s="1"/>
  <c r="AD86" i="2"/>
  <c r="AC86" i="2"/>
  <c r="AB86" i="2"/>
  <c r="AD85" i="2"/>
  <c r="AC85" i="2"/>
  <c r="AB85" i="2"/>
  <c r="AE85" i="2" s="1"/>
  <c r="AE84" i="2"/>
  <c r="AD84" i="2"/>
  <c r="AC84" i="2"/>
  <c r="AB84" i="2"/>
  <c r="AD83" i="2"/>
  <c r="AC83" i="2"/>
  <c r="AB83" i="2"/>
  <c r="AE83" i="2" s="1"/>
  <c r="AD82" i="2"/>
  <c r="AC82" i="2"/>
  <c r="AB82" i="2"/>
  <c r="AE82" i="2" s="1"/>
  <c r="AD81" i="2"/>
  <c r="AE81" i="2" s="1"/>
  <c r="AC81" i="2"/>
  <c r="AB81" i="2"/>
  <c r="AD80" i="2"/>
  <c r="AC80" i="2"/>
  <c r="AB80" i="2"/>
  <c r="AE80" i="2" s="1"/>
  <c r="AE79" i="2"/>
  <c r="AD79" i="2"/>
  <c r="AC79" i="2"/>
  <c r="AB79" i="2"/>
  <c r="AD78" i="2"/>
  <c r="AC78" i="2"/>
  <c r="AE78" i="2" s="1"/>
  <c r="AB78" i="2"/>
  <c r="AD77" i="2"/>
  <c r="AC77" i="2"/>
  <c r="AB77" i="2"/>
  <c r="AE77" i="2" s="1"/>
  <c r="AD76" i="2"/>
  <c r="AE76" i="2" s="1"/>
  <c r="AC76" i="2"/>
  <c r="AB76" i="2"/>
  <c r="AD75" i="2"/>
  <c r="AC75" i="2"/>
  <c r="AB75" i="2"/>
  <c r="AE75" i="2" s="1"/>
  <c r="AD74" i="2"/>
  <c r="AC74" i="2"/>
  <c r="AB74" i="2"/>
  <c r="AE74" i="2" s="1"/>
  <c r="AD73" i="2"/>
  <c r="AE73" i="2" s="1"/>
  <c r="AC73" i="2"/>
  <c r="AB73" i="2"/>
  <c r="AD72" i="2"/>
  <c r="AC72" i="2"/>
  <c r="AB72" i="2"/>
  <c r="AE72" i="2" s="1"/>
  <c r="AD71" i="2"/>
  <c r="AC71" i="2"/>
  <c r="AB71" i="2"/>
  <c r="AD70" i="2"/>
  <c r="AC70" i="2"/>
  <c r="AB70" i="2"/>
  <c r="AE70" i="2" s="1"/>
  <c r="AD69" i="2"/>
  <c r="AC69" i="2"/>
  <c r="AB69" i="2"/>
  <c r="AE69" i="2" s="1"/>
  <c r="AD68" i="2"/>
  <c r="AC68" i="2"/>
  <c r="AB68" i="2"/>
  <c r="AD67" i="2"/>
  <c r="AC67" i="2"/>
  <c r="AB67" i="2"/>
  <c r="AE67" i="2" s="1"/>
  <c r="AE66" i="2"/>
  <c r="AD66" i="2"/>
  <c r="AC66" i="2"/>
  <c r="AB66" i="2"/>
  <c r="AD65" i="2"/>
  <c r="AC65" i="2"/>
  <c r="AB65" i="2"/>
  <c r="AE65" i="2" s="1"/>
  <c r="AD64" i="2"/>
  <c r="AC64" i="2"/>
  <c r="AB64" i="2"/>
  <c r="AE64" i="2" s="1"/>
  <c r="AD63" i="2"/>
  <c r="AE63" i="2" s="1"/>
  <c r="AC63" i="2"/>
  <c r="AB63" i="2"/>
  <c r="AD62" i="2"/>
  <c r="AC62" i="2"/>
  <c r="AB62" i="2"/>
  <c r="AE62" i="2" s="1"/>
  <c r="AE61" i="2"/>
  <c r="AD61" i="2"/>
  <c r="AC61" i="2"/>
  <c r="AB61" i="2"/>
  <c r="AD60" i="2"/>
  <c r="AC60" i="2"/>
  <c r="AE60" i="2" s="1"/>
  <c r="AB60" i="2"/>
  <c r="AD59" i="2"/>
  <c r="AC59" i="2"/>
  <c r="AB59" i="2"/>
  <c r="AE59" i="2" s="1"/>
  <c r="AD58" i="2"/>
  <c r="AE58" i="2" s="1"/>
  <c r="AC58" i="2"/>
  <c r="AB58" i="2"/>
  <c r="AD57" i="2"/>
  <c r="AC57" i="2"/>
  <c r="AB57" i="2"/>
  <c r="AE57" i="2" s="1"/>
  <c r="AD56" i="2"/>
  <c r="AC56" i="2"/>
  <c r="AB56" i="2"/>
  <c r="AE56" i="2" s="1"/>
  <c r="AD55" i="2"/>
  <c r="AE55" i="2" s="1"/>
  <c r="AC55" i="2"/>
  <c r="AB55" i="2"/>
  <c r="AD54" i="2"/>
  <c r="AC54" i="2"/>
  <c r="AB54" i="2"/>
  <c r="AE54" i="2" s="1"/>
  <c r="AD53" i="2"/>
  <c r="AC53" i="2"/>
  <c r="AB53" i="2"/>
  <c r="AD52" i="2"/>
  <c r="AC52" i="2"/>
  <c r="AB52" i="2"/>
  <c r="AE52" i="2" s="1"/>
  <c r="AD51" i="2"/>
  <c r="AC51" i="2"/>
  <c r="AB51" i="2"/>
  <c r="AE51" i="2" s="1"/>
  <c r="AD50" i="2"/>
  <c r="AC50" i="2"/>
  <c r="AB50" i="2"/>
  <c r="AD49" i="2"/>
  <c r="AC49" i="2"/>
  <c r="AB49" i="2"/>
  <c r="AE49" i="2" s="1"/>
  <c r="AE48" i="2"/>
  <c r="AD48" i="2"/>
  <c r="AC48" i="2"/>
  <c r="AB48" i="2"/>
  <c r="AD47" i="2"/>
  <c r="AC47" i="2"/>
  <c r="AE47" i="2" s="1"/>
  <c r="AB47" i="2"/>
  <c r="AD46" i="2"/>
  <c r="AC46" i="2"/>
  <c r="AB46" i="2"/>
  <c r="AE46" i="2" s="1"/>
  <c r="AE45" i="2"/>
  <c r="AD45" i="2"/>
  <c r="AC45" i="2"/>
  <c r="AB45" i="2"/>
  <c r="AD44" i="2"/>
  <c r="AC44" i="2"/>
  <c r="AE44" i="2" s="1"/>
  <c r="AB44" i="2"/>
  <c r="AD43" i="2"/>
  <c r="AC43" i="2"/>
  <c r="AB43" i="2"/>
  <c r="AE43" i="2" s="1"/>
  <c r="AE42" i="2"/>
  <c r="AD42" i="2"/>
  <c r="AC42" i="2"/>
  <c r="AB42" i="2"/>
  <c r="AD41" i="2"/>
  <c r="AC41" i="2"/>
  <c r="AE41" i="2" s="1"/>
  <c r="AB41" i="2"/>
  <c r="AD40" i="2"/>
  <c r="AC40" i="2"/>
  <c r="AB40" i="2"/>
  <c r="AE40" i="2" s="1"/>
  <c r="AE39" i="2"/>
  <c r="AD39" i="2"/>
  <c r="AC39" i="2"/>
  <c r="AB39" i="2"/>
  <c r="AD38" i="2"/>
  <c r="AC38" i="2"/>
  <c r="AE38" i="2" s="1"/>
  <c r="AB38" i="2"/>
  <c r="AD37" i="2"/>
  <c r="AC37" i="2"/>
  <c r="AB37" i="2"/>
  <c r="AE37" i="2" s="1"/>
  <c r="AE36" i="2"/>
  <c r="AD36" i="2"/>
  <c r="AC36" i="2"/>
  <c r="AB36" i="2"/>
  <c r="AD35" i="2"/>
  <c r="AC35" i="2"/>
  <c r="AE35" i="2" s="1"/>
  <c r="AB35" i="2"/>
  <c r="AD34" i="2"/>
  <c r="AC34" i="2"/>
  <c r="AB34" i="2"/>
  <c r="AE34" i="2" s="1"/>
  <c r="AE33" i="2"/>
  <c r="AD33" i="2"/>
  <c r="AC33" i="2"/>
  <c r="AB33" i="2"/>
  <c r="AD32" i="2"/>
  <c r="AC32" i="2"/>
  <c r="AE32" i="2" s="1"/>
  <c r="AB32" i="2"/>
  <c r="AD31" i="2"/>
  <c r="AC31" i="2"/>
  <c r="AB31" i="2"/>
  <c r="AE31" i="2" s="1"/>
  <c r="AE30" i="2"/>
  <c r="AD30" i="2"/>
  <c r="AC30" i="2"/>
  <c r="AB30" i="2"/>
  <c r="AD29" i="2"/>
  <c r="AC29" i="2"/>
  <c r="AE29" i="2" s="1"/>
  <c r="AB29" i="2"/>
  <c r="AD28" i="2"/>
  <c r="AC28" i="2"/>
  <c r="AB28" i="2"/>
  <c r="AE28" i="2" s="1"/>
  <c r="AE27" i="2"/>
  <c r="AD27" i="2"/>
  <c r="AC27" i="2"/>
  <c r="AB27" i="2"/>
  <c r="AD26" i="2"/>
  <c r="AC26" i="2"/>
  <c r="AE26" i="2" s="1"/>
  <c r="AB26" i="2"/>
  <c r="AD25" i="2"/>
  <c r="AC25" i="2"/>
  <c r="AB25" i="2"/>
  <c r="AE25" i="2" s="1"/>
  <c r="AE24" i="2"/>
  <c r="AD24" i="2"/>
  <c r="AC24" i="2"/>
  <c r="AB24" i="2"/>
  <c r="AD23" i="2"/>
  <c r="AC23" i="2"/>
  <c r="AE23" i="2" s="1"/>
  <c r="AB23" i="2"/>
  <c r="AD22" i="2"/>
  <c r="AC22" i="2"/>
  <c r="AB22" i="2"/>
  <c r="AE22" i="2" s="1"/>
  <c r="AE21" i="2"/>
  <c r="AD21" i="2"/>
  <c r="AC21" i="2"/>
  <c r="AB21" i="2"/>
  <c r="AD20" i="2"/>
  <c r="AC20" i="2"/>
  <c r="AE20" i="2" s="1"/>
  <c r="AB20" i="2"/>
  <c r="AD19" i="2"/>
  <c r="AC19" i="2"/>
  <c r="AB19" i="2"/>
  <c r="AE19" i="2" s="1"/>
  <c r="AE18" i="2"/>
  <c r="AD18" i="2"/>
  <c r="AC18" i="2"/>
  <c r="AB18" i="2"/>
  <c r="AD17" i="2"/>
  <c r="AC17" i="2"/>
  <c r="AE17" i="2" s="1"/>
  <c r="AB17" i="2"/>
  <c r="AD16" i="2"/>
  <c r="AC16" i="2"/>
  <c r="AB16" i="2"/>
  <c r="AE16" i="2" s="1"/>
  <c r="AE15" i="2"/>
  <c r="AD15" i="2"/>
  <c r="AC15" i="2"/>
  <c r="AB15" i="2"/>
  <c r="AD14" i="2"/>
  <c r="AC14" i="2"/>
  <c r="AE14" i="2" s="1"/>
  <c r="AB14" i="2"/>
  <c r="AD13" i="2"/>
  <c r="AC13" i="2"/>
  <c r="AB13" i="2"/>
  <c r="AE13" i="2" s="1"/>
  <c r="AE12" i="2"/>
  <c r="AD12" i="2"/>
  <c r="AC12" i="2"/>
  <c r="AB12" i="2"/>
  <c r="AD11" i="2"/>
  <c r="AC11" i="2"/>
  <c r="AE11" i="2" s="1"/>
  <c r="AB11" i="2"/>
  <c r="AD10" i="2"/>
  <c r="AC10" i="2"/>
  <c r="AB10" i="2"/>
  <c r="AE10" i="2" s="1"/>
  <c r="AE9" i="2"/>
  <c r="AD9" i="2"/>
  <c r="AC9" i="2"/>
  <c r="AB9" i="2"/>
  <c r="AD8" i="2"/>
  <c r="AC8" i="2"/>
  <c r="AE8" i="2" s="1"/>
  <c r="AB8" i="2"/>
  <c r="AD7" i="2"/>
  <c r="AC7" i="2"/>
  <c r="AB7" i="2"/>
  <c r="AE7" i="2" s="1"/>
  <c r="AE6" i="2"/>
  <c r="AD6" i="2"/>
  <c r="AC6" i="2"/>
  <c r="AB6" i="2"/>
  <c r="AD5" i="2"/>
  <c r="AC5" i="2"/>
  <c r="AE5" i="2" s="1"/>
  <c r="AB5" i="2"/>
  <c r="AD4" i="2"/>
  <c r="AC4" i="2"/>
  <c r="AB4" i="2"/>
  <c r="AE4" i="2" s="1"/>
  <c r="AE3" i="2"/>
  <c r="AD3" i="2"/>
  <c r="AC3" i="2"/>
  <c r="AB3" i="2"/>
  <c r="AD2" i="2"/>
  <c r="AC2" i="2"/>
  <c r="AE2" i="2" s="1"/>
  <c r="AB2" i="2"/>
  <c r="E7" i="12"/>
  <c r="D7" i="12"/>
  <c r="F7" i="12"/>
  <c r="C7" i="12"/>
  <c r="B7" i="12"/>
  <c r="A7" i="12"/>
  <c r="D7" i="14"/>
  <c r="C7" i="14"/>
  <c r="B7" i="14"/>
  <c r="A7" i="14"/>
  <c r="F7" i="16"/>
  <c r="E7" i="16"/>
  <c r="D7" i="16"/>
  <c r="C7" i="16"/>
  <c r="B7" i="16"/>
  <c r="A7" i="16"/>
  <c r="A7" i="18"/>
  <c r="B7" i="19"/>
  <c r="A7" i="19"/>
  <c r="E7" i="19"/>
  <c r="C7" i="19"/>
  <c r="D7" i="19"/>
  <c r="E7" i="18"/>
  <c r="F7" i="18"/>
  <c r="C7" i="18"/>
  <c r="D7" i="18"/>
  <c r="AQ234" i="10" l="1"/>
  <c r="AQ228" i="10"/>
  <c r="AQ222" i="10"/>
  <c r="AQ216" i="10"/>
  <c r="AQ210" i="10"/>
  <c r="AQ204" i="10"/>
  <c r="AQ198" i="10"/>
  <c r="AQ192" i="10"/>
  <c r="AQ186" i="10"/>
  <c r="AQ180" i="10"/>
  <c r="AQ174" i="10"/>
  <c r="AQ168" i="10"/>
  <c r="AQ162" i="10"/>
  <c r="AQ156" i="10"/>
  <c r="AQ150" i="10"/>
  <c r="AQ144" i="10"/>
  <c r="AQ138" i="10"/>
  <c r="AQ132" i="10"/>
  <c r="AQ126" i="10"/>
  <c r="AQ120" i="10"/>
  <c r="AQ114" i="10"/>
  <c r="AQ108" i="10"/>
  <c r="AQ102" i="10"/>
  <c r="AQ96" i="10"/>
  <c r="AQ90" i="10"/>
  <c r="AQ84" i="10"/>
  <c r="AQ78" i="10"/>
  <c r="AQ66" i="10"/>
  <c r="AQ60" i="10"/>
  <c r="AQ54" i="10"/>
  <c r="AQ48" i="10"/>
  <c r="AQ42" i="10"/>
  <c r="AQ36" i="10"/>
  <c r="AQ30" i="10"/>
  <c r="AQ24" i="10"/>
  <c r="AQ18" i="10"/>
  <c r="AQ12" i="10"/>
  <c r="AQ6" i="10"/>
  <c r="AQ520" i="10"/>
  <c r="AQ514" i="10"/>
  <c r="AQ508" i="10"/>
  <c r="AQ502" i="10"/>
  <c r="AQ496" i="10"/>
  <c r="AQ490" i="10"/>
  <c r="AQ484" i="10"/>
  <c r="AQ478" i="10"/>
  <c r="AQ472" i="10"/>
  <c r="AQ466" i="10"/>
  <c r="AQ460" i="10"/>
  <c r="AQ448" i="10"/>
  <c r="AQ442" i="10"/>
  <c r="AQ436" i="10"/>
  <c r="AQ430" i="10"/>
  <c r="AQ424" i="10"/>
  <c r="AQ418" i="10"/>
  <c r="AQ412" i="10"/>
  <c r="AQ406" i="10"/>
  <c r="AQ400" i="10"/>
  <c r="AQ394" i="10"/>
  <c r="AQ388" i="10"/>
  <c r="AQ382" i="10"/>
  <c r="AQ376" i="10"/>
  <c r="AQ370" i="10"/>
  <c r="AQ364" i="10"/>
  <c r="AQ358" i="10"/>
  <c r="AQ352" i="10"/>
  <c r="AQ346" i="10"/>
  <c r="AQ340" i="10"/>
  <c r="AQ334" i="10"/>
  <c r="AQ328" i="10"/>
  <c r="AQ322" i="10"/>
  <c r="AQ316" i="10"/>
  <c r="AQ310" i="10"/>
  <c r="AQ304" i="10"/>
  <c r="AQ298" i="10"/>
  <c r="AQ292" i="10"/>
  <c r="AQ286" i="10"/>
  <c r="AQ280" i="10"/>
  <c r="AQ268" i="10"/>
  <c r="AQ262" i="10"/>
  <c r="AQ256" i="10"/>
  <c r="AQ250" i="10"/>
  <c r="AQ244" i="10"/>
  <c r="AQ238" i="10"/>
  <c r="AQ232" i="10"/>
  <c r="AQ226" i="10"/>
  <c r="AQ220" i="10"/>
  <c r="AQ214" i="10"/>
  <c r="AQ208" i="10"/>
  <c r="AQ202" i="10"/>
  <c r="AQ196" i="10"/>
  <c r="AQ190" i="10"/>
  <c r="AQ184" i="10"/>
  <c r="AQ178" i="10"/>
  <c r="AQ172" i="10"/>
  <c r="AQ166" i="10"/>
  <c r="AQ160" i="10"/>
  <c r="AQ154" i="10"/>
  <c r="AQ148" i="10"/>
  <c r="AQ142" i="10"/>
  <c r="AQ136" i="10"/>
  <c r="AQ130" i="10"/>
  <c r="AQ124" i="10"/>
  <c r="AQ118" i="10"/>
  <c r="AQ112" i="10"/>
  <c r="AQ106" i="10"/>
  <c r="AQ100" i="10"/>
  <c r="AQ94" i="10"/>
  <c r="AQ88" i="10"/>
  <c r="AQ82" i="10"/>
  <c r="AQ76" i="10"/>
  <c r="AQ70" i="10"/>
  <c r="AQ64" i="10"/>
  <c r="AQ58" i="10"/>
  <c r="AQ52" i="10"/>
  <c r="AQ46" i="10"/>
  <c r="AQ40" i="10"/>
  <c r="AQ34" i="10"/>
  <c r="AQ22" i="10"/>
  <c r="AQ16" i="10"/>
  <c r="AQ10" i="10"/>
  <c r="AQ4" i="10"/>
  <c r="AQ454" i="10"/>
  <c r="AQ583" i="10"/>
  <c r="AQ577" i="10"/>
  <c r="AQ571" i="10"/>
  <c r="AQ565" i="10"/>
  <c r="AQ559" i="10"/>
  <c r="AQ553" i="10"/>
  <c r="AQ547" i="10"/>
  <c r="AQ535" i="10"/>
  <c r="AQ529" i="10"/>
  <c r="AQ523" i="10"/>
  <c r="AQ517" i="10"/>
  <c r="AQ511" i="10"/>
  <c r="AQ505" i="10"/>
  <c r="AQ499" i="10"/>
  <c r="AQ493" i="10"/>
  <c r="AQ487" i="10"/>
  <c r="AQ481" i="10"/>
  <c r="AQ475" i="10"/>
  <c r="AQ469" i="10"/>
  <c r="AQ463" i="10"/>
  <c r="AQ457" i="10"/>
  <c r="AQ451" i="10"/>
  <c r="AQ445" i="10"/>
  <c r="AQ439" i="10"/>
  <c r="AQ433" i="10"/>
  <c r="AQ427" i="10"/>
  <c r="AQ421" i="10"/>
  <c r="AQ409" i="10"/>
  <c r="AQ403" i="10"/>
  <c r="AQ397" i="10"/>
  <c r="AQ391" i="10"/>
  <c r="AQ385" i="10"/>
  <c r="AQ379" i="10"/>
  <c r="AQ373" i="10"/>
  <c r="AQ367" i="10"/>
  <c r="AQ361" i="10"/>
  <c r="AQ355" i="10"/>
  <c r="AQ349" i="10"/>
  <c r="AQ343" i="10"/>
  <c r="AQ337" i="10"/>
  <c r="AQ331" i="10"/>
  <c r="AQ319" i="10"/>
  <c r="AQ313" i="10"/>
  <c r="AQ307" i="10"/>
  <c r="AQ301" i="10"/>
  <c r="AQ295" i="10"/>
  <c r="AQ289" i="10"/>
  <c r="AQ283" i="10"/>
  <c r="AQ277" i="10"/>
  <c r="AQ265" i="10"/>
  <c r="AQ259" i="10"/>
  <c r="AQ253" i="10"/>
  <c r="AQ247" i="10"/>
  <c r="AQ241" i="10"/>
  <c r="AQ235" i="10"/>
  <c r="AQ229" i="10"/>
  <c r="AQ223" i="10"/>
  <c r="AQ217" i="10"/>
  <c r="AQ211" i="10"/>
  <c r="AQ205" i="10"/>
  <c r="AQ199" i="10"/>
  <c r="AQ193" i="10"/>
  <c r="AQ187" i="10"/>
  <c r="AQ181" i="10"/>
  <c r="AQ175" i="10"/>
  <c r="AQ163" i="10"/>
  <c r="AQ157" i="10"/>
  <c r="AQ151" i="10"/>
  <c r="AQ145" i="10"/>
  <c r="AQ139" i="10"/>
  <c r="AQ133" i="10"/>
  <c r="AQ127" i="10"/>
  <c r="AQ121" i="10"/>
  <c r="AQ115" i="10"/>
  <c r="AQ109" i="10"/>
  <c r="AQ103" i="10"/>
  <c r="AQ97" i="10"/>
  <c r="AQ91" i="10"/>
  <c r="AQ85" i="10"/>
  <c r="AQ79" i="10"/>
  <c r="AQ73" i="10"/>
  <c r="AQ67" i="10"/>
  <c r="AQ61" i="10"/>
  <c r="AQ55" i="10"/>
  <c r="AQ49" i="10"/>
  <c r="AQ43" i="10"/>
  <c r="AQ37" i="10"/>
  <c r="AQ25" i="10"/>
  <c r="AQ19" i="10"/>
  <c r="AQ13" i="10"/>
  <c r="AQ7" i="10"/>
  <c r="AQ147" i="10"/>
  <c r="AQ525" i="10"/>
  <c r="AQ519" i="10"/>
  <c r="AQ308" i="10"/>
  <c r="AQ552" i="10"/>
  <c r="AQ72" i="10"/>
  <c r="AQ274" i="10"/>
  <c r="AQ28" i="10"/>
  <c r="AQ195" i="10"/>
  <c r="AQ314" i="10"/>
  <c r="AQ152" i="10"/>
  <c r="AQ62" i="10"/>
  <c r="AQ541" i="10"/>
  <c r="AQ271" i="10"/>
  <c r="AQ169" i="10"/>
  <c r="AQ31" i="10"/>
  <c r="AQ325" i="10"/>
  <c r="AQ415" i="10"/>
  <c r="AO583" i="10"/>
  <c r="AO577" i="10"/>
  <c r="AO571" i="10"/>
  <c r="AO565" i="10"/>
  <c r="AO559" i="10"/>
  <c r="AO553" i="10"/>
  <c r="AO547" i="10"/>
  <c r="AO541" i="10"/>
  <c r="AO535" i="10"/>
  <c r="AO529" i="10"/>
  <c r="AO523" i="10"/>
  <c r="AO517" i="10"/>
  <c r="AO511" i="10"/>
  <c r="AO505" i="10"/>
  <c r="AO499" i="10"/>
  <c r="AO493" i="10"/>
  <c r="AO487" i="10"/>
  <c r="AO481" i="10"/>
  <c r="AO475" i="10"/>
  <c r="AO469" i="10"/>
  <c r="AO463" i="10"/>
  <c r="AO457" i="10"/>
  <c r="AO451" i="10"/>
  <c r="AO445" i="10"/>
  <c r="AO439" i="10"/>
  <c r="AO433" i="10"/>
  <c r="AO427" i="10"/>
  <c r="AO421" i="10"/>
  <c r="AO415" i="10"/>
  <c r="AO409" i="10"/>
  <c r="AO403" i="10"/>
  <c r="AO397" i="10"/>
  <c r="AO391" i="10"/>
  <c r="AO385" i="10"/>
  <c r="AO379" i="10"/>
  <c r="AO373" i="10"/>
  <c r="AO367" i="10"/>
  <c r="AO361" i="10"/>
  <c r="AO355" i="10"/>
  <c r="AO349" i="10"/>
  <c r="AO343" i="10"/>
  <c r="AO337" i="10"/>
  <c r="AO331" i="10"/>
  <c r="AO325" i="10"/>
  <c r="AO319" i="10"/>
  <c r="AO313" i="10"/>
  <c r="AO307" i="10"/>
  <c r="AO301" i="10"/>
  <c r="AO295" i="10"/>
  <c r="AO289" i="10"/>
  <c r="AO283" i="10"/>
  <c r="AO277" i="10"/>
  <c r="AO271" i="10"/>
  <c r="AO265" i="10"/>
  <c r="AO259" i="10"/>
  <c r="AO253" i="10"/>
  <c r="AO247" i="10"/>
  <c r="AO241" i="10"/>
  <c r="AO235" i="10"/>
  <c r="AO229" i="10"/>
  <c r="AO223" i="10"/>
  <c r="AO217" i="10"/>
  <c r="AO211" i="10"/>
  <c r="AO205" i="10"/>
  <c r="AO199" i="10"/>
  <c r="AO193" i="10"/>
  <c r="AO187" i="10"/>
  <c r="AO181" i="10"/>
  <c r="AO175" i="10"/>
  <c r="AO169" i="10"/>
  <c r="AO163" i="10"/>
  <c r="AO157" i="10"/>
  <c r="AO151" i="10"/>
  <c r="AO145" i="10"/>
  <c r="AO139" i="10"/>
  <c r="AO133" i="10"/>
  <c r="AO127" i="10"/>
  <c r="AO121" i="10"/>
  <c r="AO115" i="10"/>
  <c r="AO109" i="10"/>
  <c r="AO103" i="10"/>
  <c r="AO97" i="10"/>
  <c r="AO91" i="10"/>
  <c r="AO85" i="10"/>
  <c r="AO582" i="10"/>
  <c r="AO576" i="10"/>
  <c r="AO570" i="10"/>
  <c r="AO564" i="10"/>
  <c r="AO558" i="10"/>
  <c r="AO552" i="10"/>
  <c r="AO546" i="10"/>
  <c r="AO540" i="10"/>
  <c r="AO534" i="10"/>
  <c r="AO528" i="10"/>
  <c r="AO522" i="10"/>
  <c r="AO516" i="10"/>
  <c r="AO581" i="10"/>
  <c r="AO575" i="10"/>
  <c r="AO569" i="10"/>
  <c r="AO563" i="10"/>
  <c r="AO557" i="10"/>
  <c r="AO551" i="10"/>
  <c r="AO545" i="10"/>
  <c r="AO539" i="10"/>
  <c r="AO533" i="10"/>
  <c r="AO527" i="10"/>
  <c r="AO521" i="10"/>
  <c r="AO515" i="10"/>
  <c r="AO509" i="10"/>
  <c r="AO503" i="10"/>
  <c r="AO497" i="10"/>
  <c r="AO491" i="10"/>
  <c r="AO485" i="10"/>
  <c r="AO479" i="10"/>
  <c r="AO473" i="10"/>
  <c r="AO467" i="10"/>
  <c r="AO461" i="10"/>
  <c r="AO455" i="10"/>
  <c r="AO449" i="10"/>
  <c r="AO443" i="10"/>
  <c r="AO437" i="10"/>
  <c r="AO431" i="10"/>
  <c r="AO425" i="10"/>
  <c r="AO419" i="10"/>
  <c r="AO413" i="10"/>
  <c r="AO407" i="10"/>
  <c r="AO401" i="10"/>
  <c r="AO395" i="10"/>
  <c r="AO389" i="10"/>
  <c r="AO383" i="10"/>
  <c r="AO377" i="10"/>
  <c r="AO371" i="10"/>
  <c r="AO365" i="10"/>
  <c r="AO359" i="10"/>
  <c r="AO353" i="10"/>
  <c r="AO347" i="10"/>
  <c r="AO341" i="10"/>
  <c r="AO335" i="10"/>
  <c r="AO329" i="10"/>
  <c r="AO323" i="10"/>
  <c r="AO317" i="10"/>
  <c r="AO311" i="10"/>
  <c r="AO305" i="10"/>
  <c r="AO299" i="10"/>
  <c r="AO293" i="10"/>
  <c r="AO287" i="10"/>
  <c r="AO281" i="10"/>
  <c r="AO275" i="10"/>
  <c r="AO580" i="10"/>
  <c r="AO574" i="10"/>
  <c r="AO568" i="10"/>
  <c r="AO562" i="10"/>
  <c r="AO556" i="10"/>
  <c r="AO550" i="10"/>
  <c r="AO544" i="10"/>
  <c r="AO538" i="10"/>
  <c r="AO532" i="10"/>
  <c r="AO526" i="10"/>
  <c r="AO520" i="10"/>
  <c r="AO514" i="10"/>
  <c r="AO508" i="10"/>
  <c r="AO502" i="10"/>
  <c r="AO496" i="10"/>
  <c r="AO490" i="10"/>
  <c r="AO484" i="10"/>
  <c r="AO478" i="10"/>
  <c r="AO472" i="10"/>
  <c r="AO466" i="10"/>
  <c r="AO460" i="10"/>
  <c r="AO454" i="10"/>
  <c r="AO448" i="10"/>
  <c r="AO442" i="10"/>
  <c r="AO436" i="10"/>
  <c r="AO430" i="10"/>
  <c r="AO424" i="10"/>
  <c r="AO418" i="10"/>
  <c r="AO412" i="10"/>
  <c r="AO406" i="10"/>
  <c r="AO400" i="10"/>
  <c r="AO394" i="10"/>
  <c r="AO388" i="10"/>
  <c r="AO382" i="10"/>
  <c r="AO376" i="10"/>
  <c r="AO370" i="10"/>
  <c r="AO364" i="10"/>
  <c r="AO358" i="10"/>
  <c r="AO352" i="10"/>
  <c r="AO346" i="10"/>
  <c r="AO340" i="10"/>
  <c r="AO334" i="10"/>
  <c r="AO328" i="10"/>
  <c r="AO322" i="10"/>
  <c r="AO316" i="10"/>
  <c r="AO310" i="10"/>
  <c r="AO304" i="10"/>
  <c r="AO298" i="10"/>
  <c r="AO292" i="10"/>
  <c r="AO286" i="10"/>
  <c r="AO280" i="10"/>
  <c r="AO274" i="10"/>
  <c r="AO268" i="10"/>
  <c r="AO262" i="10"/>
  <c r="AO256" i="10"/>
  <c r="AO250" i="10"/>
  <c r="AO244" i="10"/>
  <c r="AO238" i="10"/>
  <c r="AO232" i="10"/>
  <c r="AO226" i="10"/>
  <c r="AO579" i="10"/>
  <c r="AO573" i="10"/>
  <c r="AO567" i="10"/>
  <c r="AO561" i="10"/>
  <c r="AO555" i="10"/>
  <c r="AO549" i="10"/>
  <c r="AO543" i="10"/>
  <c r="AO537" i="10"/>
  <c r="AO531" i="10"/>
  <c r="AO525" i="10"/>
  <c r="AO519" i="10"/>
  <c r="AO513" i="10"/>
  <c r="AO507" i="10"/>
  <c r="AO501" i="10"/>
  <c r="AO495" i="10"/>
  <c r="AO489" i="10"/>
  <c r="AO483" i="10"/>
  <c r="AO477" i="10"/>
  <c r="AO471" i="10"/>
  <c r="AO465" i="10"/>
  <c r="AO459" i="10"/>
  <c r="AO453" i="10"/>
  <c r="AO447" i="10"/>
  <c r="AO441" i="10"/>
  <c r="AO435" i="10"/>
  <c r="AO429" i="10"/>
  <c r="AO423" i="10"/>
  <c r="AO417" i="10"/>
  <c r="AO411" i="10"/>
  <c r="AO405" i="10"/>
  <c r="AO399" i="10"/>
  <c r="AO393" i="10"/>
  <c r="AO387" i="10"/>
  <c r="AO381" i="10"/>
  <c r="AO375" i="10"/>
  <c r="AO369" i="10"/>
  <c r="AO363" i="10"/>
  <c r="AO357" i="10"/>
  <c r="AO351" i="10"/>
  <c r="AO345" i="10"/>
  <c r="AO339" i="10"/>
  <c r="AO333" i="10"/>
  <c r="AO578" i="10"/>
  <c r="AO572" i="10"/>
  <c r="AO566" i="10"/>
  <c r="AO560" i="10"/>
  <c r="AO554" i="10"/>
  <c r="AO548" i="10"/>
  <c r="AO542" i="10"/>
  <c r="AO536" i="10"/>
  <c r="AO530" i="10"/>
  <c r="AO524" i="10"/>
  <c r="AO518" i="10"/>
  <c r="AO512" i="10"/>
  <c r="AO506" i="10"/>
  <c r="AO510" i="10"/>
  <c r="AO504" i="10"/>
  <c r="AO498" i="10"/>
  <c r="AO492" i="10"/>
  <c r="AO486" i="10"/>
  <c r="AO480" i="10"/>
  <c r="AO474" i="10"/>
  <c r="AO468" i="10"/>
  <c r="AO462" i="10"/>
  <c r="AO456" i="10"/>
  <c r="AO450" i="10"/>
  <c r="AO444" i="10"/>
  <c r="AO438" i="10"/>
  <c r="AO432" i="10"/>
  <c r="AO426" i="10"/>
  <c r="AO420" i="10"/>
  <c r="AO414" i="10"/>
  <c r="AO408" i="10"/>
  <c r="AO402" i="10"/>
  <c r="AO396" i="10"/>
  <c r="AO390" i="10"/>
  <c r="AO384" i="10"/>
  <c r="AO378" i="10"/>
  <c r="AO372" i="10"/>
  <c r="AO366" i="10"/>
  <c r="AO360" i="10"/>
  <c r="AO354" i="10"/>
  <c r="AO348" i="10"/>
  <c r="AO342" i="10"/>
  <c r="AO336" i="10"/>
  <c r="AO330" i="10"/>
  <c r="AO324" i="10"/>
  <c r="AO318" i="10"/>
  <c r="AO312" i="10"/>
  <c r="AO306" i="10"/>
  <c r="AO300" i="10"/>
  <c r="AO294" i="10"/>
  <c r="AO288" i="10"/>
  <c r="AO282" i="10"/>
  <c r="AO276" i="10"/>
  <c r="AO270" i="10"/>
  <c r="AO264" i="10"/>
  <c r="AO258" i="10"/>
  <c r="AO252" i="10"/>
  <c r="AO246" i="10"/>
  <c r="AO240" i="10"/>
  <c r="AO234" i="10"/>
  <c r="AO228" i="10"/>
  <c r="AO222" i="10"/>
  <c r="AO216" i="10"/>
  <c r="AO210" i="10"/>
  <c r="AO204" i="10"/>
  <c r="AO198" i="10"/>
  <c r="AO192" i="10"/>
  <c r="AO186" i="10"/>
  <c r="AO180" i="10"/>
  <c r="AO174" i="10"/>
  <c r="AO168" i="10"/>
  <c r="AO162" i="10"/>
  <c r="AO156" i="10"/>
  <c r="AO150" i="10"/>
  <c r="AO144" i="10"/>
  <c r="AO138" i="10"/>
  <c r="AO132" i="10"/>
  <c r="AO126" i="10"/>
  <c r="AO120" i="10"/>
  <c r="AO114" i="10"/>
  <c r="AO108" i="10"/>
  <c r="AO102" i="10"/>
  <c r="AO96" i="10"/>
  <c r="AO90" i="10"/>
  <c r="AO84" i="10"/>
  <c r="AO78" i="10"/>
  <c r="AO72" i="10"/>
  <c r="AO66" i="10"/>
  <c r="AO60" i="10"/>
  <c r="AO54" i="10"/>
  <c r="AO48" i="10"/>
  <c r="AO42" i="10"/>
  <c r="AO36" i="10"/>
  <c r="AO30" i="10"/>
  <c r="AO24" i="10"/>
  <c r="AO18" i="10"/>
  <c r="AO12" i="10"/>
  <c r="AO6" i="10"/>
  <c r="AO269" i="10"/>
  <c r="AO263" i="10"/>
  <c r="AO257" i="10"/>
  <c r="AO251" i="10"/>
  <c r="AO245" i="10"/>
  <c r="AO239" i="10"/>
  <c r="AO233" i="10"/>
  <c r="AO227" i="10"/>
  <c r="AO221" i="10"/>
  <c r="AO215" i="10"/>
  <c r="AO209" i="10"/>
  <c r="AO203" i="10"/>
  <c r="AO197" i="10"/>
  <c r="AO191" i="10"/>
  <c r="AO185" i="10"/>
  <c r="AO179" i="10"/>
  <c r="AO173" i="10"/>
  <c r="AO167" i="10"/>
  <c r="AO161" i="10"/>
  <c r="AO155" i="10"/>
  <c r="AO149" i="10"/>
  <c r="AO143" i="10"/>
  <c r="AO137" i="10"/>
  <c r="AO131" i="10"/>
  <c r="AO125" i="10"/>
  <c r="AO119" i="10"/>
  <c r="AO113" i="10"/>
  <c r="AO107" i="10"/>
  <c r="AO101" i="10"/>
  <c r="AO95" i="10"/>
  <c r="AO89" i="10"/>
  <c r="AO83" i="10"/>
  <c r="AO77" i="10"/>
  <c r="AO71" i="10"/>
  <c r="AO65" i="10"/>
  <c r="AO59" i="10"/>
  <c r="AO53" i="10"/>
  <c r="AO47" i="10"/>
  <c r="AO41" i="10"/>
  <c r="AO35" i="10"/>
  <c r="AO29" i="10"/>
  <c r="AO23" i="10"/>
  <c r="AO17" i="10"/>
  <c r="AO11" i="10"/>
  <c r="AO5" i="10"/>
  <c r="AO220" i="10"/>
  <c r="AO214" i="10"/>
  <c r="AO208" i="10"/>
  <c r="AO202" i="10"/>
  <c r="AO196" i="10"/>
  <c r="AO190" i="10"/>
  <c r="AO184" i="10"/>
  <c r="AO178" i="10"/>
  <c r="AO172" i="10"/>
  <c r="AO166" i="10"/>
  <c r="AO160" i="10"/>
  <c r="AO154" i="10"/>
  <c r="AO148" i="10"/>
  <c r="AO142" i="10"/>
  <c r="AO136" i="10"/>
  <c r="AO130" i="10"/>
  <c r="AO124" i="10"/>
  <c r="AO118" i="10"/>
  <c r="AO112" i="10"/>
  <c r="AO106" i="10"/>
  <c r="AO100" i="10"/>
  <c r="AO94" i="10"/>
  <c r="AO88" i="10"/>
  <c r="AO82" i="10"/>
  <c r="AO76" i="10"/>
  <c r="AO70" i="10"/>
  <c r="AO64" i="10"/>
  <c r="AO58" i="10"/>
  <c r="AO52" i="10"/>
  <c r="AO46" i="10"/>
  <c r="AO40" i="10"/>
  <c r="AO34" i="10"/>
  <c r="AO28" i="10"/>
  <c r="AO22" i="10"/>
  <c r="AO16" i="10"/>
  <c r="AO10" i="10"/>
  <c r="AO4" i="10"/>
  <c r="AO327" i="10"/>
  <c r="AO321" i="10"/>
  <c r="AO315" i="10"/>
  <c r="AO309" i="10"/>
  <c r="AO303" i="10"/>
  <c r="AO297" i="10"/>
  <c r="AO291" i="10"/>
  <c r="AO285" i="10"/>
  <c r="AO279" i="10"/>
  <c r="AO273" i="10"/>
  <c r="AO267" i="10"/>
  <c r="AO261" i="10"/>
  <c r="AO255" i="10"/>
  <c r="AO249" i="10"/>
  <c r="AO243" i="10"/>
  <c r="AO237" i="10"/>
  <c r="AO231" i="10"/>
  <c r="AO225" i="10"/>
  <c r="AO219" i="10"/>
  <c r="AO213" i="10"/>
  <c r="AO207" i="10"/>
  <c r="AO201" i="10"/>
  <c r="AO195" i="10"/>
  <c r="AO189" i="10"/>
  <c r="AO183" i="10"/>
  <c r="AO177" i="10"/>
  <c r="AO171" i="10"/>
  <c r="AO165" i="10"/>
  <c r="AO159" i="10"/>
  <c r="AO153" i="10"/>
  <c r="AO147" i="10"/>
  <c r="AO141" i="10"/>
  <c r="AO135" i="10"/>
  <c r="AO129" i="10"/>
  <c r="AO123" i="10"/>
  <c r="AO117" i="10"/>
  <c r="AO111" i="10"/>
  <c r="AO105" i="10"/>
  <c r="AO99" i="10"/>
  <c r="AO93" i="10"/>
  <c r="AO87" i="10"/>
  <c r="AO81" i="10"/>
  <c r="AO75" i="10"/>
  <c r="AO69" i="10"/>
  <c r="AO63" i="10"/>
  <c r="AO57" i="10"/>
  <c r="AO51" i="10"/>
  <c r="AO45" i="10"/>
  <c r="AO39" i="10"/>
  <c r="AO33" i="10"/>
  <c r="AO27" i="10"/>
  <c r="AO21" i="10"/>
  <c r="AO15" i="10"/>
  <c r="AO9" i="10"/>
  <c r="AO3" i="10"/>
  <c r="AO500" i="10"/>
  <c r="AO494" i="10"/>
  <c r="AO488" i="10"/>
  <c r="AO482" i="10"/>
  <c r="AO476" i="10"/>
  <c r="AO470" i="10"/>
  <c r="AO464" i="10"/>
  <c r="AO458" i="10"/>
  <c r="AO452" i="10"/>
  <c r="AO446" i="10"/>
  <c r="AO440" i="10"/>
  <c r="AO434" i="10"/>
  <c r="AO428" i="10"/>
  <c r="AO422" i="10"/>
  <c r="AO416" i="10"/>
  <c r="AO410" i="10"/>
  <c r="AO404" i="10"/>
  <c r="AO398" i="10"/>
  <c r="AO392" i="10"/>
  <c r="AO386" i="10"/>
  <c r="AO380" i="10"/>
  <c r="AO374" i="10"/>
  <c r="AO368" i="10"/>
  <c r="AO362" i="10"/>
  <c r="AO356" i="10"/>
  <c r="AO350" i="10"/>
  <c r="AO344" i="10"/>
  <c r="AO338" i="10"/>
  <c r="AO332" i="10"/>
  <c r="AO326" i="10"/>
  <c r="AO320" i="10"/>
  <c r="AO314" i="10"/>
  <c r="AO308" i="10"/>
  <c r="AO302" i="10"/>
  <c r="AO296" i="10"/>
  <c r="AO290" i="10"/>
  <c r="AO284" i="10"/>
  <c r="AO278" i="10"/>
  <c r="AO272" i="10"/>
  <c r="AO266" i="10"/>
  <c r="AO260" i="10"/>
  <c r="AO254" i="10"/>
  <c r="AO248" i="10"/>
  <c r="AO242" i="10"/>
  <c r="AO236" i="10"/>
  <c r="AO230" i="10"/>
  <c r="AO224" i="10"/>
  <c r="AO218" i="10"/>
  <c r="AO212" i="10"/>
  <c r="AO206" i="10"/>
  <c r="AO200" i="10"/>
  <c r="AO194" i="10"/>
  <c r="AO188" i="10"/>
  <c r="AO182" i="10"/>
  <c r="AO176" i="10"/>
  <c r="AO170" i="10"/>
  <c r="AO164" i="10"/>
  <c r="AO158" i="10"/>
  <c r="AO152" i="10"/>
  <c r="AO146" i="10"/>
  <c r="AO140" i="10"/>
  <c r="AO134" i="10"/>
  <c r="AO128" i="10"/>
  <c r="AO122" i="10"/>
  <c r="AO116" i="10"/>
  <c r="AO110" i="10"/>
  <c r="AO104" i="10"/>
  <c r="AO98" i="10"/>
  <c r="AO92" i="10"/>
  <c r="AO86" i="10"/>
  <c r="AO80" i="10"/>
  <c r="AO74" i="10"/>
  <c r="AO68" i="10"/>
  <c r="AO62" i="10"/>
  <c r="AO56" i="10"/>
  <c r="AO50" i="10"/>
  <c r="AO44" i="10"/>
  <c r="AO38" i="10"/>
  <c r="AO32" i="10"/>
  <c r="AO26" i="10"/>
  <c r="AO20" i="10"/>
  <c r="AO14" i="10"/>
  <c r="AO8" i="10"/>
  <c r="AO2" i="10"/>
  <c r="AO79" i="10"/>
  <c r="AO73" i="10"/>
  <c r="AO67" i="10"/>
  <c r="AO61" i="10"/>
  <c r="AO55" i="10"/>
  <c r="AO49" i="10"/>
  <c r="AO43" i="10"/>
  <c r="AO37" i="10"/>
  <c r="AO31" i="10"/>
  <c r="AO25" i="10"/>
  <c r="AO19" i="10"/>
  <c r="AO13" i="10"/>
  <c r="AO7" i="10"/>
  <c r="AI194" i="10"/>
  <c r="AW194" i="10" s="1"/>
  <c r="AI414" i="10"/>
  <c r="AW414" i="10" s="1"/>
  <c r="AI230" i="10"/>
  <c r="AW230" i="10" s="1"/>
  <c r="AI574" i="10"/>
  <c r="AW574" i="10" s="1"/>
  <c r="AI257" i="10"/>
  <c r="AW257" i="10" s="1"/>
  <c r="AI293" i="10"/>
  <c r="AW293" i="10" s="1"/>
  <c r="AI523" i="10"/>
  <c r="AW523" i="10" s="1"/>
  <c r="AI347" i="10"/>
  <c r="AW347" i="10" s="1"/>
  <c r="AI577" i="10"/>
  <c r="AW577" i="10" s="1"/>
  <c r="AI550" i="10"/>
  <c r="AW550" i="10" s="1"/>
  <c r="AI244" i="10"/>
  <c r="AW244" i="10" s="1"/>
  <c r="AI248" i="10"/>
  <c r="AW248" i="10" s="1"/>
  <c r="AI532" i="10"/>
  <c r="AW532" i="10" s="1"/>
  <c r="AI119" i="10"/>
  <c r="AW119" i="10" s="1"/>
  <c r="AI161" i="10"/>
  <c r="AW161" i="10" s="1"/>
  <c r="AI171" i="10"/>
  <c r="AW171" i="10" s="1"/>
  <c r="AI173" i="10"/>
  <c r="AW173" i="10" s="1"/>
  <c r="AI179" i="10"/>
  <c r="AW179" i="10" s="1"/>
  <c r="AI189" i="10"/>
  <c r="AW189" i="10" s="1"/>
  <c r="AI191" i="10"/>
  <c r="AW191" i="10" s="1"/>
  <c r="AI296" i="10"/>
  <c r="AW296" i="10" s="1"/>
  <c r="AI350" i="10"/>
  <c r="AW350" i="10" s="1"/>
  <c r="AI135" i="10"/>
  <c r="AW135" i="10" s="1"/>
  <c r="AI153" i="10"/>
  <c r="AW153" i="10" s="1"/>
  <c r="AI227" i="10"/>
  <c r="AW227" i="10" s="1"/>
  <c r="AI262" i="10"/>
  <c r="AW262" i="10" s="1"/>
  <c r="AI276" i="10"/>
  <c r="AW276" i="10" s="1"/>
  <c r="AI117" i="10"/>
  <c r="AW117" i="10" s="1"/>
  <c r="AI125" i="10"/>
  <c r="AW125" i="10" s="1"/>
  <c r="AI137" i="10"/>
  <c r="AW137" i="10" s="1"/>
  <c r="AI143" i="10"/>
  <c r="AW143" i="10" s="1"/>
  <c r="AI155" i="10"/>
  <c r="AW155" i="10" s="1"/>
  <c r="AI5" i="10"/>
  <c r="AW5" i="10" s="1"/>
  <c r="AI23" i="10"/>
  <c r="AW23" i="10" s="1"/>
  <c r="AI41" i="10"/>
  <c r="AW41" i="10" s="1"/>
  <c r="AI18" i="10"/>
  <c r="AW18" i="10" s="1"/>
  <c r="AI44" i="10"/>
  <c r="AW44" i="10" s="1"/>
  <c r="AI72" i="10"/>
  <c r="AW72" i="10" s="1"/>
  <c r="AI92" i="10"/>
  <c r="AW92" i="10" s="1"/>
  <c r="AI98" i="10"/>
  <c r="AW98" i="10" s="1"/>
  <c r="AI108" i="10"/>
  <c r="AW108" i="10" s="1"/>
  <c r="AI110" i="10"/>
  <c r="AW110" i="10" s="1"/>
  <c r="AI116" i="10"/>
  <c r="AW116" i="10" s="1"/>
  <c r="AI126" i="10"/>
  <c r="AW126" i="10" s="1"/>
  <c r="AI128" i="10"/>
  <c r="AW128" i="10" s="1"/>
  <c r="AI134" i="10"/>
  <c r="AW134" i="10" s="1"/>
  <c r="AI144" i="10"/>
  <c r="AW144" i="10" s="1"/>
  <c r="AI146" i="10"/>
  <c r="AW146" i="10" s="1"/>
  <c r="AI152" i="10"/>
  <c r="AW152" i="10" s="1"/>
  <c r="AI162" i="10"/>
  <c r="AW162" i="10" s="1"/>
  <c r="AI164" i="10"/>
  <c r="AW164" i="10" s="1"/>
  <c r="AI170" i="10"/>
  <c r="AW170" i="10" s="1"/>
  <c r="AI180" i="10"/>
  <c r="AW180" i="10" s="1"/>
  <c r="AI182" i="10"/>
  <c r="AW182" i="10" s="1"/>
  <c r="AI188" i="10"/>
  <c r="AW188" i="10" s="1"/>
  <c r="AI203" i="10"/>
  <c r="AW203" i="10" s="1"/>
  <c r="AI235" i="10"/>
  <c r="AW235" i="10" s="1"/>
  <c r="AI239" i="10"/>
  <c r="AW239" i="10" s="1"/>
  <c r="AI253" i="10"/>
  <c r="AW253" i="10" s="1"/>
  <c r="AI20" i="10"/>
  <c r="AW20" i="10" s="1"/>
  <c r="AI26" i="10"/>
  <c r="AW26" i="10" s="1"/>
  <c r="AI38" i="10"/>
  <c r="AW38" i="10" s="1"/>
  <c r="AI54" i="10"/>
  <c r="AW54" i="10" s="1"/>
  <c r="AI62" i="10"/>
  <c r="AW62" i="10" s="1"/>
  <c r="AI74" i="10"/>
  <c r="AW74" i="10" s="1"/>
  <c r="AI90" i="10"/>
  <c r="AW90" i="10" s="1"/>
  <c r="AI218" i="10"/>
  <c r="AW218" i="10" s="1"/>
  <c r="AI2" i="10"/>
  <c r="AW2" i="10" s="1"/>
  <c r="AI8" i="10"/>
  <c r="AW8" i="10" s="1"/>
  <c r="AI36" i="10"/>
  <c r="AW36" i="10" s="1"/>
  <c r="AI56" i="10"/>
  <c r="AW56" i="10" s="1"/>
  <c r="AI80" i="10"/>
  <c r="AW80" i="10" s="1"/>
  <c r="AI208" i="10"/>
  <c r="AW208" i="10" s="1"/>
  <c r="AI212" i="10"/>
  <c r="AW212" i="10" s="1"/>
  <c r="AI226" i="10"/>
  <c r="AW226" i="10" s="1"/>
  <c r="AI254" i="10"/>
  <c r="AW254" i="10" s="1"/>
  <c r="AI281" i="10"/>
  <c r="AW281" i="10" s="1"/>
  <c r="AI317" i="10"/>
  <c r="AW317" i="10" s="1"/>
  <c r="AI321" i="10"/>
  <c r="AW321" i="10" s="1"/>
  <c r="AI323" i="10"/>
  <c r="AW323" i="10" s="1"/>
  <c r="AI325" i="10"/>
  <c r="AW325" i="10" s="1"/>
  <c r="AI327" i="10"/>
  <c r="AW327" i="10" s="1"/>
  <c r="AI333" i="10"/>
  <c r="AW333" i="10" s="1"/>
  <c r="AI335" i="10"/>
  <c r="AW335" i="10" s="1"/>
  <c r="AI369" i="10"/>
  <c r="AW369" i="10" s="1"/>
  <c r="AI371" i="10"/>
  <c r="AW371" i="10" s="1"/>
  <c r="AI373" i="10"/>
  <c r="AW373" i="10" s="1"/>
  <c r="AI377" i="10"/>
  <c r="AW377" i="10" s="1"/>
  <c r="AI533" i="10"/>
  <c r="AW533" i="10" s="1"/>
  <c r="AI535" i="10"/>
  <c r="AW535" i="10" s="1"/>
  <c r="AI541" i="10"/>
  <c r="AW541" i="10" s="1"/>
  <c r="AI394" i="10"/>
  <c r="AW394" i="10" s="1"/>
  <c r="AI396" i="10"/>
  <c r="AW396" i="10" s="1"/>
  <c r="AI398" i="10"/>
  <c r="AW398" i="10" s="1"/>
  <c r="AI400" i="10"/>
  <c r="AW400" i="10" s="1"/>
  <c r="AI402" i="10"/>
  <c r="AW402" i="10" s="1"/>
  <c r="AI404" i="10"/>
  <c r="AW404" i="10" s="1"/>
  <c r="AI406" i="10"/>
  <c r="AW406" i="10" s="1"/>
  <c r="AI408" i="10"/>
  <c r="AW408" i="10" s="1"/>
  <c r="AI410" i="10"/>
  <c r="AW410" i="10" s="1"/>
  <c r="AI412" i="10"/>
  <c r="AW412" i="10" s="1"/>
  <c r="AI416" i="10"/>
  <c r="AW416" i="10" s="1"/>
  <c r="AI418" i="10"/>
  <c r="AW418" i="10" s="1"/>
  <c r="AI420" i="10"/>
  <c r="AW420" i="10" s="1"/>
  <c r="AI422" i="10"/>
  <c r="AW422" i="10" s="1"/>
  <c r="AI424" i="10"/>
  <c r="AW424" i="10" s="1"/>
  <c r="AI426" i="10"/>
  <c r="AW426" i="10" s="1"/>
  <c r="AI428" i="10"/>
  <c r="AW428" i="10" s="1"/>
  <c r="AI430" i="10"/>
  <c r="AI432" i="10"/>
  <c r="AW432" i="10" s="1"/>
  <c r="AI434" i="10"/>
  <c r="AW434" i="10" s="1"/>
  <c r="AI436" i="10"/>
  <c r="AI438" i="10"/>
  <c r="AW438" i="10" s="1"/>
  <c r="AI440" i="10"/>
  <c r="AW440" i="10" s="1"/>
  <c r="AI442" i="10"/>
  <c r="AW442" i="10" s="1"/>
  <c r="AI444" i="10"/>
  <c r="AW444" i="10" s="1"/>
  <c r="AI446" i="10"/>
  <c r="AW446" i="10" s="1"/>
  <c r="AI448" i="10"/>
  <c r="AW448" i="10" s="1"/>
  <c r="AI450" i="10"/>
  <c r="AI452" i="10"/>
  <c r="AW452" i="10" s="1"/>
  <c r="AI454" i="10"/>
  <c r="AW454" i="10" s="1"/>
  <c r="AI456" i="10"/>
  <c r="AI458" i="10"/>
  <c r="AW458" i="10" s="1"/>
  <c r="AI460" i="10"/>
  <c r="AW460" i="10" s="1"/>
  <c r="AI462" i="10"/>
  <c r="AI464" i="10"/>
  <c r="AW464" i="10" s="1"/>
  <c r="AI466" i="10"/>
  <c r="AW466" i="10" s="1"/>
  <c r="AI520" i="10"/>
  <c r="AW520" i="10" s="1"/>
  <c r="AI556" i="10"/>
  <c r="AW556" i="10" s="1"/>
  <c r="AI559" i="10"/>
  <c r="AI568" i="10"/>
  <c r="AW568" i="10" s="1"/>
  <c r="AI576" i="10"/>
  <c r="AI59" i="10"/>
  <c r="AW59" i="10" s="1"/>
  <c r="AI77" i="10"/>
  <c r="AI95" i="10"/>
  <c r="AW95" i="10" s="1"/>
  <c r="AI199" i="10"/>
  <c r="AW199" i="10" s="1"/>
  <c r="AI217" i="10"/>
  <c r="AW217" i="10" s="1"/>
  <c r="AI221" i="10"/>
  <c r="AW221" i="10" s="1"/>
  <c r="AI245" i="10"/>
  <c r="AW245" i="10" s="1"/>
  <c r="AI314" i="10"/>
  <c r="AW314" i="10" s="1"/>
  <c r="AI342" i="10"/>
  <c r="AW342" i="10" s="1"/>
  <c r="AI580" i="10"/>
  <c r="AW580" i="10" s="1"/>
  <c r="AI581" i="10"/>
  <c r="AI583" i="10"/>
  <c r="AW583" i="10" s="1"/>
  <c r="AI547" i="10"/>
  <c r="AI11" i="10"/>
  <c r="AW11" i="10" s="1"/>
  <c r="AI27" i="10"/>
  <c r="AW27" i="10" s="1"/>
  <c r="AI47" i="10"/>
  <c r="AI65" i="10"/>
  <c r="AI101" i="10"/>
  <c r="AI299" i="10"/>
  <c r="AI386" i="10"/>
  <c r="AW386" i="10" s="1"/>
  <c r="AI538" i="10"/>
  <c r="AW538" i="10" s="1"/>
  <c r="AI565" i="10"/>
  <c r="AI9" i="10"/>
  <c r="AI17" i="10"/>
  <c r="AI29" i="10"/>
  <c r="AI35" i="10"/>
  <c r="AW35" i="10" s="1"/>
  <c r="AI45" i="10"/>
  <c r="AW45" i="10" s="1"/>
  <c r="AI53" i="10"/>
  <c r="AI63" i="10"/>
  <c r="AI71" i="10"/>
  <c r="AI81" i="10"/>
  <c r="AI83" i="10"/>
  <c r="AW83" i="10" s="1"/>
  <c r="AI89" i="10"/>
  <c r="AW89" i="10" s="1"/>
  <c r="AI99" i="10"/>
  <c r="AI107" i="10"/>
  <c r="AI7" i="10"/>
  <c r="AI19" i="10"/>
  <c r="AI25" i="10"/>
  <c r="AW25" i="10" s="1"/>
  <c r="AI37" i="10"/>
  <c r="AW37" i="10" s="1"/>
  <c r="AI43" i="10"/>
  <c r="AI55" i="10"/>
  <c r="AI61" i="10"/>
  <c r="AI73" i="10"/>
  <c r="AI79" i="10"/>
  <c r="AW79" i="10" s="1"/>
  <c r="AI91" i="10"/>
  <c r="AW91" i="10" s="1"/>
  <c r="AI97" i="10"/>
  <c r="AI109" i="10"/>
  <c r="AI115" i="10"/>
  <c r="AI127" i="10"/>
  <c r="AI133" i="10"/>
  <c r="AW133" i="10" s="1"/>
  <c r="AI145" i="10"/>
  <c r="AW145" i="10" s="1"/>
  <c r="AI151" i="10"/>
  <c r="AI163" i="10"/>
  <c r="AI169" i="10"/>
  <c r="AI181" i="10"/>
  <c r="AI187" i="10"/>
  <c r="AW187" i="10" s="1"/>
  <c r="AI197" i="10"/>
  <c r="AW197" i="10" s="1"/>
  <c r="AI224" i="10"/>
  <c r="AI251" i="10"/>
  <c r="AI255" i="10"/>
  <c r="AI294" i="10"/>
  <c r="AI312" i="10"/>
  <c r="AW312" i="10" s="1"/>
  <c r="AI318" i="10"/>
  <c r="AW318" i="10" s="1"/>
  <c r="AI320" i="10"/>
  <c r="AI326" i="10"/>
  <c r="AI330" i="10"/>
  <c r="AI332" i="10"/>
  <c r="AI403" i="10"/>
  <c r="AW403" i="10" s="1"/>
  <c r="AI409" i="10"/>
  <c r="AW409" i="10" s="1"/>
  <c r="AI415" i="10"/>
  <c r="AI421" i="10"/>
  <c r="AI427" i="10"/>
  <c r="AI433" i="10"/>
  <c r="AI439" i="10"/>
  <c r="AW439" i="10" s="1"/>
  <c r="AI445" i="10"/>
  <c r="AW445" i="10" s="1"/>
  <c r="AI451" i="10"/>
  <c r="AI457" i="10"/>
  <c r="AI463" i="10"/>
  <c r="AI469" i="10"/>
  <c r="AI475" i="10"/>
  <c r="AW475" i="10" s="1"/>
  <c r="AI481" i="10"/>
  <c r="AW481" i="10" s="1"/>
  <c r="AI487" i="10"/>
  <c r="AI491" i="10"/>
  <c r="AI493" i="10"/>
  <c r="AI497" i="10"/>
  <c r="AI499" i="10"/>
  <c r="AW499" i="10" s="1"/>
  <c r="AI503" i="10"/>
  <c r="AW503" i="10" s="1"/>
  <c r="AI505" i="10"/>
  <c r="AI507" i="10"/>
  <c r="AI509" i="10"/>
  <c r="AI511" i="10"/>
  <c r="AI513" i="10"/>
  <c r="AW513" i="10" s="1"/>
  <c r="AI515" i="10"/>
  <c r="AW515" i="10" s="1"/>
  <c r="AI517" i="10"/>
  <c r="AI542" i="10"/>
  <c r="AI544" i="10"/>
  <c r="AI569" i="10"/>
  <c r="AI571" i="10"/>
  <c r="AW571" i="10" s="1"/>
  <c r="AI573" i="10"/>
  <c r="AW573" i="10" s="1"/>
  <c r="AI113" i="10"/>
  <c r="AI131" i="10"/>
  <c r="AI149" i="10"/>
  <c r="AI167" i="10"/>
  <c r="AI185" i="10"/>
  <c r="AW185" i="10" s="1"/>
  <c r="AI209" i="10"/>
  <c r="AW209" i="10" s="1"/>
  <c r="AI236" i="10"/>
  <c r="AI263" i="10"/>
  <c r="AI267" i="10"/>
  <c r="AI269" i="10"/>
  <c r="AI271" i="10"/>
  <c r="AW271" i="10" s="1"/>
  <c r="AI273" i="10"/>
  <c r="AW273" i="10" s="1"/>
  <c r="AI279" i="10"/>
  <c r="AI288" i="10"/>
  <c r="AI359" i="10"/>
  <c r="AI529" i="10"/>
  <c r="AI215" i="10"/>
  <c r="AI242" i="10"/>
  <c r="AW242" i="10" s="1"/>
  <c r="AI246" i="10"/>
  <c r="AI291" i="10"/>
  <c r="AI295" i="10"/>
  <c r="AI348" i="10"/>
  <c r="AI368" i="10"/>
  <c r="AI372" i="10"/>
  <c r="AW372" i="10" s="1"/>
  <c r="AI374" i="10"/>
  <c r="AI376" i="10"/>
  <c r="AI560" i="10"/>
  <c r="AI562" i="10"/>
  <c r="AI564" i="10"/>
  <c r="AW564" i="10" s="1"/>
  <c r="AI10" i="10"/>
  <c r="AW10" i="10" s="1"/>
  <c r="AI16" i="10"/>
  <c r="AI28" i="10"/>
  <c r="AI34" i="10"/>
  <c r="AI106" i="10"/>
  <c r="AI118" i="10"/>
  <c r="AI124" i="10"/>
  <c r="AW124" i="10" s="1"/>
  <c r="AI136" i="10"/>
  <c r="AI142" i="10"/>
  <c r="AI154" i="10"/>
  <c r="AI160" i="10"/>
  <c r="AI172" i="10"/>
  <c r="AI200" i="10"/>
  <c r="AW200" i="10" s="1"/>
  <c r="AI46" i="10"/>
  <c r="AI52" i="10"/>
  <c r="AI64" i="10"/>
  <c r="AI70" i="10"/>
  <c r="AI82" i="10"/>
  <c r="AI88" i="10"/>
  <c r="AW88" i="10" s="1"/>
  <c r="AI100" i="10"/>
  <c r="AI178" i="10"/>
  <c r="AI190" i="10"/>
  <c r="AI14" i="10"/>
  <c r="AI32" i="10"/>
  <c r="AI50" i="10"/>
  <c r="AW50" i="10" s="1"/>
  <c r="AI68" i="10"/>
  <c r="AI86" i="10"/>
  <c r="AI104" i="10"/>
  <c r="AI122" i="10"/>
  <c r="AI140" i="10"/>
  <c r="AI158" i="10"/>
  <c r="AW158" i="10" s="1"/>
  <c r="AI176" i="10"/>
  <c r="AI206" i="10"/>
  <c r="AI233" i="10"/>
  <c r="AW233" i="10" s="1"/>
  <c r="AI260" i="10"/>
  <c r="AI264" i="10"/>
  <c r="AI266" i="10"/>
  <c r="AW266" i="10" s="1"/>
  <c r="AI272" i="10"/>
  <c r="AI278" i="10"/>
  <c r="AI309" i="10"/>
  <c r="AI345" i="10"/>
  <c r="AI349" i="10"/>
  <c r="AI392" i="10"/>
  <c r="AW392" i="10" s="1"/>
  <c r="AI524" i="10"/>
  <c r="AI526" i="10"/>
  <c r="AI551" i="10"/>
  <c r="AI553" i="10"/>
  <c r="AI6" i="10"/>
  <c r="AI15" i="10"/>
  <c r="AW15" i="10" s="1"/>
  <c r="AI22" i="10"/>
  <c r="AI33" i="10"/>
  <c r="AI42" i="10"/>
  <c r="AI49" i="10"/>
  <c r="AI60" i="10"/>
  <c r="AI69" i="10"/>
  <c r="AI87" i="10"/>
  <c r="AI96" i="10"/>
  <c r="AI114" i="10"/>
  <c r="AI123" i="10"/>
  <c r="AI132" i="10"/>
  <c r="AI139" i="10"/>
  <c r="AI150" i="10"/>
  <c r="AI159" i="10"/>
  <c r="AI166" i="10"/>
  <c r="AI177" i="10"/>
  <c r="AI186" i="10"/>
  <c r="AI193" i="10"/>
  <c r="AI195" i="10"/>
  <c r="AI202" i="10"/>
  <c r="AI204" i="10"/>
  <c r="AI211" i="10"/>
  <c r="AI213" i="10"/>
  <c r="AI220" i="10"/>
  <c r="AI222" i="10"/>
  <c r="AI229" i="10"/>
  <c r="AI231" i="10"/>
  <c r="AI238" i="10"/>
  <c r="AI240" i="10"/>
  <c r="AI247" i="10"/>
  <c r="AI249" i="10"/>
  <c r="AI256" i="10"/>
  <c r="AI258" i="10"/>
  <c r="AI282" i="10"/>
  <c r="AI284" i="10"/>
  <c r="AI290" i="10"/>
  <c r="AI297" i="10"/>
  <c r="AI306" i="10"/>
  <c r="AI336" i="10"/>
  <c r="AI338" i="10"/>
  <c r="AI344" i="10"/>
  <c r="AI351" i="10"/>
  <c r="AI353" i="10"/>
  <c r="AI355" i="10"/>
  <c r="AI378" i="10"/>
  <c r="AI380" i="10"/>
  <c r="AI382" i="10"/>
  <c r="AI519" i="10"/>
  <c r="AI528" i="10"/>
  <c r="AI537" i="10"/>
  <c r="AI546" i="10"/>
  <c r="AI555" i="10"/>
  <c r="AI582" i="10"/>
  <c r="AI4" i="10"/>
  <c r="AI13" i="10"/>
  <c r="AI24" i="10"/>
  <c r="AI31" i="10"/>
  <c r="AI40" i="10"/>
  <c r="AI51" i="10"/>
  <c r="AI58" i="10"/>
  <c r="AI67" i="10"/>
  <c r="AI76" i="10"/>
  <c r="AI78" i="10"/>
  <c r="AI85" i="10"/>
  <c r="AI94" i="10"/>
  <c r="AI103" i="10"/>
  <c r="AI105" i="10"/>
  <c r="AI112" i="10"/>
  <c r="AI121" i="10"/>
  <c r="AI130" i="10"/>
  <c r="AI141" i="10"/>
  <c r="AI148" i="10"/>
  <c r="AI157" i="10"/>
  <c r="AI168" i="10"/>
  <c r="AI175" i="10"/>
  <c r="AI184" i="10"/>
  <c r="AI275" i="10"/>
  <c r="AI277" i="10"/>
  <c r="AI303" i="10"/>
  <c r="AI305" i="10"/>
  <c r="AI307" i="10"/>
  <c r="AI329" i="10"/>
  <c r="AI331" i="10"/>
  <c r="AI363" i="10"/>
  <c r="AI365" i="10"/>
  <c r="AI367" i="10"/>
  <c r="AI390" i="10"/>
  <c r="AI521" i="10"/>
  <c r="AI530" i="10"/>
  <c r="AI539" i="10"/>
  <c r="AI548" i="10"/>
  <c r="AW548" i="10" s="1"/>
  <c r="AI557" i="10"/>
  <c r="AW557" i="10" s="1"/>
  <c r="AI566" i="10"/>
  <c r="AI575" i="10"/>
  <c r="AI3" i="10"/>
  <c r="AI21" i="10"/>
  <c r="AI39" i="10"/>
  <c r="AI48" i="10"/>
  <c r="AI66" i="10"/>
  <c r="AI75" i="10"/>
  <c r="AI84" i="10"/>
  <c r="AI102" i="10"/>
  <c r="AI120" i="10"/>
  <c r="AI138" i="10"/>
  <c r="AI156" i="10"/>
  <c r="AI165" i="10"/>
  <c r="AI183" i="10"/>
  <c r="AI201" i="10"/>
  <c r="AI219" i="10"/>
  <c r="AI237" i="10"/>
  <c r="AI468" i="10"/>
  <c r="AI470" i="10"/>
  <c r="AW470" i="10" s="1"/>
  <c r="AI472" i="10"/>
  <c r="AI474" i="10"/>
  <c r="AI476" i="10"/>
  <c r="AI478" i="10"/>
  <c r="AI480" i="10"/>
  <c r="AI482" i="10"/>
  <c r="AW482" i="10" s="1"/>
  <c r="AI484" i="10"/>
  <c r="AI486" i="10"/>
  <c r="AI488" i="10"/>
  <c r="AI490" i="10"/>
  <c r="AI492" i="10"/>
  <c r="AI494" i="10"/>
  <c r="AI496" i="10"/>
  <c r="AW496" i="10" s="1"/>
  <c r="AI498" i="10"/>
  <c r="AI500" i="10"/>
  <c r="AI502" i="10"/>
  <c r="AI504" i="10"/>
  <c r="AI506" i="10"/>
  <c r="AI508" i="10"/>
  <c r="AI510" i="10"/>
  <c r="AW510" i="10" s="1"/>
  <c r="AI512" i="10"/>
  <c r="AI514" i="10"/>
  <c r="AI516" i="10"/>
  <c r="AI525" i="10"/>
  <c r="AI534" i="10"/>
  <c r="AW534" i="10" s="1"/>
  <c r="AI543" i="10"/>
  <c r="AI552" i="10"/>
  <c r="AI561" i="10"/>
  <c r="AI570" i="10"/>
  <c r="AI579" i="10"/>
  <c r="AI12" i="10"/>
  <c r="AI30" i="10"/>
  <c r="AI57" i="10"/>
  <c r="AI93" i="10"/>
  <c r="AI111" i="10"/>
  <c r="AI129" i="10"/>
  <c r="AI147" i="10"/>
  <c r="AI174" i="10"/>
  <c r="AI192" i="10"/>
  <c r="AI210" i="10"/>
  <c r="AI228" i="10"/>
  <c r="AI274" i="10"/>
  <c r="AI285" i="10"/>
  <c r="AI287" i="10"/>
  <c r="AI289" i="10"/>
  <c r="AI311" i="10"/>
  <c r="AI313" i="10"/>
  <c r="AI339" i="10"/>
  <c r="AI341" i="10"/>
  <c r="AI343" i="10"/>
  <c r="AI354" i="10"/>
  <c r="AI356" i="10"/>
  <c r="AI358" i="10"/>
  <c r="AI381" i="10"/>
  <c r="AI383" i="10"/>
  <c r="AI385" i="10"/>
  <c r="AI518" i="10"/>
  <c r="AI527" i="10"/>
  <c r="AI536" i="10"/>
  <c r="AI545" i="10"/>
  <c r="AW545" i="10" s="1"/>
  <c r="AI554" i="10"/>
  <c r="AI563" i="10"/>
  <c r="AI572" i="10"/>
  <c r="AI196" i="10"/>
  <c r="AI198" i="10"/>
  <c r="AI205" i="10"/>
  <c r="AI207" i="10"/>
  <c r="AI214" i="10"/>
  <c r="AI216" i="10"/>
  <c r="AI223" i="10"/>
  <c r="AI225" i="10"/>
  <c r="AI232" i="10"/>
  <c r="AI234" i="10"/>
  <c r="AI241" i="10"/>
  <c r="AI243" i="10"/>
  <c r="AI250" i="10"/>
  <c r="AI252" i="10"/>
  <c r="AI259" i="10"/>
  <c r="AI261" i="10"/>
  <c r="AI270" i="10"/>
  <c r="AI300" i="10"/>
  <c r="AI302" i="10"/>
  <c r="AI308" i="10"/>
  <c r="AI315" i="10"/>
  <c r="AI324" i="10"/>
  <c r="AI360" i="10"/>
  <c r="AI362" i="10"/>
  <c r="AI364" i="10"/>
  <c r="AI387" i="10"/>
  <c r="AI389" i="10"/>
  <c r="AI391" i="10"/>
  <c r="AI522" i="10"/>
  <c r="AW522" i="10" s="1"/>
  <c r="AI531" i="10"/>
  <c r="AI540" i="10"/>
  <c r="AI549" i="10"/>
  <c r="AI558" i="10"/>
  <c r="AI567" i="10"/>
  <c r="AI578" i="10"/>
  <c r="AI265" i="10"/>
  <c r="AI283" i="10"/>
  <c r="AI301" i="10"/>
  <c r="AI319" i="10"/>
  <c r="AI337" i="10"/>
  <c r="AI352" i="10"/>
  <c r="AI361" i="10"/>
  <c r="AI370" i="10"/>
  <c r="AI379" i="10"/>
  <c r="AI388" i="10"/>
  <c r="AI280" i="10"/>
  <c r="AI298" i="10"/>
  <c r="AI316" i="10"/>
  <c r="AI334" i="10"/>
  <c r="AI292" i="10"/>
  <c r="AI310" i="10"/>
  <c r="AI328" i="10"/>
  <c r="AI346" i="10"/>
  <c r="AI268" i="10"/>
  <c r="AI286" i="10"/>
  <c r="AI304" i="10"/>
  <c r="AI322" i="10"/>
  <c r="AI340" i="10"/>
  <c r="AI357" i="10"/>
  <c r="AI366" i="10"/>
  <c r="AI375" i="10"/>
  <c r="AI384" i="10"/>
  <c r="AI393" i="10"/>
  <c r="AI395" i="10"/>
  <c r="AI397" i="10"/>
  <c r="AI399" i="10"/>
  <c r="AI401" i="10"/>
  <c r="AI405" i="10"/>
  <c r="AI407" i="10"/>
  <c r="AI411" i="10"/>
  <c r="AI413" i="10"/>
  <c r="AI417" i="10"/>
  <c r="AI419" i="10"/>
  <c r="AI423" i="10"/>
  <c r="AI425" i="10"/>
  <c r="AI429" i="10"/>
  <c r="AI431" i="10"/>
  <c r="AI435" i="10"/>
  <c r="AI437" i="10"/>
  <c r="AI441" i="10"/>
  <c r="AI443" i="10"/>
  <c r="AI447" i="10"/>
  <c r="AI449" i="10"/>
  <c r="AI453" i="10"/>
  <c r="AI455" i="10"/>
  <c r="AI459" i="10"/>
  <c r="AI461" i="10"/>
  <c r="AI465" i="10"/>
  <c r="AI467" i="10"/>
  <c r="AI471" i="10"/>
  <c r="AI473" i="10"/>
  <c r="AI477" i="10"/>
  <c r="AI479" i="10"/>
  <c r="AI483" i="10"/>
  <c r="AI485" i="10"/>
  <c r="AI489" i="10"/>
  <c r="AI495" i="10"/>
  <c r="AI501" i="10"/>
  <c r="AE50" i="2"/>
  <c r="AE68" i="2"/>
  <c r="AE86" i="2"/>
  <c r="AE104" i="2"/>
  <c r="AE122" i="2"/>
  <c r="AE129" i="2"/>
  <c r="AE138" i="2"/>
  <c r="AE147" i="2"/>
  <c r="AE156" i="2"/>
  <c r="AE165" i="2"/>
  <c r="AE181" i="2"/>
  <c r="AE186" i="2"/>
  <c r="AE193" i="2"/>
  <c r="AE195" i="2"/>
  <c r="AE207" i="2"/>
  <c r="AE235" i="2"/>
  <c r="AE240" i="2"/>
  <c r="AE247" i="2"/>
  <c r="AE249" i="2"/>
  <c r="AE261" i="2"/>
  <c r="AE289" i="2"/>
  <c r="AE294" i="2"/>
  <c r="AE301" i="2"/>
  <c r="AE303" i="2"/>
  <c r="AE315" i="2"/>
  <c r="AE366" i="2"/>
  <c r="AE230" i="2"/>
  <c r="AE237" i="2"/>
  <c r="AE242" i="2"/>
  <c r="AE284" i="2"/>
  <c r="AE291" i="2"/>
  <c r="AE296" i="2"/>
  <c r="AE340" i="2"/>
  <c r="AE171" i="2"/>
  <c r="AE199" i="2"/>
  <c r="AE204" i="2"/>
  <c r="AE225" i="2"/>
  <c r="AE253" i="2"/>
  <c r="AE258" i="2"/>
  <c r="AE279" i="2"/>
  <c r="AE307" i="2"/>
  <c r="AE312" i="2"/>
  <c r="AE53" i="2"/>
  <c r="AE71" i="2"/>
  <c r="AE89" i="2"/>
  <c r="AE107" i="2"/>
  <c r="AE125" i="2"/>
  <c r="AE134" i="2"/>
  <c r="AE143" i="2"/>
  <c r="AE152" i="2"/>
  <c r="AE161" i="2"/>
  <c r="AE170" i="2"/>
  <c r="AE212" i="2"/>
  <c r="AE219" i="2"/>
  <c r="AE224" i="2"/>
  <c r="AE266" i="2"/>
  <c r="AE273" i="2"/>
  <c r="AE278" i="2"/>
  <c r="AE327" i="2"/>
  <c r="AE345" i="2"/>
  <c r="AE174" i="2"/>
  <c r="AE192" i="2"/>
  <c r="AE210" i="2"/>
  <c r="AE228" i="2"/>
  <c r="AE246" i="2"/>
  <c r="AE264" i="2"/>
  <c r="AE282" i="2"/>
  <c r="AE300" i="2"/>
  <c r="AE318" i="2"/>
  <c r="AE338" i="2"/>
  <c r="AE371" i="2"/>
  <c r="AE392" i="2"/>
  <c r="AE425" i="2"/>
  <c r="AE447" i="2"/>
  <c r="AE458" i="2"/>
  <c r="AE460" i="2"/>
  <c r="AE462" i="2"/>
  <c r="AE356" i="2"/>
  <c r="AE389" i="2"/>
  <c r="AE444" i="2"/>
  <c r="AE358" i="2"/>
  <c r="AE412" i="2"/>
  <c r="AE180" i="2"/>
  <c r="AE198" i="2"/>
  <c r="AE216" i="2"/>
  <c r="AE234" i="2"/>
  <c r="AE252" i="2"/>
  <c r="AE270" i="2"/>
  <c r="AE288" i="2"/>
  <c r="AE306" i="2"/>
  <c r="AE324" i="2"/>
  <c r="AE353" i="2"/>
  <c r="AE374" i="2"/>
  <c r="AE407" i="2"/>
  <c r="AE428" i="2"/>
  <c r="AE465" i="2"/>
  <c r="AE480" i="2"/>
  <c r="AE376" i="2"/>
  <c r="AE399" i="2"/>
  <c r="AE430" i="2"/>
  <c r="AE456" i="2"/>
  <c r="AE467" i="2"/>
  <c r="AE341" i="2"/>
  <c r="AE359" i="2"/>
  <c r="AE377" i="2"/>
  <c r="AE395" i="2"/>
  <c r="AE413" i="2"/>
  <c r="AE431" i="2"/>
  <c r="AE443" i="2"/>
  <c r="AE452" i="2"/>
  <c r="AE461" i="2"/>
  <c r="AE470" i="2"/>
  <c r="AE479" i="2"/>
  <c r="AE488" i="2"/>
  <c r="AE485" i="2"/>
  <c r="AE344" i="2"/>
  <c r="AE362" i="2"/>
  <c r="AE380" i="2"/>
  <c r="AE398" i="2"/>
  <c r="AE416" i="2"/>
  <c r="AE434" i="2"/>
  <c r="AE441" i="2"/>
  <c r="AE450" i="2"/>
  <c r="AE459" i="2"/>
  <c r="AE468" i="2"/>
  <c r="AE477" i="2"/>
  <c r="AE486" i="2"/>
  <c r="AE567" i="2"/>
  <c r="AE576" i="2"/>
  <c r="BA532" i="10" l="1"/>
  <c r="BA194" i="10"/>
  <c r="BA523" i="10"/>
  <c r="BA153" i="10"/>
  <c r="BA189" i="10"/>
  <c r="BA574" i="10"/>
  <c r="BA323" i="10"/>
  <c r="BA248" i="10"/>
  <c r="BA137" i="10"/>
  <c r="BA347" i="10"/>
  <c r="BA257" i="10"/>
  <c r="BA414" i="10"/>
  <c r="BA230" i="10"/>
  <c r="BA550" i="10"/>
  <c r="BA239" i="10"/>
  <c r="BA406" i="10"/>
  <c r="BA72" i="10"/>
  <c r="BA371" i="10"/>
  <c r="BA253" i="10"/>
  <c r="BA416" i="10"/>
  <c r="BA434" i="10"/>
  <c r="BA412" i="10"/>
  <c r="BA373" i="10"/>
  <c r="BA333" i="10"/>
  <c r="BA62" i="10"/>
  <c r="BA235" i="10"/>
  <c r="BA244" i="10"/>
  <c r="BA155" i="10"/>
  <c r="BA117" i="10"/>
  <c r="BA92" i="10"/>
  <c r="BA245" i="10"/>
  <c r="BA281" i="10"/>
  <c r="BA179" i="10"/>
  <c r="BA420" i="10"/>
  <c r="BA171" i="10"/>
  <c r="BA428" i="10"/>
  <c r="BA293" i="10"/>
  <c r="BA2" i="10"/>
  <c r="BA452" i="10"/>
  <c r="BA442" i="10"/>
  <c r="BA568" i="10"/>
  <c r="BA458" i="10"/>
  <c r="BA422" i="10"/>
  <c r="BA396" i="10"/>
  <c r="BA74" i="10"/>
  <c r="BA577" i="10"/>
  <c r="BA454" i="10"/>
  <c r="BA400" i="10"/>
  <c r="BA317" i="10"/>
  <c r="BA135" i="10"/>
  <c r="BA161" i="10"/>
  <c r="BA464" i="10"/>
  <c r="BA448" i="10"/>
  <c r="BA440" i="10"/>
  <c r="BA432" i="10"/>
  <c r="BA408" i="10"/>
  <c r="BA394" i="10"/>
  <c r="BA535" i="10"/>
  <c r="BA377" i="10"/>
  <c r="BA325" i="10"/>
  <c r="BA90" i="10"/>
  <c r="BA41" i="10"/>
  <c r="BA296" i="10"/>
  <c r="BA510" i="10"/>
  <c r="BA573" i="10"/>
  <c r="BA503" i="10"/>
  <c r="BA426" i="10"/>
  <c r="BA402" i="10"/>
  <c r="BA481" i="10"/>
  <c r="BA369" i="10"/>
  <c r="BA208" i="10"/>
  <c r="BA191" i="10"/>
  <c r="BA173" i="10"/>
  <c r="BA119" i="10"/>
  <c r="AW443" i="10"/>
  <c r="BA443" i="10"/>
  <c r="AW393" i="10"/>
  <c r="BA393" i="10"/>
  <c r="AW310" i="10"/>
  <c r="BA310" i="10"/>
  <c r="AW319" i="10"/>
  <c r="BA319" i="10"/>
  <c r="AW389" i="10"/>
  <c r="BA389" i="10"/>
  <c r="AW315" i="10"/>
  <c r="BA315" i="10"/>
  <c r="AW232" i="10"/>
  <c r="BA232" i="10"/>
  <c r="AW381" i="10"/>
  <c r="BA381" i="10"/>
  <c r="AW129" i="10"/>
  <c r="BA129" i="10"/>
  <c r="AW506" i="10"/>
  <c r="BA506" i="10"/>
  <c r="AW501" i="10"/>
  <c r="BA501" i="10"/>
  <c r="AW441" i="10"/>
  <c r="BA441" i="10"/>
  <c r="AW405" i="10"/>
  <c r="BA405" i="10"/>
  <c r="AW304" i="10"/>
  <c r="BA304" i="10"/>
  <c r="AW379" i="10"/>
  <c r="BA379" i="10"/>
  <c r="AW387" i="10"/>
  <c r="BA387" i="10"/>
  <c r="AW536" i="10"/>
  <c r="BA536" i="10"/>
  <c r="AW228" i="10"/>
  <c r="BA228" i="10"/>
  <c r="AW516" i="10"/>
  <c r="BA516" i="10"/>
  <c r="AW473" i="10"/>
  <c r="BA473" i="10"/>
  <c r="AW437" i="10"/>
  <c r="BA437" i="10"/>
  <c r="AW375" i="10"/>
  <c r="BA375" i="10"/>
  <c r="AW334" i="10"/>
  <c r="BA334" i="10"/>
  <c r="AW540" i="10"/>
  <c r="BA540" i="10"/>
  <c r="AW250" i="10"/>
  <c r="BA250" i="10"/>
  <c r="AW196" i="10"/>
  <c r="BA196" i="10"/>
  <c r="AW210" i="10"/>
  <c r="BA210" i="10"/>
  <c r="AW478" i="10"/>
  <c r="BA478" i="10"/>
  <c r="AW483" i="10"/>
  <c r="BA483" i="10"/>
  <c r="AW465" i="10"/>
  <c r="BA465" i="10"/>
  <c r="AW447" i="10"/>
  <c r="BA447" i="10"/>
  <c r="AW429" i="10"/>
  <c r="BA429" i="10"/>
  <c r="AW411" i="10"/>
  <c r="BA411" i="10"/>
  <c r="AW395" i="10"/>
  <c r="BA395" i="10"/>
  <c r="AW340" i="10"/>
  <c r="BA340" i="10"/>
  <c r="AW328" i="10"/>
  <c r="BA328" i="10"/>
  <c r="AW280" i="10"/>
  <c r="BA280" i="10"/>
  <c r="AW337" i="10"/>
  <c r="BA337" i="10"/>
  <c r="AW567" i="10"/>
  <c r="BA567" i="10"/>
  <c r="AW391" i="10"/>
  <c r="BA391" i="10"/>
  <c r="AW324" i="10"/>
  <c r="BA324" i="10"/>
  <c r="AW261" i="10"/>
  <c r="BA261" i="10"/>
  <c r="AW234" i="10"/>
  <c r="BA234" i="10"/>
  <c r="AW207" i="10"/>
  <c r="BA207" i="10"/>
  <c r="AW554" i="10"/>
  <c r="BA554" i="10"/>
  <c r="AW383" i="10"/>
  <c r="BA383" i="10"/>
  <c r="AW341" i="10"/>
  <c r="BA341" i="10"/>
  <c r="AW285" i="10"/>
  <c r="BA285" i="10"/>
  <c r="AW147" i="10"/>
  <c r="BA147" i="10"/>
  <c r="AW12" i="10"/>
  <c r="BA12" i="10"/>
  <c r="AW508" i="10"/>
  <c r="BA508" i="10"/>
  <c r="AW484" i="10"/>
  <c r="BA484" i="10"/>
  <c r="AW472" i="10"/>
  <c r="BA472" i="10"/>
  <c r="AW183" i="10"/>
  <c r="BA183" i="10"/>
  <c r="AW84" i="10"/>
  <c r="BA84" i="10"/>
  <c r="AW3" i="10"/>
  <c r="BA3" i="10"/>
  <c r="AW530" i="10"/>
  <c r="BA530" i="10"/>
  <c r="AW331" i="10"/>
  <c r="BA331" i="10"/>
  <c r="AW275" i="10"/>
  <c r="BA275" i="10"/>
  <c r="AW141" i="10"/>
  <c r="BA141" i="10"/>
  <c r="AW94" i="10"/>
  <c r="BA94" i="10"/>
  <c r="AW51" i="10"/>
  <c r="BA51" i="10"/>
  <c r="AW582" i="10"/>
  <c r="BA582" i="10"/>
  <c r="AW382" i="10"/>
  <c r="BA382" i="10"/>
  <c r="AW344" i="10"/>
  <c r="BA344" i="10"/>
  <c r="AW284" i="10"/>
  <c r="BA284" i="10"/>
  <c r="AW240" i="10"/>
  <c r="BA240" i="10"/>
  <c r="AW213" i="10"/>
  <c r="BA213" i="10"/>
  <c r="AW186" i="10"/>
  <c r="BA186" i="10"/>
  <c r="AW132" i="10"/>
  <c r="BA132" i="10"/>
  <c r="AW60" i="10"/>
  <c r="BA60" i="10"/>
  <c r="AW6" i="10"/>
  <c r="BA6" i="10"/>
  <c r="AW349" i="10"/>
  <c r="BA349" i="10"/>
  <c r="AW264" i="10"/>
  <c r="BA264" i="10"/>
  <c r="AW140" i="10"/>
  <c r="BA140" i="10"/>
  <c r="AW32" i="10"/>
  <c r="BA32" i="10"/>
  <c r="AW82" i="10"/>
  <c r="BA82" i="10"/>
  <c r="AW172" i="10"/>
  <c r="BA172" i="10"/>
  <c r="AW118" i="10"/>
  <c r="BA118" i="10"/>
  <c r="AW368" i="10"/>
  <c r="BA368" i="10"/>
  <c r="AW215" i="10"/>
  <c r="BA215" i="10"/>
  <c r="AW461" i="10"/>
  <c r="BA461" i="10"/>
  <c r="AW274" i="10"/>
  <c r="BA274" i="10"/>
  <c r="AW525" i="10"/>
  <c r="BA525" i="10"/>
  <c r="AW165" i="10"/>
  <c r="BA165" i="10"/>
  <c r="AW75" i="10"/>
  <c r="BA75" i="10"/>
  <c r="AW575" i="10"/>
  <c r="BA575" i="10"/>
  <c r="AW521" i="10"/>
  <c r="BA521" i="10"/>
  <c r="AW329" i="10"/>
  <c r="BA329" i="10"/>
  <c r="AW184" i="10"/>
  <c r="BA184" i="10"/>
  <c r="AW130" i="10"/>
  <c r="BA130" i="10"/>
  <c r="AW85" i="10"/>
  <c r="BA85" i="10"/>
  <c r="AW40" i="10"/>
  <c r="BA40" i="10"/>
  <c r="AW555" i="10"/>
  <c r="BA555" i="10"/>
  <c r="AW380" i="10"/>
  <c r="BA380" i="10"/>
  <c r="AW338" i="10"/>
  <c r="BA338" i="10"/>
  <c r="AW282" i="10"/>
  <c r="BA282" i="10"/>
  <c r="AW238" i="10"/>
  <c r="BA238" i="10"/>
  <c r="AW211" i="10"/>
  <c r="BA211" i="10"/>
  <c r="AW177" i="10"/>
  <c r="BA177" i="10"/>
  <c r="AW123" i="10"/>
  <c r="BA123" i="10"/>
  <c r="AW49" i="10"/>
  <c r="BA49" i="10"/>
  <c r="AW553" i="10"/>
  <c r="BA553" i="10"/>
  <c r="AW345" i="10"/>
  <c r="BA345" i="10"/>
  <c r="AW260" i="10"/>
  <c r="BA260" i="10"/>
  <c r="AW122" i="10"/>
  <c r="BA122" i="10"/>
  <c r="AW14" i="10"/>
  <c r="BA14" i="10"/>
  <c r="AW70" i="10"/>
  <c r="BA70" i="10"/>
  <c r="AW160" i="10"/>
  <c r="BA160" i="10"/>
  <c r="AW106" i="10"/>
  <c r="BA106" i="10"/>
  <c r="AW562" i="10"/>
  <c r="BA562" i="10"/>
  <c r="AW348" i="10"/>
  <c r="BA348" i="10"/>
  <c r="AW529" i="10"/>
  <c r="BA529" i="10"/>
  <c r="AW269" i="10"/>
  <c r="BA269" i="10"/>
  <c r="AW167" i="10"/>
  <c r="BA167" i="10"/>
  <c r="AW569" i="10"/>
  <c r="BA569" i="10"/>
  <c r="AW511" i="10"/>
  <c r="BA511" i="10"/>
  <c r="AW497" i="10"/>
  <c r="BA497" i="10"/>
  <c r="AW469" i="10"/>
  <c r="BA469" i="10"/>
  <c r="AW433" i="10"/>
  <c r="BA433" i="10"/>
  <c r="AW332" i="10"/>
  <c r="BA332" i="10"/>
  <c r="AW294" i="10"/>
  <c r="BA294" i="10"/>
  <c r="AW181" i="10"/>
  <c r="BA181" i="10"/>
  <c r="AW127" i="10"/>
  <c r="BA127" i="10"/>
  <c r="AW73" i="10"/>
  <c r="BA73" i="10"/>
  <c r="AW19" i="10"/>
  <c r="BA19" i="10"/>
  <c r="AW81" i="10"/>
  <c r="BA81" i="10"/>
  <c r="AW29" i="10"/>
  <c r="BA29" i="10"/>
  <c r="AW299" i="10"/>
  <c r="BA299" i="10"/>
  <c r="BA557" i="10"/>
  <c r="BA548" i="10"/>
  <c r="BA496" i="10"/>
  <c r="AW462" i="10"/>
  <c r="BA462" i="10"/>
  <c r="AW430" i="10"/>
  <c r="BA430" i="10"/>
  <c r="AW308" i="10"/>
  <c r="BA308" i="10"/>
  <c r="AW358" i="10"/>
  <c r="BA358" i="10"/>
  <c r="AW111" i="10"/>
  <c r="BA111" i="10"/>
  <c r="AW570" i="10"/>
  <c r="BA570" i="10"/>
  <c r="AW492" i="10"/>
  <c r="BA492" i="10"/>
  <c r="AW480" i="10"/>
  <c r="BA480" i="10"/>
  <c r="AW468" i="10"/>
  <c r="BA468" i="10"/>
  <c r="AW156" i="10"/>
  <c r="BA156" i="10"/>
  <c r="AW66" i="10"/>
  <c r="BA66" i="10"/>
  <c r="AW566" i="10"/>
  <c r="BA566" i="10"/>
  <c r="AW390" i="10"/>
  <c r="BA390" i="10"/>
  <c r="AW307" i="10"/>
  <c r="BA307" i="10"/>
  <c r="AW175" i="10"/>
  <c r="BA175" i="10"/>
  <c r="AW121" i="10"/>
  <c r="BA121" i="10"/>
  <c r="AW78" i="10"/>
  <c r="BA78" i="10"/>
  <c r="AW31" i="10"/>
  <c r="BA31" i="10"/>
  <c r="AW546" i="10"/>
  <c r="BA546" i="10"/>
  <c r="AW378" i="10"/>
  <c r="BA378" i="10"/>
  <c r="AW336" i="10"/>
  <c r="BA336" i="10"/>
  <c r="AW258" i="10"/>
  <c r="BA258" i="10"/>
  <c r="AW231" i="10"/>
  <c r="BA231" i="10"/>
  <c r="AW204" i="10"/>
  <c r="BA204" i="10"/>
  <c r="AW166" i="10"/>
  <c r="BA166" i="10"/>
  <c r="AW114" i="10"/>
  <c r="BA114" i="10"/>
  <c r="AW42" i="10"/>
  <c r="BA42" i="10"/>
  <c r="AW551" i="10"/>
  <c r="BA551" i="10"/>
  <c r="AW309" i="10"/>
  <c r="BA309" i="10"/>
  <c r="AW104" i="10"/>
  <c r="BA104" i="10"/>
  <c r="AW190" i="10"/>
  <c r="BA190" i="10"/>
  <c r="AW64" i="10"/>
  <c r="BA64" i="10"/>
  <c r="AW154" i="10"/>
  <c r="BA154" i="10"/>
  <c r="AW34" i="10"/>
  <c r="BA34" i="10"/>
  <c r="AW560" i="10"/>
  <c r="BA560" i="10"/>
  <c r="AW295" i="10"/>
  <c r="BA295" i="10"/>
  <c r="AW359" i="10"/>
  <c r="BA359" i="10"/>
  <c r="AW267" i="10"/>
  <c r="BA267" i="10"/>
  <c r="AW149" i="10"/>
  <c r="BA149" i="10"/>
  <c r="AW544" i="10"/>
  <c r="BA544" i="10"/>
  <c r="AW509" i="10"/>
  <c r="BA509" i="10"/>
  <c r="AW493" i="10"/>
  <c r="BA493" i="10"/>
  <c r="AW463" i="10"/>
  <c r="BA463" i="10"/>
  <c r="AW427" i="10"/>
  <c r="BA427" i="10"/>
  <c r="AW330" i="10"/>
  <c r="BA330" i="10"/>
  <c r="AW255" i="10"/>
  <c r="BA255" i="10"/>
  <c r="AW169" i="10"/>
  <c r="BA169" i="10"/>
  <c r="AW115" i="10"/>
  <c r="BA115" i="10"/>
  <c r="AW61" i="10"/>
  <c r="BA61" i="10"/>
  <c r="AW7" i="10"/>
  <c r="BA7" i="10"/>
  <c r="AW71" i="10"/>
  <c r="BA71" i="10"/>
  <c r="AW17" i="10"/>
  <c r="BA17" i="10"/>
  <c r="AW101" i="10"/>
  <c r="BA101" i="10"/>
  <c r="AW547" i="10"/>
  <c r="BA547" i="10"/>
  <c r="BA564" i="10"/>
  <c r="BA534" i="10"/>
  <c r="BA482" i="10"/>
  <c r="AW436" i="10"/>
  <c r="BA436" i="10"/>
  <c r="AW356" i="10"/>
  <c r="BA356" i="10"/>
  <c r="AW48" i="10"/>
  <c r="BA48" i="10"/>
  <c r="AW76" i="10"/>
  <c r="BA76" i="10"/>
  <c r="AW537" i="10"/>
  <c r="BA537" i="10"/>
  <c r="AW306" i="10"/>
  <c r="BA306" i="10"/>
  <c r="AW256" i="10"/>
  <c r="BA256" i="10"/>
  <c r="AW229" i="10"/>
  <c r="BA229" i="10"/>
  <c r="AW202" i="10"/>
  <c r="BA202" i="10"/>
  <c r="AW159" i="10"/>
  <c r="BA159" i="10"/>
  <c r="AW96" i="10"/>
  <c r="BA96" i="10"/>
  <c r="AW33" i="10"/>
  <c r="BA33" i="10"/>
  <c r="AW526" i="10"/>
  <c r="BA526" i="10"/>
  <c r="AW278" i="10"/>
  <c r="BA278" i="10"/>
  <c r="AW206" i="10"/>
  <c r="BA206" i="10"/>
  <c r="AW86" i="10"/>
  <c r="BA86" i="10"/>
  <c r="AW178" i="10"/>
  <c r="BA178" i="10"/>
  <c r="AW52" i="10"/>
  <c r="BA52" i="10"/>
  <c r="AW142" i="10"/>
  <c r="BA142" i="10"/>
  <c r="AW28" i="10"/>
  <c r="BA28" i="10"/>
  <c r="AW376" i="10"/>
  <c r="BA376" i="10"/>
  <c r="AW291" i="10"/>
  <c r="BA291" i="10"/>
  <c r="AW288" i="10"/>
  <c r="BA288" i="10"/>
  <c r="AW263" i="10"/>
  <c r="BA263" i="10"/>
  <c r="AW131" i="10"/>
  <c r="BA131" i="10"/>
  <c r="AW542" i="10"/>
  <c r="BA542" i="10"/>
  <c r="AW507" i="10"/>
  <c r="BA507" i="10"/>
  <c r="AW491" i="10"/>
  <c r="BA491" i="10"/>
  <c r="AW457" i="10"/>
  <c r="BA457" i="10"/>
  <c r="AW421" i="10"/>
  <c r="BA421" i="10"/>
  <c r="AW326" i="10"/>
  <c r="BA326" i="10"/>
  <c r="AW251" i="10"/>
  <c r="BA251" i="10"/>
  <c r="AW163" i="10"/>
  <c r="BA163" i="10"/>
  <c r="AW109" i="10"/>
  <c r="BA109" i="10"/>
  <c r="AW55" i="10"/>
  <c r="BA55" i="10"/>
  <c r="AW107" i="10"/>
  <c r="BA107" i="10"/>
  <c r="AW63" i="10"/>
  <c r="BA63" i="10"/>
  <c r="AW9" i="10"/>
  <c r="BA9" i="10"/>
  <c r="AW65" i="10"/>
  <c r="BA65" i="10"/>
  <c r="BA545" i="10"/>
  <c r="AW77" i="10"/>
  <c r="BA77" i="10"/>
  <c r="BA470" i="10"/>
  <c r="AW13" i="10"/>
  <c r="BA13" i="10"/>
  <c r="AW374" i="10"/>
  <c r="BA374" i="10"/>
  <c r="AW487" i="10"/>
  <c r="BA487" i="10"/>
  <c r="AW415" i="10"/>
  <c r="BA415" i="10"/>
  <c r="AW224" i="10"/>
  <c r="BA224" i="10"/>
  <c r="AW151" i="10"/>
  <c r="BA151" i="10"/>
  <c r="AW97" i="10"/>
  <c r="BA97" i="10"/>
  <c r="AW43" i="10"/>
  <c r="BA43" i="10"/>
  <c r="AW53" i="10"/>
  <c r="BA53" i="10"/>
  <c r="AW565" i="10"/>
  <c r="BA565" i="10"/>
  <c r="AW47" i="10"/>
  <c r="BA47" i="10"/>
  <c r="BA233" i="10"/>
  <c r="AW559" i="10"/>
  <c r="BA559" i="10"/>
  <c r="BA522" i="10"/>
  <c r="AW450" i="10"/>
  <c r="BA450" i="10"/>
  <c r="AW479" i="10"/>
  <c r="BA479" i="10"/>
  <c r="AW425" i="10"/>
  <c r="BA425" i="10"/>
  <c r="AW407" i="10"/>
  <c r="BA407" i="10"/>
  <c r="AW322" i="10"/>
  <c r="BA322" i="10"/>
  <c r="AW388" i="10"/>
  <c r="BA388" i="10"/>
  <c r="AW558" i="10"/>
  <c r="BA558" i="10"/>
  <c r="AW259" i="10"/>
  <c r="BA259" i="10"/>
  <c r="AW205" i="10"/>
  <c r="BA205" i="10"/>
  <c r="AW339" i="10"/>
  <c r="BA339" i="10"/>
  <c r="AW579" i="10"/>
  <c r="BA579" i="10"/>
  <c r="AW494" i="10"/>
  <c r="BA494" i="10"/>
  <c r="AW477" i="10"/>
  <c r="BA477" i="10"/>
  <c r="AW459" i="10"/>
  <c r="BA459" i="10"/>
  <c r="AW423" i="10"/>
  <c r="BA423" i="10"/>
  <c r="AW384" i="10"/>
  <c r="BA384" i="10"/>
  <c r="AW292" i="10"/>
  <c r="BA292" i="10"/>
  <c r="AW301" i="10"/>
  <c r="BA301" i="10"/>
  <c r="AW549" i="10"/>
  <c r="BA549" i="10"/>
  <c r="AW252" i="10"/>
  <c r="BA252" i="10"/>
  <c r="AW225" i="10"/>
  <c r="BA225" i="10"/>
  <c r="AW198" i="10"/>
  <c r="BA198" i="10"/>
  <c r="AW313" i="10"/>
  <c r="BA313" i="10"/>
  <c r="AW504" i="10"/>
  <c r="BA504" i="10"/>
  <c r="AW495" i="10"/>
  <c r="BA495" i="10"/>
  <c r="AW455" i="10"/>
  <c r="BA455" i="10"/>
  <c r="AW419" i="10"/>
  <c r="BA419" i="10"/>
  <c r="AW401" i="10"/>
  <c r="BA401" i="10"/>
  <c r="AW286" i="10"/>
  <c r="BA286" i="10"/>
  <c r="AW370" i="10"/>
  <c r="BA370" i="10"/>
  <c r="AW283" i="10"/>
  <c r="BA283" i="10"/>
  <c r="AW364" i="10"/>
  <c r="BA364" i="10"/>
  <c r="AW302" i="10"/>
  <c r="BA302" i="10"/>
  <c r="AW223" i="10"/>
  <c r="BA223" i="10"/>
  <c r="AW527" i="10"/>
  <c r="BA527" i="10"/>
  <c r="AW311" i="10"/>
  <c r="BA311" i="10"/>
  <c r="AW93" i="10"/>
  <c r="BA93" i="10"/>
  <c r="AW561" i="10"/>
  <c r="BA561" i="10"/>
  <c r="AW514" i="10"/>
  <c r="BA514" i="10"/>
  <c r="AW502" i="10"/>
  <c r="BA502" i="10"/>
  <c r="AW490" i="10"/>
  <c r="BA490" i="10"/>
  <c r="AW237" i="10"/>
  <c r="BA237" i="10"/>
  <c r="AW138" i="10"/>
  <c r="BA138" i="10"/>
  <c r="AW367" i="10"/>
  <c r="BA367" i="10"/>
  <c r="AW305" i="10"/>
  <c r="BA305" i="10"/>
  <c r="AW168" i="10"/>
  <c r="BA168" i="10"/>
  <c r="AW112" i="10"/>
  <c r="BA112" i="10"/>
  <c r="AW24" i="10"/>
  <c r="BA24" i="10"/>
  <c r="AW355" i="10"/>
  <c r="BA355" i="10"/>
  <c r="AW489" i="10"/>
  <c r="BA489" i="10"/>
  <c r="AW471" i="10"/>
  <c r="BA471" i="10"/>
  <c r="AW453" i="10"/>
  <c r="BA453" i="10"/>
  <c r="AW435" i="10"/>
  <c r="BA435" i="10"/>
  <c r="AW417" i="10"/>
  <c r="BA417" i="10"/>
  <c r="AW399" i="10"/>
  <c r="BA399" i="10"/>
  <c r="AW366" i="10"/>
  <c r="BA366" i="10"/>
  <c r="AW268" i="10"/>
  <c r="BA268" i="10"/>
  <c r="AW316" i="10"/>
  <c r="BA316" i="10"/>
  <c r="AW361" i="10"/>
  <c r="BA361" i="10"/>
  <c r="AW265" i="10"/>
  <c r="BA265" i="10"/>
  <c r="AW531" i="10"/>
  <c r="BA531" i="10"/>
  <c r="AW362" i="10"/>
  <c r="BA362" i="10"/>
  <c r="AW300" i="10"/>
  <c r="BA300" i="10"/>
  <c r="AW243" i="10"/>
  <c r="BA243" i="10"/>
  <c r="AW216" i="10"/>
  <c r="BA216" i="10"/>
  <c r="AW572" i="10"/>
  <c r="BA572" i="10"/>
  <c r="AW518" i="10"/>
  <c r="BA518" i="10"/>
  <c r="AW354" i="10"/>
  <c r="BA354" i="10"/>
  <c r="AW289" i="10"/>
  <c r="BA289" i="10"/>
  <c r="AW192" i="10"/>
  <c r="BA192" i="10"/>
  <c r="AW57" i="10"/>
  <c r="BA57" i="10"/>
  <c r="AW552" i="10"/>
  <c r="BA552" i="10"/>
  <c r="AW512" i="10"/>
  <c r="BA512" i="10"/>
  <c r="AW500" i="10"/>
  <c r="BA500" i="10"/>
  <c r="AW488" i="10"/>
  <c r="BA488" i="10"/>
  <c r="AW476" i="10"/>
  <c r="BA476" i="10"/>
  <c r="AW219" i="10"/>
  <c r="BA219" i="10"/>
  <c r="AW120" i="10"/>
  <c r="BA120" i="10"/>
  <c r="AW39" i="10"/>
  <c r="BA39" i="10"/>
  <c r="AW365" i="10"/>
  <c r="BA365" i="10"/>
  <c r="AW303" i="10"/>
  <c r="BA303" i="10"/>
  <c r="AW157" i="10"/>
  <c r="BA157" i="10"/>
  <c r="AW105" i="10"/>
  <c r="BA105" i="10"/>
  <c r="AW67" i="10"/>
  <c r="BA67" i="10"/>
  <c r="AW528" i="10"/>
  <c r="BA528" i="10"/>
  <c r="AW353" i="10"/>
  <c r="BA353" i="10"/>
  <c r="AW297" i="10"/>
  <c r="BA297" i="10"/>
  <c r="AW249" i="10"/>
  <c r="BA249" i="10"/>
  <c r="AW222" i="10"/>
  <c r="BA222" i="10"/>
  <c r="AW195" i="10"/>
  <c r="BA195" i="10"/>
  <c r="AW150" i="10"/>
  <c r="BA150" i="10"/>
  <c r="AW87" i="10"/>
  <c r="BA87" i="10"/>
  <c r="AW22" i="10"/>
  <c r="BA22" i="10"/>
  <c r="AW524" i="10"/>
  <c r="BA524" i="10"/>
  <c r="AW272" i="10"/>
  <c r="BA272" i="10"/>
  <c r="AW176" i="10"/>
  <c r="BA176" i="10"/>
  <c r="AW68" i="10"/>
  <c r="BA68" i="10"/>
  <c r="AW100" i="10"/>
  <c r="BA100" i="10"/>
  <c r="AW46" i="10"/>
  <c r="BA46" i="10"/>
  <c r="AW136" i="10"/>
  <c r="BA136" i="10"/>
  <c r="AW16" i="10"/>
  <c r="BA16" i="10"/>
  <c r="AW246" i="10"/>
  <c r="BA246" i="10"/>
  <c r="AW279" i="10"/>
  <c r="BA279" i="10"/>
  <c r="AW236" i="10"/>
  <c r="BA236" i="10"/>
  <c r="AW113" i="10"/>
  <c r="BA113" i="10"/>
  <c r="AW517" i="10"/>
  <c r="BA517" i="10"/>
  <c r="AW505" i="10"/>
  <c r="BA505" i="10"/>
  <c r="AW451" i="10"/>
  <c r="BA451" i="10"/>
  <c r="AW320" i="10"/>
  <c r="BA320" i="10"/>
  <c r="AW99" i="10"/>
  <c r="BA99" i="10"/>
  <c r="AW485" i="10"/>
  <c r="BA485" i="10"/>
  <c r="AW467" i="10"/>
  <c r="BA467" i="10"/>
  <c r="AW449" i="10"/>
  <c r="BA449" i="10"/>
  <c r="AW431" i="10"/>
  <c r="BA431" i="10"/>
  <c r="AW413" i="10"/>
  <c r="BA413" i="10"/>
  <c r="AW397" i="10"/>
  <c r="BA397" i="10"/>
  <c r="AW357" i="10"/>
  <c r="BA357" i="10"/>
  <c r="AW346" i="10"/>
  <c r="BA346" i="10"/>
  <c r="AW298" i="10"/>
  <c r="BA298" i="10"/>
  <c r="AW352" i="10"/>
  <c r="BA352" i="10"/>
  <c r="AW578" i="10"/>
  <c r="BA578" i="10"/>
  <c r="AW360" i="10"/>
  <c r="BA360" i="10"/>
  <c r="AW270" i="10"/>
  <c r="BA270" i="10"/>
  <c r="AW241" i="10"/>
  <c r="BA241" i="10"/>
  <c r="AW214" i="10"/>
  <c r="BA214" i="10"/>
  <c r="AW563" i="10"/>
  <c r="BA563" i="10"/>
  <c r="AW385" i="10"/>
  <c r="BA385" i="10"/>
  <c r="AW343" i="10"/>
  <c r="BA343" i="10"/>
  <c r="AW287" i="10"/>
  <c r="BA287" i="10"/>
  <c r="AW174" i="10"/>
  <c r="BA174" i="10"/>
  <c r="AW30" i="10"/>
  <c r="BA30" i="10"/>
  <c r="AW543" i="10"/>
  <c r="BA543" i="10"/>
  <c r="AW498" i="10"/>
  <c r="BA498" i="10"/>
  <c r="AW486" i="10"/>
  <c r="BA486" i="10"/>
  <c r="AW474" i="10"/>
  <c r="BA474" i="10"/>
  <c r="AW201" i="10"/>
  <c r="BA201" i="10"/>
  <c r="AW102" i="10"/>
  <c r="BA102" i="10"/>
  <c r="AW21" i="10"/>
  <c r="BA21" i="10"/>
  <c r="AW539" i="10"/>
  <c r="BA539" i="10"/>
  <c r="AW363" i="10"/>
  <c r="BA363" i="10"/>
  <c r="AW277" i="10"/>
  <c r="BA277" i="10"/>
  <c r="AW148" i="10"/>
  <c r="BA148" i="10"/>
  <c r="AW103" i="10"/>
  <c r="BA103" i="10"/>
  <c r="AW58" i="10"/>
  <c r="BA58" i="10"/>
  <c r="AW4" i="10"/>
  <c r="BA4" i="10"/>
  <c r="AW519" i="10"/>
  <c r="BA519" i="10"/>
  <c r="AW351" i="10"/>
  <c r="BA351" i="10"/>
  <c r="AW290" i="10"/>
  <c r="BA290" i="10"/>
  <c r="AW247" i="10"/>
  <c r="BA247" i="10"/>
  <c r="AW220" i="10"/>
  <c r="BA220" i="10"/>
  <c r="AW193" i="10"/>
  <c r="BA193" i="10"/>
  <c r="AW139" i="10"/>
  <c r="BA139" i="10"/>
  <c r="AW69" i="10"/>
  <c r="BA69" i="10"/>
  <c r="AW581" i="10"/>
  <c r="BA581" i="10"/>
  <c r="AW576" i="10"/>
  <c r="BA576" i="10"/>
  <c r="AW456" i="10"/>
  <c r="BA456" i="10"/>
  <c r="BA556" i="10"/>
  <c r="BA424" i="10"/>
  <c r="BA418" i="10"/>
  <c r="BA410" i="10"/>
  <c r="BA404" i="10"/>
  <c r="BA398" i="10"/>
  <c r="BA541" i="10"/>
  <c r="BA533" i="10"/>
  <c r="BA335" i="10"/>
  <c r="BA327" i="10"/>
  <c r="BA321" i="10"/>
  <c r="BA254" i="10"/>
  <c r="BA80" i="10"/>
  <c r="BA56" i="10"/>
  <c r="BA8" i="10"/>
  <c r="BA218" i="10"/>
  <c r="BA38" i="10"/>
  <c r="BA44" i="10"/>
  <c r="BA209" i="10"/>
  <c r="BA143" i="10"/>
  <c r="BA91" i="10"/>
  <c r="BA5" i="10"/>
  <c r="BA89" i="10"/>
  <c r="BA446" i="10"/>
  <c r="BA350" i="10"/>
  <c r="BA187" i="10"/>
  <c r="BA25" i="10"/>
  <c r="BA242" i="10"/>
  <c r="BA124" i="10"/>
  <c r="BA10" i="10"/>
  <c r="BA83" i="10"/>
  <c r="BA538" i="10"/>
  <c r="BA392" i="10"/>
  <c r="BA314" i="10"/>
  <c r="BA185" i="10"/>
  <c r="BA133" i="10"/>
  <c r="BA79" i="10"/>
  <c r="BA23" i="10"/>
  <c r="BA466" i="10"/>
  <c r="BA460" i="10"/>
  <c r="BA386" i="10"/>
  <c r="BA372" i="10"/>
  <c r="BA571" i="10"/>
  <c r="BA439" i="10"/>
  <c r="BA50" i="10"/>
  <c r="BA226" i="10"/>
  <c r="BA273" i="10"/>
  <c r="BA158" i="10"/>
  <c r="BA35" i="10"/>
  <c r="BA520" i="10"/>
  <c r="BA312" i="10"/>
  <c r="BA266" i="10"/>
  <c r="BA45" i="10"/>
  <c r="BA515" i="10"/>
  <c r="BA475" i="10"/>
  <c r="BA54" i="10"/>
  <c r="BA26" i="10"/>
  <c r="BA403" i="10"/>
  <c r="BA271" i="10"/>
  <c r="BA182" i="10"/>
  <c r="BA164" i="10"/>
  <c r="BA146" i="10"/>
  <c r="BA128" i="10"/>
  <c r="BA110" i="10"/>
  <c r="BA221" i="10"/>
  <c r="BA197" i="10"/>
  <c r="BA27" i="10"/>
  <c r="BA227" i="10"/>
  <c r="BA145" i="10"/>
  <c r="BA276" i="10"/>
  <c r="BA11" i="10"/>
  <c r="BA580" i="10"/>
  <c r="BA513" i="10"/>
  <c r="BA499" i="10"/>
  <c r="BA409" i="10"/>
  <c r="BA583" i="10"/>
  <c r="BA212" i="10"/>
  <c r="BA200" i="10"/>
  <c r="BA88" i="10"/>
  <c r="BA217" i="10"/>
  <c r="BA203" i="10"/>
  <c r="BA262" i="10"/>
  <c r="BA37" i="10"/>
  <c r="BA444" i="10"/>
  <c r="BA438" i="10"/>
  <c r="BA445" i="10"/>
  <c r="BA36" i="10"/>
  <c r="BA20" i="10"/>
  <c r="BA188" i="10"/>
  <c r="BA180" i="10"/>
  <c r="BA170" i="10"/>
  <c r="BA162" i="10"/>
  <c r="BA152" i="10"/>
  <c r="BA144" i="10"/>
  <c r="BA134" i="10"/>
  <c r="BA126" i="10"/>
  <c r="BA116" i="10"/>
  <c r="BA108" i="10"/>
  <c r="BA98" i="10"/>
  <c r="BA18" i="10"/>
  <c r="BA125" i="10"/>
  <c r="BA199" i="10"/>
  <c r="BA95" i="10"/>
  <c r="BA15" i="10"/>
  <c r="BA342" i="10"/>
  <c r="BA318" i="10"/>
  <c r="BA59" i="10"/>
</calcChain>
</file>

<file path=xl/sharedStrings.xml><?xml version="1.0" encoding="utf-8"?>
<sst xmlns="http://schemas.openxmlformats.org/spreadsheetml/2006/main" count="24469" uniqueCount="1906">
  <si>
    <t>Corporate Travel Programme Analytics — Synthetic Dataset</t>
  </si>
  <si>
    <t>Dataset purpose</t>
  </si>
  <si>
    <t>Portfolio project for analysing corporate travel cost, policy compliance, supplier usage, trip changes/cancellations, service performance and traveller experience using Excel, SQL and Power BI/Tableau.</t>
  </si>
  <si>
    <t>Period</t>
  </si>
  <si>
    <t>1 May 2026 – 31 July 2026</t>
  </si>
  <si>
    <t>Travellers</t>
  </si>
  <si>
    <t>Trips</t>
  </si>
  <si>
    <t>Change events</t>
  </si>
  <si>
    <t>Cancellation events</t>
  </si>
  <si>
    <t>Data status</t>
  </si>
  <si>
    <t>100% synthetic. Real supplier brand names are used only to make the fictional scenario easier to understand. Preferred-supplier status and all performance/cost data are fictional.</t>
  </si>
  <si>
    <t>BUSINESS PROBLEM</t>
  </si>
  <si>
    <t>Primary problem</t>
  </si>
  <si>
    <t>Corporate travel programmes can lose money through late booking, off-channel booking, itinerary changes, cancellations and weak preferred-supplier adoption, while service issues can reduce traveller satisfaction.</t>
  </si>
  <si>
    <t>Objective 1</t>
  </si>
  <si>
    <t>Identify where travel spend is concentrated and which booking behaviours are associated with higher cost.</t>
  </si>
  <si>
    <t>Objective 2</t>
  </si>
  <si>
    <t>Measure policy compliance and identify departments, offices or channels with higher non-compliance.</t>
  </si>
  <si>
    <t>Objective 3</t>
  </si>
  <si>
    <t>Assess preferred airline/hotel usage and identify opportunities to consolidate spend.</t>
  </si>
  <si>
    <t>Objective 4</t>
  </si>
  <si>
    <t>Measure the cost impact of itinerary changes and cancellations, including how much cancelled spend is recovered through refunds.</t>
  </si>
  <si>
    <t>Objective 5</t>
  </si>
  <si>
    <t>Compare TMC/OBT service performance against targets and investigate links with traveller satisfaction.</t>
  </si>
  <si>
    <t>Objective 6</t>
  </si>
  <si>
    <t>Quantify travel-related CO2 patterns and identify high-emission routes or travel behaviours.</t>
  </si>
  <si>
    <t>KEY DEFINITIONS</t>
  </si>
  <si>
    <t>One row in Trips</t>
  </si>
  <si>
    <t>One complete business trip from the traveller's home office to a destination and back. departure_date and return_date define the trip period.</t>
  </si>
  <si>
    <t>Trip purpose</t>
  </si>
  <si>
    <t>Reason for travel: Client meeting, Project work, Internal meeting, Training, Conference / Event, Team building, Recruitment / Interview or Other.</t>
  </si>
  <si>
    <t>Booking lead time</t>
  </si>
  <si>
    <t>Days between booking_date and departure_date. In this synthetic scenario, late bookings tend to cost more.</t>
  </si>
  <si>
    <t>Booking channel</t>
  </si>
  <si>
    <t>Online Booking Tool = preferred self-service channel; TMC Assisted = supported by a travel management company; Direct Supplier = booked directly with airline/hotel; Other = non-standard channel.</t>
  </si>
  <si>
    <t>Policy compliant</t>
  </si>
  <si>
    <t>Yes/No indicator showing whether the trip followed the fictional travel policy. Very late and off-channel bookings are more likely to be non-compliant.</t>
  </si>
  <si>
    <t>Changed</t>
  </si>
  <si>
    <t>Yes if at least one detailed event exists in Trip Changes.</t>
  </si>
  <si>
    <t>Cancelled</t>
  </si>
  <si>
    <t>Yes if a detailed cancellation event exists in Trip Cancellations.</t>
  </si>
  <si>
    <t>Change cost</t>
  </si>
  <si>
    <t>Additional cost created by itinerary amendments/rebooking. A trip can have more than one change event.</t>
  </si>
  <si>
    <t>Cancellation fee</t>
  </si>
  <si>
    <t>Fee charged when a trip is cancelled.</t>
  </si>
  <si>
    <t>Refund received</t>
  </si>
  <si>
    <t>Money recovered after cancellation for unused travel/hotel value.</t>
  </si>
  <si>
    <t>Original trip cost</t>
  </si>
  <si>
    <t>Air/rail + hotel + ground transport before any changes, cancellation fees or refunds.</t>
  </si>
  <si>
    <t>Final trip cost</t>
  </si>
  <si>
    <t>Original trip cost + change costs + cancellation fees - refunds received.</t>
  </si>
  <si>
    <t>Preferred supplier</t>
  </si>
  <si>
    <t>Supplier marked as preferred in this fictional travel programme. This does not represent any real company's agreements.</t>
  </si>
  <si>
    <t>SLA</t>
  </si>
  <si>
    <t>Service Level Agreement: agreed service-performance target. Service Performance includes target and actual values.</t>
  </si>
  <si>
    <t>CSAT</t>
  </si>
  <si>
    <t>Customer Satisfaction Score. Question: 'How satisfied were you with your travel experience?'</t>
  </si>
  <si>
    <t>CSAT 1</t>
  </si>
  <si>
    <t>Very dissatisfied</t>
  </si>
  <si>
    <t>CSAT 2</t>
  </si>
  <si>
    <t>Dissatisfied</t>
  </si>
  <si>
    <t>CSAT 3</t>
  </si>
  <si>
    <t>Neutral</t>
  </si>
  <si>
    <t>CSAT 4</t>
  </si>
  <si>
    <t>Satisfied</t>
  </si>
  <si>
    <t>CSAT 5</t>
  </si>
  <si>
    <t>Very satisfied</t>
  </si>
  <si>
    <t>CO2 kg</t>
  </si>
  <si>
    <t>Illustrative estimate only: air = 0.15 kg per passenger-km; rail = 0.04 kg per passenger-km. Not suitable for formal emissions reporting.</t>
  </si>
  <si>
    <t>TABLE GUIDE</t>
  </si>
  <si>
    <t>Fact table: one row per complete business trip. Summary change/cancellation costs are formula-driven from the event tables.</t>
  </si>
  <si>
    <t>Fictional traveller dimension with home office, department and grade.</t>
  </si>
  <si>
    <t>Airlines</t>
  </si>
  <si>
    <t>Airline dimension using real brand names; preferred status is fictional.</t>
  </si>
  <si>
    <t>Hotels</t>
  </si>
  <si>
    <t>Hotel dimension using real brand names; preferred status is fictional.</t>
  </si>
  <si>
    <t>Trip Changes</t>
  </si>
  <si>
    <t>Event table: one row per itinerary-change event. Multiple rows can relate to one trip.</t>
  </si>
  <si>
    <t>Trip Cancellations</t>
  </si>
  <si>
    <t>Event table: one row per cancellation event, including cancellation fee and refund received.</t>
  </si>
  <si>
    <t>Service Performance</t>
  </si>
  <si>
    <t>Monthly fictional target vs actual TMC and online-booking metrics.</t>
  </si>
  <si>
    <t>Traveller Feedback</t>
  </si>
  <si>
    <t>Short post-trip survey linked to Trips by trip_id. Only a minority of travellers submit feedback.</t>
  </si>
  <si>
    <t>Feedback response rate</t>
  </si>
  <si>
    <t>41.1% in this synthetic dataset. This is intentionally below 50% to reflect low survey participation.</t>
  </si>
  <si>
    <t>Overall trip rating</t>
  </si>
  <si>
    <t>Overall satisfaction with the business trip experience.</t>
  </si>
  <si>
    <t>Booking experience rating</t>
  </si>
  <si>
    <t>Satisfaction with the booking process, whether self-booked or assisted.</t>
  </si>
  <si>
    <t>Travel support rating</t>
  </si>
  <si>
    <t>Satisfaction with help and communication from the travel support function/TMC where relevant.</t>
  </si>
  <si>
    <t>Supplier rating</t>
  </si>
  <si>
    <t>Simple overall rating of the main travel supplier experience, such as airline or hotel.</t>
  </si>
  <si>
    <t>Free-text comment</t>
  </si>
  <si>
    <t>Optional short comment. Most respondents leave this blank to keep the survey realistic and lightweight.</t>
  </si>
  <si>
    <t>Feedback scale</t>
  </si>
  <si>
    <t>1 = Very dissatisfied; 2 = Dissatisfied; 3 = Neutral; 4 = Satisfied; 5 = Very satisfied.</t>
  </si>
  <si>
    <t>Important analytical caveat</t>
  </si>
  <si>
    <t>Feedback is not a random census: travellers with very positive or very negative experiences are slightly more likely to respond, creating potential response bias.</t>
  </si>
  <si>
    <t>trip_id</t>
  </si>
  <si>
    <t>employee_id</t>
  </si>
  <si>
    <t>home_office</t>
  </si>
  <si>
    <t>department</t>
  </si>
  <si>
    <t>grade</t>
  </si>
  <si>
    <t>trip_purpose</t>
  </si>
  <si>
    <t>booking_date</t>
  </si>
  <si>
    <t>departure_date</t>
  </si>
  <si>
    <t>return_date</t>
  </si>
  <si>
    <t>travel_month</t>
  </si>
  <si>
    <t>origin</t>
  </si>
  <si>
    <t>destination</t>
  </si>
  <si>
    <t>trip_type</t>
  </si>
  <si>
    <t>travel_mode</t>
  </si>
  <si>
    <t>distance_km</t>
  </si>
  <si>
    <t>booking_lead_days</t>
  </si>
  <si>
    <t>booking_channel</t>
  </si>
  <si>
    <t>airline_id</t>
  </si>
  <si>
    <t>hotel_id</t>
  </si>
  <si>
    <t>airfare_gbp</t>
  </si>
  <si>
    <t>rail_cost_gbp</t>
  </si>
  <si>
    <t>hotel_nights</t>
  </si>
  <si>
    <t>hotel_cost_gbp</t>
  </si>
  <si>
    <t>ground_transport_gbp</t>
  </si>
  <si>
    <t>original_trip_cost_gbp</t>
  </si>
  <si>
    <t>changed</t>
  </si>
  <si>
    <t>cancelled</t>
  </si>
  <si>
    <t>total_change_cost_gbp</t>
  </si>
  <si>
    <t>total_cancellation_fee_gbp</t>
  </si>
  <si>
    <t>refund_received_gbp</t>
  </si>
  <si>
    <t>final_trip_cost_gbp</t>
  </si>
  <si>
    <t>policy_compliant</t>
  </si>
  <si>
    <t>csat_score</t>
  </si>
  <si>
    <t>co2_kg</t>
  </si>
  <si>
    <t>feedback_submitted</t>
  </si>
  <si>
    <t>T00001</t>
  </si>
  <si>
    <t>E0001</t>
  </si>
  <si>
    <t>Aberdeen</t>
  </si>
  <si>
    <t>Technology</t>
  </si>
  <si>
    <t>Senior Manager</t>
  </si>
  <si>
    <t>Client meeting</t>
  </si>
  <si>
    <t>2026-06</t>
  </si>
  <si>
    <t>Manchester</t>
  </si>
  <si>
    <t>Domestic</t>
  </si>
  <si>
    <t>Rail</t>
  </si>
  <si>
    <t>Online Booking Tool</t>
  </si>
  <si>
    <t>H06</t>
  </si>
  <si>
    <t>No</t>
  </si>
  <si>
    <t>Yes</t>
  </si>
  <si>
    <t>T00002</t>
  </si>
  <si>
    <t>2026-07</t>
  </si>
  <si>
    <t>Frankfurt</t>
  </si>
  <si>
    <t>International</t>
  </si>
  <si>
    <t>Air</t>
  </si>
  <si>
    <t>A01</t>
  </si>
  <si>
    <t>H02</t>
  </si>
  <si>
    <t>T00003</t>
  </si>
  <si>
    <t>Internal meeting</t>
  </si>
  <si>
    <t>Milan</t>
  </si>
  <si>
    <t>TMC Assisted</t>
  </si>
  <si>
    <t>A05</t>
  </si>
  <si>
    <t>T00004</t>
  </si>
  <si>
    <t>Project work</t>
  </si>
  <si>
    <t>2026-05</t>
  </si>
  <si>
    <t>H01</t>
  </si>
  <si>
    <t>T00005</t>
  </si>
  <si>
    <t>E0002</t>
  </si>
  <si>
    <t>Reading</t>
  </si>
  <si>
    <t>Audit &amp; Assurance</t>
  </si>
  <si>
    <t>Manager</t>
  </si>
  <si>
    <t>Conference / Event</t>
  </si>
  <si>
    <t>Berlin</t>
  </si>
  <si>
    <t>A04</t>
  </si>
  <si>
    <t>H04</t>
  </si>
  <si>
    <t>T00006</t>
  </si>
  <si>
    <t>Zurich</t>
  </si>
  <si>
    <t>A02</t>
  </si>
  <si>
    <t>T00007</t>
  </si>
  <si>
    <t>Team building</t>
  </si>
  <si>
    <t>Dubai</t>
  </si>
  <si>
    <t>T00008</t>
  </si>
  <si>
    <t>Recruitment / Interview</t>
  </si>
  <si>
    <t>London</t>
  </si>
  <si>
    <t>T00009</t>
  </si>
  <si>
    <t>E0003</t>
  </si>
  <si>
    <t>New York</t>
  </si>
  <si>
    <t>A07</t>
  </si>
  <si>
    <t>H03</t>
  </si>
  <si>
    <t>T00010</t>
  </si>
  <si>
    <t>Training</t>
  </si>
  <si>
    <t>H05</t>
  </si>
  <si>
    <t>T00011</t>
  </si>
  <si>
    <t>E0004</t>
  </si>
  <si>
    <t>Birmingham</t>
  </si>
  <si>
    <t>Corporate Functions</t>
  </si>
  <si>
    <t>H07</t>
  </si>
  <si>
    <t>T00012</t>
  </si>
  <si>
    <t>Chicago</t>
  </si>
  <si>
    <t>T00013</t>
  </si>
  <si>
    <t>Dublin</t>
  </si>
  <si>
    <t>A10</t>
  </si>
  <si>
    <t>T00014</t>
  </si>
  <si>
    <t>E0005</t>
  </si>
  <si>
    <t>Glasgow</t>
  </si>
  <si>
    <t>Risk Advisory</t>
  </si>
  <si>
    <t>Partner</t>
  </si>
  <si>
    <t>T00015</t>
  </si>
  <si>
    <t>Other</t>
  </si>
  <si>
    <t>T00016</t>
  </si>
  <si>
    <t>Munich</t>
  </si>
  <si>
    <t>T00017</t>
  </si>
  <si>
    <t>T00018</t>
  </si>
  <si>
    <t>T00019</t>
  </si>
  <si>
    <t>E0006</t>
  </si>
  <si>
    <t>T00020</t>
  </si>
  <si>
    <t>Copenhagen</t>
  </si>
  <si>
    <t>Direct Supplier</t>
  </si>
  <si>
    <t>T00021</t>
  </si>
  <si>
    <t>T00022</t>
  </si>
  <si>
    <t>E0007</t>
  </si>
  <si>
    <t>Newcastle</t>
  </si>
  <si>
    <t>T00023</t>
  </si>
  <si>
    <t>T00024</t>
  </si>
  <si>
    <t>Hong Kong</t>
  </si>
  <si>
    <t>T00025</t>
  </si>
  <si>
    <t>Amsterdam</t>
  </si>
  <si>
    <t>T00026</t>
  </si>
  <si>
    <t>Brussels</t>
  </si>
  <si>
    <t>T00027</t>
  </si>
  <si>
    <t>E0008</t>
  </si>
  <si>
    <t>Tax &amp; Legal</t>
  </si>
  <si>
    <t>T00028</t>
  </si>
  <si>
    <t>T00029</t>
  </si>
  <si>
    <t>Paris</t>
  </si>
  <si>
    <t>T00030</t>
  </si>
  <si>
    <t>T00031</t>
  </si>
  <si>
    <t>A03</t>
  </si>
  <si>
    <t>T00032</t>
  </si>
  <si>
    <t>E0009</t>
  </si>
  <si>
    <t>T00033</t>
  </si>
  <si>
    <t>Singapore</t>
  </si>
  <si>
    <t>T00034</t>
  </si>
  <si>
    <t>E0010</t>
  </si>
  <si>
    <t>T00035</t>
  </si>
  <si>
    <t>T00036</t>
  </si>
  <si>
    <t>T00037</t>
  </si>
  <si>
    <t>T00038</t>
  </si>
  <si>
    <t>E0011</t>
  </si>
  <si>
    <t>Consulting</t>
  </si>
  <si>
    <t>Analyst</t>
  </si>
  <si>
    <t>T00039</t>
  </si>
  <si>
    <t>T00040</t>
  </si>
  <si>
    <t>T00041</t>
  </si>
  <si>
    <t>E0012</t>
  </si>
  <si>
    <t>T00042</t>
  </si>
  <si>
    <t>T00043</t>
  </si>
  <si>
    <t>E0013</t>
  </si>
  <si>
    <t>Bristol</t>
  </si>
  <si>
    <t>T00044</t>
  </si>
  <si>
    <t>T00045</t>
  </si>
  <si>
    <t>T00046</t>
  </si>
  <si>
    <t>E0014</t>
  </si>
  <si>
    <t>Director</t>
  </si>
  <si>
    <t>T00047</t>
  </si>
  <si>
    <t>Madrid</t>
  </si>
  <si>
    <t>T00048</t>
  </si>
  <si>
    <t>T00049</t>
  </si>
  <si>
    <t>E0015</t>
  </si>
  <si>
    <t>Consultant</t>
  </si>
  <si>
    <t>T00050</t>
  </si>
  <si>
    <t>T00051</t>
  </si>
  <si>
    <t>T00052</t>
  </si>
  <si>
    <t>T00053</t>
  </si>
  <si>
    <t>E0016</t>
  </si>
  <si>
    <t>T00054</t>
  </si>
  <si>
    <t>T00055</t>
  </si>
  <si>
    <t>T00056</t>
  </si>
  <si>
    <t>T00057</t>
  </si>
  <si>
    <t>A09</t>
  </si>
  <si>
    <t>T00058</t>
  </si>
  <si>
    <t>T00059</t>
  </si>
  <si>
    <t>E0017</t>
  </si>
  <si>
    <t>Leeds</t>
  </si>
  <si>
    <t>Boston</t>
  </si>
  <si>
    <t>T00060</t>
  </si>
  <si>
    <t>T00061</t>
  </si>
  <si>
    <t>T00062</t>
  </si>
  <si>
    <t>E0018</t>
  </si>
  <si>
    <t>T00063</t>
  </si>
  <si>
    <t>T00064</t>
  </si>
  <si>
    <t>T00065</t>
  </si>
  <si>
    <t>A06</t>
  </si>
  <si>
    <t>T00066</t>
  </si>
  <si>
    <t>E0019</t>
  </si>
  <si>
    <t>T00067</t>
  </si>
  <si>
    <t>T00068</t>
  </si>
  <si>
    <t>T00069</t>
  </si>
  <si>
    <t>T00070</t>
  </si>
  <si>
    <t>T00071</t>
  </si>
  <si>
    <t>T00072</t>
  </si>
  <si>
    <t>E0020</t>
  </si>
  <si>
    <t>T00073</t>
  </si>
  <si>
    <t>T00074</t>
  </si>
  <si>
    <t>T00075</t>
  </si>
  <si>
    <t>E0021</t>
  </si>
  <si>
    <t>Toronto</t>
  </si>
  <si>
    <t>T00076</t>
  </si>
  <si>
    <t>Edinburgh</t>
  </si>
  <si>
    <t>T00077</t>
  </si>
  <si>
    <t>T00078</t>
  </si>
  <si>
    <t>E0022</t>
  </si>
  <si>
    <t>T00079</t>
  </si>
  <si>
    <t>T00080</t>
  </si>
  <si>
    <t>T00081</t>
  </si>
  <si>
    <t>E0023</t>
  </si>
  <si>
    <t>T00082</t>
  </si>
  <si>
    <t>T00083</t>
  </si>
  <si>
    <t>T00084</t>
  </si>
  <si>
    <t>T00085</t>
  </si>
  <si>
    <t>T00086</t>
  </si>
  <si>
    <t>E0024</t>
  </si>
  <si>
    <t>T00087</t>
  </si>
  <si>
    <t>T00088</t>
  </si>
  <si>
    <t>E0025</t>
  </si>
  <si>
    <t>T00089</t>
  </si>
  <si>
    <t>T00090</t>
  </si>
  <si>
    <t>T00091</t>
  </si>
  <si>
    <t>T00092</t>
  </si>
  <si>
    <t>E0026</t>
  </si>
  <si>
    <t>T00093</t>
  </si>
  <si>
    <t>T00094</t>
  </si>
  <si>
    <t>T00095</t>
  </si>
  <si>
    <t>T00096</t>
  </si>
  <si>
    <t>E0027</t>
  </si>
  <si>
    <t>T00097</t>
  </si>
  <si>
    <t>T00098</t>
  </si>
  <si>
    <t>T00099</t>
  </si>
  <si>
    <t>T00100</t>
  </si>
  <si>
    <t>E0028</t>
  </si>
  <si>
    <t>T00101</t>
  </si>
  <si>
    <t>T00102</t>
  </si>
  <si>
    <t>T00103</t>
  </si>
  <si>
    <t>T00104</t>
  </si>
  <si>
    <t>E0029</t>
  </si>
  <si>
    <t>T00105</t>
  </si>
  <si>
    <t>T00106</t>
  </si>
  <si>
    <t>T00107</t>
  </si>
  <si>
    <t>T00108</t>
  </si>
  <si>
    <t>T00109</t>
  </si>
  <si>
    <t>E0030</t>
  </si>
  <si>
    <t>T00110</t>
  </si>
  <si>
    <t>T00111</t>
  </si>
  <si>
    <t>T00112</t>
  </si>
  <si>
    <t>T00113</t>
  </si>
  <si>
    <t>E0031</t>
  </si>
  <si>
    <t>T00114</t>
  </si>
  <si>
    <t>T00115</t>
  </si>
  <si>
    <t>T00116</t>
  </si>
  <si>
    <t>E0032</t>
  </si>
  <si>
    <t>T00117</t>
  </si>
  <si>
    <t>T00118</t>
  </si>
  <si>
    <t>T00119</t>
  </si>
  <si>
    <t>Stockholm</t>
  </si>
  <si>
    <t>T00120</t>
  </si>
  <si>
    <t>E0033</t>
  </si>
  <si>
    <t>T00121</t>
  </si>
  <si>
    <t>T00122</t>
  </si>
  <si>
    <t>T00123</t>
  </si>
  <si>
    <t>T00124</t>
  </si>
  <si>
    <t>T00125</t>
  </si>
  <si>
    <t>T00126</t>
  </si>
  <si>
    <t>E0034</t>
  </si>
  <si>
    <t>T00127</t>
  </si>
  <si>
    <t>T00128</t>
  </si>
  <si>
    <t>T00129</t>
  </si>
  <si>
    <t>T00130</t>
  </si>
  <si>
    <t>E0035</t>
  </si>
  <si>
    <t>T00131</t>
  </si>
  <si>
    <t>T00132</t>
  </si>
  <si>
    <t>T00133</t>
  </si>
  <si>
    <t>T00134</t>
  </si>
  <si>
    <t>E0036</t>
  </si>
  <si>
    <t>T00135</t>
  </si>
  <si>
    <t>T00136</t>
  </si>
  <si>
    <t>T00137</t>
  </si>
  <si>
    <t>T00138</t>
  </si>
  <si>
    <t>E0037</t>
  </si>
  <si>
    <t>T00139</t>
  </si>
  <si>
    <t>T00140</t>
  </si>
  <si>
    <t>T00141</t>
  </si>
  <si>
    <t>T00142</t>
  </si>
  <si>
    <t>T00143</t>
  </si>
  <si>
    <t>T00144</t>
  </si>
  <si>
    <t>T00145</t>
  </si>
  <si>
    <t>E0038</t>
  </si>
  <si>
    <t>T00146</t>
  </si>
  <si>
    <t>T00147</t>
  </si>
  <si>
    <t>T00148</t>
  </si>
  <si>
    <t>T00149</t>
  </si>
  <si>
    <t>E0039</t>
  </si>
  <si>
    <t>T00150</t>
  </si>
  <si>
    <t>T00151</t>
  </si>
  <si>
    <t>T00152</t>
  </si>
  <si>
    <t>E0040</t>
  </si>
  <si>
    <t>T00153</t>
  </si>
  <si>
    <t>T00154</t>
  </si>
  <si>
    <t>T00155</t>
  </si>
  <si>
    <t>T00156</t>
  </si>
  <si>
    <t>T00157</t>
  </si>
  <si>
    <t>E0041</t>
  </si>
  <si>
    <t>T00158</t>
  </si>
  <si>
    <t>T00159</t>
  </si>
  <si>
    <t>T00160</t>
  </si>
  <si>
    <t>E0042</t>
  </si>
  <si>
    <t>T00161</t>
  </si>
  <si>
    <t>T00162</t>
  </si>
  <si>
    <t>T00163</t>
  </si>
  <si>
    <t>E0043</t>
  </si>
  <si>
    <t>T00164</t>
  </si>
  <si>
    <t>T00165</t>
  </si>
  <si>
    <t>T00166</t>
  </si>
  <si>
    <t>T00167</t>
  </si>
  <si>
    <t>T00168</t>
  </si>
  <si>
    <t>T00169</t>
  </si>
  <si>
    <t>E0044</t>
  </si>
  <si>
    <t>T00170</t>
  </si>
  <si>
    <t>T00171</t>
  </si>
  <si>
    <t>T00172</t>
  </si>
  <si>
    <t>T00173</t>
  </si>
  <si>
    <t>E0045</t>
  </si>
  <si>
    <t>T00174</t>
  </si>
  <si>
    <t>T00175</t>
  </si>
  <si>
    <t>T00176</t>
  </si>
  <si>
    <t>T00177</t>
  </si>
  <si>
    <t>T00178</t>
  </si>
  <si>
    <t>E0046</t>
  </si>
  <si>
    <t>T00179</t>
  </si>
  <si>
    <t>T00180</t>
  </si>
  <si>
    <t>T00181</t>
  </si>
  <si>
    <t>T00182</t>
  </si>
  <si>
    <t>E0047</t>
  </si>
  <si>
    <t>A08</t>
  </si>
  <si>
    <t>T00183</t>
  </si>
  <si>
    <t>T00184</t>
  </si>
  <si>
    <t>E0048</t>
  </si>
  <si>
    <t>T00185</t>
  </si>
  <si>
    <t>T00186</t>
  </si>
  <si>
    <t>T00187</t>
  </si>
  <si>
    <t>E0049</t>
  </si>
  <si>
    <t>T00188</t>
  </si>
  <si>
    <t>T00189</t>
  </si>
  <si>
    <t>T00190</t>
  </si>
  <si>
    <t>E0050</t>
  </si>
  <si>
    <t>T00191</t>
  </si>
  <si>
    <t>T00192</t>
  </si>
  <si>
    <t>T00193</t>
  </si>
  <si>
    <t>T00194</t>
  </si>
  <si>
    <t>E0051</t>
  </si>
  <si>
    <t>T00195</t>
  </si>
  <si>
    <t>T00196</t>
  </si>
  <si>
    <t>T00197</t>
  </si>
  <si>
    <t>T00198</t>
  </si>
  <si>
    <t>E0052</t>
  </si>
  <si>
    <t>T00199</t>
  </si>
  <si>
    <t>T00200</t>
  </si>
  <si>
    <t>T00201</t>
  </si>
  <si>
    <t>E0053</t>
  </si>
  <si>
    <t>T00202</t>
  </si>
  <si>
    <t>T00203</t>
  </si>
  <si>
    <t>T00204</t>
  </si>
  <si>
    <t>T00205</t>
  </si>
  <si>
    <t>T00206</t>
  </si>
  <si>
    <t>T00207</t>
  </si>
  <si>
    <t>T00208</t>
  </si>
  <si>
    <t>E0054</t>
  </si>
  <si>
    <t>T00209</t>
  </si>
  <si>
    <t>T00210</t>
  </si>
  <si>
    <t>T00211</t>
  </si>
  <si>
    <t>T00212</t>
  </si>
  <si>
    <t>T00213</t>
  </si>
  <si>
    <t>T00214</t>
  </si>
  <si>
    <t>E0055</t>
  </si>
  <si>
    <t>T00215</t>
  </si>
  <si>
    <t>T00216</t>
  </si>
  <si>
    <t>T00217</t>
  </si>
  <si>
    <t>T00218</t>
  </si>
  <si>
    <t>T00219</t>
  </si>
  <si>
    <t>E0056</t>
  </si>
  <si>
    <t>T00220</t>
  </si>
  <si>
    <t>T00221</t>
  </si>
  <si>
    <t>T00222</t>
  </si>
  <si>
    <t>T00223</t>
  </si>
  <si>
    <t>T00224</t>
  </si>
  <si>
    <t>E0057</t>
  </si>
  <si>
    <t>T00225</t>
  </si>
  <si>
    <t>T00226</t>
  </si>
  <si>
    <t>T00227</t>
  </si>
  <si>
    <t>T00228</t>
  </si>
  <si>
    <t>T00229</t>
  </si>
  <si>
    <t>E0058</t>
  </si>
  <si>
    <t>T00230</t>
  </si>
  <si>
    <t>T00231</t>
  </si>
  <si>
    <t>T00232</t>
  </si>
  <si>
    <t>T00233</t>
  </si>
  <si>
    <t>E0059</t>
  </si>
  <si>
    <t>T00234</t>
  </si>
  <si>
    <t>T00235</t>
  </si>
  <si>
    <t>T00236</t>
  </si>
  <si>
    <t>E0060</t>
  </si>
  <si>
    <t>T00237</t>
  </si>
  <si>
    <t>T00238</t>
  </si>
  <si>
    <t>E0061</t>
  </si>
  <si>
    <t>T00239</t>
  </si>
  <si>
    <t>T00240</t>
  </si>
  <si>
    <t>T00241</t>
  </si>
  <si>
    <t>E0062</t>
  </si>
  <si>
    <t>T00242</t>
  </si>
  <si>
    <t>T00243</t>
  </si>
  <si>
    <t>E0063</t>
  </si>
  <si>
    <t>T00244</t>
  </si>
  <si>
    <t>T00245</t>
  </si>
  <si>
    <t>T00246</t>
  </si>
  <si>
    <t>T00247</t>
  </si>
  <si>
    <t>T00248</t>
  </si>
  <si>
    <t>T00249</t>
  </si>
  <si>
    <t>E0064</t>
  </si>
  <si>
    <t>T00250</t>
  </si>
  <si>
    <t>T00251</t>
  </si>
  <si>
    <t>T00252</t>
  </si>
  <si>
    <t>T00253</t>
  </si>
  <si>
    <t>E0065</t>
  </si>
  <si>
    <t>T00254</t>
  </si>
  <si>
    <t>T00255</t>
  </si>
  <si>
    <t>T00256</t>
  </si>
  <si>
    <t>T00257</t>
  </si>
  <si>
    <t>E0066</t>
  </si>
  <si>
    <t>T00258</t>
  </si>
  <si>
    <t>T00259</t>
  </si>
  <si>
    <t>T00260</t>
  </si>
  <si>
    <t>T00261</t>
  </si>
  <si>
    <t>T00262</t>
  </si>
  <si>
    <t>T00263</t>
  </si>
  <si>
    <t>T00264</t>
  </si>
  <si>
    <t>E0067</t>
  </si>
  <si>
    <t>T00265</t>
  </si>
  <si>
    <t>T00266</t>
  </si>
  <si>
    <t>T00267</t>
  </si>
  <si>
    <t>T00268</t>
  </si>
  <si>
    <t>T00269</t>
  </si>
  <si>
    <t>T00270</t>
  </si>
  <si>
    <t>E0068</t>
  </si>
  <si>
    <t>T00271</t>
  </si>
  <si>
    <t>T00272</t>
  </si>
  <si>
    <t>T00273</t>
  </si>
  <si>
    <t>T00274</t>
  </si>
  <si>
    <t>T00275</t>
  </si>
  <si>
    <t>E0069</t>
  </si>
  <si>
    <t>T00276</t>
  </si>
  <si>
    <t>T00277</t>
  </si>
  <si>
    <t>E0070</t>
  </si>
  <si>
    <t>T00278</t>
  </si>
  <si>
    <t>E0071</t>
  </si>
  <si>
    <t>T00279</t>
  </si>
  <si>
    <t>T00280</t>
  </si>
  <si>
    <t>E0072</t>
  </si>
  <si>
    <t>T00281</t>
  </si>
  <si>
    <t>T00282</t>
  </si>
  <si>
    <t>T00283</t>
  </si>
  <si>
    <t>T00284</t>
  </si>
  <si>
    <t>E0073</t>
  </si>
  <si>
    <t>T00285</t>
  </si>
  <si>
    <t>T00286</t>
  </si>
  <si>
    <t>T00287</t>
  </si>
  <si>
    <t>T00288</t>
  </si>
  <si>
    <t>E0074</t>
  </si>
  <si>
    <t>T00289</t>
  </si>
  <si>
    <t>E0075</t>
  </si>
  <si>
    <t>T00290</t>
  </si>
  <si>
    <t>T00291</t>
  </si>
  <si>
    <t>T00292</t>
  </si>
  <si>
    <t>E0076</t>
  </si>
  <si>
    <t>T00293</t>
  </si>
  <si>
    <t>T00294</t>
  </si>
  <si>
    <t>T00295</t>
  </si>
  <si>
    <t>T00296</t>
  </si>
  <si>
    <t>T00297</t>
  </si>
  <si>
    <t>E0077</t>
  </si>
  <si>
    <t>T00298</t>
  </si>
  <si>
    <t>T00299</t>
  </si>
  <si>
    <t>T00300</t>
  </si>
  <si>
    <t>T00301</t>
  </si>
  <si>
    <t>E0078</t>
  </si>
  <si>
    <t>T00302</t>
  </si>
  <si>
    <t>T00303</t>
  </si>
  <si>
    <t>T00304</t>
  </si>
  <si>
    <t>T00305</t>
  </si>
  <si>
    <t>T00306</t>
  </si>
  <si>
    <t>E0079</t>
  </si>
  <si>
    <t>T00307</t>
  </si>
  <si>
    <t>T00308</t>
  </si>
  <si>
    <t>E0080</t>
  </si>
  <si>
    <t>Cardiff</t>
  </si>
  <si>
    <t>T00309</t>
  </si>
  <si>
    <t>T00310</t>
  </si>
  <si>
    <t>T00311</t>
  </si>
  <si>
    <t>E0081</t>
  </si>
  <si>
    <t>T00312</t>
  </si>
  <si>
    <t>E0082</t>
  </si>
  <si>
    <t>T00313</t>
  </si>
  <si>
    <t>T00314</t>
  </si>
  <si>
    <t>T00315</t>
  </si>
  <si>
    <t>T00316</t>
  </si>
  <si>
    <t>T00317</t>
  </si>
  <si>
    <t>E0083</t>
  </si>
  <si>
    <t>T00318</t>
  </si>
  <si>
    <t>T00319</t>
  </si>
  <si>
    <t>E0084</t>
  </si>
  <si>
    <t>T00320</t>
  </si>
  <si>
    <t>T00321</t>
  </si>
  <si>
    <t>T00322</t>
  </si>
  <si>
    <t>T00323</t>
  </si>
  <si>
    <t>T00324</t>
  </si>
  <si>
    <t>E0085</t>
  </si>
  <si>
    <t>T00325</t>
  </si>
  <si>
    <t>T00326</t>
  </si>
  <si>
    <t>T00327</t>
  </si>
  <si>
    <t>T00328</t>
  </si>
  <si>
    <t>T00329</t>
  </si>
  <si>
    <t>T00330</t>
  </si>
  <si>
    <t>T00331</t>
  </si>
  <si>
    <t>E0086</t>
  </si>
  <si>
    <t>T00332</t>
  </si>
  <si>
    <t>T00333</t>
  </si>
  <si>
    <t>T00334</t>
  </si>
  <si>
    <t>E0087</t>
  </si>
  <si>
    <t>T00335</t>
  </si>
  <si>
    <t>T00336</t>
  </si>
  <si>
    <t>E0088</t>
  </si>
  <si>
    <t>T00337</t>
  </si>
  <si>
    <t>T00338</t>
  </si>
  <si>
    <t>E0089</t>
  </si>
  <si>
    <t>T00339</t>
  </si>
  <si>
    <t>E0090</t>
  </si>
  <si>
    <t>T00340</t>
  </si>
  <si>
    <t>T00341</t>
  </si>
  <si>
    <t>E0091</t>
  </si>
  <si>
    <t>T00342</t>
  </si>
  <si>
    <t>T00343</t>
  </si>
  <si>
    <t>T00344</t>
  </si>
  <si>
    <t>T00345</t>
  </si>
  <si>
    <t>E0092</t>
  </si>
  <si>
    <t>T00346</t>
  </si>
  <si>
    <t>T00347</t>
  </si>
  <si>
    <t>T00348</t>
  </si>
  <si>
    <t>E0093</t>
  </si>
  <si>
    <t>T00349</t>
  </si>
  <si>
    <t>T00350</t>
  </si>
  <si>
    <t>E0094</t>
  </si>
  <si>
    <t>T00351</t>
  </si>
  <si>
    <t>T00352</t>
  </si>
  <si>
    <t>T00353</t>
  </si>
  <si>
    <t>T00354</t>
  </si>
  <si>
    <t>E0095</t>
  </si>
  <si>
    <t>T00355</t>
  </si>
  <si>
    <t>T00356</t>
  </si>
  <si>
    <t>T00357</t>
  </si>
  <si>
    <t>E0096</t>
  </si>
  <si>
    <t>T00358</t>
  </si>
  <si>
    <t>T00359</t>
  </si>
  <si>
    <t>T00360</t>
  </si>
  <si>
    <t>T00361</t>
  </si>
  <si>
    <t>E0097</t>
  </si>
  <si>
    <t>T00362</t>
  </si>
  <si>
    <t>T00363</t>
  </si>
  <si>
    <t>E0098</t>
  </si>
  <si>
    <t>T00364</t>
  </si>
  <si>
    <t>T00365</t>
  </si>
  <si>
    <t>T00366</t>
  </si>
  <si>
    <t>T00367</t>
  </si>
  <si>
    <t>E0099</t>
  </si>
  <si>
    <t>T00368</t>
  </si>
  <si>
    <t>T00369</t>
  </si>
  <si>
    <t>T00370</t>
  </si>
  <si>
    <t>E0100</t>
  </si>
  <si>
    <t>T00371</t>
  </si>
  <si>
    <t>T00372</t>
  </si>
  <si>
    <t>T00373</t>
  </si>
  <si>
    <t>T00374</t>
  </si>
  <si>
    <t>T00375</t>
  </si>
  <si>
    <t>E0101</t>
  </si>
  <si>
    <t>T00376</t>
  </si>
  <si>
    <t>T00377</t>
  </si>
  <si>
    <t>T00378</t>
  </si>
  <si>
    <t>E0102</t>
  </si>
  <si>
    <t>T00379</t>
  </si>
  <si>
    <t>T00380</t>
  </si>
  <si>
    <t>T00381</t>
  </si>
  <si>
    <t>E0103</t>
  </si>
  <si>
    <t>T00382</t>
  </si>
  <si>
    <t>T00383</t>
  </si>
  <si>
    <t>T00384</t>
  </si>
  <si>
    <t>T00385</t>
  </si>
  <si>
    <t>E0104</t>
  </si>
  <si>
    <t>T00386</t>
  </si>
  <si>
    <t>T00387</t>
  </si>
  <si>
    <t>E0105</t>
  </si>
  <si>
    <t>T00388</t>
  </si>
  <si>
    <t>T00389</t>
  </si>
  <si>
    <t>T00390</t>
  </si>
  <si>
    <t>E0106</t>
  </si>
  <si>
    <t>T00391</t>
  </si>
  <si>
    <t>T00392</t>
  </si>
  <si>
    <t>T00393</t>
  </si>
  <si>
    <t>E0107</t>
  </si>
  <si>
    <t>T00394</t>
  </si>
  <si>
    <t>T00395</t>
  </si>
  <si>
    <t>T00396</t>
  </si>
  <si>
    <t>E0108</t>
  </si>
  <si>
    <t>T00397</t>
  </si>
  <si>
    <t>T00398</t>
  </si>
  <si>
    <t>E0109</t>
  </si>
  <si>
    <t>T00399</t>
  </si>
  <si>
    <t>T00400</t>
  </si>
  <si>
    <t>T00401</t>
  </si>
  <si>
    <t>T00402</t>
  </si>
  <si>
    <t>T00403</t>
  </si>
  <si>
    <t>E0110</t>
  </si>
  <si>
    <t>T00404</t>
  </si>
  <si>
    <t>T00405</t>
  </si>
  <si>
    <t>T00406</t>
  </si>
  <si>
    <t>E0111</t>
  </si>
  <si>
    <t>T00407</t>
  </si>
  <si>
    <t>T00408</t>
  </si>
  <si>
    <t>T00409</t>
  </si>
  <si>
    <t>T00410</t>
  </si>
  <si>
    <t>E0112</t>
  </si>
  <si>
    <t>T00411</t>
  </si>
  <si>
    <t>T00412</t>
  </si>
  <si>
    <t>T00413</t>
  </si>
  <si>
    <t>T00414</t>
  </si>
  <si>
    <t>T00415</t>
  </si>
  <si>
    <t>T00416</t>
  </si>
  <si>
    <t>E0113</t>
  </si>
  <si>
    <t>T00417</t>
  </si>
  <si>
    <t>T00418</t>
  </si>
  <si>
    <t>T00419</t>
  </si>
  <si>
    <t>E0114</t>
  </si>
  <si>
    <t>T00420</t>
  </si>
  <si>
    <t>T00421</t>
  </si>
  <si>
    <t>T00422</t>
  </si>
  <si>
    <t>E0115</t>
  </si>
  <si>
    <t>T00423</t>
  </si>
  <si>
    <t>T00424</t>
  </si>
  <si>
    <t>T00425</t>
  </si>
  <si>
    <t>T00426</t>
  </si>
  <si>
    <t>T00427</t>
  </si>
  <si>
    <t>T00428</t>
  </si>
  <si>
    <t>T00429</t>
  </si>
  <si>
    <t>E0116</t>
  </si>
  <si>
    <t>T00430</t>
  </si>
  <si>
    <t>T00431</t>
  </si>
  <si>
    <t>E0117</t>
  </si>
  <si>
    <t>T00432</t>
  </si>
  <si>
    <t>T00433</t>
  </si>
  <si>
    <t>T00434</t>
  </si>
  <si>
    <t>T00435</t>
  </si>
  <si>
    <t>E0118</t>
  </si>
  <si>
    <t>T00436</t>
  </si>
  <si>
    <t>T00437</t>
  </si>
  <si>
    <t>T00438</t>
  </si>
  <si>
    <t>T00439</t>
  </si>
  <si>
    <t>T00440</t>
  </si>
  <si>
    <t>T00441</t>
  </si>
  <si>
    <t>E0119</t>
  </si>
  <si>
    <t>T00442</t>
  </si>
  <si>
    <t>T00443</t>
  </si>
  <si>
    <t>E0120</t>
  </si>
  <si>
    <t>T00444</t>
  </si>
  <si>
    <t>T00445</t>
  </si>
  <si>
    <t>T00446</t>
  </si>
  <si>
    <t>E0121</t>
  </si>
  <si>
    <t>T00447</t>
  </si>
  <si>
    <t>T00448</t>
  </si>
  <si>
    <t>T00449</t>
  </si>
  <si>
    <t>E0122</t>
  </si>
  <si>
    <t>T00450</t>
  </si>
  <si>
    <t>T00451</t>
  </si>
  <si>
    <t>T00452</t>
  </si>
  <si>
    <t>E0123</t>
  </si>
  <si>
    <t>T00453</t>
  </si>
  <si>
    <t>T00454</t>
  </si>
  <si>
    <t>T00455</t>
  </si>
  <si>
    <t>E0124</t>
  </si>
  <si>
    <t>T00456</t>
  </si>
  <si>
    <t>T00457</t>
  </si>
  <si>
    <t>T00458</t>
  </si>
  <si>
    <t>E0125</t>
  </si>
  <si>
    <t>T00459</t>
  </si>
  <si>
    <t>T00460</t>
  </si>
  <si>
    <t>T00461</t>
  </si>
  <si>
    <t>E0126</t>
  </si>
  <si>
    <t>T00462</t>
  </si>
  <si>
    <t>T00463</t>
  </si>
  <si>
    <t>E0127</t>
  </si>
  <si>
    <t>T00464</t>
  </si>
  <si>
    <t>T00465</t>
  </si>
  <si>
    <t>T00466</t>
  </si>
  <si>
    <t>T00467</t>
  </si>
  <si>
    <t>E0128</t>
  </si>
  <si>
    <t>T00468</t>
  </si>
  <si>
    <t>T00469</t>
  </si>
  <si>
    <t>T00470</t>
  </si>
  <si>
    <t>T00471</t>
  </si>
  <si>
    <t>T00472</t>
  </si>
  <si>
    <t>E0129</t>
  </si>
  <si>
    <t>T00473</t>
  </si>
  <si>
    <t>T00474</t>
  </si>
  <si>
    <t>T00475</t>
  </si>
  <si>
    <t>E0130</t>
  </si>
  <si>
    <t>T00476</t>
  </si>
  <si>
    <t>T00477</t>
  </si>
  <si>
    <t>T00478</t>
  </si>
  <si>
    <t>E0131</t>
  </si>
  <si>
    <t>T00479</t>
  </si>
  <si>
    <t>T00480</t>
  </si>
  <si>
    <t>T00481</t>
  </si>
  <si>
    <t>T00482</t>
  </si>
  <si>
    <t>T00483</t>
  </si>
  <si>
    <t>E0132</t>
  </si>
  <si>
    <t>T00484</t>
  </si>
  <si>
    <t>T00485</t>
  </si>
  <si>
    <t>T00486</t>
  </si>
  <si>
    <t>E0133</t>
  </si>
  <si>
    <t>T00487</t>
  </si>
  <si>
    <t>T00488</t>
  </si>
  <si>
    <t>E0134</t>
  </si>
  <si>
    <t>T00489</t>
  </si>
  <si>
    <t>T00490</t>
  </si>
  <si>
    <t>T00491</t>
  </si>
  <si>
    <t>T00492</t>
  </si>
  <si>
    <t>T00493</t>
  </si>
  <si>
    <t>E0135</t>
  </si>
  <si>
    <t>T00494</t>
  </si>
  <si>
    <t>T00495</t>
  </si>
  <si>
    <t>E0136</t>
  </si>
  <si>
    <t>T00496</t>
  </si>
  <si>
    <t>T00497</t>
  </si>
  <si>
    <t>T00498</t>
  </si>
  <si>
    <t>E0137</t>
  </si>
  <si>
    <t>T00499</t>
  </si>
  <si>
    <t>T00500</t>
  </si>
  <si>
    <t>T00501</t>
  </si>
  <si>
    <t>T00502</t>
  </si>
  <si>
    <t>T00503</t>
  </si>
  <si>
    <t>T00504</t>
  </si>
  <si>
    <t>E0138</t>
  </si>
  <si>
    <t>T00505</t>
  </si>
  <si>
    <t>T00506</t>
  </si>
  <si>
    <t>T00507</t>
  </si>
  <si>
    <t>T00508</t>
  </si>
  <si>
    <t>E0139</t>
  </si>
  <si>
    <t>T00509</t>
  </si>
  <si>
    <t>T00510</t>
  </si>
  <si>
    <t>T00511</t>
  </si>
  <si>
    <t>T00512</t>
  </si>
  <si>
    <t>E0140</t>
  </si>
  <si>
    <t>T00513</t>
  </si>
  <si>
    <t>T00514</t>
  </si>
  <si>
    <t>T00515</t>
  </si>
  <si>
    <t>T00516</t>
  </si>
  <si>
    <t>T00517</t>
  </si>
  <si>
    <t>T00518</t>
  </si>
  <si>
    <t>E0141</t>
  </si>
  <si>
    <t>T00519</t>
  </si>
  <si>
    <t>T00520</t>
  </si>
  <si>
    <t>T00521</t>
  </si>
  <si>
    <t>T00522</t>
  </si>
  <si>
    <t>E0142</t>
  </si>
  <si>
    <t>T00523</t>
  </si>
  <si>
    <t>T00524</t>
  </si>
  <si>
    <t>E0143</t>
  </si>
  <si>
    <t>T00525</t>
  </si>
  <si>
    <t>T00526</t>
  </si>
  <si>
    <t>T00527</t>
  </si>
  <si>
    <t>T00528</t>
  </si>
  <si>
    <t>T00529</t>
  </si>
  <si>
    <t>E0144</t>
  </si>
  <si>
    <t>Belfast</t>
  </si>
  <si>
    <t>T00530</t>
  </si>
  <si>
    <t>T00531</t>
  </si>
  <si>
    <t>E0145</t>
  </si>
  <si>
    <t>T00532</t>
  </si>
  <si>
    <t>T00533</t>
  </si>
  <si>
    <t>T00534</t>
  </si>
  <si>
    <t>E0146</t>
  </si>
  <si>
    <t>T00535</t>
  </si>
  <si>
    <t>E0147</t>
  </si>
  <si>
    <t>T00536</t>
  </si>
  <si>
    <t>T00537</t>
  </si>
  <si>
    <t>E0148</t>
  </si>
  <si>
    <t>T00538</t>
  </si>
  <si>
    <t>E0149</t>
  </si>
  <si>
    <t>T00539</t>
  </si>
  <si>
    <t>T00540</t>
  </si>
  <si>
    <t>T00541</t>
  </si>
  <si>
    <t>T00542</t>
  </si>
  <si>
    <t>E0150</t>
  </si>
  <si>
    <t>T00543</t>
  </si>
  <si>
    <t>T00544</t>
  </si>
  <si>
    <t>T00545</t>
  </si>
  <si>
    <t>E0151</t>
  </si>
  <si>
    <t>T00546</t>
  </si>
  <si>
    <t>T00547</t>
  </si>
  <si>
    <t>T00548</t>
  </si>
  <si>
    <t>T00549</t>
  </si>
  <si>
    <t>T00550</t>
  </si>
  <si>
    <t>T00551</t>
  </si>
  <si>
    <t>E0152</t>
  </si>
  <si>
    <t>T00552</t>
  </si>
  <si>
    <t>T00553</t>
  </si>
  <si>
    <t>T00554</t>
  </si>
  <si>
    <t>E0153</t>
  </si>
  <si>
    <t>T00555</t>
  </si>
  <si>
    <t>E0154</t>
  </si>
  <si>
    <t>T00556</t>
  </si>
  <si>
    <t>T00557</t>
  </si>
  <si>
    <t>E0155</t>
  </si>
  <si>
    <t>T00558</t>
  </si>
  <si>
    <t>T00559</t>
  </si>
  <si>
    <t>T00560</t>
  </si>
  <si>
    <t>T00561</t>
  </si>
  <si>
    <t>T00562</t>
  </si>
  <si>
    <t>T00563</t>
  </si>
  <si>
    <t>E0156</t>
  </si>
  <si>
    <t>T00564</t>
  </si>
  <si>
    <t>T00565</t>
  </si>
  <si>
    <t>T00566</t>
  </si>
  <si>
    <t>T00567</t>
  </si>
  <si>
    <t>T00568</t>
  </si>
  <si>
    <t>T00569</t>
  </si>
  <si>
    <t>E0157</t>
  </si>
  <si>
    <t>T00570</t>
  </si>
  <si>
    <t>T00571</t>
  </si>
  <si>
    <t>T00572</t>
  </si>
  <si>
    <t>T00573</t>
  </si>
  <si>
    <t>E0158</t>
  </si>
  <si>
    <t>T00574</t>
  </si>
  <si>
    <t>T00575</t>
  </si>
  <si>
    <t>E0159</t>
  </si>
  <si>
    <t>T00576</t>
  </si>
  <si>
    <t>E0160</t>
  </si>
  <si>
    <t>T00577</t>
  </si>
  <si>
    <t>T00578</t>
  </si>
  <si>
    <t>T00579</t>
  </si>
  <si>
    <t>T00580</t>
  </si>
  <si>
    <t>T00581</t>
  </si>
  <si>
    <t>T00582</t>
  </si>
  <si>
    <t>traveller_label</t>
  </si>
  <si>
    <t>Traveller 001</t>
  </si>
  <si>
    <t>Traveller 002</t>
  </si>
  <si>
    <t>Traveller 003</t>
  </si>
  <si>
    <t>Traveller 004</t>
  </si>
  <si>
    <t>Traveller 005</t>
  </si>
  <si>
    <t>Traveller 006</t>
  </si>
  <si>
    <t>Traveller 007</t>
  </si>
  <si>
    <t>Traveller 008</t>
  </si>
  <si>
    <t>Traveller 009</t>
  </si>
  <si>
    <t>Traveller 010</t>
  </si>
  <si>
    <t>Traveller 011</t>
  </si>
  <si>
    <t>Traveller 012</t>
  </si>
  <si>
    <t>Traveller 013</t>
  </si>
  <si>
    <t>Traveller 014</t>
  </si>
  <si>
    <t>Traveller 015</t>
  </si>
  <si>
    <t>Traveller 016</t>
  </si>
  <si>
    <t>Traveller 017</t>
  </si>
  <si>
    <t>Traveller 018</t>
  </si>
  <si>
    <t>Traveller 019</t>
  </si>
  <si>
    <t>Traveller 020</t>
  </si>
  <si>
    <t>Traveller 021</t>
  </si>
  <si>
    <t>Traveller 022</t>
  </si>
  <si>
    <t>Traveller 023</t>
  </si>
  <si>
    <t>Traveller 024</t>
  </si>
  <si>
    <t>Traveller 025</t>
  </si>
  <si>
    <t>Traveller 026</t>
  </si>
  <si>
    <t>Traveller 027</t>
  </si>
  <si>
    <t>Traveller 028</t>
  </si>
  <si>
    <t>Traveller 029</t>
  </si>
  <si>
    <t>Traveller 030</t>
  </si>
  <si>
    <t>Traveller 031</t>
  </si>
  <si>
    <t>Traveller 032</t>
  </si>
  <si>
    <t>Traveller 033</t>
  </si>
  <si>
    <t>Traveller 034</t>
  </si>
  <si>
    <t>Traveller 035</t>
  </si>
  <si>
    <t>Traveller 036</t>
  </si>
  <si>
    <t>Traveller 037</t>
  </si>
  <si>
    <t>Traveller 038</t>
  </si>
  <si>
    <t>Traveller 039</t>
  </si>
  <si>
    <t>Traveller 040</t>
  </si>
  <si>
    <t>Traveller 041</t>
  </si>
  <si>
    <t>Traveller 042</t>
  </si>
  <si>
    <t>Traveller 043</t>
  </si>
  <si>
    <t>Traveller 044</t>
  </si>
  <si>
    <t>Traveller 045</t>
  </si>
  <si>
    <t>Traveller 046</t>
  </si>
  <si>
    <t>Traveller 047</t>
  </si>
  <si>
    <t>Traveller 048</t>
  </si>
  <si>
    <t>Traveller 049</t>
  </si>
  <si>
    <t>Traveller 050</t>
  </si>
  <si>
    <t>Traveller 051</t>
  </si>
  <si>
    <t>Traveller 052</t>
  </si>
  <si>
    <t>Traveller 053</t>
  </si>
  <si>
    <t>Traveller 054</t>
  </si>
  <si>
    <t>Traveller 055</t>
  </si>
  <si>
    <t>Traveller 056</t>
  </si>
  <si>
    <t>Traveller 057</t>
  </si>
  <si>
    <t>Traveller 058</t>
  </si>
  <si>
    <t>Traveller 059</t>
  </si>
  <si>
    <t>Traveller 060</t>
  </si>
  <si>
    <t>Traveller 061</t>
  </si>
  <si>
    <t>Traveller 062</t>
  </si>
  <si>
    <t>Traveller 063</t>
  </si>
  <si>
    <t>Traveller 064</t>
  </si>
  <si>
    <t>Traveller 065</t>
  </si>
  <si>
    <t>Traveller 066</t>
  </si>
  <si>
    <t>Traveller 067</t>
  </si>
  <si>
    <t>Traveller 068</t>
  </si>
  <si>
    <t>Traveller 069</t>
  </si>
  <si>
    <t>Traveller 070</t>
  </si>
  <si>
    <t>Traveller 071</t>
  </si>
  <si>
    <t>Traveller 072</t>
  </si>
  <si>
    <t>Traveller 073</t>
  </si>
  <si>
    <t>Traveller 074</t>
  </si>
  <si>
    <t>Traveller 075</t>
  </si>
  <si>
    <t>Traveller 076</t>
  </si>
  <si>
    <t>Traveller 077</t>
  </si>
  <si>
    <t>Traveller 078</t>
  </si>
  <si>
    <t>Traveller 079</t>
  </si>
  <si>
    <t>Traveller 080</t>
  </si>
  <si>
    <t>Traveller 081</t>
  </si>
  <si>
    <t>Traveller 082</t>
  </si>
  <si>
    <t>Traveller 083</t>
  </si>
  <si>
    <t>Traveller 084</t>
  </si>
  <si>
    <t>Traveller 085</t>
  </si>
  <si>
    <t>Traveller 086</t>
  </si>
  <si>
    <t>Traveller 087</t>
  </si>
  <si>
    <t>Traveller 088</t>
  </si>
  <si>
    <t>Traveller 089</t>
  </si>
  <si>
    <t>Traveller 090</t>
  </si>
  <si>
    <t>Traveller 091</t>
  </si>
  <si>
    <t>Traveller 092</t>
  </si>
  <si>
    <t>Traveller 093</t>
  </si>
  <si>
    <t>Traveller 094</t>
  </si>
  <si>
    <t>Traveller 095</t>
  </si>
  <si>
    <t>Traveller 096</t>
  </si>
  <si>
    <t>Traveller 097</t>
  </si>
  <si>
    <t>Traveller 098</t>
  </si>
  <si>
    <t>Traveller 099</t>
  </si>
  <si>
    <t>Traveller 100</t>
  </si>
  <si>
    <t>Traveller 101</t>
  </si>
  <si>
    <t>Traveller 102</t>
  </si>
  <si>
    <t>Traveller 103</t>
  </si>
  <si>
    <t>Traveller 104</t>
  </si>
  <si>
    <t>Traveller 105</t>
  </si>
  <si>
    <t>Traveller 106</t>
  </si>
  <si>
    <t>Traveller 107</t>
  </si>
  <si>
    <t>Traveller 108</t>
  </si>
  <si>
    <t>Traveller 109</t>
  </si>
  <si>
    <t>Traveller 110</t>
  </si>
  <si>
    <t>Traveller 111</t>
  </si>
  <si>
    <t>Traveller 112</t>
  </si>
  <si>
    <t>Traveller 113</t>
  </si>
  <si>
    <t>Traveller 114</t>
  </si>
  <si>
    <t>Traveller 115</t>
  </si>
  <si>
    <t>Traveller 116</t>
  </si>
  <si>
    <t>Traveller 117</t>
  </si>
  <si>
    <t>Traveller 118</t>
  </si>
  <si>
    <t>Traveller 119</t>
  </si>
  <si>
    <t>Traveller 120</t>
  </si>
  <si>
    <t>Traveller 121</t>
  </si>
  <si>
    <t>Traveller 122</t>
  </si>
  <si>
    <t>Traveller 123</t>
  </si>
  <si>
    <t>Traveller 124</t>
  </si>
  <si>
    <t>Traveller 125</t>
  </si>
  <si>
    <t>Traveller 126</t>
  </si>
  <si>
    <t>Traveller 127</t>
  </si>
  <si>
    <t>Traveller 128</t>
  </si>
  <si>
    <t>Traveller 129</t>
  </si>
  <si>
    <t>Traveller 130</t>
  </si>
  <si>
    <t>Traveller 131</t>
  </si>
  <si>
    <t>Traveller 132</t>
  </si>
  <si>
    <t>Traveller 133</t>
  </si>
  <si>
    <t>Traveller 134</t>
  </si>
  <si>
    <t>Traveller 135</t>
  </si>
  <si>
    <t>Traveller 136</t>
  </si>
  <si>
    <t>Traveller 137</t>
  </si>
  <si>
    <t>Traveller 138</t>
  </si>
  <si>
    <t>Traveller 139</t>
  </si>
  <si>
    <t>Traveller 140</t>
  </si>
  <si>
    <t>Traveller 141</t>
  </si>
  <si>
    <t>Traveller 142</t>
  </si>
  <si>
    <t>Traveller 143</t>
  </si>
  <si>
    <t>Traveller 144</t>
  </si>
  <si>
    <t>Traveller 145</t>
  </si>
  <si>
    <t>Traveller 146</t>
  </si>
  <si>
    <t>Traveller 147</t>
  </si>
  <si>
    <t>Traveller 148</t>
  </si>
  <si>
    <t>Traveller 149</t>
  </si>
  <si>
    <t>Traveller 150</t>
  </si>
  <si>
    <t>Traveller 151</t>
  </si>
  <si>
    <t>Traveller 152</t>
  </si>
  <si>
    <t>Traveller 153</t>
  </si>
  <si>
    <t>Traveller 154</t>
  </si>
  <si>
    <t>Traveller 155</t>
  </si>
  <si>
    <t>Traveller 156</t>
  </si>
  <si>
    <t>Traveller 157</t>
  </si>
  <si>
    <t>Traveller 158</t>
  </si>
  <si>
    <t>Traveller 159</t>
  </si>
  <si>
    <t>Traveller 160</t>
  </si>
  <si>
    <t>airline_name</t>
  </si>
  <si>
    <t>preferred_supplier</t>
  </si>
  <si>
    <t>supplier_type</t>
  </si>
  <si>
    <t>British Airways</t>
  </si>
  <si>
    <t>Full-service</t>
  </si>
  <si>
    <t>easyJet</t>
  </si>
  <si>
    <t>Low-cost</t>
  </si>
  <si>
    <t>KLM</t>
  </si>
  <si>
    <t>Lufthansa</t>
  </si>
  <si>
    <t>Air France</t>
  </si>
  <si>
    <t>Ryanair</t>
  </si>
  <si>
    <t>Virgin Atlantic</t>
  </si>
  <si>
    <t>Emirates</t>
  </si>
  <si>
    <t>United Airlines</t>
  </si>
  <si>
    <t>Aer Lingus</t>
  </si>
  <si>
    <t>hotel_group</t>
  </si>
  <si>
    <t>Marriott</t>
  </si>
  <si>
    <t>Hilton</t>
  </si>
  <si>
    <t>IHG Hotels &amp; Resorts</t>
  </si>
  <si>
    <t>Accor</t>
  </si>
  <si>
    <t>Radisson Hotel Group</t>
  </si>
  <si>
    <t>Premier Inn</t>
  </si>
  <si>
    <t>Travelodge</t>
  </si>
  <si>
    <t>change_id</t>
  </si>
  <si>
    <t>change_date</t>
  </si>
  <si>
    <t>change_type</t>
  </si>
  <si>
    <t>change_cost_gbp</t>
  </si>
  <si>
    <t>change_reason</t>
  </si>
  <si>
    <t>CH00001</t>
  </si>
  <si>
    <t>Flight rebooking</t>
  </si>
  <si>
    <t>Operational disruption</t>
  </si>
  <si>
    <t>CH00002</t>
  </si>
  <si>
    <t>Traveller request</t>
  </si>
  <si>
    <t>CH00003</t>
  </si>
  <si>
    <t>Date change</t>
  </si>
  <si>
    <t>Personal reason</t>
  </si>
  <si>
    <t>CH00004</t>
  </si>
  <si>
    <t>Hotel amendment</t>
  </si>
  <si>
    <t>Client schedule change</t>
  </si>
  <si>
    <t>CH00005</t>
  </si>
  <si>
    <t>Rail rebooking</t>
  </si>
  <si>
    <t>CH00006</t>
  </si>
  <si>
    <t>Project schedule change</t>
  </si>
  <si>
    <t>CH00007</t>
  </si>
  <si>
    <t>CH00008</t>
  </si>
  <si>
    <t>CH00009</t>
  </si>
  <si>
    <t>CH00010</t>
  </si>
  <si>
    <t>CH00011</t>
  </si>
  <si>
    <t>CH00012</t>
  </si>
  <si>
    <t>CH00013</t>
  </si>
  <si>
    <t>CH00014</t>
  </si>
  <si>
    <t>CH00015</t>
  </si>
  <si>
    <t>CH00016</t>
  </si>
  <si>
    <t>CH00017</t>
  </si>
  <si>
    <t>CH00018</t>
  </si>
  <si>
    <t>CH00019</t>
  </si>
  <si>
    <t>Traveller name/detail correction</t>
  </si>
  <si>
    <t>CH00020</t>
  </si>
  <si>
    <t>CH00021</t>
  </si>
  <si>
    <t>CH00022</t>
  </si>
  <si>
    <t>CH00023</t>
  </si>
  <si>
    <t>CH00024</t>
  </si>
  <si>
    <t>CH00025</t>
  </si>
  <si>
    <t>CH00026</t>
  </si>
  <si>
    <t>CH00027</t>
  </si>
  <si>
    <t>CH00028</t>
  </si>
  <si>
    <t>CH00029</t>
  </si>
  <si>
    <t>CH00030</t>
  </si>
  <si>
    <t>CH00031</t>
  </si>
  <si>
    <t>CH00032</t>
  </si>
  <si>
    <t>CH00033</t>
  </si>
  <si>
    <t>CH00034</t>
  </si>
  <si>
    <t>CH00035</t>
  </si>
  <si>
    <t>CH00036</t>
  </si>
  <si>
    <t>CH00037</t>
  </si>
  <si>
    <t>CH00038</t>
  </si>
  <si>
    <t>CH00039</t>
  </si>
  <si>
    <t>CH00040</t>
  </si>
  <si>
    <t>CH00041</t>
  </si>
  <si>
    <t>CH00042</t>
  </si>
  <si>
    <t>CH00043</t>
  </si>
  <si>
    <t>CH00044</t>
  </si>
  <si>
    <t>CH00045</t>
  </si>
  <si>
    <t>CH00046</t>
  </si>
  <si>
    <t>CH00047</t>
  </si>
  <si>
    <t>CH00048</t>
  </si>
  <si>
    <t>CH00049</t>
  </si>
  <si>
    <t>CH00050</t>
  </si>
  <si>
    <t>CH00051</t>
  </si>
  <si>
    <t>CH00052</t>
  </si>
  <si>
    <t>CH00053</t>
  </si>
  <si>
    <t>CH00054</t>
  </si>
  <si>
    <t>CH00055</t>
  </si>
  <si>
    <t>CH00056</t>
  </si>
  <si>
    <t>CH00057</t>
  </si>
  <si>
    <t>CH00058</t>
  </si>
  <si>
    <t>CH00059</t>
  </si>
  <si>
    <t>CH00060</t>
  </si>
  <si>
    <t>CH00061</t>
  </si>
  <si>
    <t>CH00062</t>
  </si>
  <si>
    <t>CH00063</t>
  </si>
  <si>
    <t>CH00064</t>
  </si>
  <si>
    <t>CH00065</t>
  </si>
  <si>
    <t>CH00066</t>
  </si>
  <si>
    <t>CH00067</t>
  </si>
  <si>
    <t>CH00068</t>
  </si>
  <si>
    <t>CH00069</t>
  </si>
  <si>
    <t>CH00070</t>
  </si>
  <si>
    <t>CH00071</t>
  </si>
  <si>
    <t>CH00072</t>
  </si>
  <si>
    <t>CH00073</t>
  </si>
  <si>
    <t>CH00074</t>
  </si>
  <si>
    <t>CH00075</t>
  </si>
  <si>
    <t>CH00076</t>
  </si>
  <si>
    <t>CH00077</t>
  </si>
  <si>
    <t>CH00078</t>
  </si>
  <si>
    <t>CH00079</t>
  </si>
  <si>
    <t>CH00080</t>
  </si>
  <si>
    <t>CH00081</t>
  </si>
  <si>
    <t>CH00082</t>
  </si>
  <si>
    <t>CH00083</t>
  </si>
  <si>
    <t>CH00084</t>
  </si>
  <si>
    <t>CH00085</t>
  </si>
  <si>
    <t>CH00086</t>
  </si>
  <si>
    <t>CH00087</t>
  </si>
  <si>
    <t>CH00088</t>
  </si>
  <si>
    <t>CH00089</t>
  </si>
  <si>
    <t>CH00090</t>
  </si>
  <si>
    <t>CH00091</t>
  </si>
  <si>
    <t>CH00092</t>
  </si>
  <si>
    <t>CH00093</t>
  </si>
  <si>
    <t>CH00094</t>
  </si>
  <si>
    <t>CH00095</t>
  </si>
  <si>
    <t>CH00096</t>
  </si>
  <si>
    <t>CH00097</t>
  </si>
  <si>
    <t>CH00098</t>
  </si>
  <si>
    <t>CH00099</t>
  </si>
  <si>
    <t>CH00100</t>
  </si>
  <si>
    <t>cancellation_id</t>
  </si>
  <si>
    <t>cancellation_date</t>
  </si>
  <si>
    <t>cancellation_reason</t>
  </si>
  <si>
    <t>cancellation_fee_gbp</t>
  </si>
  <si>
    <t>CN00001</t>
  </si>
  <si>
    <t>Project schedule changed</t>
  </si>
  <si>
    <t>CN00002</t>
  </si>
  <si>
    <t>Client meeting cancelled</t>
  </si>
  <si>
    <t>CN00003</t>
  </si>
  <si>
    <t>CN00004</t>
  </si>
  <si>
    <t>CN00005</t>
  </si>
  <si>
    <t>CN00006</t>
  </si>
  <si>
    <t>Business priority changed</t>
  </si>
  <si>
    <t>CN00007</t>
  </si>
  <si>
    <t>CN00008</t>
  </si>
  <si>
    <t>Event cancelled</t>
  </si>
  <si>
    <t>CN00009</t>
  </si>
  <si>
    <t>Travel restriction</t>
  </si>
  <si>
    <t>CN00010</t>
  </si>
  <si>
    <t>CN00011</t>
  </si>
  <si>
    <t>CN00012</t>
  </si>
  <si>
    <t>CN00013</t>
  </si>
  <si>
    <t>CN00014</t>
  </si>
  <si>
    <t>CN00015</t>
  </si>
  <si>
    <t>Traveller illness</t>
  </si>
  <si>
    <t>CN00016</t>
  </si>
  <si>
    <t>CN00017</t>
  </si>
  <si>
    <t>CN00018</t>
  </si>
  <si>
    <t>CN00019</t>
  </si>
  <si>
    <t>CN00020</t>
  </si>
  <si>
    <t>CN00021</t>
  </si>
  <si>
    <t>CN00022</t>
  </si>
  <si>
    <t>CN00023</t>
  </si>
  <si>
    <t>CN00024</t>
  </si>
  <si>
    <t>CN00025</t>
  </si>
  <si>
    <t>CN00026</t>
  </si>
  <si>
    <t>CN00027</t>
  </si>
  <si>
    <t>CN00028</t>
  </si>
  <si>
    <t>CN00029</t>
  </si>
  <si>
    <t>CN00030</t>
  </si>
  <si>
    <t>CN00031</t>
  </si>
  <si>
    <t>CN00032</t>
  </si>
  <si>
    <t>CN00033</t>
  </si>
  <si>
    <t>CN00034</t>
  </si>
  <si>
    <t>CN00035</t>
  </si>
  <si>
    <t>CN00036</t>
  </si>
  <si>
    <t>Travel Management Company</t>
  </si>
  <si>
    <t>SLA achievement</t>
  </si>
  <si>
    <t>Percent</t>
  </si>
  <si>
    <t>Share of service requests handled within the agreed SLA.</t>
  </si>
  <si>
    <t>Score 1–5</t>
  </si>
  <si>
    <t>Average satisfaction with TMC-assisted service.</t>
  </si>
  <si>
    <t>System availability</t>
  </si>
  <si>
    <t>Percentage of time the booking tool was available.</t>
  </si>
  <si>
    <t>Adoption</t>
  </si>
  <si>
    <t>Share of eligible bookings completed through the preferred online channel.</t>
  </si>
  <si>
    <t>feedback_id</t>
  </si>
  <si>
    <t>feedback_date</t>
  </si>
  <si>
    <t>overall_trip_rating</t>
  </si>
  <si>
    <t>booking_experience_rating</t>
  </si>
  <si>
    <t>travel_support_rating</t>
  </si>
  <si>
    <t>supplier_rating</t>
  </si>
  <si>
    <t>free_text_comment</t>
  </si>
  <si>
    <t>FB00001</t>
  </si>
  <si>
    <t>FB00002</t>
  </si>
  <si>
    <t>FB00003</t>
  </si>
  <si>
    <t>FB00004</t>
  </si>
  <si>
    <t>FB00005</t>
  </si>
  <si>
    <t>Travel support was helpful and responsive.</t>
  </si>
  <si>
    <t>FB00006</t>
  </si>
  <si>
    <t>FB00007</t>
  </si>
  <si>
    <t>FB00008</t>
  </si>
  <si>
    <t>FB00009</t>
  </si>
  <si>
    <t>No major issues, but communication could be clearer.</t>
  </si>
  <si>
    <t>FB00010</t>
  </si>
  <si>
    <t>FB00011</t>
  </si>
  <si>
    <t>Booking was quick and straightforward.</t>
  </si>
  <si>
    <t>FB00012</t>
  </si>
  <si>
    <t>FB00013</t>
  </si>
  <si>
    <t>Overall fine, but there is room for improvement.</t>
  </si>
  <si>
    <t>FB00014</t>
  </si>
  <si>
    <t>FB00015</t>
  </si>
  <si>
    <t>FB00016</t>
  </si>
  <si>
    <t>FB00017</t>
  </si>
  <si>
    <t>FB00018</t>
  </si>
  <si>
    <t>FB00019</t>
  </si>
  <si>
    <t>FB00020</t>
  </si>
  <si>
    <t>FB00021</t>
  </si>
  <si>
    <t>The trip was well organised.</t>
  </si>
  <si>
    <t>FB00022</t>
  </si>
  <si>
    <t>FB00023</t>
  </si>
  <si>
    <t>FB00024</t>
  </si>
  <si>
    <t>The booking process was easy to use.</t>
  </si>
  <si>
    <t>FB00025</t>
  </si>
  <si>
    <t>FB00026</t>
  </si>
  <si>
    <t>FB00027</t>
  </si>
  <si>
    <t>FB00028</t>
  </si>
  <si>
    <t>FB00029</t>
  </si>
  <si>
    <t>FB00030</t>
  </si>
  <si>
    <t>FB00031</t>
  </si>
  <si>
    <t>FB00032</t>
  </si>
  <si>
    <t>FB00033</t>
  </si>
  <si>
    <t>FB00034</t>
  </si>
  <si>
    <t>FB00035</t>
  </si>
  <si>
    <t>Good communication and clear travel information.</t>
  </si>
  <si>
    <t>FB00036</t>
  </si>
  <si>
    <t>FB00037</t>
  </si>
  <si>
    <t>FB00038</t>
  </si>
  <si>
    <t>FB00039</t>
  </si>
  <si>
    <t>FB00040</t>
  </si>
  <si>
    <t>The change process was frustrating and took too long.</t>
  </si>
  <si>
    <t>FB00041</t>
  </si>
  <si>
    <t>FB00042</t>
  </si>
  <si>
    <t>FB00043</t>
  </si>
  <si>
    <t>FB00044</t>
  </si>
  <si>
    <t>FB00045</t>
  </si>
  <si>
    <t>FB00046</t>
  </si>
  <si>
    <t>FB00047</t>
  </si>
  <si>
    <t>FB00048</t>
  </si>
  <si>
    <t>FB00049</t>
  </si>
  <si>
    <t>FB00050</t>
  </si>
  <si>
    <t>FB00051</t>
  </si>
  <si>
    <t>FB00052</t>
  </si>
  <si>
    <t>FB00053</t>
  </si>
  <si>
    <t>FB00054</t>
  </si>
  <si>
    <t>FB00055</t>
  </si>
  <si>
    <t>FB00056</t>
  </si>
  <si>
    <t>The hotel was convenient and comfortable.</t>
  </si>
  <si>
    <t>FB00057</t>
  </si>
  <si>
    <t>Communication during the disruption could have been better.</t>
  </si>
  <si>
    <t>FB00058</t>
  </si>
  <si>
    <t>FB00059</t>
  </si>
  <si>
    <t>FB00060</t>
  </si>
  <si>
    <t>FB00061</t>
  </si>
  <si>
    <t>FB00062</t>
  </si>
  <si>
    <t>FB00063</t>
  </si>
  <si>
    <t>The trip was okay, although the booking process took longer than expected.</t>
  </si>
  <si>
    <t>FB00064</t>
  </si>
  <si>
    <t>FB00065</t>
  </si>
  <si>
    <t>FB00066</t>
  </si>
  <si>
    <t>FB00067</t>
  </si>
  <si>
    <t>FB00068</t>
  </si>
  <si>
    <t>FB00069</t>
  </si>
  <si>
    <t>FB00070</t>
  </si>
  <si>
    <t>FB00071</t>
  </si>
  <si>
    <t>FB00072</t>
  </si>
  <si>
    <t>FB00073</t>
  </si>
  <si>
    <t>FB00074</t>
  </si>
  <si>
    <t>FB00075</t>
  </si>
  <si>
    <t>The travel arrangements were acceptable.</t>
  </si>
  <si>
    <t>FB00076</t>
  </si>
  <si>
    <t>FB00077</t>
  </si>
  <si>
    <t>FB00078</t>
  </si>
  <si>
    <t>FB00079</t>
  </si>
  <si>
    <t>FB00080</t>
  </si>
  <si>
    <t>FB00081</t>
  </si>
  <si>
    <t>FB00082</t>
  </si>
  <si>
    <t>FB00083</t>
  </si>
  <si>
    <t>FB00084</t>
  </si>
  <si>
    <t>FB00085</t>
  </si>
  <si>
    <t>FB00086</t>
  </si>
  <si>
    <t>FB00087</t>
  </si>
  <si>
    <t>FB00088</t>
  </si>
  <si>
    <t>FB00089</t>
  </si>
  <si>
    <t>FB00090</t>
  </si>
  <si>
    <t>FB00091</t>
  </si>
  <si>
    <t>FB00092</t>
  </si>
  <si>
    <t>FB00093</t>
  </si>
  <si>
    <t>FB00094</t>
  </si>
  <si>
    <t>FB00095</t>
  </si>
  <si>
    <t>FB00096</t>
  </si>
  <si>
    <t>I had to follow up several times for help.</t>
  </si>
  <si>
    <t>FB00097</t>
  </si>
  <si>
    <t>FB00098</t>
  </si>
  <si>
    <t>FB00099</t>
  </si>
  <si>
    <t>FB00100</t>
  </si>
  <si>
    <t>FB00101</t>
  </si>
  <si>
    <t>FB00102</t>
  </si>
  <si>
    <t>FB00103</t>
  </si>
  <si>
    <t>FB00104</t>
  </si>
  <si>
    <t>FB00105</t>
  </si>
  <si>
    <t>FB00106</t>
  </si>
  <si>
    <t>FB00107</t>
  </si>
  <si>
    <t>FB00108</t>
  </si>
  <si>
    <t>FB00109</t>
  </si>
  <si>
    <t>FB00110</t>
  </si>
  <si>
    <t>FB00111</t>
  </si>
  <si>
    <t>FB00112</t>
  </si>
  <si>
    <t>FB00113</t>
  </si>
  <si>
    <t>FB00114</t>
  </si>
  <si>
    <t>FB00115</t>
  </si>
  <si>
    <t>FB00116</t>
  </si>
  <si>
    <t>The booking experience was more complicated than expected.</t>
  </si>
  <si>
    <t>FB00117</t>
  </si>
  <si>
    <t>FB00118</t>
  </si>
  <si>
    <t>FB00119</t>
  </si>
  <si>
    <t>FB00120</t>
  </si>
  <si>
    <t>FB00121</t>
  </si>
  <si>
    <t>FB00122</t>
  </si>
  <si>
    <t>FB00123</t>
  </si>
  <si>
    <t>FB00124</t>
  </si>
  <si>
    <t>FB00125</t>
  </si>
  <si>
    <t>FB00126</t>
  </si>
  <si>
    <t>FB00127</t>
  </si>
  <si>
    <t>FB00128</t>
  </si>
  <si>
    <t>FB00129</t>
  </si>
  <si>
    <t>FB00130</t>
  </si>
  <si>
    <t>FB00131</t>
  </si>
  <si>
    <t>FB00132</t>
  </si>
  <si>
    <t>FB00133</t>
  </si>
  <si>
    <t>FB00134</t>
  </si>
  <si>
    <t>FB00135</t>
  </si>
  <si>
    <t>FB00136</t>
  </si>
  <si>
    <t>FB00137</t>
  </si>
  <si>
    <t>FB00138</t>
  </si>
  <si>
    <t>FB00139</t>
  </si>
  <si>
    <t>FB00140</t>
  </si>
  <si>
    <t>FB00141</t>
  </si>
  <si>
    <t>FB00142</t>
  </si>
  <si>
    <t>FB00143</t>
  </si>
  <si>
    <t>FB00144</t>
  </si>
  <si>
    <t>FB00145</t>
  </si>
  <si>
    <t>FB00146</t>
  </si>
  <si>
    <t>FB00147</t>
  </si>
  <si>
    <t>FB00148</t>
  </si>
  <si>
    <t>FB00149</t>
  </si>
  <si>
    <t>Everything worked as expected.</t>
  </si>
  <si>
    <t>FB00150</t>
  </si>
  <si>
    <t>FB00151</t>
  </si>
  <si>
    <t>FB00152</t>
  </si>
  <si>
    <t>FB00153</t>
  </si>
  <si>
    <t>FB00154</t>
  </si>
  <si>
    <t>FB00155</t>
  </si>
  <si>
    <t>FB00156</t>
  </si>
  <si>
    <t>FB00157</t>
  </si>
  <si>
    <t>FB00158</t>
  </si>
  <si>
    <t>FB00159</t>
  </si>
  <si>
    <t>FB00160</t>
  </si>
  <si>
    <t>FB00161</t>
  </si>
  <si>
    <t>FB00162</t>
  </si>
  <si>
    <t>FB00163</t>
  </si>
  <si>
    <t>FB00164</t>
  </si>
  <si>
    <t>FB00165</t>
  </si>
  <si>
    <t>FB00166</t>
  </si>
  <si>
    <t>FB00167</t>
  </si>
  <si>
    <t>FB00168</t>
  </si>
  <si>
    <t>FB00169</t>
  </si>
  <si>
    <t>FB00170</t>
  </si>
  <si>
    <t>FB00171</t>
  </si>
  <si>
    <t>FB00172</t>
  </si>
  <si>
    <t>FB00173</t>
  </si>
  <si>
    <t>FB00174</t>
  </si>
  <si>
    <t>FB00175</t>
  </si>
  <si>
    <t>FB00176</t>
  </si>
  <si>
    <t>FB00177</t>
  </si>
  <si>
    <t>FB00178</t>
  </si>
  <si>
    <t>FB00179</t>
  </si>
  <si>
    <t>FB00180</t>
  </si>
  <si>
    <t>FB00181</t>
  </si>
  <si>
    <t>FB00182</t>
  </si>
  <si>
    <t>FB00183</t>
  </si>
  <si>
    <t>FB00184</t>
  </si>
  <si>
    <t>FB00185</t>
  </si>
  <si>
    <t>FB00186</t>
  </si>
  <si>
    <t>FB00187</t>
  </si>
  <si>
    <t>FB00188</t>
  </si>
  <si>
    <t>FB00189</t>
  </si>
  <si>
    <t>FB00190</t>
  </si>
  <si>
    <t>FB00191</t>
  </si>
  <si>
    <t>FB00192</t>
  </si>
  <si>
    <t>FB00193</t>
  </si>
  <si>
    <t>FB00194</t>
  </si>
  <si>
    <t>FB00195</t>
  </si>
  <si>
    <t>FB00196</t>
  </si>
  <si>
    <t>FB00197</t>
  </si>
  <si>
    <t>FB00198</t>
  </si>
  <si>
    <t>FB00199</t>
  </si>
  <si>
    <t>FB00200</t>
  </si>
  <si>
    <t>FB00201</t>
  </si>
  <si>
    <t>FB00202</t>
  </si>
  <si>
    <t>FB00203</t>
  </si>
  <si>
    <t>FB00204</t>
  </si>
  <si>
    <t>FB00205</t>
  </si>
  <si>
    <t>FB00206</t>
  </si>
  <si>
    <t>FB00207</t>
  </si>
  <si>
    <t>FB00208</t>
  </si>
  <si>
    <t>FB00209</t>
  </si>
  <si>
    <t>FB00210</t>
  </si>
  <si>
    <t>FB00211</t>
  </si>
  <si>
    <t>FB00212</t>
  </si>
  <si>
    <t>FB00213</t>
  </si>
  <si>
    <t>FB00214</t>
  </si>
  <si>
    <t>FB00215</t>
  </si>
  <si>
    <t>FB00216</t>
  </si>
  <si>
    <t>FB00217</t>
  </si>
  <si>
    <t>FB00218</t>
  </si>
  <si>
    <t>FB00219</t>
  </si>
  <si>
    <t>FB00220</t>
  </si>
  <si>
    <t>FB00221</t>
  </si>
  <si>
    <t>FB00222</t>
  </si>
  <si>
    <t>FB00223</t>
  </si>
  <si>
    <t>FB00224</t>
  </si>
  <si>
    <t>FB00225</t>
  </si>
  <si>
    <t>FB00226</t>
  </si>
  <si>
    <t>FB00227</t>
  </si>
  <si>
    <t>FB00228</t>
  </si>
  <si>
    <t>FB00229</t>
  </si>
  <si>
    <t>FB00230</t>
  </si>
  <si>
    <t>FB00231</t>
  </si>
  <si>
    <t>FB00232</t>
  </si>
  <si>
    <t>FB00233</t>
  </si>
  <si>
    <t>FB00234</t>
  </si>
  <si>
    <t>FB00235</t>
  </si>
  <si>
    <t>The supplier experience did not meet expectations.</t>
  </si>
  <si>
    <t>FB00236</t>
  </si>
  <si>
    <t>FB00237</t>
  </si>
  <si>
    <t>FB00238</t>
  </si>
  <si>
    <t>FB00239</t>
  </si>
  <si>
    <t>missing_required_data</t>
  </si>
  <si>
    <t>date_check</t>
  </si>
  <si>
    <t>lead_time_check</t>
  </si>
  <si>
    <t>original_cost_check</t>
  </si>
  <si>
    <t>final_cost_check</t>
  </si>
  <si>
    <t>change_records_check</t>
  </si>
  <si>
    <t>changed_flag_check</t>
  </si>
  <si>
    <t>Column Labels</t>
  </si>
  <si>
    <t>Count of trip_id</t>
  </si>
  <si>
    <t>Month</t>
  </si>
  <si>
    <t>Number of Trips</t>
  </si>
  <si>
    <t>Total spend</t>
  </si>
  <si>
    <t>Average Trip Cost</t>
  </si>
  <si>
    <t>Trip Type</t>
  </si>
  <si>
    <t>Travel Month</t>
  </si>
  <si>
    <t>Average Trip Cost by Month and Trip Type</t>
  </si>
  <si>
    <t>(Multiple Items)</t>
  </si>
  <si>
    <t>Average airfare</t>
  </si>
  <si>
    <t>hotel_cost_per_night</t>
  </si>
  <si>
    <t>Average hotel cost per night</t>
  </si>
  <si>
    <t>booking_lead_bucket</t>
  </si>
  <si>
    <t>0-3 days</t>
  </si>
  <si>
    <t>15-30 days</t>
  </si>
  <si>
    <t>31+ days</t>
  </si>
  <si>
    <t>4-7 days</t>
  </si>
  <si>
    <t>8-14 days</t>
  </si>
  <si>
    <t>Travel Type Filter</t>
  </si>
  <si>
    <t>TOTAL</t>
  </si>
  <si>
    <t>Booking Channel</t>
  </si>
  <si>
    <t>rule_area</t>
  </si>
  <si>
    <t>condition</t>
  </si>
  <si>
    <t>policy_rule</t>
  </si>
  <si>
    <t>All trips</t>
  </si>
  <si>
    <t>Use Online Booking Tool or TMC Assisted</t>
  </si>
  <si>
    <t>Hotel Rate</t>
  </si>
  <si>
    <t>UK / US / high-cost markets</t>
  </si>
  <si>
    <t>Max £220 per night</t>
  </si>
  <si>
    <t>Standard-cost markets</t>
  </si>
  <si>
    <t>Air Cabin</t>
  </si>
  <si>
    <t>Air travel</t>
  </si>
  <si>
    <t>Economy</t>
  </si>
  <si>
    <t>Rail Class</t>
  </si>
  <si>
    <t>Rail travel</t>
  </si>
  <si>
    <t>Standard / 2nd class</t>
  </si>
  <si>
    <t>Advance Booking</t>
  </si>
  <si>
    <t>Recommended 14+ days; KPI only, not automatic non-compliance</t>
  </si>
  <si>
    <t>channel_compliant_calc</t>
  </si>
  <si>
    <t>hotel_rate_compliant_calc</t>
  </si>
  <si>
    <t>supplier_compliant_calc</t>
  </si>
  <si>
    <t>airline_compliant_calc</t>
  </si>
  <si>
    <t>hotel_supplier_compliant_calc</t>
  </si>
  <si>
    <t>changed_value_check</t>
  </si>
  <si>
    <t>cancelled_value_check</t>
  </si>
  <si>
    <t>policy_compliant_value_check</t>
  </si>
  <si>
    <t>csat_score_check</t>
  </si>
  <si>
    <t>travel_class</t>
  </si>
  <si>
    <t>Standard / 2nd Class</t>
  </si>
  <si>
    <t>Premium Economy</t>
  </si>
  <si>
    <t>Business</t>
  </si>
  <si>
    <t>First Class</t>
  </si>
  <si>
    <t>class_compliant_calc</t>
  </si>
  <si>
    <t>policy_compliant_calc</t>
  </si>
  <si>
    <t>N/A</t>
  </si>
  <si>
    <t>Max £180 per night</t>
  </si>
  <si>
    <t>violation rate by destination</t>
  </si>
  <si>
    <t>hotel_name</t>
  </si>
  <si>
    <t>Count of change_id</t>
  </si>
  <si>
    <t>Sum of co2_kg</t>
  </si>
  <si>
    <t>SPEND &amp; BOOKING ANALYSIS</t>
  </si>
  <si>
    <t>Corporate travel trends, trip costs, destination mix and booking behaviour</t>
  </si>
  <si>
    <t>Total Trips</t>
  </si>
  <si>
    <t>Total Spend</t>
  </si>
  <si>
    <t>Avg Trip Cost</t>
  </si>
  <si>
    <t>International Trips</t>
  </si>
  <si>
    <t>Avg Airfare</t>
  </si>
  <si>
    <t>Avg Hotel Night</t>
  </si>
  <si>
    <t>MONTHLY SPEND OVERVIEW</t>
  </si>
  <si>
    <t>AVERAGE TRIP COST BY MONTH AND TRIP TYPE</t>
  </si>
  <si>
    <t>DOMESTIC VS INTERNATIONAL TRIPS</t>
  </si>
  <si>
    <t>AVERAGE AIRFARE</t>
  </si>
  <si>
    <t>AVERAGE HOTEL RATE</t>
  </si>
  <si>
    <t>May 2026</t>
  </si>
  <si>
    <t>June 2026</t>
  </si>
  <si>
    <t>July 2026</t>
  </si>
  <si>
    <t>Key finding:</t>
  </si>
  <si>
    <t>July had the highest travel volume, total spend and average trip cost.</t>
  </si>
  <si>
    <t>Airfare increased steadily across the three months, while average hotel rates remained relatively stable.</t>
  </si>
  <si>
    <t>DESTINATION ANALYSIS</t>
  </si>
  <si>
    <t>DESTINATION MIX</t>
  </si>
  <si>
    <t>AVERAGE TRIP COST BY DESTINATION</t>
  </si>
  <si>
    <t>Long-haul destinations such as Dubai, Singapore, Hong Kong and Chicago had the highest average trip costs.</t>
  </si>
  <si>
    <t>BOOKING LEAD TIME &amp; COST</t>
  </si>
  <si>
    <t>AIRFARE</t>
  </si>
  <si>
    <t>Number of Air Trips</t>
  </si>
  <si>
    <t>Average Airfare</t>
  </si>
  <si>
    <t>ALL TRIPS</t>
  </si>
  <si>
    <t>Earlier booking was generally associated with lower airfare and lower overall trip cost. Trips booked 31+ days in advance had the lowest average cost.</t>
  </si>
  <si>
    <t>International trips cost more than twice as much as domestic trips on average. International trips averaged £1,107.44 versus £470.20 for domestic trips.</t>
  </si>
  <si>
    <t>Destination</t>
  </si>
  <si>
    <t>1. July recorded the highest travel spend and average trip cost, with £213.9k spent across 202 trips and an average cost of £1,058.93.</t>
  </si>
  <si>
    <t>2. International travel was significantly more expensive than domestic travel, averaging £1,107.44 per trip versus £470.20.</t>
  </si>
  <si>
    <t>3. Average airfare increased across the three-month period, rising from £546.39 in May to £595.64 in July, while hotel rates remained broadly stable.</t>
  </si>
  <si>
    <t>4. Long-haul destinations were the most expensive, with Dubai, Singapore, Hong Kong and Chicago showing the highest average trip costs.</t>
  </si>
  <si>
    <t>5. Earlier booking was generally associated with lower costs, with trips booked 31+ days in advance showing the lowest average airfare and overall trip cost.</t>
  </si>
  <si>
    <t>COMPLIANCE ANALYSIS</t>
  </si>
  <si>
    <t>Overall Compliance</t>
  </si>
  <si>
    <t>Non-Compliant Trips</t>
  </si>
  <si>
    <t>Hotel Rate Violations</t>
  </si>
  <si>
    <t>Off-Channel Trips</t>
  </si>
  <si>
    <t>Preferred Airline Adoption</t>
  </si>
  <si>
    <t>Preferred Hotel Adoption</t>
  </si>
  <si>
    <t>Policy compliance, booking channels, hotel rates and preferred supplier performance</t>
  </si>
  <si>
    <t>Compliance Status</t>
  </si>
  <si>
    <t>% of Trips</t>
  </si>
  <si>
    <t>OVERALL POLICY COMPLIANCE</t>
  </si>
  <si>
    <t>Overall policy compliance was 43.13%, with 331 of 582 trips failing at least one policy rule.</t>
  </si>
  <si>
    <t>COMPLIANCE DRIVERS</t>
  </si>
  <si>
    <t>HOTEL RATE COMPLIANCE</t>
  </si>
  <si>
    <t>HOTEL SUPPLIER COMPLIANCE</t>
  </si>
  <si>
    <t>TRAVEL CLASS COMPLIANCE</t>
  </si>
  <si>
    <t>AIRLINE SUPPLIER COMPLIANCE</t>
  </si>
  <si>
    <t>BOOKING CHANNEL COMPLIANCE</t>
  </si>
  <si>
    <t>Non-Compliant</t>
  </si>
  <si>
    <t>Compliant</t>
  </si>
  <si>
    <t xml:space="preserve"> Status</t>
  </si>
  <si>
    <t>Status</t>
  </si>
  <si>
    <t>Key findings:</t>
  </si>
  <si>
    <t>• Hotel rate compliance is the largest issue, with 187 trips failing the hotel-rate rule.</t>
  </si>
  <si>
    <t>• Booking channel compliance is the second-largest issue, with 101 off-channel trips.</t>
  </si>
  <si>
    <t>• Travel class and airline supplier compliance are comparatively strong.</t>
  </si>
  <si>
    <t>• Hotel supplier compliance shows more breaches than airline supplier compliance.</t>
  </si>
  <si>
    <t>HOTEL RATE ANALYSIS</t>
  </si>
  <si>
    <t>Violations</t>
  </si>
  <si>
    <t>HOTEL RATE COMPLIANCE BY DESTINATION</t>
  </si>
  <si>
    <t>Milan had the highest hotel-rate violation rate at 66.67%. Frankfurt, Brussels, Madrid and Amsterdam were also around 50% or higher, while Dublin had the highest number of violations due to its larger travel volume.</t>
  </si>
  <si>
    <t>Average Nightly Rate</t>
  </si>
  <si>
    <t>Hotel Stays</t>
  </si>
  <si>
    <t>AVERAGE HOTEL RATE BY DESTINATION</t>
  </si>
  <si>
    <t>Average nightly rates were highest in Chicago (£198.94), Stockholm (£195.09), Dubai (£194.10) and Milan (£189.07), compared with an overall average of £170.96.</t>
  </si>
  <si>
    <t>HOTEL RATE VIOLATIONS BY DESTINATIONS</t>
  </si>
  <si>
    <t>Dublin had the highest number of hotel-rate violations with 36, followed by Amsterdam with 29, Frankfurt with 24 and Paris with 21.</t>
  </si>
  <si>
    <t>PREFERRED SUPPLIER PERFORMANCE</t>
  </si>
  <si>
    <t>Airline</t>
  </si>
  <si>
    <t>PREFERRED AIRLINE PERFORMANCE</t>
  </si>
  <si>
    <t>Non-Preferred Trips</t>
  </si>
  <si>
    <t>Preferred Trips</t>
  </si>
  <si>
    <t>Preferred airline adoption was high at 94.1%, with non-preferred bookings concentrated in Ryanair and United Airlines.</t>
  </si>
  <si>
    <t>PREFERRED HOTEL PERFORMANCE</t>
  </si>
  <si>
    <t>Hotel Supplier</t>
  </si>
  <si>
    <t>Non-Preferred Stays</t>
  </si>
  <si>
    <t>Preferred Stays</t>
  </si>
  <si>
    <t>Preferred hotel adoption was 88.6%, with non-preferred stays concentrated in IHG Hotels &amp; Resorts, Radisson Hotel Group and Travelodge.</t>
  </si>
  <si>
    <t>COMPLIANCE BY DEPARTMENT</t>
  </si>
  <si>
    <t>Department</t>
  </si>
  <si>
    <t>Corporate Functions had the lowest compliance rate at 28.0%.</t>
  </si>
  <si>
    <t>Technology was also relatively low at 34.7%.</t>
  </si>
  <si>
    <t>Tax &amp; Legal showed the highest compliance rate at 49.4%, followed by Consulting at 48.4%.</t>
  </si>
  <si>
    <t>Rate</t>
  </si>
  <si>
    <t>Compliance varied noticeably by department, suggesting that targeted policy communication may be more effective than a single programme-wide approach.</t>
  </si>
  <si>
    <t>1. Overall policy compliance was 43.1%, with 331 of 582 trips failing at least one policy rule.</t>
  </si>
  <si>
    <t>2. Hotel rate compliance was the largest issue, with 187 violations, followed by 101 off-channel trips.</t>
  </si>
  <si>
    <t>3. Preferred supplier adoption remained strong, reaching 94.1% for airlines and 88.6% for hotels.</t>
  </si>
  <si>
    <t>4. Hotel-rate issues varied significantly by destination: Milan had the highest violation rate, while Dublin generated the highest number of violations because of higher travel volume.</t>
  </si>
  <si>
    <t>5. Compliance varied by department, with Corporate Functions and Technology showing the lowest compliance rates.</t>
  </si>
  <si>
    <t>RECOMMENDATION:</t>
  </si>
  <si>
    <t>Introduce market-based hotel caps, strengthen preferred-channel adoption, and target lower-performing departments with focused policy communication.</t>
  </si>
  <si>
    <t>CHANGES &amp; CANCELLATIONS</t>
  </si>
  <si>
    <t>Change activity, cancellation impact, refunds and cost leakage</t>
  </si>
  <si>
    <t>Changed Trips</t>
  </si>
  <si>
    <t>Change Rate</t>
  </si>
  <si>
    <t>Change Costs</t>
  </si>
  <si>
    <t>Cancelled Trips</t>
  </si>
  <si>
    <t>Cancellation Rate</t>
  </si>
  <si>
    <t>Cancellation Fees</t>
  </si>
  <si>
    <t>CHANGE OVERVIEW</t>
  </si>
  <si>
    <t>Change Cost</t>
  </si>
  <si>
    <t>Avg Change Cost</t>
  </si>
  <si>
    <t>MONTHLY CHANGE IMPACT</t>
  </si>
  <si>
    <t>July had the highest change cost and highest average change cost per changed trip.</t>
  </si>
  <si>
    <t>Change Reason</t>
  </si>
  <si>
    <t>Events</t>
  </si>
  <si>
    <t>Cost</t>
  </si>
  <si>
    <t>CHANGE REASONS</t>
  </si>
  <si>
    <t>Project schedule changes and traveller requests were the most common reasons, with 22 events each.</t>
  </si>
  <si>
    <t>Change Type</t>
  </si>
  <si>
    <t>% of Change Cost</t>
  </si>
  <si>
    <t>CHANGE TYPES</t>
  </si>
  <si>
    <t>Flight rebooking was the largest change-cost driver, accounting for 53.0% of total change costs.</t>
  </si>
  <si>
    <t>CANCELLATIONS &amp; REFUNDS</t>
  </si>
  <si>
    <t>Refunds Recovered</t>
  </si>
  <si>
    <t>Cancellations affected 6.19% of trips and generated £3,028 in fees, while £26,195.66 was recovered through refunds.</t>
  </si>
  <si>
    <t>CANCELLATION OVERVIEW</t>
  </si>
  <si>
    <t>CANCELLATION REASONS</t>
  </si>
  <si>
    <t>Cancellation Reason</t>
  </si>
  <si>
    <t>Fees</t>
  </si>
  <si>
    <t>Refunds</t>
  </si>
  <si>
    <t>Traveller illness was the most frequent cancellation reason and generated the highest cancellation-fee total.</t>
  </si>
  <si>
    <t>MONTHLY CANCELLATION IMPACT</t>
  </si>
  <si>
    <t>Cancellation activity declined from May to July, with both cancellation counts and fees decreasing over the period.</t>
  </si>
  <si>
    <t>FINAL KEY FINDINGS:</t>
  </si>
  <si>
    <t>1. 14.43% of trips were changed, generating £9.4k in additional costs.</t>
  </si>
  <si>
    <t>2. Flight rebooking was the largest change-cost driver, accounting for 53.0% of change costs.</t>
  </si>
  <si>
    <t>3. Project schedule changes and traveller requests were the most frequent change reasons.</t>
  </si>
  <si>
    <t>4. 6.19% of trips were cancelled, generating £3.0k in cancellation fees.</t>
  </si>
  <si>
    <t>7. £26.2k was recovered through refunds.</t>
  </si>
  <si>
    <t>8. Cancellation activity declined steadily from May to July.</t>
  </si>
  <si>
    <t>1. Reduce avoidable change costs by encouraging earlier confirmation of travel dates and project schedules before ticketing.</t>
  </si>
  <si>
    <t>2. Review flight rebooking patterns, since flight rebookings account for about 53% of all change costs, and identify whether more flexible fares could be cost-effective on high-change routes.</t>
  </si>
  <si>
    <t>3. Strengthen cancellation and refund management by tracking unused tickets, refundable bookings and outstanding refunds to maximise recovery and reduce net loss.</t>
  </si>
  <si>
    <t>FEEDBACK &amp; SERVICE PERFORMANCE</t>
  </si>
  <si>
    <t>Feedback Responses</t>
  </si>
  <si>
    <t>Feedback Response Rate</t>
  </si>
  <si>
    <t>MONTHLY TRAVELLER FEEDBACK</t>
  </si>
  <si>
    <t>Overall Trip Rating</t>
  </si>
  <si>
    <t>Booking Experience</t>
  </si>
  <si>
    <t>Travel Support</t>
  </si>
  <si>
    <t>Supplier Rating</t>
  </si>
  <si>
    <t>OVERALL TRIP RATING DISTRIBUTION</t>
  </si>
  <si>
    <t>Rating</t>
  </si>
  <si>
    <t>Responses</t>
  </si>
  <si>
    <t>% of Responses</t>
  </si>
  <si>
    <t>1. Average traveller satisfaction was strong, with an overall trip rating of 4.21/5.</t>
  </si>
  <si>
    <t>2. 80.3% of respondents rated their trip 4 or 5, while only 5.4% gave a rating of 1 or 2.</t>
  </si>
  <si>
    <t>Avg Overall Rating (1-5)</t>
  </si>
  <si>
    <t>Avg Booking Experience (1-5)</t>
  </si>
  <si>
    <t>Avg Travel Support (1-5)</t>
  </si>
  <si>
    <t>Avg Supplier Rating (1-5)</t>
  </si>
  <si>
    <t>1. Increase feedback participation to improve representativeness, since the response rate is only 41.1%.</t>
  </si>
  <si>
    <t>2. Investigate weaker booking experience scores, especially the June dip, to identify whether issues came from the booking tool, process, or traveller support.</t>
  </si>
  <si>
    <t>3. Continue monitoring low ratings and recurring comments to identify service issues with suppliers, booking experience, or travel support.</t>
  </si>
  <si>
    <t>4. Compare satisfaction trends with service KPIs such as TMC SLA and OBT adoption to see whether lower service performance is reflected in traveller feedback.</t>
  </si>
  <si>
    <t>SERVICE PERFORMANCE</t>
  </si>
  <si>
    <t>Service</t>
  </si>
  <si>
    <t>Metric</t>
  </si>
  <si>
    <t>Target</t>
  </si>
  <si>
    <t>Actual</t>
  </si>
  <si>
    <t>Unit</t>
  </si>
  <si>
    <t>Notes</t>
  </si>
  <si>
    <t>Target Met?</t>
  </si>
  <si>
    <t>1. TMC SLA declined from 95% in May to 91% in July, moving below target in June and July.</t>
  </si>
  <si>
    <t>2. TMC CSAT declined from 4.2 to 3.8 over the same period.</t>
  </si>
  <si>
    <t>3. OBT system availability remained close to target and exceeded it in July at 99.7%.</t>
  </si>
  <si>
    <t>4. OBT adoption stayed below the 85% target throughout the period, falling to 80% in June before recovering to 84% in July.</t>
  </si>
  <si>
    <t>1. Investigate the drivers behind the decline in TMC SLA and CSAT.</t>
  </si>
  <si>
    <t>2. Review recurring service issues or support delays that may be affecting traveller satisfaction.</t>
  </si>
  <si>
    <t>3. Continue efforts to increase OBT adoption and reduce avoidable agent-assisted bookings.</t>
  </si>
  <si>
    <t>4. Compare service-performance trends with traveller feedback to identify whether operational issues are reflected in satisfaction scores.</t>
  </si>
  <si>
    <t>SUSTAINABILITY ANALYSIS</t>
  </si>
  <si>
    <t>Travel emissions by mode, month and destination</t>
  </si>
  <si>
    <t>Air Trips</t>
  </si>
  <si>
    <t>Rail Trips</t>
  </si>
  <si>
    <t>Highest-Emission Destination</t>
  </si>
  <si>
    <t>Travel Mode</t>
  </si>
  <si>
    <t>CO₂ Emissions (kg)</t>
  </si>
  <si>
    <t>% of Total CO₂</t>
  </si>
  <si>
    <t>EMISSIONS BY TRAVEL MODE</t>
  </si>
  <si>
    <t>MONTHLY CO2 EMISSIONS</t>
  </si>
  <si>
    <t>CO2 EMISSIONS BY DESTINATION</t>
  </si>
  <si>
    <t>MONTH</t>
  </si>
  <si>
    <t>Air CO₂ (kg)</t>
  </si>
  <si>
    <t>CO2 Emissions (kg)</t>
  </si>
  <si>
    <t>1. Air travel generated 99.33% of total travel emissions.</t>
  </si>
  <si>
    <t>3. New York was the highest-emission destination, despite having fewer trips than Dublin, showing the impact of distance.</t>
  </si>
  <si>
    <t>4. High-frequency European routes such as Dublin and Amsterdam also contributed materially to total emissions.</t>
  </si>
  <si>
    <t>5. Long-haul destinations such as Dubai, Singapore and Hong Kong had a high emissions impact despite relatively low trip volumes.</t>
  </si>
  <si>
    <t>1. Prioritise rail instead of air on suitable short-haul routes where journey time and business needs allow.</t>
  </si>
  <si>
    <t>2. Review high-frequency air routes for opportunities to reduce unnecessary travel or consolidate trips.</t>
  </si>
  <si>
    <t>4. Focus reduction initiatives on high-emission long-haul routes, where small reductions in trip volume can have a larger carbon impact.</t>
  </si>
  <si>
    <t>Flight rebooking was the most common change type across all major change reasons, accounting for 44 of 100 change events. Personal reasons generated 12 flight rebookings, while traveller requests were more evenly distributed across flight rebookings, date changes and hotel amendments.</t>
  </si>
  <si>
    <t>feedback_submitted_check</t>
  </si>
  <si>
    <t>hotel_name2</t>
  </si>
  <si>
    <t>How many trips were cancelled?</t>
  </si>
  <si>
    <t>How much was spent on Domestic trips?</t>
  </si>
  <si>
    <t>How many July trips were booked through TMC Assisted?</t>
  </si>
  <si>
    <t>Business Question</t>
  </si>
  <si>
    <t>Function</t>
  </si>
  <si>
    <t>Formula</t>
  </si>
  <si>
    <t>Result</t>
  </si>
  <si>
    <t>Explanation</t>
  </si>
  <si>
    <t>COUNTIF</t>
  </si>
  <si>
    <t>Counts rows where Cancelled = Yes</t>
  </si>
  <si>
    <t>How much was spent on Technology trips in June?</t>
  </si>
  <si>
    <t>SUMIF</t>
  </si>
  <si>
    <t>COUNTIFS</t>
  </si>
  <si>
    <t>SUMIFS</t>
  </si>
  <si>
    <t>Adds final trip cost for Domestic trips</t>
  </si>
  <si>
    <t>Counts trips meeting both conditions</t>
  </si>
  <si>
    <t>Adds spend for Technology trips in June</t>
  </si>
  <si>
    <t>August 2026</t>
  </si>
  <si>
    <t>Which airline name corresponds to the airline ID on a trip?</t>
  </si>
  <si>
    <t>XLOOKUP</t>
  </si>
  <si>
    <t>Takes the airline ID from the trip, searches for the same ID in the Airlines table, and returns the corresponding airline name. If the trip has no airline ID, it leaves the result blank.</t>
  </si>
  <si>
    <t>Which hotel name corresponds to the hotel ID on a trip?</t>
  </si>
  <si>
    <t>VLOOKUP</t>
  </si>
  <si>
    <t>Takes the hotel ID from the trip, searches for it in the first column of the Hotels table, and returns the hotel name from the second column.</t>
  </si>
  <si>
    <t>=COUNTIF(Trips_Workbook!AE:AE,"Yes")</t>
  </si>
  <si>
    <t>=SUMIF(Trips_Workbook!M:M,"Domestic",Trips_Workbook!AI:AI)</t>
  </si>
  <si>
    <t>=COUNTIFS(Trips_Workbook!J:J,"2026-07",Trips_Workbook!S:S,"TMC Assisted")</t>
  </si>
  <si>
    <t>=SUMIFS(Trips_Workbook!AI:AI,Trips_Workbook!D:D,"Technology",Trips_Workbook!J:J,"2026-06")</t>
  </si>
  <si>
    <t>=IF(Trips_Workbook!T3="","",XLOOKUP(Trips_Workbook!T3,Airlines!A:A,Airlines!B:B,"Not Found"))</t>
  </si>
  <si>
    <t>=IF(Trips_Workbook!U3="","",IFERROR(VLOOKUP(Trips_Workbook!U3,Hotels!A:B,2,FALSE),"Not Found"))</t>
  </si>
  <si>
    <t>EXECUTIVE SUMMARY</t>
  </si>
  <si>
    <t>Corporate travel programme performance | May-July 2026</t>
  </si>
  <si>
    <t>Total Trips:</t>
  </si>
  <si>
    <t>Total Spend:</t>
  </si>
  <si>
    <t>Avg Trip Cost:</t>
  </si>
  <si>
    <t>Policy Compliance:</t>
  </si>
  <si>
    <t>Changed Trips:</t>
  </si>
  <si>
    <t>Cancelled Trips:</t>
  </si>
  <si>
    <t>Key Findings:</t>
  </si>
  <si>
    <t>1. July had the highest travel spend and average trip cost.</t>
  </si>
  <si>
    <t>2. International trips cost more than twice as much as domestic trips on average.</t>
  </si>
  <si>
    <t>3. Earlier booking was generally associated with lower airfare costs.</t>
  </si>
  <si>
    <t>4. Overall calculated policy compliance was 43.1%; hotel-rate violations and off-channel booking were the main issues.</t>
  </si>
  <si>
    <t>5. Preferred supplier adoption remained strong at 94.1% for airlines and 88.6% for hotels.</t>
  </si>
  <si>
    <t>6. 14.4% of trips were changed; flight rebooking accounted for about 53% of change costs.</t>
  </si>
  <si>
    <t>7. Traveller satisfaction remained strong at 4.21/5, but TMC SLA and CSAT declined over the period.</t>
  </si>
  <si>
    <t>8. Air travel accounted for 99.3% of estimated CO₂ emissions.</t>
  </si>
  <si>
    <t>Recommendations:</t>
  </si>
  <si>
    <t>1. Introduce destination- or market-based hotel caps instead of one flat rate.</t>
  </si>
  <si>
    <t>2. Encourage earlier booking where business needs allow.</t>
  </si>
  <si>
    <t>3. Strengthen use of preferred booking channels and reinforce policy communication.</t>
  </si>
  <si>
    <t>4. Review flexible fare options on routes with frequent rebooking.</t>
  </si>
  <si>
    <t>5. Investigate declining TMC SLA and CSAT performance.</t>
  </si>
  <si>
    <t>6. Consider rail substitution and CO₂ impact when reviewing suitable short-haul routes.</t>
  </si>
  <si>
    <t>Total CO₂ Emissions, kg:</t>
  </si>
  <si>
    <t>Avg Traveller Rating (1-5):</t>
  </si>
  <si>
    <t>Total CO₂ Emissions</t>
  </si>
  <si>
    <t>Air CO₂ Share</t>
  </si>
  <si>
    <t>Rail CO₂ Share</t>
  </si>
  <si>
    <t>2. July had the highest monthly emissions at 129.4k kg CO₂.</t>
  </si>
  <si>
    <t>3. Include CO₂ emissions alongside cost and trip volume when reviewing routes and travel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</si>
</sst>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yyyy\-mm\-dd"/>
    <numFmt numFmtId="165" formatCode="\£#,##0.00"/>
    <numFmt numFmtId="166" formatCode="0.0"/>
    <numFmt numFmtId="167" formatCode="_-[$£-809]* #,##0.00_-;\-[$£-809]* #,##0.00_-;_-[$£-809]* &quot;-&quot;??_-;_-@_-"/>
    <numFmt numFmtId="168" formatCode="_(* #,##0_);_(* \(#,##0\);_(* &quot;-&quot;??_);_(@_)"/>
    <numFmt numFmtId="169" formatCode="[$£-809]#,##0.00;\-[$£-809]#,##0.00"/>
    <numFmt numFmtId="170" formatCode="&quot;£&quot;#,##0.00"/>
  </numFmts>
  <fonts count="13">
    <font>
      <sz val="11"/>
      <name val="Carlito"/>
    </font>
    <font>
      <b/>
      <sz val="14"/>
      <color rgb="FFFFFFFF"/>
      <name val="Carlito"/>
    </font>
    <font>
      <b/>
      <sz val="11"/>
      <color rgb="FF17365D"/>
      <name val="Carlito"/>
    </font>
    <font>
      <b/>
      <sz val="11"/>
      <color rgb="FFFFFFFF"/>
      <name val="Carlito"/>
    </font>
    <font>
      <sz val="11"/>
      <name val="Carlito"/>
    </font>
    <font>
      <b/>
      <sz val="11"/>
      <name val="Carlito"/>
    </font>
    <font>
      <b/>
      <sz val="12"/>
      <name val="Carlito"/>
    </font>
    <font>
      <b/>
      <sz val="14"/>
      <name val="Carlito"/>
    </font>
    <font>
      <sz val="12"/>
      <name val="Carlito"/>
    </font>
    <font>
      <sz val="16"/>
      <name val="Carlito"/>
    </font>
    <font>
      <b/>
      <sz val="24"/>
      <name val="Carlito"/>
    </font>
    <font>
      <sz val="8"/>
      <name val="Carlito"/>
    </font>
    <font>
      <b/>
      <sz val="18"/>
      <name val="Carlito"/>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theme="4" tint="0.79998168889431442"/>
        <bgColor indexed="64"/>
      </patternFill>
    </fill>
  </fills>
  <borders count="1">
    <border>
      <left/>
      <right/>
      <top/>
      <bottom/>
      <diagonal/>
    </border>
  </borders>
  <cellStyleXfs count="4">
    <xf numFmtId="0" fontId="0" fillId="0" borderId="0"/>
    <xf numFmtId="43"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cellStyleXfs>
  <cellXfs count="60">
    <xf numFmtId="0" fontId="0" fillId="0" borderId="0" xfId="0"/>
    <xf numFmtId="0" fontId="0" fillId="0" borderId="0" xfId="0" applyAlignment="1">
      <alignment wrapText="1"/>
    </xf>
    <xf numFmtId="0" fontId="3" fillId="2" borderId="0" xfId="0" applyFont="1" applyFill="1"/>
    <xf numFmtId="164" fontId="0" fillId="0" borderId="0" xfId="0" applyNumberFormat="1"/>
    <xf numFmtId="165" fontId="0" fillId="0" borderId="0" xfId="0" applyNumberFormat="1"/>
    <xf numFmtId="166" fontId="0" fillId="0" borderId="0" xfId="0" applyNumberFormat="1"/>
    <xf numFmtId="0" fontId="0" fillId="0" borderId="0" xfId="0">
      <extLst>
        <ext xmlns:xfpb="http://schemas.microsoft.com/office/spreadsheetml/2022/featurepropertybag" uri="{C7286773-470A-42A8-94C5-96B5CB345126}">
          <xfpb:xfComplement i="0"/>
        </ext>
      </extLst>
    </xf>
    <xf numFmtId="0" fontId="3" fillId="2" borderId="0" xfId="0" applyFont="1" applyFill="1" applyAlignment="1">
      <alignment wrapText="1"/>
    </xf>
    <xf numFmtId="0" fontId="3" fillId="4" borderId="0" xfId="0" applyFont="1" applyFill="1"/>
    <xf numFmtId="0" fontId="3" fillId="4" borderId="0" xfId="0" applyFont="1" applyFill="1" applyAlignment="1">
      <alignment wrapText="1"/>
    </xf>
    <xf numFmtId="0" fontId="2" fillId="5" borderId="0" xfId="0" applyFont="1" applyFill="1" applyAlignment="1">
      <alignment wrapText="1"/>
    </xf>
    <xf numFmtId="49" fontId="3" fillId="2" borderId="0" xfId="0" applyNumberFormat="1" applyFont="1" applyFill="1"/>
    <xf numFmtId="14" fontId="3" fillId="2" borderId="0" xfId="0" applyNumberFormat="1" applyFont="1" applyFill="1"/>
    <xf numFmtId="167" fontId="3" fillId="2" borderId="0" xfId="0" applyNumberFormat="1" applyFont="1" applyFill="1"/>
    <xf numFmtId="167" fontId="0" fillId="0" borderId="0" xfId="0" applyNumberFormat="1"/>
    <xf numFmtId="14" fontId="0" fillId="0" borderId="0" xfId="0" applyNumberFormat="1"/>
    <xf numFmtId="49" fontId="0" fillId="0" borderId="0" xfId="0" applyNumberFormat="1"/>
    <xf numFmtId="168" fontId="3" fillId="2" borderId="0" xfId="1" applyNumberFormat="1" applyFont="1" applyFill="1"/>
    <xf numFmtId="168" fontId="0" fillId="0" borderId="0" xfId="1" applyNumberFormat="1" applyFont="1"/>
    <xf numFmtId="166" fontId="3" fillId="2" borderId="0" xfId="0" applyNumberFormat="1" applyFont="1" applyFill="1"/>
    <xf numFmtId="1" fontId="3" fillId="2" borderId="0" xfId="0" applyNumberFormat="1" applyFont="1" applyFill="1"/>
    <xf numFmtId="1" fontId="0" fillId="0" borderId="0" xfId="0" applyNumberFormat="1"/>
    <xf numFmtId="44" fontId="3" fillId="2" borderId="0" xfId="0" applyNumberFormat="1" applyFont="1" applyFill="1"/>
    <xf numFmtId="44" fontId="0" fillId="0" borderId="0" xfId="0" applyNumberFormat="1"/>
    <xf numFmtId="49" fontId="3" fillId="4" borderId="0" xfId="0" applyNumberFormat="1" applyFont="1" applyFill="1"/>
    <xf numFmtId="0" fontId="0" fillId="0" borderId="0" xfId="0" pivotButton="1"/>
    <xf numFmtId="0" fontId="0" fillId="0" borderId="0" xfId="0" applyAlignment="1">
      <alignment horizontal="left"/>
    </xf>
    <xf numFmtId="169" fontId="0" fillId="0" borderId="0" xfId="0" applyNumberFormat="1"/>
    <xf numFmtId="0" fontId="5" fillId="0" borderId="0" xfId="0" applyFont="1"/>
    <xf numFmtId="167" fontId="0" fillId="0" borderId="0" xfId="1" applyNumberFormat="1" applyFont="1"/>
    <xf numFmtId="10" fontId="0" fillId="0" borderId="0" xfId="0" applyNumberFormat="1"/>
    <xf numFmtId="9" fontId="0" fillId="0" borderId="0" xfId="2" applyFont="1"/>
    <xf numFmtId="0" fontId="0" fillId="0" borderId="0" xfId="0" applyAlignment="1">
      <alignment horizontal="center"/>
    </xf>
    <xf numFmtId="0" fontId="6" fillId="0" borderId="0" xfId="0" applyFont="1" applyAlignment="1">
      <alignment horizontal="center"/>
    </xf>
    <xf numFmtId="0" fontId="8" fillId="0" borderId="0" xfId="0" applyFont="1" applyAlignment="1">
      <alignment horizontal="center"/>
    </xf>
    <xf numFmtId="170" fontId="8" fillId="0" borderId="0" xfId="0" applyNumberFormat="1" applyFont="1" applyAlignment="1">
      <alignment horizontal="center"/>
    </xf>
    <xf numFmtId="0" fontId="6" fillId="0" borderId="0" xfId="0" applyFont="1"/>
    <xf numFmtId="0" fontId="5" fillId="0" borderId="0" xfId="0" applyFont="1" applyAlignment="1">
      <alignment horizontal="left"/>
    </xf>
    <xf numFmtId="9" fontId="6" fillId="0" borderId="0" xfId="2" applyFont="1"/>
    <xf numFmtId="43" fontId="0" fillId="0" borderId="0" xfId="0" applyNumberFormat="1"/>
    <xf numFmtId="10" fontId="5" fillId="0" borderId="0" xfId="0" applyNumberFormat="1" applyFont="1"/>
    <xf numFmtId="43" fontId="0" fillId="0" borderId="0" xfId="1" applyFont="1"/>
    <xf numFmtId="170" fontId="0" fillId="0" borderId="0" xfId="0" applyNumberFormat="1"/>
    <xf numFmtId="17" fontId="0" fillId="0" borderId="0" xfId="0" applyNumberFormat="1"/>
    <xf numFmtId="0" fontId="0" fillId="0" borderId="0" xfId="0" quotePrefix="1" applyAlignment="1">
      <alignment wrapText="1"/>
    </xf>
    <xf numFmtId="170" fontId="0" fillId="0" borderId="0" xfId="3" applyNumberFormat="1" applyFont="1"/>
    <xf numFmtId="0" fontId="12" fillId="0" borderId="0" xfId="0" applyFont="1"/>
    <xf numFmtId="10" fontId="0" fillId="0" borderId="0" xfId="2" applyNumberFormat="1" applyFont="1"/>
    <xf numFmtId="0" fontId="10" fillId="6" borderId="0" xfId="0" applyFont="1" applyFill="1" applyAlignment="1">
      <alignment horizontal="center"/>
    </xf>
    <xf numFmtId="0" fontId="9" fillId="0" borderId="0" xfId="0" applyFont="1" applyAlignment="1">
      <alignment horizontal="center" vertical="center"/>
    </xf>
    <xf numFmtId="0" fontId="1" fillId="2" borderId="0" xfId="0" applyFont="1" applyFill="1" applyAlignment="1">
      <alignment wrapText="1"/>
    </xf>
    <xf numFmtId="0" fontId="2" fillId="3" borderId="0" xfId="0" applyFont="1" applyFill="1" applyAlignment="1">
      <alignment wrapText="1"/>
    </xf>
    <xf numFmtId="0" fontId="6" fillId="0" borderId="0" xfId="0" applyFont="1" applyAlignment="1">
      <alignment horizontal="center"/>
    </xf>
    <xf numFmtId="0" fontId="7" fillId="0" borderId="0" xfId="0" applyFont="1" applyAlignment="1">
      <alignment horizontal="left"/>
    </xf>
    <xf numFmtId="0" fontId="9" fillId="0" borderId="0" xfId="0" applyFont="1" applyAlignment="1">
      <alignment horizontal="center"/>
    </xf>
    <xf numFmtId="0" fontId="7" fillId="0" borderId="0" xfId="0" applyFont="1" applyAlignment="1">
      <alignment horizontal="center"/>
    </xf>
    <xf numFmtId="0" fontId="6" fillId="0" borderId="0" xfId="0" applyFont="1" applyAlignment="1">
      <alignment horizontal="center" wrapText="1"/>
    </xf>
    <xf numFmtId="0" fontId="0" fillId="0" borderId="0" xfId="0" applyAlignment="1">
      <alignment horizontal="center"/>
    </xf>
    <xf numFmtId="0" fontId="5" fillId="0" borderId="0" xfId="0" applyFont="1" applyAlignment="1">
      <alignment horizontal="center"/>
    </xf>
    <xf numFmtId="0" fontId="5" fillId="0" borderId="0" xfId="0" applyFont="1" applyAlignment="1">
      <alignment wrapText="1"/>
    </xf>
  </cellXfs>
  <cellStyles count="4">
    <cellStyle name="Comma" xfId="1" builtinId="3"/>
    <cellStyle name="Currency" xfId="3" builtinId="4"/>
    <cellStyle name="Normal" xfId="0" builtinId="0"/>
    <cellStyle name="Per cent" xfId="2" builtinId="5"/>
  </cellStyles>
  <dxfs count="56">
    <dxf>
      <font>
        <color rgb="FF9C0006"/>
      </font>
      <fill>
        <patternFill>
          <bgColor rgb="FFFFC7CE"/>
        </patternFill>
      </fill>
    </dxf>
    <dxf>
      <numFmt numFmtId="0" formatCode="General"/>
    </dxf>
    <dxf>
      <numFmt numFmtId="35" formatCode="_(* #,##0.00_);_(* \(#,##0.00\);_(* &quot;-&quot;??_);_(@_)"/>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6" formatCode="0.0"/>
    </dxf>
    <dxf>
      <numFmt numFmtId="166" formatCode="0.0"/>
    </dxf>
    <dxf>
      <numFmt numFmtId="166" formatCode="0.0"/>
    </dxf>
    <dxf>
      <numFmt numFmtId="1" formatCode="0"/>
    </dxf>
    <dxf>
      <numFmt numFmtId="0" formatCode="General"/>
    </dxf>
    <dxf>
      <numFmt numFmtId="30" formatCode="@"/>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34" formatCode="_(&quot;£&quot;* #,##0.00_);_(&quot;£&quot;* \(#,##0.00\);_(&quot;£&quot;* &quot;-&quot;??_);_(@_)"/>
    </dxf>
    <dxf>
      <numFmt numFmtId="167" formatCode="_-[$£-809]* #,##0.00_-;\-[$£-809]* #,##0.00_-;_-[$£-809]* &quot;-&quot;??_-;_-@_-"/>
    </dxf>
    <dxf>
      <numFmt numFmtId="30" formatCode="@"/>
    </dxf>
    <dxf>
      <numFmt numFmtId="30" formatCode="@"/>
    </dxf>
    <dxf>
      <numFmt numFmtId="167" formatCode="_-[$£-809]* #,##0.00_-;\-[$£-809]* #,##0.00_-;_-[$£-809]* &quot;-&quot;??_-;_-@_-"/>
    </dxf>
    <dxf>
      <numFmt numFmtId="167" formatCode="_-[$£-809]* #,##0.00_-;\-[$£-809]* #,##0.00_-;_-[$£-809]* &quot;-&quot;??_-;_-@_-"/>
    </dxf>
    <dxf>
      <numFmt numFmtId="167" formatCode="_-[$£-809]* #,##0.00_-;\-[$£-809]* #,##0.00_-;_-[$£-809]* &quot;-&quot;??_-;_-@_-"/>
    </dxf>
    <dxf>
      <numFmt numFmtId="167" formatCode="_-[$£-809]* #,##0.00_-;\-[$£-809]* #,##0.00_-;_-[$£-809]* &quot;-&quot;??_-;_-@_-"/>
    </dxf>
    <dxf>
      <numFmt numFmtId="1" formatCode="0"/>
    </dxf>
    <dxf>
      <numFmt numFmtId="167" formatCode="_-[$£-809]* #,##0.00_-;\-[$£-809]* #,##0.00_-;_-[$£-809]* &quot;-&quot;??_-;_-@_-"/>
    </dxf>
    <dxf>
      <numFmt numFmtId="167" formatCode="_-[$£-809]* #,##0.00_-;\-[$£-809]* #,##0.00_-;_-[$£-809]* &quot;-&quot;??_-;_-@_-"/>
    </dxf>
    <dxf>
      <numFmt numFmtId="0" formatCode="General"/>
    </dxf>
    <dxf>
      <numFmt numFmtId="30" formatCode="@"/>
    </dxf>
    <dxf>
      <numFmt numFmtId="30" formatCode="@"/>
    </dxf>
    <dxf>
      <numFmt numFmtId="30" formatCode="@"/>
    </dxf>
    <dxf>
      <numFmt numFmtId="1" formatCode="0"/>
    </dxf>
    <dxf>
      <numFmt numFmtId="1" formatCode="0"/>
    </dxf>
    <dxf>
      <numFmt numFmtId="168" formatCode="_(* #,##0_);_(* \(#,##0\);_(* &quot;-&quot;??_);_(@_)"/>
    </dxf>
    <dxf>
      <numFmt numFmtId="30" formatCode="@"/>
    </dxf>
    <dxf>
      <numFmt numFmtId="30" formatCode="@"/>
    </dxf>
    <dxf>
      <numFmt numFmtId="30" formatCode="@"/>
    </dxf>
    <dxf>
      <numFmt numFmtId="30" formatCode="@"/>
    </dxf>
    <dxf>
      <numFmt numFmtId="19" formatCode="dd/mm/yyyy"/>
    </dxf>
    <dxf>
      <numFmt numFmtId="19" formatCode="dd/mm/yyyy"/>
    </dxf>
    <dxf>
      <numFmt numFmtId="19" formatCode="dd/mm/yyyy"/>
    </dxf>
    <dxf>
      <numFmt numFmtId="19" formatCode="dd/mm/yyyy"/>
    </dxf>
    <dxf>
      <numFmt numFmtId="30" formatCode="@"/>
    </dxf>
    <dxf>
      <numFmt numFmtId="30" formatCode="@"/>
    </dxf>
    <dxf>
      <numFmt numFmtId="30" formatCode="@"/>
    </dxf>
    <dxf>
      <numFmt numFmtId="30" formatCode="@"/>
    </dxf>
    <dxf>
      <numFmt numFmtId="30" formatCode="@"/>
    </dxf>
    <dxf>
      <numFmt numFmtId="30" formatCode="@"/>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1"/>
        <color auto="1"/>
        <name val="Carlito"/>
        <scheme val="none"/>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Ko" refreshedDate="46259.633922222223" createdVersion="8" refreshedVersion="8" minRefreshableVersion="3" recordCount="582" xr:uid="{318DF258-4AC5-0143-8961-B5C6F1A38F91}">
  <cacheSource type="worksheet">
    <worksheetSource name="Trips_Table"/>
  </cacheSource>
  <cacheFields count="46">
    <cacheField name="trip_id" numFmtId="49">
      <sharedItems/>
    </cacheField>
    <cacheField name="employee_id" numFmtId="49">
      <sharedItems/>
    </cacheField>
    <cacheField name="home_office" numFmtId="49">
      <sharedItems/>
    </cacheField>
    <cacheField name="department" numFmtId="49">
      <sharedItems count="6">
        <s v="Technology"/>
        <s v="Audit &amp; Assurance"/>
        <s v="Corporate Functions"/>
        <s v="Risk Advisory"/>
        <s v="Tax &amp; Legal"/>
        <s v="Consulting"/>
      </sharedItems>
    </cacheField>
    <cacheField name="grade" numFmtId="49">
      <sharedItems/>
    </cacheField>
    <cacheField name="trip_purpose" numFmtId="49">
      <sharedItems/>
    </cacheField>
    <cacheField name="booking_date" numFmtId="14">
      <sharedItems containsSemiMixedTypes="0" containsNonDate="0" containsDate="1" containsString="0" minDate="2026-03-30T00:00:00" maxDate="2026-07-31T00:00:00"/>
    </cacheField>
    <cacheField name="departure_date" numFmtId="14">
      <sharedItems containsSemiMixedTypes="0" containsNonDate="0" containsDate="1" containsString="0" minDate="2026-05-01T00:00:00" maxDate="2026-08-01T00:00:00"/>
    </cacheField>
    <cacheField name="return_date" numFmtId="14">
      <sharedItems containsSemiMixedTypes="0" containsNonDate="0" containsDate="1" containsString="0" minDate="2026-05-04T00:00:00" maxDate="2026-08-06T00:00:00"/>
    </cacheField>
    <cacheField name="travel_month" numFmtId="14">
      <sharedItems count="3">
        <s v="2026-06"/>
        <s v="2026-07"/>
        <s v="2026-05"/>
      </sharedItems>
    </cacheField>
    <cacheField name="origin" numFmtId="49">
      <sharedItems/>
    </cacheField>
    <cacheField name="destination" numFmtId="0">
      <sharedItems count="24">
        <s v="Manchester"/>
        <s v="Frankfurt"/>
        <s v="Milan"/>
        <s v="Berlin"/>
        <s v="Zurich"/>
        <s v="Dubai"/>
        <s v="London"/>
        <s v="New York"/>
        <s v="Chicago"/>
        <s v="Dublin"/>
        <s v="Birmingham"/>
        <s v="Munich"/>
        <s v="Copenhagen"/>
        <s v="Hong Kong"/>
        <s v="Amsterdam"/>
        <s v="Brussels"/>
        <s v="Paris"/>
        <s v="Glasgow"/>
        <s v="Singapore"/>
        <s v="Madrid"/>
        <s v="Boston"/>
        <s v="Toronto"/>
        <s v="Edinburgh"/>
        <s v="Stockholm"/>
      </sharedItems>
    </cacheField>
    <cacheField name="trip_type" numFmtId="49">
      <sharedItems count="2">
        <s v="Domestic"/>
        <s v="International"/>
      </sharedItems>
    </cacheField>
    <cacheField name="travel_mode" numFmtId="49">
      <sharedItems count="2">
        <s v="Rail"/>
        <s v="Air"/>
      </sharedItems>
    </cacheField>
    <cacheField name="travel_class" numFmtId="0">
      <sharedItems/>
    </cacheField>
    <cacheField name="distance_km" numFmtId="168">
      <sharedItems containsSemiMixedTypes="0" containsString="0" containsNumber="1" containsInteger="1" minValue="300" maxValue="21584"/>
    </cacheField>
    <cacheField name="booking_lead_days" numFmtId="1">
      <sharedItems containsSemiMixedTypes="0" containsString="0" containsNumber="1" containsInteger="1" minValue="1" maxValue="43"/>
    </cacheField>
    <cacheField name="booking_lead_bucket" numFmtId="1">
      <sharedItems count="5">
        <s v="8-14 days"/>
        <s v="0-3 days"/>
        <s v="31+ days"/>
        <s v="15-30 days"/>
        <s v="4-7 days"/>
      </sharedItems>
    </cacheField>
    <cacheField name="booking_channel" numFmtId="49">
      <sharedItems count="4">
        <s v="Online Booking Tool"/>
        <s v="TMC Assisted"/>
        <s v="Other"/>
        <s v="Direct Supplier"/>
      </sharedItems>
    </cacheField>
    <cacheField name="airline_id" numFmtId="49">
      <sharedItems containsBlank="1"/>
    </cacheField>
    <cacheField name="hotel_id" numFmtId="49">
      <sharedItems containsBlank="1"/>
    </cacheField>
    <cacheField name="airfare_gbp" numFmtId="167">
      <sharedItems containsSemiMixedTypes="0" containsString="0" containsNumber="1" minValue="0" maxValue="2351.6999999999998"/>
    </cacheField>
    <cacheField name="rail_cost_gbp" numFmtId="167">
      <sharedItems containsSemiMixedTypes="0" containsString="0" containsNumber="1" minValue="0" maxValue="445.71"/>
    </cacheField>
    <cacheField name="hotel_nights" numFmtId="1">
      <sharedItems containsSemiMixedTypes="0" containsString="0" containsNumber="1" containsInteger="1" minValue="0" maxValue="8" count="9">
        <n v="2"/>
        <n v="3"/>
        <n v="1"/>
        <n v="4"/>
        <n v="5"/>
        <n v="0"/>
        <n v="8"/>
        <n v="6"/>
        <n v="7"/>
      </sharedItems>
    </cacheField>
    <cacheField name="hotel_cost_per_night" numFmtId="167">
      <sharedItems containsSemiMixedTypes="0" containsString="0" containsNumber="1" minValue="0" maxValue="285.73599999999999"/>
    </cacheField>
    <cacheField name="hotel_cost_gbp" numFmtId="167">
      <sharedItems containsSemiMixedTypes="0" containsString="0" containsNumber="1" minValue="0" maxValue="1744.42"/>
    </cacheField>
    <cacheField name="ground_transport_gbp" numFmtId="167">
      <sharedItems containsSemiMixedTypes="0" containsString="0" containsNumber="1" minValue="20" maxValue="159.07"/>
    </cacheField>
    <cacheField name="original_trip_cost_gbp" numFmtId="167">
      <sharedItems containsSemiMixedTypes="0" containsString="0" containsNumber="1" minValue="124.66" maxValue="3430.87"/>
    </cacheField>
    <cacheField name="changed_value_check" numFmtId="49">
      <sharedItems count="2">
        <s v="No"/>
        <s v="Yes"/>
      </sharedItems>
    </cacheField>
    <cacheField name="cancelled_value_check" numFmtId="49">
      <sharedItems count="2">
        <s v="No"/>
        <s v="Yes"/>
      </sharedItems>
    </cacheField>
    <cacheField name="total_change_cost_gbp" numFmtId="167">
      <sharedItems containsSemiMixedTypes="0" containsString="0" containsNumber="1" minValue="0" maxValue="363.85"/>
    </cacheField>
    <cacheField name="total_cancellation_fee_gbp" numFmtId="44">
      <sharedItems containsSemiMixedTypes="0" containsString="0" containsNumber="1" minValue="0" maxValue="176.35"/>
    </cacheField>
    <cacheField name="refund_received_gbp" numFmtId="167">
      <sharedItems containsSemiMixedTypes="0" containsString="0" containsNumber="1" minValue="0" maxValue="2104.83"/>
    </cacheField>
    <cacheField name="final_trip_cost_gbp" numFmtId="167">
      <sharedItems containsSemiMixedTypes="0" containsString="0" containsNumber="1" minValue="124.66" maxValue="3471.19"/>
    </cacheField>
    <cacheField name="hotel_rate_compliant_calc" numFmtId="167">
      <sharedItems count="3">
        <s v="Yes"/>
        <s v="No"/>
        <s v="N/A"/>
      </sharedItems>
    </cacheField>
    <cacheField name="hotel_supplier_compliant_calc" numFmtId="167">
      <sharedItems count="3">
        <s v="Yes"/>
        <s v="No"/>
        <s v="N/A"/>
      </sharedItems>
    </cacheField>
    <cacheField name="airline_compliant_calc" numFmtId="167">
      <sharedItems count="3">
        <s v="N/A"/>
        <s v="Yes"/>
        <s v="No"/>
      </sharedItems>
    </cacheField>
    <cacheField name="class_compliant_calc" numFmtId="167">
      <sharedItems count="2">
        <s v="Yes"/>
        <s v="No"/>
      </sharedItems>
    </cacheField>
    <cacheField name="channel_compliant_calc" numFmtId="167">
      <sharedItems count="2">
        <s v="Yes"/>
        <s v="No"/>
      </sharedItems>
    </cacheField>
    <cacheField name="supplier_compliant_calc" numFmtId="167">
      <sharedItems/>
    </cacheField>
    <cacheField name="policy_compliant_value_check" numFmtId="49">
      <sharedItems count="2">
        <s v="Yes"/>
        <s v="No"/>
      </sharedItems>
    </cacheField>
    <cacheField name="policy_compliant_calc" numFmtId="0">
      <sharedItems count="2">
        <s v="Yes"/>
        <s v="No"/>
      </sharedItems>
    </cacheField>
    <cacheField name="csat_score_check" numFmtId="1">
      <sharedItems containsSemiMixedTypes="0" containsString="0" containsNumber="1" containsInteger="1" minValue="2" maxValue="5"/>
    </cacheField>
    <cacheField name="co2_kg" numFmtId="166">
      <sharedItems containsSemiMixedTypes="0" containsString="0" containsNumber="1" minValue="12" maxValue="3237.6"/>
    </cacheField>
    <cacheField name="airline_name" numFmtId="166">
      <sharedItems count="11">
        <s v=""/>
        <s v="British Airways"/>
        <s v="Air France"/>
        <s v="Lufthansa"/>
        <s v="easyJet"/>
        <s v="Virgin Atlantic"/>
        <s v="Aer Lingus"/>
        <s v="KLM"/>
        <s v="United Airlines"/>
        <s v="Ryanair"/>
        <s v="Emirates"/>
      </sharedItems>
    </cacheField>
    <cacheField name="hotel_name" numFmtId="166">
      <sharedItems count="8">
        <s v="Premier Inn"/>
        <s v="Hilton"/>
        <s v="Marriott"/>
        <s v="Accor"/>
        <s v="IHG Hotels &amp; Resorts"/>
        <s v="Radisson Hotel Group"/>
        <s v="Travelodge"/>
        <s v=""/>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Ko" refreshedDate="46259.650179629629" createdVersion="8" refreshedVersion="8" minRefreshableVersion="3" recordCount="100" xr:uid="{9F2063BC-2B14-8643-A34B-AB153E18BF5A}">
  <cacheSource type="worksheet">
    <worksheetSource name="TripChangesTable"/>
  </cacheSource>
  <cacheFields count="6">
    <cacheField name="change_id" numFmtId="0">
      <sharedItems/>
    </cacheField>
    <cacheField name="trip_id" numFmtId="0">
      <sharedItems/>
    </cacheField>
    <cacheField name="change_date" numFmtId="164">
      <sharedItems containsSemiMixedTypes="0" containsNonDate="0" containsDate="1" containsString="0" minDate="2026-04-18T00:00:00" maxDate="2026-07-31T00:00:00"/>
    </cacheField>
    <cacheField name="change_type" numFmtId="0">
      <sharedItems count="5">
        <s v="Flight rebooking"/>
        <s v="Date change"/>
        <s v="Hotel amendment"/>
        <s v="Rail rebooking"/>
        <s v="Traveller name/detail correction"/>
      </sharedItems>
    </cacheField>
    <cacheField name="change_cost_gbp" numFmtId="165">
      <sharedItems containsSemiMixedTypes="0" containsString="0" containsNumber="1" minValue="15" maxValue="236.28"/>
    </cacheField>
    <cacheField name="change_reason" numFmtId="0">
      <sharedItems count="5">
        <s v="Operational disruption"/>
        <s v="Traveller request"/>
        <s v="Personal reason"/>
        <s v="Client schedule change"/>
        <s v="Project schedule chang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Ko" refreshedDate="46259.655746875003" createdVersion="8" refreshedVersion="8" minRefreshableVersion="3" recordCount="36" xr:uid="{894AE708-5D7C-7F45-8FF4-4EE9B442C84E}">
  <cacheSource type="worksheet">
    <worksheetSource name="TripCancellationsTable"/>
  </cacheSource>
  <cacheFields count="6">
    <cacheField name="cancellation_id" numFmtId="0">
      <sharedItems/>
    </cacheField>
    <cacheField name="trip_id" numFmtId="0">
      <sharedItems/>
    </cacheField>
    <cacheField name="cancellation_date" numFmtId="164">
      <sharedItems containsSemiMixedTypes="0" containsNonDate="0" containsDate="1" containsString="0" minDate="2026-04-23T00:00:00" maxDate="2026-07-24T00:00:00"/>
    </cacheField>
    <cacheField name="cancellation_reason" numFmtId="0">
      <sharedItems count="6">
        <s v="Project schedule changed"/>
        <s v="Client meeting cancelled"/>
        <s v="Business priority changed"/>
        <s v="Event cancelled"/>
        <s v="Travel restriction"/>
        <s v="Traveller illness"/>
      </sharedItems>
    </cacheField>
    <cacheField name="cancellation_fee_gbp" numFmtId="165">
      <sharedItems containsSemiMixedTypes="0" containsString="0" containsNumber="1" minValue="4.41" maxValue="176.35"/>
    </cacheField>
    <cacheField name="refund_received_gbp" numFmtId="165">
      <sharedItems containsSemiMixedTypes="0" containsString="0" containsNumber="1" minValue="0" maxValue="2104.8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Ko" refreshedDate="46259.661224537034" createdVersion="8" refreshedVersion="8" minRefreshableVersion="3" recordCount="239" xr:uid="{C6FB5A37-F94D-9F45-A894-2A64B30F91EB}">
  <cacheSource type="worksheet">
    <worksheetSource name="TravellerFeedbackTable"/>
  </cacheSource>
  <cacheFields count="11">
    <cacheField name="feedback_id" numFmtId="0">
      <sharedItems/>
    </cacheField>
    <cacheField name="trip_id" numFmtId="0">
      <sharedItems/>
    </cacheField>
    <cacheField name="employee_id" numFmtId="0">
      <sharedItems/>
    </cacheField>
    <cacheField name="feedback_date" numFmtId="164">
      <sharedItems containsSemiMixedTypes="0" containsNonDate="0" containsDate="1" containsString="0" minDate="2026-05-07T00:00:00" maxDate="2026-08-10T00:00:00" count="92">
        <d v="2026-08-05T00:00:00"/>
        <d v="2026-07-11T00:00:00"/>
        <d v="2026-06-06T00:00:00"/>
        <d v="2026-08-02T00:00:00"/>
        <d v="2026-06-09T00:00:00"/>
        <d v="2026-06-10T00:00:00"/>
        <d v="2026-07-23T00:00:00"/>
        <d v="2026-06-18T00:00:00"/>
        <d v="2026-06-25T00:00:00"/>
        <d v="2026-05-08T00:00:00"/>
        <d v="2026-05-24T00:00:00"/>
        <d v="2026-06-21T00:00:00"/>
        <d v="2026-07-14T00:00:00"/>
        <d v="2026-05-07T00:00:00"/>
        <d v="2026-06-04T00:00:00"/>
        <d v="2026-06-24T00:00:00"/>
        <d v="2026-07-20T00:00:00"/>
        <d v="2026-06-08T00:00:00"/>
        <d v="2026-06-27T00:00:00"/>
        <d v="2026-06-28T00:00:00"/>
        <d v="2026-07-28T00:00:00"/>
        <d v="2026-07-24T00:00:00"/>
        <d v="2026-07-06T00:00:00"/>
        <d v="2026-08-04T00:00:00"/>
        <d v="2026-05-10T00:00:00"/>
        <d v="2026-07-12T00:00:00"/>
        <d v="2026-07-19T00:00:00"/>
        <d v="2026-06-03T00:00:00"/>
        <d v="2026-05-11T00:00:00"/>
        <d v="2026-07-21T00:00:00"/>
        <d v="2026-07-27T00:00:00"/>
        <d v="2026-07-02T00:00:00"/>
        <d v="2026-07-31T00:00:00"/>
        <d v="2026-05-29T00:00:00"/>
        <d v="2026-05-22T00:00:00"/>
        <d v="2026-07-29T00:00:00"/>
        <d v="2026-05-19T00:00:00"/>
        <d v="2026-06-16T00:00:00"/>
        <d v="2026-05-31T00:00:00"/>
        <d v="2026-06-20T00:00:00"/>
        <d v="2026-07-10T00:00:00"/>
        <d v="2026-06-11T00:00:00"/>
        <d v="2026-08-03T00:00:00"/>
        <d v="2026-07-04T00:00:00"/>
        <d v="2026-08-08T00:00:00"/>
        <d v="2026-06-17T00:00:00"/>
        <d v="2026-07-17T00:00:00"/>
        <d v="2026-07-26T00:00:00"/>
        <d v="2026-08-09T00:00:00"/>
        <d v="2026-06-14T00:00:00"/>
        <d v="2026-05-13T00:00:00"/>
        <d v="2026-05-30T00:00:00"/>
        <d v="2026-06-30T00:00:00"/>
        <d v="2026-07-22T00:00:00"/>
        <d v="2026-06-01T00:00:00"/>
        <d v="2026-06-19T00:00:00"/>
        <d v="2026-07-09T00:00:00"/>
        <d v="2026-06-22T00:00:00"/>
        <d v="2026-07-08T00:00:00"/>
        <d v="2026-07-03T00:00:00"/>
        <d v="2026-05-26T00:00:00"/>
        <d v="2026-08-06T00:00:00"/>
        <d v="2026-05-12T00:00:00"/>
        <d v="2026-06-12T00:00:00"/>
        <d v="2026-06-26T00:00:00"/>
        <d v="2026-05-09T00:00:00"/>
        <d v="2026-07-01T00:00:00"/>
        <d v="2026-05-17T00:00:00"/>
        <d v="2026-06-29T00:00:00"/>
        <d v="2026-06-13T00:00:00"/>
        <d v="2026-07-05T00:00:00"/>
        <d v="2026-05-28T00:00:00"/>
        <d v="2026-05-18T00:00:00"/>
        <d v="2026-05-25T00:00:00"/>
        <d v="2026-06-02T00:00:00"/>
        <d v="2026-07-15T00:00:00"/>
        <d v="2026-06-23T00:00:00"/>
        <d v="2026-05-23T00:00:00"/>
        <d v="2026-05-27T00:00:00"/>
        <d v="2026-08-01T00:00:00"/>
        <d v="2026-07-18T00:00:00"/>
        <d v="2026-06-15T00:00:00"/>
        <d v="2026-05-16T00:00:00"/>
        <d v="2026-05-21T00:00:00"/>
        <d v="2026-05-14T00:00:00"/>
        <d v="2026-07-16T00:00:00"/>
        <d v="2026-05-15T00:00:00"/>
        <d v="2026-07-13T00:00:00"/>
        <d v="2026-07-07T00:00:00"/>
        <d v="2026-06-05T00:00:00"/>
        <d v="2026-05-20T00:00:00"/>
        <d v="2026-07-25T00:00:00"/>
      </sharedItems>
      <fieldGroup par="10"/>
    </cacheField>
    <cacheField name="overall_trip_rating" numFmtId="0">
      <sharedItems containsSemiMixedTypes="0" containsString="0" containsNumber="1" containsInteger="1" minValue="1" maxValue="5" count="5">
        <n v="1"/>
        <n v="4"/>
        <n v="5"/>
        <n v="3"/>
        <n v="2"/>
      </sharedItems>
    </cacheField>
    <cacheField name="booking_experience_rating" numFmtId="0">
      <sharedItems containsSemiMixedTypes="0" containsString="0" containsNumber="1" containsInteger="1" minValue="1" maxValue="5"/>
    </cacheField>
    <cacheField name="travel_support_rating" numFmtId="0">
      <sharedItems containsSemiMixedTypes="0" containsString="0" containsNumber="1" containsInteger="1" minValue="1" maxValue="5"/>
    </cacheField>
    <cacheField name="supplier_rating" numFmtId="0">
      <sharedItems containsSemiMixedTypes="0" containsString="0" containsNumber="1" containsInteger="1" minValue="1" maxValue="5"/>
    </cacheField>
    <cacheField name="free_text_comment" numFmtId="0">
      <sharedItems containsBlank="1"/>
    </cacheField>
    <cacheField name="Days (feedback_date)" numFmtId="0" databaseField="0">
      <fieldGroup base="3">
        <rangePr groupBy="days" startDate="2026-05-07T00:00:00" endDate="2026-08-10T00:00:00"/>
        <groupItems count="368">
          <s v="&lt;07/05/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0/08/2026"/>
        </groupItems>
      </fieldGroup>
    </cacheField>
    <cacheField name="Months (feedback_date)" numFmtId="0" databaseField="0">
      <fieldGroup base="3">
        <rangePr groupBy="months" startDate="2026-05-07T00:00:00" endDate="2026-08-10T00:00:00"/>
        <groupItems count="14">
          <s v="&lt;07/05/2026"/>
          <s v="Jan"/>
          <s v="Feb"/>
          <s v="Mar"/>
          <s v="Apr"/>
          <s v="May"/>
          <s v="Jun"/>
          <s v="Jul"/>
          <s v="Aug"/>
          <s v="Sep"/>
          <s v="Oct"/>
          <s v="Nov"/>
          <s v="Dec"/>
          <s v="&gt;10/08/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2">
  <r>
    <s v="T00001"/>
    <s v="E0001"/>
    <s v="Aberdeen"/>
    <x v="0"/>
    <s v="Senior Manager"/>
    <s v="Client meeting"/>
    <d v="2026-06-03T00:00:00"/>
    <d v="2026-06-16T00:00:00"/>
    <d v="2026-06-19T00:00:00"/>
    <x v="0"/>
    <s v="Aberdeen"/>
    <x v="0"/>
    <x v="0"/>
    <x v="0"/>
    <s v="Standard / 2nd Class"/>
    <n v="1010"/>
    <n v="13"/>
    <x v="0"/>
    <x v="0"/>
    <m/>
    <s v="H06"/>
    <n v="0"/>
    <n v="182.55"/>
    <x v="0"/>
    <n v="163.83500000000001"/>
    <n v="327.67"/>
    <n v="56.62"/>
    <n v="566.84"/>
    <x v="0"/>
    <x v="0"/>
    <n v="0"/>
    <n v="0"/>
    <n v="0"/>
    <n v="566.84"/>
    <x v="0"/>
    <x v="0"/>
    <x v="0"/>
    <x v="0"/>
    <x v="0"/>
    <s v="Yes"/>
    <x v="0"/>
    <x v="0"/>
    <n v="5"/>
    <n v="40.4"/>
    <x v="0"/>
    <x v="0"/>
  </r>
  <r>
    <s v="T00002"/>
    <s v="E0001"/>
    <s v="Aberdeen"/>
    <x v="0"/>
    <s v="Senior Manager"/>
    <s v="Client meeting"/>
    <d v="2026-07-21T00:00:00"/>
    <d v="2026-07-23T00:00:00"/>
    <d v="2026-07-27T00:00:00"/>
    <x v="1"/>
    <s v="Aberdeen"/>
    <x v="1"/>
    <x v="1"/>
    <x v="1"/>
    <s v="Economy"/>
    <n v="1390"/>
    <n v="2"/>
    <x v="1"/>
    <x v="0"/>
    <s v="A01"/>
    <s v="H02"/>
    <n v="480.08"/>
    <n v="0"/>
    <x v="1"/>
    <n v="187.09"/>
    <n v="561.27"/>
    <n v="59"/>
    <n v="1100.3499999999999"/>
    <x v="0"/>
    <x v="0"/>
    <n v="0"/>
    <n v="0"/>
    <n v="0"/>
    <n v="1100.3499999999999"/>
    <x v="1"/>
    <x v="0"/>
    <x v="1"/>
    <x v="0"/>
    <x v="0"/>
    <s v="Yes"/>
    <x v="0"/>
    <x v="1"/>
    <n v="4"/>
    <n v="208.5"/>
    <x v="1"/>
    <x v="1"/>
  </r>
  <r>
    <s v="T00003"/>
    <s v="E0001"/>
    <s v="Aberdeen"/>
    <x v="0"/>
    <s v="Senior Manager"/>
    <s v="Internal meeting"/>
    <d v="2026-05-27T00:00:00"/>
    <d v="2026-06-05T00:00:00"/>
    <d v="2026-06-09T00:00:00"/>
    <x v="0"/>
    <s v="Aberdeen"/>
    <x v="2"/>
    <x v="1"/>
    <x v="1"/>
    <s v="Economy"/>
    <n v="1900"/>
    <n v="9"/>
    <x v="0"/>
    <x v="1"/>
    <s v="A05"/>
    <s v="H02"/>
    <n v="416.18"/>
    <n v="0"/>
    <x v="1"/>
    <n v="212.51999999999998"/>
    <n v="637.55999999999995"/>
    <n v="140.94"/>
    <n v="1194.68"/>
    <x v="0"/>
    <x v="0"/>
    <n v="0"/>
    <n v="0"/>
    <n v="0"/>
    <n v="1194.68"/>
    <x v="1"/>
    <x v="0"/>
    <x v="1"/>
    <x v="0"/>
    <x v="0"/>
    <s v="Yes"/>
    <x v="0"/>
    <x v="1"/>
    <n v="5"/>
    <n v="285"/>
    <x v="2"/>
    <x v="1"/>
  </r>
  <r>
    <s v="T00004"/>
    <s v="E0001"/>
    <s v="Aberdeen"/>
    <x v="0"/>
    <s v="Senior Manager"/>
    <s v="Project work"/>
    <d v="2026-04-27T00:00:00"/>
    <d v="2026-05-11T00:00:00"/>
    <d v="2026-05-13T00:00:00"/>
    <x v="2"/>
    <s v="Aberdeen"/>
    <x v="1"/>
    <x v="1"/>
    <x v="1"/>
    <s v="Economy"/>
    <n v="1676"/>
    <n v="14"/>
    <x v="0"/>
    <x v="0"/>
    <s v="A01"/>
    <s v="H01"/>
    <n v="261.14999999999998"/>
    <n v="0"/>
    <x v="2"/>
    <n v="267.93"/>
    <n v="267.93"/>
    <n v="132.51"/>
    <n v="661.59"/>
    <x v="0"/>
    <x v="0"/>
    <n v="0"/>
    <n v="0"/>
    <n v="0"/>
    <n v="661.59"/>
    <x v="1"/>
    <x v="0"/>
    <x v="1"/>
    <x v="0"/>
    <x v="0"/>
    <s v="Yes"/>
    <x v="0"/>
    <x v="1"/>
    <n v="4"/>
    <n v="251.4"/>
    <x v="1"/>
    <x v="2"/>
  </r>
  <r>
    <s v="T00005"/>
    <s v="E0002"/>
    <s v="Reading"/>
    <x v="1"/>
    <s v="Manager"/>
    <s v="Conference / Event"/>
    <d v="2026-04-02T00:00:00"/>
    <d v="2026-05-04T00:00:00"/>
    <d v="2026-05-07T00:00:00"/>
    <x v="2"/>
    <s v="Reading"/>
    <x v="3"/>
    <x v="1"/>
    <x v="1"/>
    <s v="Economy"/>
    <n v="1146"/>
    <n v="32"/>
    <x v="2"/>
    <x v="1"/>
    <s v="A04"/>
    <s v="H04"/>
    <n v="502.93"/>
    <n v="0"/>
    <x v="0"/>
    <n v="138.55000000000001"/>
    <n v="277.10000000000002"/>
    <n v="65.55"/>
    <n v="845.58"/>
    <x v="0"/>
    <x v="0"/>
    <n v="0"/>
    <n v="0"/>
    <n v="0"/>
    <n v="845.58"/>
    <x v="0"/>
    <x v="0"/>
    <x v="1"/>
    <x v="0"/>
    <x v="0"/>
    <s v="Yes"/>
    <x v="0"/>
    <x v="0"/>
    <n v="5"/>
    <n v="171.9"/>
    <x v="3"/>
    <x v="3"/>
  </r>
  <r>
    <s v="T00006"/>
    <s v="E0002"/>
    <s v="Reading"/>
    <x v="1"/>
    <s v="Manager"/>
    <s v="Client meeting"/>
    <d v="2026-05-11T00:00:00"/>
    <d v="2026-05-28T00:00:00"/>
    <d v="2026-06-01T00:00:00"/>
    <x v="2"/>
    <s v="Reading"/>
    <x v="4"/>
    <x v="1"/>
    <x v="1"/>
    <s v="Economy"/>
    <n v="2472"/>
    <n v="17"/>
    <x v="3"/>
    <x v="0"/>
    <s v="A02"/>
    <s v="H02"/>
    <n v="150"/>
    <n v="0"/>
    <x v="1"/>
    <n v="152.62666666666667"/>
    <n v="457.88"/>
    <n v="45.91"/>
    <n v="653.79"/>
    <x v="0"/>
    <x v="0"/>
    <n v="0"/>
    <n v="0"/>
    <n v="0"/>
    <n v="653.79"/>
    <x v="0"/>
    <x v="0"/>
    <x v="1"/>
    <x v="0"/>
    <x v="0"/>
    <s v="Yes"/>
    <x v="0"/>
    <x v="0"/>
    <n v="5"/>
    <n v="370.8"/>
    <x v="4"/>
    <x v="1"/>
  </r>
  <r>
    <s v="T00007"/>
    <s v="E0002"/>
    <s v="Reading"/>
    <x v="1"/>
    <s v="Manager"/>
    <s v="Team building"/>
    <d v="2026-07-05T00:00:00"/>
    <d v="2026-07-23T00:00:00"/>
    <d v="2026-07-28T00:00:00"/>
    <x v="1"/>
    <s v="Reading"/>
    <x v="5"/>
    <x v="1"/>
    <x v="1"/>
    <s v="Economy"/>
    <n v="16462"/>
    <n v="18"/>
    <x v="3"/>
    <x v="1"/>
    <s v="A01"/>
    <s v="H02"/>
    <n v="1520.77"/>
    <n v="0"/>
    <x v="3"/>
    <n v="258.375"/>
    <n v="1033.5"/>
    <n v="73.48"/>
    <n v="2627.75"/>
    <x v="0"/>
    <x v="0"/>
    <n v="0"/>
    <n v="0"/>
    <n v="0"/>
    <n v="2627.75"/>
    <x v="1"/>
    <x v="0"/>
    <x v="1"/>
    <x v="0"/>
    <x v="0"/>
    <s v="Yes"/>
    <x v="1"/>
    <x v="1"/>
    <n v="5"/>
    <n v="2469.3000000000002"/>
    <x v="1"/>
    <x v="1"/>
  </r>
  <r>
    <s v="T00008"/>
    <s v="E0002"/>
    <s v="Reading"/>
    <x v="1"/>
    <s v="Manager"/>
    <s v="Recruitment / Interview"/>
    <d v="2026-06-20T00:00:00"/>
    <d v="2026-06-30T00:00:00"/>
    <d v="2026-07-02T00:00:00"/>
    <x v="0"/>
    <s v="Reading"/>
    <x v="6"/>
    <x v="0"/>
    <x v="0"/>
    <s v="Standard / 2nd Class"/>
    <n v="512"/>
    <n v="10"/>
    <x v="0"/>
    <x v="0"/>
    <m/>
    <s v="H02"/>
    <n v="0"/>
    <n v="200.83"/>
    <x v="2"/>
    <n v="133.25"/>
    <n v="133.25"/>
    <n v="26.45"/>
    <n v="360.53"/>
    <x v="0"/>
    <x v="0"/>
    <n v="0"/>
    <n v="0"/>
    <n v="0"/>
    <n v="360.53"/>
    <x v="0"/>
    <x v="0"/>
    <x v="0"/>
    <x v="0"/>
    <x v="0"/>
    <s v="Yes"/>
    <x v="0"/>
    <x v="0"/>
    <n v="4"/>
    <n v="20.5"/>
    <x v="0"/>
    <x v="1"/>
  </r>
  <r>
    <s v="T00009"/>
    <s v="E0003"/>
    <s v="Manchester"/>
    <x v="0"/>
    <s v="Senior Manager"/>
    <s v="Recruitment / Interview"/>
    <d v="2026-05-18T00:00:00"/>
    <d v="2026-06-11T00:00:00"/>
    <d v="2026-06-13T00:00:00"/>
    <x v="0"/>
    <s v="Manchester"/>
    <x v="7"/>
    <x v="1"/>
    <x v="1"/>
    <s v="Premium Economy"/>
    <n v="12978"/>
    <n v="24"/>
    <x v="3"/>
    <x v="0"/>
    <s v="A07"/>
    <s v="H03"/>
    <n v="520"/>
    <n v="0"/>
    <x v="2"/>
    <n v="208.72"/>
    <n v="208.72"/>
    <n v="74.62"/>
    <n v="803.34"/>
    <x v="0"/>
    <x v="0"/>
    <n v="0"/>
    <n v="0"/>
    <n v="0"/>
    <n v="803.34"/>
    <x v="0"/>
    <x v="0"/>
    <x v="1"/>
    <x v="1"/>
    <x v="0"/>
    <s v="Yes"/>
    <x v="0"/>
    <x v="1"/>
    <n v="5"/>
    <n v="1946.7"/>
    <x v="5"/>
    <x v="4"/>
  </r>
  <r>
    <s v="T00010"/>
    <s v="E0003"/>
    <s v="Manchester"/>
    <x v="0"/>
    <s v="Senior Manager"/>
    <s v="Training"/>
    <d v="2026-07-09T00:00:00"/>
    <d v="2026-07-21T00:00:00"/>
    <d v="2026-07-25T00:00:00"/>
    <x v="1"/>
    <s v="Manchester"/>
    <x v="7"/>
    <x v="1"/>
    <x v="1"/>
    <s v="Economy"/>
    <n v="11812"/>
    <n v="12"/>
    <x v="0"/>
    <x v="1"/>
    <s v="A07"/>
    <s v="H05"/>
    <n v="1607.82"/>
    <n v="0"/>
    <x v="1"/>
    <n v="188.55666666666664"/>
    <n v="565.66999999999996"/>
    <n v="94.45"/>
    <n v="2267.94"/>
    <x v="0"/>
    <x v="1"/>
    <n v="0"/>
    <n v="176.35"/>
    <n v="1086.74"/>
    <n v="1357.55"/>
    <x v="0"/>
    <x v="1"/>
    <x v="1"/>
    <x v="0"/>
    <x v="0"/>
    <s v="No"/>
    <x v="0"/>
    <x v="1"/>
    <n v="3"/>
    <n v="1771.8"/>
    <x v="5"/>
    <x v="5"/>
  </r>
  <r>
    <s v="T00011"/>
    <s v="E0004"/>
    <s v="Birmingham"/>
    <x v="2"/>
    <s v="Manager"/>
    <s v="Internal meeting"/>
    <d v="2026-07-01T00:00:00"/>
    <d v="2026-07-10T00:00:00"/>
    <d v="2026-07-13T00:00:00"/>
    <x v="1"/>
    <s v="Birmingham"/>
    <x v="6"/>
    <x v="0"/>
    <x v="0"/>
    <s v="Standard / 2nd Class"/>
    <n v="324"/>
    <n v="9"/>
    <x v="0"/>
    <x v="0"/>
    <m/>
    <s v="H07"/>
    <n v="0"/>
    <n v="171.23"/>
    <x v="0"/>
    <n v="171.86"/>
    <n v="343.72"/>
    <n v="105.02"/>
    <n v="619.97"/>
    <x v="0"/>
    <x v="0"/>
    <n v="0"/>
    <n v="0"/>
    <n v="0"/>
    <n v="619.97"/>
    <x v="0"/>
    <x v="1"/>
    <x v="0"/>
    <x v="0"/>
    <x v="0"/>
    <s v="No"/>
    <x v="0"/>
    <x v="1"/>
    <n v="4"/>
    <n v="13"/>
    <x v="0"/>
    <x v="6"/>
  </r>
  <r>
    <s v="T00012"/>
    <s v="E0004"/>
    <s v="Birmingham"/>
    <x v="2"/>
    <s v="Manager"/>
    <s v="Team building"/>
    <d v="2026-06-13T00:00:00"/>
    <d v="2026-06-27T00:00:00"/>
    <d v="2026-07-01T00:00:00"/>
    <x v="0"/>
    <s v="Birmingham"/>
    <x v="8"/>
    <x v="1"/>
    <x v="1"/>
    <s v="Premium Economy"/>
    <n v="10018"/>
    <n v="14"/>
    <x v="0"/>
    <x v="0"/>
    <s v="A01"/>
    <s v="H04"/>
    <n v="696.01"/>
    <n v="0"/>
    <x v="1"/>
    <n v="173.72"/>
    <n v="521.16"/>
    <n v="112.08"/>
    <n v="1329.25"/>
    <x v="0"/>
    <x v="0"/>
    <n v="0"/>
    <n v="0"/>
    <n v="0"/>
    <n v="1329.25"/>
    <x v="0"/>
    <x v="0"/>
    <x v="1"/>
    <x v="1"/>
    <x v="0"/>
    <s v="Yes"/>
    <x v="0"/>
    <x v="1"/>
    <n v="3"/>
    <n v="1502.7"/>
    <x v="1"/>
    <x v="3"/>
  </r>
  <r>
    <s v="T00013"/>
    <s v="E0004"/>
    <s v="Birmingham"/>
    <x v="2"/>
    <s v="Manager"/>
    <s v="Project work"/>
    <d v="2026-05-25T00:00:00"/>
    <d v="2026-06-14T00:00:00"/>
    <d v="2026-06-16T00:00:00"/>
    <x v="0"/>
    <s v="Birmingham"/>
    <x v="9"/>
    <x v="1"/>
    <x v="1"/>
    <s v="Economy"/>
    <n v="2196"/>
    <n v="20"/>
    <x v="3"/>
    <x v="0"/>
    <s v="A10"/>
    <s v="H02"/>
    <n v="538.24"/>
    <n v="0"/>
    <x v="2"/>
    <n v="124.82"/>
    <n v="124.82"/>
    <n v="114.97"/>
    <n v="778.03"/>
    <x v="0"/>
    <x v="0"/>
    <n v="0"/>
    <n v="0"/>
    <n v="0"/>
    <n v="778.03"/>
    <x v="0"/>
    <x v="0"/>
    <x v="1"/>
    <x v="0"/>
    <x v="0"/>
    <s v="Yes"/>
    <x v="0"/>
    <x v="0"/>
    <n v="4"/>
    <n v="329.4"/>
    <x v="6"/>
    <x v="1"/>
  </r>
  <r>
    <s v="T00014"/>
    <s v="E0005"/>
    <s v="Glasgow"/>
    <x v="3"/>
    <s v="Partner"/>
    <s v="Internal meeting"/>
    <d v="2026-05-29T00:00:00"/>
    <d v="2026-06-02T00:00:00"/>
    <d v="2026-06-05T00:00:00"/>
    <x v="0"/>
    <s v="Glasgow"/>
    <x v="10"/>
    <x v="0"/>
    <x v="0"/>
    <s v="Standard / 2nd Class"/>
    <n v="466"/>
    <n v="4"/>
    <x v="4"/>
    <x v="1"/>
    <m/>
    <s v="H06"/>
    <n v="0"/>
    <n v="214.9"/>
    <x v="0"/>
    <n v="176.20500000000001"/>
    <n v="352.41"/>
    <n v="66.37"/>
    <n v="633.67999999999995"/>
    <x v="0"/>
    <x v="0"/>
    <n v="0"/>
    <n v="0"/>
    <n v="0"/>
    <n v="633.67999999999995"/>
    <x v="0"/>
    <x v="0"/>
    <x v="0"/>
    <x v="0"/>
    <x v="0"/>
    <s v="Yes"/>
    <x v="0"/>
    <x v="0"/>
    <n v="4"/>
    <n v="18.600000000000001"/>
    <x v="0"/>
    <x v="0"/>
  </r>
  <r>
    <s v="T00015"/>
    <s v="E0005"/>
    <s v="Glasgow"/>
    <x v="3"/>
    <s v="Partner"/>
    <s v="Training"/>
    <d v="2026-04-17T00:00:00"/>
    <d v="2026-05-06T00:00:00"/>
    <d v="2026-05-08T00:00:00"/>
    <x v="2"/>
    <s v="Glasgow"/>
    <x v="1"/>
    <x v="1"/>
    <x v="1"/>
    <s v="Economy"/>
    <n v="3248"/>
    <n v="19"/>
    <x v="3"/>
    <x v="2"/>
    <s v="A04"/>
    <s v="H04"/>
    <n v="495.08"/>
    <n v="0"/>
    <x v="2"/>
    <n v="170.56"/>
    <n v="170.56"/>
    <n v="81.709999999999994"/>
    <n v="747.35"/>
    <x v="0"/>
    <x v="1"/>
    <n v="0"/>
    <n v="56.37"/>
    <n v="166.41"/>
    <n v="637.31000000000006"/>
    <x v="0"/>
    <x v="0"/>
    <x v="1"/>
    <x v="0"/>
    <x v="1"/>
    <s v="Yes"/>
    <x v="0"/>
    <x v="1"/>
    <n v="3"/>
    <n v="487.2"/>
    <x v="3"/>
    <x v="3"/>
  </r>
  <r>
    <s v="T00016"/>
    <s v="E0005"/>
    <s v="Glasgow"/>
    <x v="3"/>
    <s v="Partner"/>
    <s v="Training"/>
    <d v="2026-04-21T00:00:00"/>
    <d v="2026-05-01T00:00:00"/>
    <d v="2026-05-04T00:00:00"/>
    <x v="2"/>
    <s v="Glasgow"/>
    <x v="11"/>
    <x v="1"/>
    <x v="1"/>
    <s v="Economy"/>
    <n v="1008"/>
    <n v="10"/>
    <x v="0"/>
    <x v="0"/>
    <s v="A01"/>
    <s v="H05"/>
    <n v="564.54999999999995"/>
    <n v="0"/>
    <x v="0"/>
    <n v="157.32499999999999"/>
    <n v="314.64999999999998"/>
    <n v="58.08"/>
    <n v="937.28"/>
    <x v="1"/>
    <x v="0"/>
    <n v="323.39999999999998"/>
    <n v="0"/>
    <n v="0"/>
    <n v="1260.6799999999998"/>
    <x v="0"/>
    <x v="1"/>
    <x v="1"/>
    <x v="0"/>
    <x v="0"/>
    <s v="No"/>
    <x v="0"/>
    <x v="1"/>
    <n v="4"/>
    <n v="151.19999999999999"/>
    <x v="1"/>
    <x v="5"/>
  </r>
  <r>
    <s v="T00017"/>
    <s v="E0005"/>
    <s v="Glasgow"/>
    <x v="3"/>
    <s v="Partner"/>
    <s v="Client meeting"/>
    <d v="2026-07-16T00:00:00"/>
    <d v="2026-07-31T00:00:00"/>
    <d v="2026-08-02T00:00:00"/>
    <x v="1"/>
    <s v="Glasgow"/>
    <x v="3"/>
    <x v="1"/>
    <x v="1"/>
    <s v="Economy"/>
    <n v="1742"/>
    <n v="15"/>
    <x v="3"/>
    <x v="0"/>
    <s v="A04"/>
    <s v="H04"/>
    <n v="428.63"/>
    <n v="0"/>
    <x v="2"/>
    <n v="221.58"/>
    <n v="221.58"/>
    <n v="108.19"/>
    <n v="758.4"/>
    <x v="0"/>
    <x v="0"/>
    <n v="0"/>
    <n v="0"/>
    <n v="0"/>
    <n v="758.4"/>
    <x v="1"/>
    <x v="0"/>
    <x v="1"/>
    <x v="0"/>
    <x v="0"/>
    <s v="Yes"/>
    <x v="0"/>
    <x v="1"/>
    <n v="5"/>
    <n v="261.3"/>
    <x v="3"/>
    <x v="3"/>
  </r>
  <r>
    <s v="T00018"/>
    <s v="E0005"/>
    <s v="Glasgow"/>
    <x v="3"/>
    <s v="Partner"/>
    <s v="Project work"/>
    <d v="2026-05-25T00:00:00"/>
    <d v="2026-06-28T00:00:00"/>
    <d v="2026-06-30T00:00:00"/>
    <x v="0"/>
    <s v="Glasgow"/>
    <x v="6"/>
    <x v="0"/>
    <x v="0"/>
    <s v="Standard / 2nd Class"/>
    <n v="926"/>
    <n v="34"/>
    <x v="2"/>
    <x v="1"/>
    <m/>
    <s v="H06"/>
    <n v="0"/>
    <n v="183.42"/>
    <x v="2"/>
    <n v="173.9"/>
    <n v="173.9"/>
    <n v="23.93"/>
    <n v="381.25"/>
    <x v="0"/>
    <x v="0"/>
    <n v="0"/>
    <n v="0"/>
    <n v="0"/>
    <n v="381.25"/>
    <x v="0"/>
    <x v="0"/>
    <x v="0"/>
    <x v="0"/>
    <x v="0"/>
    <s v="Yes"/>
    <x v="0"/>
    <x v="0"/>
    <n v="4"/>
    <n v="37"/>
    <x v="0"/>
    <x v="0"/>
  </r>
  <r>
    <s v="T00019"/>
    <s v="E0006"/>
    <s v="London"/>
    <x v="0"/>
    <s v="Manager"/>
    <s v="Client meeting"/>
    <d v="2026-05-21T00:00:00"/>
    <d v="2026-06-05T00:00:00"/>
    <d v="2026-06-07T00:00:00"/>
    <x v="0"/>
    <s v="London"/>
    <x v="4"/>
    <x v="1"/>
    <x v="1"/>
    <s v="Premium Economy"/>
    <n v="3392"/>
    <n v="15"/>
    <x v="3"/>
    <x v="0"/>
    <s v="A04"/>
    <s v="H02"/>
    <n v="404.59"/>
    <n v="0"/>
    <x v="2"/>
    <n v="104.98"/>
    <n v="104.98"/>
    <n v="120.09"/>
    <n v="629.66"/>
    <x v="0"/>
    <x v="0"/>
    <n v="0"/>
    <n v="0"/>
    <n v="0"/>
    <n v="629.66"/>
    <x v="0"/>
    <x v="0"/>
    <x v="1"/>
    <x v="1"/>
    <x v="0"/>
    <s v="Yes"/>
    <x v="0"/>
    <x v="1"/>
    <n v="4"/>
    <n v="508.8"/>
    <x v="3"/>
    <x v="1"/>
  </r>
  <r>
    <s v="T00020"/>
    <s v="E0006"/>
    <s v="London"/>
    <x v="0"/>
    <s v="Manager"/>
    <s v="Recruitment / Interview"/>
    <d v="2026-05-21T00:00:00"/>
    <d v="2026-06-02T00:00:00"/>
    <d v="2026-06-06T00:00:00"/>
    <x v="0"/>
    <s v="London"/>
    <x v="12"/>
    <x v="1"/>
    <x v="1"/>
    <s v="Economy"/>
    <n v="3324"/>
    <n v="12"/>
    <x v="0"/>
    <x v="3"/>
    <s v="A05"/>
    <s v="H05"/>
    <n v="425.02"/>
    <n v="0"/>
    <x v="1"/>
    <n v="175.6"/>
    <n v="526.79999999999995"/>
    <n v="74.849999999999994"/>
    <n v="1026.67"/>
    <x v="0"/>
    <x v="0"/>
    <n v="0"/>
    <n v="0"/>
    <n v="0"/>
    <n v="1026.67"/>
    <x v="0"/>
    <x v="1"/>
    <x v="1"/>
    <x v="0"/>
    <x v="1"/>
    <s v="No"/>
    <x v="0"/>
    <x v="1"/>
    <n v="4"/>
    <n v="498.6"/>
    <x v="2"/>
    <x v="5"/>
  </r>
  <r>
    <s v="T00021"/>
    <s v="E0006"/>
    <s v="London"/>
    <x v="0"/>
    <s v="Manager"/>
    <s v="Client meeting"/>
    <d v="2026-05-24T00:00:00"/>
    <d v="2026-06-18T00:00:00"/>
    <d v="2026-06-22T00:00:00"/>
    <x v="0"/>
    <s v="London"/>
    <x v="4"/>
    <x v="1"/>
    <x v="1"/>
    <s v="Economy"/>
    <n v="1578"/>
    <n v="25"/>
    <x v="3"/>
    <x v="1"/>
    <s v="A01"/>
    <s v="H03"/>
    <n v="262.27999999999997"/>
    <n v="0"/>
    <x v="1"/>
    <n v="146.78"/>
    <n v="440.34"/>
    <n v="97.7"/>
    <n v="800.32"/>
    <x v="0"/>
    <x v="0"/>
    <n v="0"/>
    <n v="0"/>
    <n v="0"/>
    <n v="800.32"/>
    <x v="0"/>
    <x v="0"/>
    <x v="1"/>
    <x v="0"/>
    <x v="0"/>
    <s v="Yes"/>
    <x v="0"/>
    <x v="0"/>
    <n v="5"/>
    <n v="236.7"/>
    <x v="1"/>
    <x v="4"/>
  </r>
  <r>
    <s v="T00022"/>
    <s v="E0007"/>
    <s v="Newcastle"/>
    <x v="3"/>
    <s v="Manager"/>
    <s v="Client meeting"/>
    <d v="2026-07-23T00:00:00"/>
    <d v="2026-07-24T00:00:00"/>
    <d v="2026-07-26T00:00:00"/>
    <x v="1"/>
    <s v="Newcastle"/>
    <x v="9"/>
    <x v="1"/>
    <x v="1"/>
    <s v="Economy"/>
    <n v="1762"/>
    <n v="1"/>
    <x v="1"/>
    <x v="1"/>
    <s v="A10"/>
    <s v="H04"/>
    <n v="411.87"/>
    <n v="0"/>
    <x v="2"/>
    <n v="92.01"/>
    <n v="92.01"/>
    <n v="93.12"/>
    <n v="597"/>
    <x v="1"/>
    <x v="0"/>
    <n v="70.28"/>
    <n v="0"/>
    <n v="0"/>
    <n v="667.28"/>
    <x v="0"/>
    <x v="0"/>
    <x v="1"/>
    <x v="0"/>
    <x v="0"/>
    <s v="Yes"/>
    <x v="0"/>
    <x v="0"/>
    <n v="5"/>
    <n v="264.3"/>
    <x v="6"/>
    <x v="3"/>
  </r>
  <r>
    <s v="T00023"/>
    <s v="E0007"/>
    <s v="Newcastle"/>
    <x v="3"/>
    <s v="Manager"/>
    <s v="Project work"/>
    <d v="2026-04-23T00:00:00"/>
    <d v="2026-05-06T00:00:00"/>
    <d v="2026-05-08T00:00:00"/>
    <x v="2"/>
    <s v="Newcastle"/>
    <x v="0"/>
    <x v="0"/>
    <x v="0"/>
    <s v="Standard / 2nd Class"/>
    <n v="756"/>
    <n v="13"/>
    <x v="0"/>
    <x v="0"/>
    <m/>
    <s v="H02"/>
    <n v="0"/>
    <n v="203.34"/>
    <x v="2"/>
    <n v="162.11000000000001"/>
    <n v="162.11000000000001"/>
    <n v="37.130000000000003"/>
    <n v="402.58"/>
    <x v="1"/>
    <x v="0"/>
    <n v="147.88"/>
    <n v="0"/>
    <n v="0"/>
    <n v="550.46"/>
    <x v="0"/>
    <x v="0"/>
    <x v="0"/>
    <x v="0"/>
    <x v="0"/>
    <s v="Yes"/>
    <x v="0"/>
    <x v="0"/>
    <n v="4"/>
    <n v="30.2"/>
    <x v="0"/>
    <x v="1"/>
  </r>
  <r>
    <s v="T00024"/>
    <s v="E0007"/>
    <s v="Newcastle"/>
    <x v="3"/>
    <s v="Manager"/>
    <s v="Client meeting"/>
    <d v="2026-04-13T00:00:00"/>
    <d v="2026-05-04T00:00:00"/>
    <d v="2026-05-10T00:00:00"/>
    <x v="2"/>
    <s v="Newcastle"/>
    <x v="13"/>
    <x v="1"/>
    <x v="1"/>
    <s v="Economy"/>
    <n v="14602"/>
    <n v="21"/>
    <x v="3"/>
    <x v="0"/>
    <s v="A01"/>
    <s v="H01"/>
    <n v="1301.17"/>
    <n v="0"/>
    <x v="4"/>
    <n v="134.274"/>
    <n v="671.37"/>
    <n v="122.79"/>
    <n v="2095.33"/>
    <x v="0"/>
    <x v="0"/>
    <n v="0"/>
    <n v="0"/>
    <n v="0"/>
    <n v="2095.33"/>
    <x v="0"/>
    <x v="0"/>
    <x v="1"/>
    <x v="0"/>
    <x v="0"/>
    <s v="Yes"/>
    <x v="0"/>
    <x v="0"/>
    <n v="3"/>
    <n v="2190.3000000000002"/>
    <x v="1"/>
    <x v="2"/>
  </r>
  <r>
    <s v="T00025"/>
    <s v="E0007"/>
    <s v="Newcastle"/>
    <x v="3"/>
    <s v="Manager"/>
    <s v="Internal meeting"/>
    <d v="2026-07-11T00:00:00"/>
    <d v="2026-07-19T00:00:00"/>
    <d v="2026-07-22T00:00:00"/>
    <x v="1"/>
    <s v="Newcastle"/>
    <x v="14"/>
    <x v="1"/>
    <x v="1"/>
    <s v="Economy"/>
    <n v="1608"/>
    <n v="8"/>
    <x v="0"/>
    <x v="0"/>
    <s v="A01"/>
    <s v="H03"/>
    <n v="449.88"/>
    <n v="0"/>
    <x v="0"/>
    <n v="196.33500000000001"/>
    <n v="392.67"/>
    <n v="110.06"/>
    <n v="952.61"/>
    <x v="0"/>
    <x v="0"/>
    <n v="0"/>
    <n v="0"/>
    <n v="0"/>
    <n v="952.61"/>
    <x v="1"/>
    <x v="0"/>
    <x v="1"/>
    <x v="0"/>
    <x v="0"/>
    <s v="Yes"/>
    <x v="0"/>
    <x v="1"/>
    <n v="4"/>
    <n v="241.2"/>
    <x v="1"/>
    <x v="4"/>
  </r>
  <r>
    <s v="T00026"/>
    <s v="E0007"/>
    <s v="Newcastle"/>
    <x v="3"/>
    <s v="Manager"/>
    <s v="Internal meeting"/>
    <d v="2026-06-16T00:00:00"/>
    <d v="2026-06-22T00:00:00"/>
    <d v="2026-06-24T00:00:00"/>
    <x v="0"/>
    <s v="Newcastle"/>
    <x v="15"/>
    <x v="1"/>
    <x v="1"/>
    <s v="Economy"/>
    <n v="2688"/>
    <n v="6"/>
    <x v="4"/>
    <x v="0"/>
    <s v="A04"/>
    <s v="H04"/>
    <n v="639.1"/>
    <n v="0"/>
    <x v="2"/>
    <n v="231.27"/>
    <n v="231.27"/>
    <n v="77.78"/>
    <n v="948.15"/>
    <x v="0"/>
    <x v="1"/>
    <n v="0"/>
    <n v="87.4"/>
    <n v="783.33"/>
    <n v="252.21999999999991"/>
    <x v="1"/>
    <x v="0"/>
    <x v="1"/>
    <x v="0"/>
    <x v="0"/>
    <s v="Yes"/>
    <x v="0"/>
    <x v="1"/>
    <n v="3"/>
    <n v="403.2"/>
    <x v="3"/>
    <x v="3"/>
  </r>
  <r>
    <s v="T00027"/>
    <s v="E0008"/>
    <s v="Birmingham"/>
    <x v="4"/>
    <s v="Manager"/>
    <s v="Client meeting"/>
    <d v="2026-05-10T00:00:00"/>
    <d v="2026-06-16T00:00:00"/>
    <d v="2026-06-17T00:00:00"/>
    <x v="0"/>
    <s v="Birmingham"/>
    <x v="6"/>
    <x v="0"/>
    <x v="0"/>
    <s v="Standard / 2nd Class"/>
    <n v="1206"/>
    <n v="37"/>
    <x v="2"/>
    <x v="3"/>
    <m/>
    <m/>
    <n v="0"/>
    <n v="132.82"/>
    <x v="5"/>
    <n v="0"/>
    <n v="0"/>
    <n v="66.98"/>
    <n v="199.8"/>
    <x v="0"/>
    <x v="0"/>
    <n v="0"/>
    <n v="0"/>
    <n v="0"/>
    <n v="199.8"/>
    <x v="2"/>
    <x v="2"/>
    <x v="0"/>
    <x v="0"/>
    <x v="1"/>
    <s v="Yes"/>
    <x v="1"/>
    <x v="1"/>
    <n v="4"/>
    <n v="48.2"/>
    <x v="0"/>
    <x v="7"/>
  </r>
  <r>
    <s v="T00028"/>
    <s v="E0008"/>
    <s v="Birmingham"/>
    <x v="4"/>
    <s v="Manager"/>
    <s v="Client meeting"/>
    <d v="2026-06-15T00:00:00"/>
    <d v="2026-07-19T00:00:00"/>
    <d v="2026-07-21T00:00:00"/>
    <x v="1"/>
    <s v="Birmingham"/>
    <x v="4"/>
    <x v="1"/>
    <x v="1"/>
    <s v="Economy"/>
    <n v="3192"/>
    <n v="34"/>
    <x v="2"/>
    <x v="1"/>
    <s v="A04"/>
    <s v="H02"/>
    <n v="296.58999999999997"/>
    <n v="0"/>
    <x v="2"/>
    <n v="135"/>
    <n v="135"/>
    <n v="133.91"/>
    <n v="565.5"/>
    <x v="0"/>
    <x v="0"/>
    <n v="0"/>
    <n v="0"/>
    <n v="0"/>
    <n v="565.5"/>
    <x v="0"/>
    <x v="0"/>
    <x v="1"/>
    <x v="0"/>
    <x v="0"/>
    <s v="Yes"/>
    <x v="0"/>
    <x v="0"/>
    <n v="4"/>
    <n v="478.8"/>
    <x v="3"/>
    <x v="1"/>
  </r>
  <r>
    <s v="T00029"/>
    <s v="E0008"/>
    <s v="Birmingham"/>
    <x v="4"/>
    <s v="Manager"/>
    <s v="Recruitment / Interview"/>
    <d v="2026-05-03T00:00:00"/>
    <d v="2026-06-05T00:00:00"/>
    <d v="2026-06-10T00:00:00"/>
    <x v="0"/>
    <s v="Birmingham"/>
    <x v="16"/>
    <x v="1"/>
    <x v="1"/>
    <s v="Economy"/>
    <n v="1044"/>
    <n v="33"/>
    <x v="2"/>
    <x v="1"/>
    <s v="A01"/>
    <s v="H01"/>
    <n v="361.93"/>
    <n v="0"/>
    <x v="3"/>
    <n v="169.01"/>
    <n v="676.04"/>
    <n v="52.59"/>
    <n v="1090.56"/>
    <x v="0"/>
    <x v="0"/>
    <n v="0"/>
    <n v="0"/>
    <n v="0"/>
    <n v="1090.56"/>
    <x v="0"/>
    <x v="0"/>
    <x v="1"/>
    <x v="0"/>
    <x v="0"/>
    <s v="Yes"/>
    <x v="0"/>
    <x v="0"/>
    <n v="4"/>
    <n v="156.6"/>
    <x v="1"/>
    <x v="2"/>
  </r>
  <r>
    <s v="T00030"/>
    <s v="E0008"/>
    <s v="Birmingham"/>
    <x v="4"/>
    <s v="Manager"/>
    <s v="Project work"/>
    <d v="2026-06-06T00:00:00"/>
    <d v="2026-06-21T00:00:00"/>
    <d v="2026-06-22T00:00:00"/>
    <x v="0"/>
    <s v="Birmingham"/>
    <x v="17"/>
    <x v="0"/>
    <x v="1"/>
    <s v="Economy"/>
    <n v="520"/>
    <n v="15"/>
    <x v="3"/>
    <x v="0"/>
    <s v="A02"/>
    <m/>
    <n v="278.27999999999997"/>
    <n v="0"/>
    <x v="5"/>
    <n v="0"/>
    <n v="0"/>
    <n v="67.19"/>
    <n v="345.47"/>
    <x v="0"/>
    <x v="0"/>
    <n v="0"/>
    <n v="0"/>
    <n v="0"/>
    <n v="345.47"/>
    <x v="2"/>
    <x v="2"/>
    <x v="1"/>
    <x v="0"/>
    <x v="0"/>
    <s v="Yes"/>
    <x v="0"/>
    <x v="0"/>
    <n v="5"/>
    <n v="78"/>
    <x v="4"/>
    <x v="7"/>
  </r>
  <r>
    <s v="T00031"/>
    <s v="E0008"/>
    <s v="Birmingham"/>
    <x v="4"/>
    <s v="Manager"/>
    <s v="Client meeting"/>
    <d v="2026-06-27T00:00:00"/>
    <d v="2026-06-28T00:00:00"/>
    <d v="2026-07-02T00:00:00"/>
    <x v="0"/>
    <s v="Birmingham"/>
    <x v="14"/>
    <x v="1"/>
    <x v="1"/>
    <s v="Economy"/>
    <n v="3558"/>
    <n v="1"/>
    <x v="1"/>
    <x v="0"/>
    <s v="A03"/>
    <s v="H02"/>
    <n v="177"/>
    <n v="0"/>
    <x v="1"/>
    <n v="141"/>
    <n v="423"/>
    <n v="71.709999999999994"/>
    <n v="671.71"/>
    <x v="0"/>
    <x v="0"/>
    <n v="0"/>
    <n v="0"/>
    <n v="0"/>
    <n v="671.71"/>
    <x v="0"/>
    <x v="0"/>
    <x v="1"/>
    <x v="0"/>
    <x v="0"/>
    <s v="Yes"/>
    <x v="1"/>
    <x v="0"/>
    <n v="3"/>
    <n v="533.70000000000005"/>
    <x v="7"/>
    <x v="1"/>
  </r>
  <r>
    <s v="T00032"/>
    <s v="E0009"/>
    <s v="Birmingham"/>
    <x v="1"/>
    <s v="Manager"/>
    <s v="Project work"/>
    <d v="2026-06-17T00:00:00"/>
    <d v="2026-07-03T00:00:00"/>
    <d v="2026-07-06T00:00:00"/>
    <x v="1"/>
    <s v="Birmingham"/>
    <x v="11"/>
    <x v="1"/>
    <x v="1"/>
    <s v="Economy"/>
    <n v="3384"/>
    <n v="16"/>
    <x v="3"/>
    <x v="0"/>
    <s v="A01"/>
    <s v="H04"/>
    <n v="399.57"/>
    <n v="0"/>
    <x v="0"/>
    <n v="159.33500000000001"/>
    <n v="318.67"/>
    <n v="73.680000000000007"/>
    <n v="791.92"/>
    <x v="0"/>
    <x v="0"/>
    <n v="0"/>
    <n v="0"/>
    <n v="0"/>
    <n v="791.92"/>
    <x v="0"/>
    <x v="0"/>
    <x v="1"/>
    <x v="0"/>
    <x v="0"/>
    <s v="Yes"/>
    <x v="0"/>
    <x v="0"/>
    <n v="5"/>
    <n v="507.6"/>
    <x v="1"/>
    <x v="3"/>
  </r>
  <r>
    <s v="T00033"/>
    <s v="E0009"/>
    <s v="Birmingham"/>
    <x v="1"/>
    <s v="Manager"/>
    <s v="Other"/>
    <d v="2026-05-24T00:00:00"/>
    <d v="2026-05-27T00:00:00"/>
    <d v="2026-06-05T00:00:00"/>
    <x v="2"/>
    <s v="Birmingham"/>
    <x v="18"/>
    <x v="1"/>
    <x v="1"/>
    <s v="Premium Economy"/>
    <n v="16768"/>
    <n v="3"/>
    <x v="1"/>
    <x v="0"/>
    <s v="A01"/>
    <s v="H05"/>
    <n v="1614.2"/>
    <n v="0"/>
    <x v="6"/>
    <n v="202.16874999999999"/>
    <n v="1617.35"/>
    <n v="66.930000000000007"/>
    <n v="3298.48"/>
    <x v="1"/>
    <x v="0"/>
    <n v="68.12"/>
    <n v="0"/>
    <n v="0"/>
    <n v="3366.6"/>
    <x v="0"/>
    <x v="1"/>
    <x v="1"/>
    <x v="1"/>
    <x v="0"/>
    <s v="No"/>
    <x v="1"/>
    <x v="1"/>
    <n v="4"/>
    <n v="2515.1999999999998"/>
    <x v="1"/>
    <x v="5"/>
  </r>
  <r>
    <s v="T00034"/>
    <s v="E0010"/>
    <s v="Aberdeen"/>
    <x v="3"/>
    <s v="Manager"/>
    <s v="Client meeting"/>
    <d v="2026-06-28T00:00:00"/>
    <d v="2026-07-03T00:00:00"/>
    <d v="2026-07-05T00:00:00"/>
    <x v="1"/>
    <s v="Aberdeen"/>
    <x v="15"/>
    <x v="1"/>
    <x v="1"/>
    <s v="Economy"/>
    <n v="2394"/>
    <n v="5"/>
    <x v="4"/>
    <x v="0"/>
    <s v="A03"/>
    <s v="H01"/>
    <n v="610.39"/>
    <n v="0"/>
    <x v="2"/>
    <n v="246.82"/>
    <n v="246.82"/>
    <n v="77.77"/>
    <n v="934.98"/>
    <x v="1"/>
    <x v="0"/>
    <n v="173.75"/>
    <n v="0"/>
    <n v="0"/>
    <n v="1108.73"/>
    <x v="1"/>
    <x v="0"/>
    <x v="1"/>
    <x v="0"/>
    <x v="0"/>
    <s v="Yes"/>
    <x v="0"/>
    <x v="1"/>
    <n v="4"/>
    <n v="359.1"/>
    <x v="7"/>
    <x v="2"/>
  </r>
  <r>
    <s v="T00035"/>
    <s v="E0010"/>
    <s v="Aberdeen"/>
    <x v="3"/>
    <s v="Manager"/>
    <s v="Conference / Event"/>
    <d v="2026-06-21T00:00:00"/>
    <d v="2026-07-11T00:00:00"/>
    <d v="2026-07-14T00:00:00"/>
    <x v="1"/>
    <s v="Aberdeen"/>
    <x v="6"/>
    <x v="0"/>
    <x v="0"/>
    <s v="Standard / 2nd Class"/>
    <n v="722"/>
    <n v="20"/>
    <x v="3"/>
    <x v="0"/>
    <m/>
    <s v="H06"/>
    <n v="0"/>
    <n v="141.66"/>
    <x v="0"/>
    <n v="99.525000000000006"/>
    <n v="199.05"/>
    <n v="101.17"/>
    <n v="441.88"/>
    <x v="0"/>
    <x v="0"/>
    <n v="0"/>
    <n v="0"/>
    <n v="0"/>
    <n v="441.88"/>
    <x v="0"/>
    <x v="0"/>
    <x v="0"/>
    <x v="0"/>
    <x v="0"/>
    <s v="Yes"/>
    <x v="0"/>
    <x v="0"/>
    <n v="5"/>
    <n v="28.9"/>
    <x v="0"/>
    <x v="0"/>
  </r>
  <r>
    <s v="T00036"/>
    <s v="E0010"/>
    <s v="Aberdeen"/>
    <x v="3"/>
    <s v="Manager"/>
    <s v="Recruitment / Interview"/>
    <d v="2026-04-16T00:00:00"/>
    <d v="2026-05-10T00:00:00"/>
    <d v="2026-05-15T00:00:00"/>
    <x v="2"/>
    <s v="Aberdeen"/>
    <x v="9"/>
    <x v="1"/>
    <x v="1"/>
    <s v="Economy"/>
    <n v="1404"/>
    <n v="24"/>
    <x v="3"/>
    <x v="3"/>
    <s v="A01"/>
    <s v="H03"/>
    <n v="172.11"/>
    <n v="0"/>
    <x v="3"/>
    <n v="162.88749999999999"/>
    <n v="651.54999999999995"/>
    <n v="101.25"/>
    <n v="924.91"/>
    <x v="0"/>
    <x v="0"/>
    <n v="0"/>
    <n v="0"/>
    <n v="0"/>
    <n v="924.91"/>
    <x v="0"/>
    <x v="0"/>
    <x v="1"/>
    <x v="0"/>
    <x v="1"/>
    <s v="Yes"/>
    <x v="0"/>
    <x v="1"/>
    <n v="4"/>
    <n v="210.6"/>
    <x v="1"/>
    <x v="4"/>
  </r>
  <r>
    <s v="T00037"/>
    <s v="E0010"/>
    <s v="Aberdeen"/>
    <x v="3"/>
    <s v="Manager"/>
    <s v="Internal meeting"/>
    <d v="2026-05-03T00:00:00"/>
    <d v="2026-05-05T00:00:00"/>
    <d v="2026-05-08T00:00:00"/>
    <x v="2"/>
    <s v="Aberdeen"/>
    <x v="9"/>
    <x v="1"/>
    <x v="1"/>
    <s v="Economy"/>
    <n v="2610"/>
    <n v="2"/>
    <x v="1"/>
    <x v="0"/>
    <s v="A10"/>
    <s v="H01"/>
    <n v="448.21"/>
    <n v="0"/>
    <x v="0"/>
    <n v="178.83500000000001"/>
    <n v="357.67"/>
    <n v="68"/>
    <n v="873.88"/>
    <x v="0"/>
    <x v="0"/>
    <n v="0"/>
    <n v="0"/>
    <n v="0"/>
    <n v="873.88"/>
    <x v="0"/>
    <x v="0"/>
    <x v="1"/>
    <x v="0"/>
    <x v="0"/>
    <s v="Yes"/>
    <x v="0"/>
    <x v="0"/>
    <n v="4"/>
    <n v="391.5"/>
    <x v="6"/>
    <x v="2"/>
  </r>
  <r>
    <s v="T00038"/>
    <s v="E0011"/>
    <s v="London"/>
    <x v="5"/>
    <s v="Analyst"/>
    <s v="Project work"/>
    <d v="2026-06-07T00:00:00"/>
    <d v="2026-06-28T00:00:00"/>
    <d v="2026-06-30T00:00:00"/>
    <x v="0"/>
    <s v="London"/>
    <x v="2"/>
    <x v="1"/>
    <x v="1"/>
    <s v="Economy"/>
    <n v="3134"/>
    <n v="21"/>
    <x v="3"/>
    <x v="1"/>
    <s v="A01"/>
    <s v="H03"/>
    <n v="454.32"/>
    <n v="0"/>
    <x v="2"/>
    <n v="170.76"/>
    <n v="170.76"/>
    <n v="36.17"/>
    <n v="661.25"/>
    <x v="0"/>
    <x v="1"/>
    <n v="0"/>
    <n v="58.97"/>
    <n v="312.54000000000002"/>
    <n v="407.68"/>
    <x v="0"/>
    <x v="0"/>
    <x v="1"/>
    <x v="0"/>
    <x v="0"/>
    <s v="Yes"/>
    <x v="0"/>
    <x v="0"/>
    <n v="3"/>
    <n v="470.1"/>
    <x v="1"/>
    <x v="4"/>
  </r>
  <r>
    <s v="T00039"/>
    <s v="E0011"/>
    <s v="London"/>
    <x v="5"/>
    <s v="Analyst"/>
    <s v="Training"/>
    <d v="2026-06-23T00:00:00"/>
    <d v="2026-07-09T00:00:00"/>
    <d v="2026-07-12T00:00:00"/>
    <x v="1"/>
    <s v="London"/>
    <x v="7"/>
    <x v="1"/>
    <x v="1"/>
    <s v="Economy"/>
    <n v="10758"/>
    <n v="16"/>
    <x v="3"/>
    <x v="1"/>
    <s v="A07"/>
    <s v="H05"/>
    <n v="1112.1300000000001"/>
    <n v="0"/>
    <x v="0"/>
    <n v="225.48"/>
    <n v="450.96"/>
    <n v="68.89"/>
    <n v="1631.98"/>
    <x v="1"/>
    <x v="0"/>
    <n v="31.77"/>
    <n v="0"/>
    <n v="0"/>
    <n v="1663.75"/>
    <x v="1"/>
    <x v="1"/>
    <x v="1"/>
    <x v="0"/>
    <x v="0"/>
    <s v="No"/>
    <x v="0"/>
    <x v="1"/>
    <n v="3"/>
    <n v="1613.7"/>
    <x v="5"/>
    <x v="5"/>
  </r>
  <r>
    <s v="T00040"/>
    <s v="E0011"/>
    <s v="London"/>
    <x v="5"/>
    <s v="Analyst"/>
    <s v="Client meeting"/>
    <d v="2026-05-07T00:00:00"/>
    <d v="2026-06-08T00:00:00"/>
    <d v="2026-06-10T00:00:00"/>
    <x v="0"/>
    <s v="London"/>
    <x v="0"/>
    <x v="0"/>
    <x v="0"/>
    <s v="Standard / 2nd Class"/>
    <n v="888"/>
    <n v="32"/>
    <x v="2"/>
    <x v="1"/>
    <m/>
    <s v="H01"/>
    <n v="0"/>
    <n v="289.19"/>
    <x v="2"/>
    <n v="116.57"/>
    <n v="116.57"/>
    <n v="27.31"/>
    <n v="433.07"/>
    <x v="0"/>
    <x v="0"/>
    <n v="0"/>
    <n v="0"/>
    <n v="0"/>
    <n v="433.07"/>
    <x v="0"/>
    <x v="0"/>
    <x v="0"/>
    <x v="0"/>
    <x v="0"/>
    <s v="Yes"/>
    <x v="0"/>
    <x v="0"/>
    <n v="5"/>
    <n v="35.5"/>
    <x v="0"/>
    <x v="2"/>
  </r>
  <r>
    <s v="T00041"/>
    <s v="E0012"/>
    <s v="Glasgow"/>
    <x v="0"/>
    <s v="Senior Manager"/>
    <s v="Client meeting"/>
    <d v="2026-05-09T00:00:00"/>
    <d v="2026-05-18T00:00:00"/>
    <d v="2026-05-25T00:00:00"/>
    <x v="2"/>
    <s v="Glasgow"/>
    <x v="5"/>
    <x v="1"/>
    <x v="1"/>
    <s v="Economy"/>
    <n v="21584"/>
    <n v="9"/>
    <x v="0"/>
    <x v="1"/>
    <s v="A01"/>
    <s v="H04"/>
    <n v="1386.59"/>
    <n v="0"/>
    <x v="7"/>
    <n v="184.10500000000002"/>
    <n v="1104.6300000000001"/>
    <n v="106.45"/>
    <n v="2597.67"/>
    <x v="0"/>
    <x v="0"/>
    <n v="0"/>
    <n v="0"/>
    <n v="0"/>
    <n v="2597.67"/>
    <x v="0"/>
    <x v="0"/>
    <x v="1"/>
    <x v="0"/>
    <x v="0"/>
    <s v="Yes"/>
    <x v="0"/>
    <x v="0"/>
    <n v="4"/>
    <n v="3237.6"/>
    <x v="1"/>
    <x v="3"/>
  </r>
  <r>
    <s v="T00042"/>
    <s v="E0012"/>
    <s v="Glasgow"/>
    <x v="0"/>
    <s v="Senior Manager"/>
    <s v="Client meeting"/>
    <d v="2026-04-12T00:00:00"/>
    <d v="2026-05-07T00:00:00"/>
    <d v="2026-05-09T00:00:00"/>
    <x v="2"/>
    <s v="Glasgow"/>
    <x v="1"/>
    <x v="1"/>
    <x v="1"/>
    <s v="Economy"/>
    <n v="1294"/>
    <n v="25"/>
    <x v="3"/>
    <x v="1"/>
    <s v="A04"/>
    <s v="H01"/>
    <n v="481.12"/>
    <n v="0"/>
    <x v="2"/>
    <n v="144.35"/>
    <n v="144.35"/>
    <n v="104.21"/>
    <n v="729.68"/>
    <x v="0"/>
    <x v="0"/>
    <n v="0"/>
    <n v="0"/>
    <n v="0"/>
    <n v="729.68"/>
    <x v="0"/>
    <x v="0"/>
    <x v="1"/>
    <x v="0"/>
    <x v="0"/>
    <s v="Yes"/>
    <x v="0"/>
    <x v="0"/>
    <n v="4"/>
    <n v="194.1"/>
    <x v="3"/>
    <x v="2"/>
  </r>
  <r>
    <s v="T00043"/>
    <s v="E0013"/>
    <s v="Bristol"/>
    <x v="1"/>
    <s v="Manager"/>
    <s v="Internal meeting"/>
    <d v="2026-07-11T00:00:00"/>
    <d v="2026-07-19T00:00:00"/>
    <d v="2026-07-23T00:00:00"/>
    <x v="1"/>
    <s v="Bristol"/>
    <x v="1"/>
    <x v="1"/>
    <x v="1"/>
    <s v="Economy"/>
    <n v="2680"/>
    <n v="8"/>
    <x v="0"/>
    <x v="2"/>
    <s v="A04"/>
    <s v="H05"/>
    <n v="635.66999999999996"/>
    <n v="0"/>
    <x v="1"/>
    <n v="161.36333333333332"/>
    <n v="484.09"/>
    <n v="91.08"/>
    <n v="1210.8399999999999"/>
    <x v="0"/>
    <x v="0"/>
    <n v="0"/>
    <n v="0"/>
    <n v="0"/>
    <n v="1210.8399999999999"/>
    <x v="0"/>
    <x v="1"/>
    <x v="1"/>
    <x v="0"/>
    <x v="1"/>
    <s v="No"/>
    <x v="0"/>
    <x v="1"/>
    <n v="4"/>
    <n v="402"/>
    <x v="3"/>
    <x v="5"/>
  </r>
  <r>
    <s v="T00044"/>
    <s v="E0013"/>
    <s v="Bristol"/>
    <x v="1"/>
    <s v="Manager"/>
    <s v="Client meeting"/>
    <d v="2026-06-30T00:00:00"/>
    <d v="2026-07-25T00:00:00"/>
    <d v="2026-07-27T00:00:00"/>
    <x v="1"/>
    <s v="Bristol"/>
    <x v="3"/>
    <x v="1"/>
    <x v="1"/>
    <s v="Economy"/>
    <n v="3590"/>
    <n v="25"/>
    <x v="3"/>
    <x v="0"/>
    <s v="A04"/>
    <s v="H04"/>
    <n v="435.07"/>
    <n v="0"/>
    <x v="2"/>
    <n v="183.38"/>
    <n v="183.38"/>
    <n v="77.02"/>
    <n v="695.47"/>
    <x v="0"/>
    <x v="0"/>
    <n v="0"/>
    <n v="0"/>
    <n v="0"/>
    <n v="695.47"/>
    <x v="1"/>
    <x v="0"/>
    <x v="1"/>
    <x v="0"/>
    <x v="0"/>
    <s v="Yes"/>
    <x v="1"/>
    <x v="1"/>
    <n v="5"/>
    <n v="538.5"/>
    <x v="3"/>
    <x v="3"/>
  </r>
  <r>
    <s v="T00045"/>
    <s v="E0013"/>
    <s v="Bristol"/>
    <x v="1"/>
    <s v="Manager"/>
    <s v="Project work"/>
    <d v="2026-05-26T00:00:00"/>
    <d v="2026-06-11T00:00:00"/>
    <d v="2026-06-13T00:00:00"/>
    <x v="0"/>
    <s v="Bristol"/>
    <x v="6"/>
    <x v="0"/>
    <x v="0"/>
    <s v="Standard / 2nd Class"/>
    <n v="874"/>
    <n v="16"/>
    <x v="3"/>
    <x v="0"/>
    <m/>
    <s v="H01"/>
    <n v="0"/>
    <n v="211.24"/>
    <x v="2"/>
    <n v="158.41999999999999"/>
    <n v="158.41999999999999"/>
    <n v="24.78"/>
    <n v="394.44"/>
    <x v="0"/>
    <x v="0"/>
    <n v="0"/>
    <n v="0"/>
    <n v="0"/>
    <n v="394.44"/>
    <x v="0"/>
    <x v="0"/>
    <x v="0"/>
    <x v="0"/>
    <x v="0"/>
    <s v="Yes"/>
    <x v="0"/>
    <x v="0"/>
    <n v="4"/>
    <n v="35"/>
    <x v="0"/>
    <x v="2"/>
  </r>
  <r>
    <s v="T00046"/>
    <s v="E0014"/>
    <s v="London"/>
    <x v="1"/>
    <s v="Director"/>
    <s v="Project work"/>
    <d v="2026-04-17T00:00:00"/>
    <d v="2026-05-15T00:00:00"/>
    <d v="2026-05-18T00:00:00"/>
    <x v="2"/>
    <s v="London"/>
    <x v="1"/>
    <x v="1"/>
    <x v="1"/>
    <s v="Economy"/>
    <n v="1872"/>
    <n v="28"/>
    <x v="3"/>
    <x v="0"/>
    <s v="A01"/>
    <s v="H05"/>
    <n v="296.57"/>
    <n v="0"/>
    <x v="0"/>
    <n v="112.01"/>
    <n v="224.02"/>
    <n v="148.16999999999999"/>
    <n v="668.76"/>
    <x v="0"/>
    <x v="0"/>
    <n v="0"/>
    <n v="0"/>
    <n v="0"/>
    <n v="668.76"/>
    <x v="0"/>
    <x v="1"/>
    <x v="1"/>
    <x v="0"/>
    <x v="0"/>
    <s v="No"/>
    <x v="0"/>
    <x v="1"/>
    <n v="4"/>
    <n v="280.8"/>
    <x v="1"/>
    <x v="5"/>
  </r>
  <r>
    <s v="T00047"/>
    <s v="E0014"/>
    <s v="London"/>
    <x v="1"/>
    <s v="Director"/>
    <s v="Internal meeting"/>
    <d v="2026-07-18T00:00:00"/>
    <d v="2026-07-28T00:00:00"/>
    <d v="2026-07-30T00:00:00"/>
    <x v="1"/>
    <s v="London"/>
    <x v="19"/>
    <x v="1"/>
    <x v="1"/>
    <s v="Economy"/>
    <n v="2850"/>
    <n v="10"/>
    <x v="0"/>
    <x v="0"/>
    <s v="A05"/>
    <s v="H01"/>
    <n v="454.66"/>
    <n v="0"/>
    <x v="2"/>
    <n v="166.16"/>
    <n v="166.16"/>
    <n v="78.14"/>
    <n v="698.96"/>
    <x v="0"/>
    <x v="0"/>
    <n v="0"/>
    <n v="0"/>
    <n v="0"/>
    <n v="698.96"/>
    <x v="0"/>
    <x v="0"/>
    <x v="1"/>
    <x v="0"/>
    <x v="0"/>
    <s v="Yes"/>
    <x v="0"/>
    <x v="0"/>
    <n v="5"/>
    <n v="427.5"/>
    <x v="2"/>
    <x v="2"/>
  </r>
  <r>
    <s v="T00048"/>
    <s v="E0014"/>
    <s v="London"/>
    <x v="1"/>
    <s v="Director"/>
    <s v="Conference / Event"/>
    <d v="2026-05-10T00:00:00"/>
    <d v="2026-05-20T00:00:00"/>
    <d v="2026-05-22T00:00:00"/>
    <x v="2"/>
    <s v="London"/>
    <x v="16"/>
    <x v="1"/>
    <x v="1"/>
    <s v="Economy"/>
    <n v="2290"/>
    <n v="10"/>
    <x v="0"/>
    <x v="1"/>
    <s v="A02"/>
    <s v="H05"/>
    <n v="415.11"/>
    <n v="0"/>
    <x v="2"/>
    <n v="219.95"/>
    <n v="219.95"/>
    <n v="73.430000000000007"/>
    <n v="708.49"/>
    <x v="0"/>
    <x v="0"/>
    <n v="0"/>
    <n v="0"/>
    <n v="0"/>
    <n v="708.49"/>
    <x v="1"/>
    <x v="1"/>
    <x v="1"/>
    <x v="0"/>
    <x v="0"/>
    <s v="No"/>
    <x v="0"/>
    <x v="1"/>
    <n v="4"/>
    <n v="343.5"/>
    <x v="4"/>
    <x v="5"/>
  </r>
  <r>
    <s v="T00049"/>
    <s v="E0015"/>
    <s v="London"/>
    <x v="1"/>
    <s v="Consultant"/>
    <s v="Training"/>
    <d v="2026-07-12T00:00:00"/>
    <d v="2026-07-13T00:00:00"/>
    <d v="2026-07-17T00:00:00"/>
    <x v="1"/>
    <s v="London"/>
    <x v="4"/>
    <x v="1"/>
    <x v="1"/>
    <s v="Premium Economy"/>
    <n v="2326"/>
    <n v="1"/>
    <x v="1"/>
    <x v="0"/>
    <s v="A01"/>
    <s v="H05"/>
    <n v="627.35"/>
    <n v="0"/>
    <x v="1"/>
    <n v="210.12666666666667"/>
    <n v="630.38"/>
    <n v="71.44"/>
    <n v="1329.17"/>
    <x v="0"/>
    <x v="0"/>
    <n v="0"/>
    <n v="0"/>
    <n v="0"/>
    <n v="1329.17"/>
    <x v="0"/>
    <x v="1"/>
    <x v="1"/>
    <x v="1"/>
    <x v="0"/>
    <s v="No"/>
    <x v="0"/>
    <x v="1"/>
    <n v="4"/>
    <n v="348.9"/>
    <x v="1"/>
    <x v="5"/>
  </r>
  <r>
    <s v="T00050"/>
    <s v="E0015"/>
    <s v="London"/>
    <x v="1"/>
    <s v="Consultant"/>
    <s v="Project work"/>
    <d v="2026-07-15T00:00:00"/>
    <d v="2026-07-16T00:00:00"/>
    <d v="2026-07-20T00:00:00"/>
    <x v="1"/>
    <s v="London"/>
    <x v="14"/>
    <x v="1"/>
    <x v="1"/>
    <s v="Economy"/>
    <n v="3122"/>
    <n v="1"/>
    <x v="1"/>
    <x v="1"/>
    <s v="A03"/>
    <s v="H03"/>
    <n v="680.01"/>
    <n v="0"/>
    <x v="1"/>
    <n v="149.07333333333335"/>
    <n v="447.22"/>
    <n v="93.58"/>
    <n v="1220.81"/>
    <x v="0"/>
    <x v="0"/>
    <n v="0"/>
    <n v="0"/>
    <n v="0"/>
    <n v="1220.81"/>
    <x v="0"/>
    <x v="0"/>
    <x v="1"/>
    <x v="0"/>
    <x v="0"/>
    <s v="Yes"/>
    <x v="0"/>
    <x v="0"/>
    <n v="5"/>
    <n v="468.3"/>
    <x v="7"/>
    <x v="4"/>
  </r>
  <r>
    <s v="T00051"/>
    <s v="E0015"/>
    <s v="London"/>
    <x v="1"/>
    <s v="Consultant"/>
    <s v="Project work"/>
    <d v="2026-05-21T00:00:00"/>
    <d v="2026-06-19T00:00:00"/>
    <d v="2026-06-22T00:00:00"/>
    <x v="0"/>
    <s v="London"/>
    <x v="16"/>
    <x v="1"/>
    <x v="1"/>
    <s v="Economy"/>
    <n v="2060"/>
    <n v="29"/>
    <x v="3"/>
    <x v="0"/>
    <s v="A05"/>
    <s v="H04"/>
    <n v="244.76"/>
    <n v="0"/>
    <x v="0"/>
    <n v="132.88999999999999"/>
    <n v="265.77999999999997"/>
    <n v="96.69"/>
    <n v="607.23"/>
    <x v="0"/>
    <x v="0"/>
    <n v="0"/>
    <n v="0"/>
    <n v="0"/>
    <n v="607.23"/>
    <x v="0"/>
    <x v="0"/>
    <x v="1"/>
    <x v="0"/>
    <x v="0"/>
    <s v="Yes"/>
    <x v="0"/>
    <x v="0"/>
    <n v="4"/>
    <n v="309"/>
    <x v="2"/>
    <x v="3"/>
  </r>
  <r>
    <s v="T00052"/>
    <s v="E0015"/>
    <s v="London"/>
    <x v="1"/>
    <s v="Consultant"/>
    <s v="Project work"/>
    <d v="2026-04-26T00:00:00"/>
    <d v="2026-05-01T00:00:00"/>
    <d v="2026-05-05T00:00:00"/>
    <x v="2"/>
    <s v="London"/>
    <x v="14"/>
    <x v="1"/>
    <x v="1"/>
    <s v="Economy"/>
    <n v="3382"/>
    <n v="5"/>
    <x v="4"/>
    <x v="1"/>
    <s v="A03"/>
    <s v="H01"/>
    <n v="222.94"/>
    <n v="0"/>
    <x v="1"/>
    <n v="185.84333333333333"/>
    <n v="557.53"/>
    <n v="81.650000000000006"/>
    <n v="862.12"/>
    <x v="0"/>
    <x v="0"/>
    <n v="0"/>
    <n v="0"/>
    <n v="0"/>
    <n v="862.12"/>
    <x v="1"/>
    <x v="0"/>
    <x v="1"/>
    <x v="0"/>
    <x v="0"/>
    <s v="Yes"/>
    <x v="1"/>
    <x v="1"/>
    <n v="5"/>
    <n v="507.3"/>
    <x v="7"/>
    <x v="2"/>
  </r>
  <r>
    <s v="T00053"/>
    <s v="E0016"/>
    <s v="London"/>
    <x v="1"/>
    <s v="Analyst"/>
    <s v="Client meeting"/>
    <d v="2026-04-09T00:00:00"/>
    <d v="2026-05-06T00:00:00"/>
    <d v="2026-05-10T00:00:00"/>
    <x v="2"/>
    <s v="London"/>
    <x v="1"/>
    <x v="1"/>
    <x v="1"/>
    <s v="Economy"/>
    <n v="3428"/>
    <n v="27"/>
    <x v="3"/>
    <x v="0"/>
    <s v="A04"/>
    <s v="H01"/>
    <n v="440.14"/>
    <n v="0"/>
    <x v="1"/>
    <n v="233.86"/>
    <n v="701.58"/>
    <n v="143.13"/>
    <n v="1284.8499999999999"/>
    <x v="0"/>
    <x v="0"/>
    <n v="0"/>
    <n v="0"/>
    <n v="0"/>
    <n v="1284.8499999999999"/>
    <x v="1"/>
    <x v="0"/>
    <x v="1"/>
    <x v="0"/>
    <x v="0"/>
    <s v="Yes"/>
    <x v="0"/>
    <x v="1"/>
    <n v="3"/>
    <n v="514.20000000000005"/>
    <x v="3"/>
    <x v="2"/>
  </r>
  <r>
    <s v="T00054"/>
    <s v="E0016"/>
    <s v="London"/>
    <x v="1"/>
    <s v="Analyst"/>
    <s v="Client meeting"/>
    <d v="2026-04-28T00:00:00"/>
    <d v="2026-05-13T00:00:00"/>
    <d v="2026-05-15T00:00:00"/>
    <x v="2"/>
    <s v="London"/>
    <x v="4"/>
    <x v="1"/>
    <x v="1"/>
    <s v="Economy"/>
    <n v="2796"/>
    <n v="15"/>
    <x v="3"/>
    <x v="2"/>
    <s v="A03"/>
    <s v="H02"/>
    <n v="357.43"/>
    <n v="0"/>
    <x v="2"/>
    <n v="201.79"/>
    <n v="201.79"/>
    <n v="100.78"/>
    <n v="660"/>
    <x v="0"/>
    <x v="0"/>
    <n v="0"/>
    <n v="0"/>
    <n v="0"/>
    <n v="660"/>
    <x v="0"/>
    <x v="0"/>
    <x v="1"/>
    <x v="0"/>
    <x v="1"/>
    <s v="Yes"/>
    <x v="0"/>
    <x v="1"/>
    <n v="4"/>
    <n v="419.4"/>
    <x v="7"/>
    <x v="1"/>
  </r>
  <r>
    <s v="T00055"/>
    <s v="E0016"/>
    <s v="London"/>
    <x v="1"/>
    <s v="Analyst"/>
    <s v="Team building"/>
    <d v="2026-06-20T00:00:00"/>
    <d v="2026-07-07T00:00:00"/>
    <d v="2026-07-11T00:00:00"/>
    <x v="1"/>
    <s v="London"/>
    <x v="9"/>
    <x v="1"/>
    <x v="1"/>
    <s v="Economy"/>
    <n v="2856"/>
    <n v="17"/>
    <x v="3"/>
    <x v="2"/>
    <s v="A01"/>
    <s v="H03"/>
    <n v="184.84"/>
    <n v="0"/>
    <x v="1"/>
    <n v="224.05333333333331"/>
    <n v="672.16"/>
    <n v="84.04"/>
    <n v="941.04"/>
    <x v="0"/>
    <x v="0"/>
    <n v="0"/>
    <n v="0"/>
    <n v="0"/>
    <n v="941.04"/>
    <x v="1"/>
    <x v="0"/>
    <x v="1"/>
    <x v="0"/>
    <x v="1"/>
    <s v="Yes"/>
    <x v="0"/>
    <x v="1"/>
    <n v="3"/>
    <n v="428.4"/>
    <x v="1"/>
    <x v="4"/>
  </r>
  <r>
    <s v="T00056"/>
    <s v="E0016"/>
    <s v="London"/>
    <x v="1"/>
    <s v="Analyst"/>
    <s v="Internal meeting"/>
    <d v="2026-05-23T00:00:00"/>
    <d v="2026-05-28T00:00:00"/>
    <d v="2026-05-30T00:00:00"/>
    <x v="2"/>
    <s v="London"/>
    <x v="9"/>
    <x v="1"/>
    <x v="1"/>
    <s v="Economy"/>
    <n v="2860"/>
    <n v="5"/>
    <x v="4"/>
    <x v="0"/>
    <s v="A10"/>
    <s v="H05"/>
    <n v="267.49"/>
    <n v="0"/>
    <x v="2"/>
    <n v="210.25"/>
    <n v="210.25"/>
    <n v="105.36"/>
    <n v="583.1"/>
    <x v="0"/>
    <x v="0"/>
    <n v="0"/>
    <n v="0"/>
    <n v="0"/>
    <n v="583.1"/>
    <x v="1"/>
    <x v="1"/>
    <x v="1"/>
    <x v="0"/>
    <x v="0"/>
    <s v="No"/>
    <x v="0"/>
    <x v="1"/>
    <n v="4"/>
    <n v="429"/>
    <x v="6"/>
    <x v="5"/>
  </r>
  <r>
    <s v="T00057"/>
    <s v="E0016"/>
    <s v="London"/>
    <x v="1"/>
    <s v="Analyst"/>
    <s v="Internal meeting"/>
    <d v="2026-04-17T00:00:00"/>
    <d v="2026-05-08T00:00:00"/>
    <d v="2026-05-11T00:00:00"/>
    <x v="2"/>
    <s v="London"/>
    <x v="8"/>
    <x v="1"/>
    <x v="1"/>
    <s v="Economy"/>
    <n v="10788"/>
    <n v="21"/>
    <x v="3"/>
    <x v="3"/>
    <s v="A09"/>
    <s v="H02"/>
    <n v="994.78"/>
    <n v="0"/>
    <x v="0"/>
    <n v="222.99"/>
    <n v="445.98"/>
    <n v="48.51"/>
    <n v="1489.27"/>
    <x v="1"/>
    <x v="1"/>
    <n v="90.11"/>
    <n v="120.25"/>
    <n v="1080.57"/>
    <n v="619.05999999999995"/>
    <x v="1"/>
    <x v="0"/>
    <x v="2"/>
    <x v="0"/>
    <x v="1"/>
    <s v="No"/>
    <x v="1"/>
    <x v="1"/>
    <n v="2"/>
    <n v="1618.2"/>
    <x v="8"/>
    <x v="1"/>
  </r>
  <r>
    <s v="T00058"/>
    <s v="E0016"/>
    <s v="London"/>
    <x v="1"/>
    <s v="Analyst"/>
    <s v="Other"/>
    <d v="2026-05-18T00:00:00"/>
    <d v="2026-06-01T00:00:00"/>
    <d v="2026-06-03T00:00:00"/>
    <x v="0"/>
    <s v="London"/>
    <x v="2"/>
    <x v="1"/>
    <x v="1"/>
    <s v="Economy"/>
    <n v="2762"/>
    <n v="14"/>
    <x v="0"/>
    <x v="1"/>
    <s v="A05"/>
    <s v="H03"/>
    <n v="557.42999999999995"/>
    <n v="0"/>
    <x v="2"/>
    <n v="188.37"/>
    <n v="188.37"/>
    <n v="75.209999999999994"/>
    <n v="821.01"/>
    <x v="0"/>
    <x v="0"/>
    <n v="0"/>
    <n v="0"/>
    <n v="0"/>
    <n v="821.01"/>
    <x v="1"/>
    <x v="0"/>
    <x v="1"/>
    <x v="0"/>
    <x v="0"/>
    <s v="Yes"/>
    <x v="0"/>
    <x v="1"/>
    <n v="5"/>
    <n v="414.3"/>
    <x v="2"/>
    <x v="4"/>
  </r>
  <r>
    <s v="T00059"/>
    <s v="E0017"/>
    <s v="Leeds"/>
    <x v="4"/>
    <s v="Senior Manager"/>
    <s v="Recruitment / Interview"/>
    <d v="2026-06-01T00:00:00"/>
    <d v="2026-06-02T00:00:00"/>
    <d v="2026-06-07T00:00:00"/>
    <x v="0"/>
    <s v="Leeds"/>
    <x v="20"/>
    <x v="1"/>
    <x v="1"/>
    <s v="Premium Economy"/>
    <n v="12828"/>
    <n v="1"/>
    <x v="1"/>
    <x v="2"/>
    <s v="A01"/>
    <s v="H04"/>
    <n v="942.24"/>
    <n v="0"/>
    <x v="3"/>
    <n v="138.86000000000001"/>
    <n v="555.44000000000005"/>
    <n v="103.22"/>
    <n v="1600.9"/>
    <x v="0"/>
    <x v="0"/>
    <n v="0"/>
    <n v="0"/>
    <n v="0"/>
    <n v="1600.9"/>
    <x v="0"/>
    <x v="0"/>
    <x v="1"/>
    <x v="1"/>
    <x v="1"/>
    <s v="Yes"/>
    <x v="1"/>
    <x v="1"/>
    <n v="4"/>
    <n v="1924.2"/>
    <x v="1"/>
    <x v="3"/>
  </r>
  <r>
    <s v="T00060"/>
    <s v="E0017"/>
    <s v="Leeds"/>
    <x v="4"/>
    <s v="Senior Manager"/>
    <s v="Training"/>
    <d v="2026-05-31T00:00:00"/>
    <d v="2026-06-05T00:00:00"/>
    <d v="2026-06-09T00:00:00"/>
    <x v="0"/>
    <s v="Leeds"/>
    <x v="1"/>
    <x v="1"/>
    <x v="1"/>
    <s v="Economy"/>
    <n v="2414"/>
    <n v="5"/>
    <x v="4"/>
    <x v="0"/>
    <s v="A01"/>
    <s v="H02"/>
    <n v="599.62"/>
    <n v="0"/>
    <x v="1"/>
    <n v="150.60333333333332"/>
    <n v="451.81"/>
    <n v="103.35"/>
    <n v="1154.78"/>
    <x v="1"/>
    <x v="0"/>
    <n v="108.7"/>
    <n v="0"/>
    <n v="0"/>
    <n v="1263.48"/>
    <x v="0"/>
    <x v="0"/>
    <x v="1"/>
    <x v="0"/>
    <x v="0"/>
    <s v="Yes"/>
    <x v="0"/>
    <x v="0"/>
    <n v="4"/>
    <n v="362.1"/>
    <x v="1"/>
    <x v="1"/>
  </r>
  <r>
    <s v="T00061"/>
    <s v="E0017"/>
    <s v="Leeds"/>
    <x v="4"/>
    <s v="Senior Manager"/>
    <s v="Project work"/>
    <d v="2026-04-27T00:00:00"/>
    <d v="2026-05-09T00:00:00"/>
    <d v="2026-05-10T00:00:00"/>
    <x v="2"/>
    <s v="Leeds"/>
    <x v="6"/>
    <x v="0"/>
    <x v="0"/>
    <s v="Standard / 2nd Class"/>
    <n v="614"/>
    <n v="12"/>
    <x v="0"/>
    <x v="0"/>
    <m/>
    <m/>
    <n v="0"/>
    <n v="138.52000000000001"/>
    <x v="5"/>
    <n v="0"/>
    <n v="0"/>
    <n v="29.48"/>
    <n v="168"/>
    <x v="0"/>
    <x v="0"/>
    <n v="0"/>
    <n v="0"/>
    <n v="0"/>
    <n v="168"/>
    <x v="2"/>
    <x v="2"/>
    <x v="0"/>
    <x v="0"/>
    <x v="0"/>
    <s v="Yes"/>
    <x v="0"/>
    <x v="0"/>
    <n v="5"/>
    <n v="24.6"/>
    <x v="0"/>
    <x v="7"/>
  </r>
  <r>
    <s v="T00062"/>
    <s v="E0018"/>
    <s v="Leeds"/>
    <x v="5"/>
    <s v="Senior Manager"/>
    <s v="Client meeting"/>
    <d v="2026-04-13T00:00:00"/>
    <d v="2026-05-08T00:00:00"/>
    <d v="2026-05-11T00:00:00"/>
    <x v="2"/>
    <s v="Leeds"/>
    <x v="11"/>
    <x v="1"/>
    <x v="1"/>
    <s v="Economy"/>
    <n v="2554"/>
    <n v="25"/>
    <x v="3"/>
    <x v="0"/>
    <s v="A01"/>
    <s v="H04"/>
    <n v="737.6"/>
    <n v="0"/>
    <x v="0"/>
    <n v="85.644999999999996"/>
    <n v="171.29"/>
    <n v="78.209999999999994"/>
    <n v="987.1"/>
    <x v="0"/>
    <x v="0"/>
    <n v="0"/>
    <n v="0"/>
    <n v="0"/>
    <n v="987.1"/>
    <x v="0"/>
    <x v="0"/>
    <x v="1"/>
    <x v="0"/>
    <x v="0"/>
    <s v="Yes"/>
    <x v="0"/>
    <x v="0"/>
    <n v="4"/>
    <n v="383.1"/>
    <x v="1"/>
    <x v="3"/>
  </r>
  <r>
    <s v="T00063"/>
    <s v="E0018"/>
    <s v="Leeds"/>
    <x v="5"/>
    <s v="Senior Manager"/>
    <s v="Internal meeting"/>
    <d v="2026-05-07T00:00:00"/>
    <d v="2026-06-01T00:00:00"/>
    <d v="2026-06-03T00:00:00"/>
    <x v="0"/>
    <s v="Leeds"/>
    <x v="6"/>
    <x v="0"/>
    <x v="1"/>
    <s v="Economy"/>
    <n v="652"/>
    <n v="25"/>
    <x v="3"/>
    <x v="2"/>
    <s v="A02"/>
    <s v="H01"/>
    <n v="351.2"/>
    <n v="0"/>
    <x v="2"/>
    <n v="89.92"/>
    <n v="89.92"/>
    <n v="42.15"/>
    <n v="483.27"/>
    <x v="0"/>
    <x v="0"/>
    <n v="0"/>
    <n v="0"/>
    <n v="0"/>
    <n v="483.27"/>
    <x v="0"/>
    <x v="0"/>
    <x v="1"/>
    <x v="0"/>
    <x v="1"/>
    <s v="Yes"/>
    <x v="0"/>
    <x v="1"/>
    <n v="4"/>
    <n v="97.8"/>
    <x v="4"/>
    <x v="2"/>
  </r>
  <r>
    <s v="T00064"/>
    <s v="E0018"/>
    <s v="Leeds"/>
    <x v="5"/>
    <s v="Senior Manager"/>
    <s v="Team building"/>
    <d v="2026-05-15T00:00:00"/>
    <d v="2026-06-10T00:00:00"/>
    <d v="2026-06-12T00:00:00"/>
    <x v="0"/>
    <s v="Leeds"/>
    <x v="2"/>
    <x v="1"/>
    <x v="1"/>
    <s v="Economy"/>
    <n v="2318"/>
    <n v="26"/>
    <x v="3"/>
    <x v="0"/>
    <s v="A05"/>
    <s v="H05"/>
    <n v="387.83"/>
    <n v="0"/>
    <x v="2"/>
    <n v="171.65"/>
    <n v="171.65"/>
    <n v="63.41"/>
    <n v="622.89"/>
    <x v="0"/>
    <x v="0"/>
    <n v="0"/>
    <n v="0"/>
    <n v="0"/>
    <n v="622.89"/>
    <x v="0"/>
    <x v="1"/>
    <x v="1"/>
    <x v="0"/>
    <x v="0"/>
    <s v="No"/>
    <x v="0"/>
    <x v="1"/>
    <n v="4"/>
    <n v="347.7"/>
    <x v="2"/>
    <x v="5"/>
  </r>
  <r>
    <s v="T00065"/>
    <s v="E0018"/>
    <s v="Leeds"/>
    <x v="5"/>
    <s v="Senior Manager"/>
    <s v="Client meeting"/>
    <d v="2026-07-01T00:00:00"/>
    <d v="2026-07-13T00:00:00"/>
    <d v="2026-07-16T00:00:00"/>
    <x v="1"/>
    <s v="Leeds"/>
    <x v="9"/>
    <x v="1"/>
    <x v="1"/>
    <s v="Economy"/>
    <n v="3482"/>
    <n v="12"/>
    <x v="0"/>
    <x v="0"/>
    <s v="A06"/>
    <s v="H04"/>
    <n v="382.84"/>
    <n v="0"/>
    <x v="0"/>
    <n v="156.27500000000001"/>
    <n v="312.55"/>
    <n v="139.34"/>
    <n v="834.73"/>
    <x v="0"/>
    <x v="0"/>
    <n v="0"/>
    <n v="0"/>
    <n v="0"/>
    <n v="834.73"/>
    <x v="0"/>
    <x v="0"/>
    <x v="2"/>
    <x v="0"/>
    <x v="0"/>
    <s v="No"/>
    <x v="1"/>
    <x v="1"/>
    <n v="4"/>
    <n v="522.29999999999995"/>
    <x v="9"/>
    <x v="3"/>
  </r>
  <r>
    <s v="T00066"/>
    <s v="E0019"/>
    <s v="Bristol"/>
    <x v="0"/>
    <s v="Senior Manager"/>
    <s v="Training"/>
    <d v="2026-05-04T00:00:00"/>
    <d v="2026-05-21T00:00:00"/>
    <d v="2026-05-26T00:00:00"/>
    <x v="2"/>
    <s v="Bristol"/>
    <x v="14"/>
    <x v="1"/>
    <x v="1"/>
    <s v="Economy"/>
    <n v="3564"/>
    <n v="17"/>
    <x v="3"/>
    <x v="1"/>
    <s v="A03"/>
    <s v="H01"/>
    <n v="410.21"/>
    <n v="0"/>
    <x v="3"/>
    <n v="214.55500000000001"/>
    <n v="858.22"/>
    <n v="107.22"/>
    <n v="1375.65"/>
    <x v="0"/>
    <x v="1"/>
    <n v="0"/>
    <n v="66"/>
    <n v="951.32"/>
    <n v="490.33000000000004"/>
    <x v="1"/>
    <x v="0"/>
    <x v="1"/>
    <x v="0"/>
    <x v="0"/>
    <s v="Yes"/>
    <x v="0"/>
    <x v="1"/>
    <n v="4"/>
    <n v="534.6"/>
    <x v="7"/>
    <x v="2"/>
  </r>
  <r>
    <s v="T00067"/>
    <s v="E0019"/>
    <s v="Bristol"/>
    <x v="0"/>
    <s v="Senior Manager"/>
    <s v="Project work"/>
    <d v="2026-06-05T00:00:00"/>
    <d v="2026-06-21T00:00:00"/>
    <d v="2026-06-24T00:00:00"/>
    <x v="0"/>
    <s v="Bristol"/>
    <x v="16"/>
    <x v="1"/>
    <x v="1"/>
    <s v="Economy"/>
    <n v="3504"/>
    <n v="16"/>
    <x v="3"/>
    <x v="0"/>
    <s v="A05"/>
    <s v="H03"/>
    <n v="419.91"/>
    <n v="0"/>
    <x v="0"/>
    <n v="178.745"/>
    <n v="357.49"/>
    <n v="88.9"/>
    <n v="866.3"/>
    <x v="1"/>
    <x v="0"/>
    <n v="83.31"/>
    <n v="0"/>
    <n v="0"/>
    <n v="949.6099999999999"/>
    <x v="0"/>
    <x v="0"/>
    <x v="1"/>
    <x v="0"/>
    <x v="0"/>
    <s v="Yes"/>
    <x v="0"/>
    <x v="0"/>
    <n v="5"/>
    <n v="525.6"/>
    <x v="2"/>
    <x v="4"/>
  </r>
  <r>
    <s v="T00068"/>
    <s v="E0019"/>
    <s v="Bristol"/>
    <x v="0"/>
    <s v="Senior Manager"/>
    <s v="Client meeting"/>
    <d v="2026-05-28T00:00:00"/>
    <d v="2026-06-09T00:00:00"/>
    <d v="2026-06-13T00:00:00"/>
    <x v="0"/>
    <s v="Bristol"/>
    <x v="14"/>
    <x v="1"/>
    <x v="1"/>
    <s v="Economy"/>
    <n v="2540"/>
    <n v="12"/>
    <x v="0"/>
    <x v="1"/>
    <s v="A02"/>
    <s v="H02"/>
    <n v="606.98"/>
    <n v="0"/>
    <x v="1"/>
    <n v="219.50333333333333"/>
    <n v="658.51"/>
    <n v="64.25"/>
    <n v="1329.74"/>
    <x v="0"/>
    <x v="1"/>
    <n v="0"/>
    <n v="164.93"/>
    <n v="949.12"/>
    <n v="545.55000000000007"/>
    <x v="1"/>
    <x v="0"/>
    <x v="1"/>
    <x v="0"/>
    <x v="0"/>
    <s v="Yes"/>
    <x v="0"/>
    <x v="1"/>
    <n v="3"/>
    <n v="381"/>
    <x v="4"/>
    <x v="1"/>
  </r>
  <r>
    <s v="T00069"/>
    <s v="E0019"/>
    <s v="Bristol"/>
    <x v="0"/>
    <s v="Senior Manager"/>
    <s v="Client meeting"/>
    <d v="2026-06-02T00:00:00"/>
    <d v="2026-06-11T00:00:00"/>
    <d v="2026-06-15T00:00:00"/>
    <x v="0"/>
    <s v="Bristol"/>
    <x v="14"/>
    <x v="1"/>
    <x v="1"/>
    <s v="Economy"/>
    <n v="3390"/>
    <n v="9"/>
    <x v="0"/>
    <x v="0"/>
    <s v="A03"/>
    <s v="H02"/>
    <n v="453.07"/>
    <n v="0"/>
    <x v="1"/>
    <n v="219.39333333333332"/>
    <n v="658.18"/>
    <n v="108.24"/>
    <n v="1219.49"/>
    <x v="0"/>
    <x v="1"/>
    <n v="0"/>
    <n v="88.51"/>
    <n v="555.62"/>
    <n v="752.38"/>
    <x v="1"/>
    <x v="0"/>
    <x v="1"/>
    <x v="0"/>
    <x v="0"/>
    <s v="Yes"/>
    <x v="0"/>
    <x v="1"/>
    <n v="3"/>
    <n v="508.5"/>
    <x v="7"/>
    <x v="1"/>
  </r>
  <r>
    <s v="T00070"/>
    <s v="E0019"/>
    <s v="Bristol"/>
    <x v="0"/>
    <s v="Senior Manager"/>
    <s v="Client meeting"/>
    <d v="2026-05-12T00:00:00"/>
    <d v="2026-05-29T00:00:00"/>
    <d v="2026-06-02T00:00:00"/>
    <x v="2"/>
    <s v="Bristol"/>
    <x v="1"/>
    <x v="1"/>
    <x v="1"/>
    <s v="Economy"/>
    <n v="2230"/>
    <n v="17"/>
    <x v="3"/>
    <x v="1"/>
    <s v="A04"/>
    <s v="H03"/>
    <n v="434.02"/>
    <n v="0"/>
    <x v="1"/>
    <n v="159.19666666666666"/>
    <n v="477.59"/>
    <n v="104.97"/>
    <n v="1016.58"/>
    <x v="0"/>
    <x v="0"/>
    <n v="0"/>
    <n v="0"/>
    <n v="0"/>
    <n v="1016.58"/>
    <x v="0"/>
    <x v="0"/>
    <x v="1"/>
    <x v="0"/>
    <x v="0"/>
    <s v="Yes"/>
    <x v="0"/>
    <x v="0"/>
    <n v="4"/>
    <n v="334.5"/>
    <x v="3"/>
    <x v="4"/>
  </r>
  <r>
    <s v="T00071"/>
    <s v="E0019"/>
    <s v="Bristol"/>
    <x v="0"/>
    <s v="Senior Manager"/>
    <s v="Project work"/>
    <d v="2026-04-28T00:00:00"/>
    <d v="2026-05-22T00:00:00"/>
    <d v="2026-05-23T00:00:00"/>
    <x v="2"/>
    <s v="Bristol"/>
    <x v="6"/>
    <x v="0"/>
    <x v="0"/>
    <s v="Standard / 2nd Class"/>
    <n v="704"/>
    <n v="24"/>
    <x v="3"/>
    <x v="0"/>
    <m/>
    <m/>
    <n v="0"/>
    <n v="208.29"/>
    <x v="5"/>
    <n v="0"/>
    <n v="0"/>
    <n v="49.87"/>
    <n v="258.16000000000003"/>
    <x v="0"/>
    <x v="1"/>
    <n v="0"/>
    <n v="102.19"/>
    <n v="52.07"/>
    <n v="308.28000000000003"/>
    <x v="2"/>
    <x v="2"/>
    <x v="0"/>
    <x v="0"/>
    <x v="0"/>
    <s v="Yes"/>
    <x v="0"/>
    <x v="0"/>
    <n v="4"/>
    <n v="28.2"/>
    <x v="0"/>
    <x v="7"/>
  </r>
  <r>
    <s v="T00072"/>
    <s v="E0020"/>
    <s v="London"/>
    <x v="1"/>
    <s v="Senior Manager"/>
    <s v="Internal meeting"/>
    <d v="2026-06-02T00:00:00"/>
    <d v="2026-06-09T00:00:00"/>
    <d v="2026-06-13T00:00:00"/>
    <x v="0"/>
    <s v="London"/>
    <x v="18"/>
    <x v="1"/>
    <x v="1"/>
    <s v="Economy"/>
    <n v="11634"/>
    <n v="7"/>
    <x v="4"/>
    <x v="0"/>
    <s v="A01"/>
    <s v="H01"/>
    <n v="1496.78"/>
    <n v="0"/>
    <x v="1"/>
    <n v="169.48"/>
    <n v="508.44"/>
    <n v="88.81"/>
    <n v="2094.0300000000002"/>
    <x v="0"/>
    <x v="1"/>
    <n v="0"/>
    <n v="78.010000000000005"/>
    <n v="1804.7"/>
    <n v="367.34000000000037"/>
    <x v="0"/>
    <x v="0"/>
    <x v="1"/>
    <x v="0"/>
    <x v="0"/>
    <s v="Yes"/>
    <x v="0"/>
    <x v="0"/>
    <n v="3"/>
    <n v="1745.1"/>
    <x v="1"/>
    <x v="2"/>
  </r>
  <r>
    <s v="T00073"/>
    <s v="E0020"/>
    <s v="London"/>
    <x v="1"/>
    <s v="Senior Manager"/>
    <s v="Client meeting"/>
    <d v="2026-06-14T00:00:00"/>
    <d v="2026-06-24T00:00:00"/>
    <d v="2026-06-27T00:00:00"/>
    <x v="0"/>
    <s v="London"/>
    <x v="8"/>
    <x v="1"/>
    <x v="1"/>
    <s v="Premium Economy"/>
    <n v="11890"/>
    <n v="10"/>
    <x v="0"/>
    <x v="1"/>
    <s v="A01"/>
    <s v="H02"/>
    <n v="1155.92"/>
    <n v="0"/>
    <x v="0"/>
    <n v="170.35"/>
    <n v="340.7"/>
    <n v="79.45"/>
    <n v="1576.07"/>
    <x v="0"/>
    <x v="0"/>
    <n v="0"/>
    <n v="0"/>
    <n v="0"/>
    <n v="1576.07"/>
    <x v="0"/>
    <x v="0"/>
    <x v="1"/>
    <x v="1"/>
    <x v="0"/>
    <s v="Yes"/>
    <x v="0"/>
    <x v="1"/>
    <n v="5"/>
    <n v="1783.5"/>
    <x v="1"/>
    <x v="1"/>
  </r>
  <r>
    <s v="T00074"/>
    <s v="E0020"/>
    <s v="London"/>
    <x v="1"/>
    <s v="Senior Manager"/>
    <s v="Training"/>
    <d v="2026-07-29T00:00:00"/>
    <d v="2026-07-30T00:00:00"/>
    <d v="2026-08-02T00:00:00"/>
    <x v="1"/>
    <s v="London"/>
    <x v="1"/>
    <x v="1"/>
    <x v="1"/>
    <s v="Economy"/>
    <n v="1108"/>
    <n v="1"/>
    <x v="1"/>
    <x v="0"/>
    <s v="A01"/>
    <s v="H03"/>
    <n v="295.72000000000003"/>
    <n v="0"/>
    <x v="0"/>
    <n v="130.67500000000001"/>
    <n v="261.35000000000002"/>
    <n v="44.07"/>
    <n v="601.14"/>
    <x v="0"/>
    <x v="0"/>
    <n v="0"/>
    <n v="0"/>
    <n v="0"/>
    <n v="601.14"/>
    <x v="0"/>
    <x v="0"/>
    <x v="1"/>
    <x v="0"/>
    <x v="0"/>
    <s v="Yes"/>
    <x v="0"/>
    <x v="0"/>
    <n v="4"/>
    <n v="166.2"/>
    <x v="1"/>
    <x v="4"/>
  </r>
  <r>
    <s v="T00075"/>
    <s v="E0021"/>
    <s v="Birmingham"/>
    <x v="4"/>
    <s v="Director"/>
    <s v="Client meeting"/>
    <d v="2026-07-10T00:00:00"/>
    <d v="2026-07-26T00:00:00"/>
    <d v="2026-07-30T00:00:00"/>
    <x v="1"/>
    <s v="Birmingham"/>
    <x v="21"/>
    <x v="1"/>
    <x v="1"/>
    <s v="Economy"/>
    <n v="10602"/>
    <n v="16"/>
    <x v="3"/>
    <x v="1"/>
    <s v="A07"/>
    <s v="H01"/>
    <n v="1238.23"/>
    <n v="0"/>
    <x v="1"/>
    <n v="147.29666666666665"/>
    <n v="441.89"/>
    <n v="89.32"/>
    <n v="1769.44"/>
    <x v="0"/>
    <x v="0"/>
    <n v="0"/>
    <n v="0"/>
    <n v="0"/>
    <n v="1769.44"/>
    <x v="0"/>
    <x v="0"/>
    <x v="1"/>
    <x v="0"/>
    <x v="0"/>
    <s v="Yes"/>
    <x v="0"/>
    <x v="0"/>
    <n v="5"/>
    <n v="1590.3"/>
    <x v="5"/>
    <x v="2"/>
  </r>
  <r>
    <s v="T00076"/>
    <s v="E0021"/>
    <s v="Birmingham"/>
    <x v="4"/>
    <s v="Director"/>
    <s v="Internal meeting"/>
    <d v="2026-06-13T00:00:00"/>
    <d v="2026-07-09T00:00:00"/>
    <d v="2026-07-12T00:00:00"/>
    <x v="1"/>
    <s v="Birmingham"/>
    <x v="22"/>
    <x v="0"/>
    <x v="0"/>
    <s v="Standard / 2nd Class"/>
    <n v="1290"/>
    <n v="26"/>
    <x v="3"/>
    <x v="0"/>
    <m/>
    <s v="H06"/>
    <n v="0"/>
    <n v="168.53"/>
    <x v="0"/>
    <n v="157.55000000000001"/>
    <n v="315.10000000000002"/>
    <n v="69.709999999999994"/>
    <n v="553.34"/>
    <x v="0"/>
    <x v="0"/>
    <n v="0"/>
    <n v="0"/>
    <n v="0"/>
    <n v="553.34"/>
    <x v="0"/>
    <x v="0"/>
    <x v="0"/>
    <x v="0"/>
    <x v="0"/>
    <s v="Yes"/>
    <x v="0"/>
    <x v="0"/>
    <n v="4"/>
    <n v="51.6"/>
    <x v="0"/>
    <x v="0"/>
  </r>
  <r>
    <s v="T00077"/>
    <s v="E0021"/>
    <s v="Birmingham"/>
    <x v="4"/>
    <s v="Director"/>
    <s v="Internal meeting"/>
    <d v="2026-06-14T00:00:00"/>
    <d v="2026-07-12T00:00:00"/>
    <d v="2026-07-17T00:00:00"/>
    <x v="1"/>
    <s v="Birmingham"/>
    <x v="20"/>
    <x v="1"/>
    <x v="1"/>
    <s v="Economy"/>
    <n v="10548"/>
    <n v="28"/>
    <x v="3"/>
    <x v="0"/>
    <s v="A01"/>
    <s v="H02"/>
    <n v="982.83"/>
    <n v="0"/>
    <x v="3"/>
    <n v="200.16249999999999"/>
    <n v="800.65"/>
    <n v="96.81"/>
    <n v="1880.29"/>
    <x v="0"/>
    <x v="0"/>
    <n v="0"/>
    <n v="0"/>
    <n v="0"/>
    <n v="1880.29"/>
    <x v="0"/>
    <x v="0"/>
    <x v="1"/>
    <x v="0"/>
    <x v="0"/>
    <s v="Yes"/>
    <x v="0"/>
    <x v="0"/>
    <n v="4"/>
    <n v="1582.2"/>
    <x v="1"/>
    <x v="1"/>
  </r>
  <r>
    <s v="T00078"/>
    <s v="E0022"/>
    <s v="Bristol"/>
    <x v="0"/>
    <s v="Partner"/>
    <s v="Project work"/>
    <d v="2026-05-25T00:00:00"/>
    <d v="2026-05-30T00:00:00"/>
    <d v="2026-06-01T00:00:00"/>
    <x v="2"/>
    <s v="Bristol"/>
    <x v="22"/>
    <x v="0"/>
    <x v="0"/>
    <s v="Standard / 2nd Class"/>
    <n v="1056"/>
    <n v="5"/>
    <x v="4"/>
    <x v="1"/>
    <m/>
    <s v="H07"/>
    <n v="0"/>
    <n v="170.85"/>
    <x v="2"/>
    <n v="194.09"/>
    <n v="194.09"/>
    <n v="20"/>
    <n v="384.94"/>
    <x v="1"/>
    <x v="0"/>
    <n v="82.26"/>
    <n v="0"/>
    <n v="0"/>
    <n v="467.2"/>
    <x v="0"/>
    <x v="1"/>
    <x v="0"/>
    <x v="0"/>
    <x v="0"/>
    <s v="No"/>
    <x v="0"/>
    <x v="1"/>
    <n v="3"/>
    <n v="42.2"/>
    <x v="0"/>
    <x v="6"/>
  </r>
  <r>
    <s v="T00079"/>
    <s v="E0022"/>
    <s v="Bristol"/>
    <x v="0"/>
    <s v="Partner"/>
    <s v="Conference / Event"/>
    <d v="2026-05-23T00:00:00"/>
    <d v="2026-05-24T00:00:00"/>
    <d v="2026-05-26T00:00:00"/>
    <x v="2"/>
    <s v="Bristol"/>
    <x v="7"/>
    <x v="1"/>
    <x v="1"/>
    <s v="Business"/>
    <n v="10436"/>
    <n v="1"/>
    <x v="1"/>
    <x v="0"/>
    <s v="A07"/>
    <s v="H04"/>
    <n v="613.6"/>
    <n v="0"/>
    <x v="2"/>
    <n v="217.3"/>
    <n v="217.3"/>
    <n v="101.52"/>
    <n v="932.42"/>
    <x v="0"/>
    <x v="0"/>
    <n v="0"/>
    <n v="0"/>
    <n v="0"/>
    <n v="932.42"/>
    <x v="0"/>
    <x v="0"/>
    <x v="1"/>
    <x v="1"/>
    <x v="0"/>
    <s v="Yes"/>
    <x v="0"/>
    <x v="1"/>
    <n v="5"/>
    <n v="1565.4"/>
    <x v="5"/>
    <x v="3"/>
  </r>
  <r>
    <s v="T00080"/>
    <s v="E0022"/>
    <s v="Bristol"/>
    <x v="0"/>
    <s v="Partner"/>
    <s v="Recruitment / Interview"/>
    <d v="2026-07-10T00:00:00"/>
    <d v="2026-07-19T00:00:00"/>
    <d v="2026-07-21T00:00:00"/>
    <x v="1"/>
    <s v="Bristol"/>
    <x v="9"/>
    <x v="1"/>
    <x v="1"/>
    <s v="Economy"/>
    <n v="3106"/>
    <n v="9"/>
    <x v="0"/>
    <x v="0"/>
    <s v="A10"/>
    <s v="H05"/>
    <n v="619.87"/>
    <n v="0"/>
    <x v="2"/>
    <n v="110.46"/>
    <n v="110.46"/>
    <n v="93.29"/>
    <n v="823.62"/>
    <x v="0"/>
    <x v="0"/>
    <n v="0"/>
    <n v="0"/>
    <n v="0"/>
    <n v="823.62"/>
    <x v="0"/>
    <x v="1"/>
    <x v="1"/>
    <x v="0"/>
    <x v="0"/>
    <s v="No"/>
    <x v="0"/>
    <x v="1"/>
    <n v="5"/>
    <n v="465.9"/>
    <x v="6"/>
    <x v="5"/>
  </r>
  <r>
    <s v="T00081"/>
    <s v="E0023"/>
    <s v="Manchester"/>
    <x v="4"/>
    <s v="Consultant"/>
    <s v="Training"/>
    <d v="2026-06-10T00:00:00"/>
    <d v="2026-06-28T00:00:00"/>
    <d v="2026-07-02T00:00:00"/>
    <x v="0"/>
    <s v="Manchester"/>
    <x v="3"/>
    <x v="1"/>
    <x v="1"/>
    <s v="Economy"/>
    <n v="1304"/>
    <n v="18"/>
    <x v="3"/>
    <x v="3"/>
    <s v="A04"/>
    <s v="H01"/>
    <n v="595.4"/>
    <n v="0"/>
    <x v="1"/>
    <n v="119.70666666666666"/>
    <n v="359.12"/>
    <n v="85.97"/>
    <n v="1040.49"/>
    <x v="0"/>
    <x v="0"/>
    <n v="0"/>
    <n v="0"/>
    <n v="0"/>
    <n v="1040.49"/>
    <x v="0"/>
    <x v="0"/>
    <x v="1"/>
    <x v="0"/>
    <x v="1"/>
    <s v="Yes"/>
    <x v="0"/>
    <x v="1"/>
    <n v="4"/>
    <n v="195.6"/>
    <x v="3"/>
    <x v="2"/>
  </r>
  <r>
    <s v="T00082"/>
    <s v="E0023"/>
    <s v="Manchester"/>
    <x v="4"/>
    <s v="Consultant"/>
    <s v="Team building"/>
    <d v="2026-06-19T00:00:00"/>
    <d v="2026-07-15T00:00:00"/>
    <d v="2026-07-17T00:00:00"/>
    <x v="1"/>
    <s v="Manchester"/>
    <x v="7"/>
    <x v="1"/>
    <x v="1"/>
    <s v="Economy"/>
    <n v="10014"/>
    <n v="26"/>
    <x v="3"/>
    <x v="3"/>
    <s v="A09"/>
    <s v="H01"/>
    <n v="1085.2"/>
    <n v="0"/>
    <x v="2"/>
    <n v="130.63"/>
    <n v="130.63"/>
    <n v="96.45"/>
    <n v="1312.28"/>
    <x v="0"/>
    <x v="0"/>
    <n v="0"/>
    <n v="0"/>
    <n v="0"/>
    <n v="1312.28"/>
    <x v="0"/>
    <x v="0"/>
    <x v="2"/>
    <x v="0"/>
    <x v="1"/>
    <s v="No"/>
    <x v="1"/>
    <x v="1"/>
    <n v="5"/>
    <n v="1502.1"/>
    <x v="8"/>
    <x v="2"/>
  </r>
  <r>
    <s v="T00083"/>
    <s v="E0023"/>
    <s v="Manchester"/>
    <x v="4"/>
    <s v="Consultant"/>
    <s v="Project work"/>
    <d v="2026-06-18T00:00:00"/>
    <d v="2026-07-09T00:00:00"/>
    <d v="2026-07-13T00:00:00"/>
    <x v="1"/>
    <s v="Manchester"/>
    <x v="15"/>
    <x v="1"/>
    <x v="1"/>
    <s v="Economy"/>
    <n v="2526"/>
    <n v="21"/>
    <x v="3"/>
    <x v="1"/>
    <s v="A03"/>
    <s v="H04"/>
    <n v="498.39"/>
    <n v="0"/>
    <x v="1"/>
    <n v="189.82666666666668"/>
    <n v="569.48"/>
    <n v="78.13"/>
    <n v="1146"/>
    <x v="0"/>
    <x v="0"/>
    <n v="0"/>
    <n v="0"/>
    <n v="0"/>
    <n v="1146"/>
    <x v="1"/>
    <x v="0"/>
    <x v="1"/>
    <x v="0"/>
    <x v="0"/>
    <s v="Yes"/>
    <x v="0"/>
    <x v="1"/>
    <n v="5"/>
    <n v="378.9"/>
    <x v="7"/>
    <x v="3"/>
  </r>
  <r>
    <s v="T00084"/>
    <s v="E0023"/>
    <s v="Manchester"/>
    <x v="4"/>
    <s v="Consultant"/>
    <s v="Project work"/>
    <d v="2026-06-15T00:00:00"/>
    <d v="2026-06-21T00:00:00"/>
    <d v="2026-06-23T00:00:00"/>
    <x v="0"/>
    <s v="Manchester"/>
    <x v="10"/>
    <x v="0"/>
    <x v="1"/>
    <s v="Economy"/>
    <n v="906"/>
    <n v="6"/>
    <x v="4"/>
    <x v="2"/>
    <s v="A02"/>
    <s v="H06"/>
    <n v="415.08"/>
    <n v="0"/>
    <x v="2"/>
    <n v="118.41"/>
    <n v="118.41"/>
    <n v="65.2"/>
    <n v="598.69000000000005"/>
    <x v="0"/>
    <x v="0"/>
    <n v="0"/>
    <n v="0"/>
    <n v="0"/>
    <n v="598.69000000000005"/>
    <x v="0"/>
    <x v="0"/>
    <x v="1"/>
    <x v="0"/>
    <x v="1"/>
    <s v="Yes"/>
    <x v="0"/>
    <x v="1"/>
    <n v="4"/>
    <n v="135.9"/>
    <x v="4"/>
    <x v="0"/>
  </r>
  <r>
    <s v="T00085"/>
    <s v="E0023"/>
    <s v="Manchester"/>
    <x v="4"/>
    <s v="Consultant"/>
    <s v="Team building"/>
    <d v="2026-06-13T00:00:00"/>
    <d v="2026-07-12T00:00:00"/>
    <d v="2026-07-14T00:00:00"/>
    <x v="1"/>
    <s v="Manchester"/>
    <x v="12"/>
    <x v="1"/>
    <x v="1"/>
    <s v="Economy"/>
    <n v="2418"/>
    <n v="29"/>
    <x v="3"/>
    <x v="0"/>
    <s v="A01"/>
    <s v="H03"/>
    <n v="420.84"/>
    <n v="0"/>
    <x v="2"/>
    <n v="179.76"/>
    <n v="179.76"/>
    <n v="91.09"/>
    <n v="691.69"/>
    <x v="0"/>
    <x v="0"/>
    <n v="0"/>
    <n v="0"/>
    <n v="0"/>
    <n v="691.69"/>
    <x v="0"/>
    <x v="0"/>
    <x v="1"/>
    <x v="0"/>
    <x v="0"/>
    <s v="Yes"/>
    <x v="0"/>
    <x v="0"/>
    <n v="4"/>
    <n v="362.7"/>
    <x v="1"/>
    <x v="4"/>
  </r>
  <r>
    <s v="T00086"/>
    <s v="E0024"/>
    <s v="Birmingham"/>
    <x v="5"/>
    <s v="Senior Manager"/>
    <s v="Conference / Event"/>
    <d v="2026-04-14T00:00:00"/>
    <d v="2026-05-19T00:00:00"/>
    <d v="2026-05-22T00:00:00"/>
    <x v="2"/>
    <s v="Birmingham"/>
    <x v="9"/>
    <x v="1"/>
    <x v="1"/>
    <s v="Economy"/>
    <n v="2646"/>
    <n v="35"/>
    <x v="2"/>
    <x v="0"/>
    <s v="A10"/>
    <s v="H02"/>
    <n v="639.55999999999995"/>
    <n v="0"/>
    <x v="0"/>
    <n v="151.05500000000001"/>
    <n v="302.11"/>
    <n v="95.39"/>
    <n v="1037.06"/>
    <x v="0"/>
    <x v="0"/>
    <n v="0"/>
    <n v="0"/>
    <n v="0"/>
    <n v="1037.06"/>
    <x v="0"/>
    <x v="0"/>
    <x v="1"/>
    <x v="0"/>
    <x v="0"/>
    <s v="Yes"/>
    <x v="0"/>
    <x v="0"/>
    <n v="5"/>
    <n v="396.9"/>
    <x v="6"/>
    <x v="1"/>
  </r>
  <r>
    <s v="T00087"/>
    <s v="E0024"/>
    <s v="Birmingham"/>
    <x v="5"/>
    <s v="Senior Manager"/>
    <s v="Training"/>
    <d v="2026-06-18T00:00:00"/>
    <d v="2026-07-08T00:00:00"/>
    <d v="2026-07-11T00:00:00"/>
    <x v="1"/>
    <s v="Birmingham"/>
    <x v="6"/>
    <x v="0"/>
    <x v="0"/>
    <s v="Standard / 2nd Class"/>
    <n v="300"/>
    <n v="20"/>
    <x v="3"/>
    <x v="1"/>
    <m/>
    <s v="H06"/>
    <n v="0"/>
    <n v="306.73"/>
    <x v="0"/>
    <n v="154.16999999999999"/>
    <n v="308.33999999999997"/>
    <n v="52.83"/>
    <n v="667.9"/>
    <x v="0"/>
    <x v="0"/>
    <n v="0"/>
    <n v="0"/>
    <n v="0"/>
    <n v="667.9"/>
    <x v="0"/>
    <x v="0"/>
    <x v="0"/>
    <x v="0"/>
    <x v="0"/>
    <s v="Yes"/>
    <x v="0"/>
    <x v="0"/>
    <n v="5"/>
    <n v="12"/>
    <x v="0"/>
    <x v="0"/>
  </r>
  <r>
    <s v="T00088"/>
    <s v="E0025"/>
    <s v="London"/>
    <x v="1"/>
    <s v="Director"/>
    <s v="Project work"/>
    <d v="2026-06-05T00:00:00"/>
    <d v="2026-06-15T00:00:00"/>
    <d v="2026-06-18T00:00:00"/>
    <x v="0"/>
    <s v="London"/>
    <x v="9"/>
    <x v="1"/>
    <x v="1"/>
    <s v="Economy"/>
    <n v="2634"/>
    <n v="10"/>
    <x v="0"/>
    <x v="0"/>
    <s v="A06"/>
    <s v="H02"/>
    <n v="301.01"/>
    <n v="0"/>
    <x v="0"/>
    <n v="110.47499999999999"/>
    <n v="220.95"/>
    <n v="69.36"/>
    <n v="591.32000000000005"/>
    <x v="0"/>
    <x v="0"/>
    <n v="0"/>
    <n v="0"/>
    <n v="0"/>
    <n v="591.32000000000005"/>
    <x v="0"/>
    <x v="0"/>
    <x v="2"/>
    <x v="0"/>
    <x v="0"/>
    <s v="No"/>
    <x v="0"/>
    <x v="1"/>
    <n v="5"/>
    <n v="395.1"/>
    <x v="9"/>
    <x v="1"/>
  </r>
  <r>
    <s v="T00089"/>
    <s v="E0025"/>
    <s v="London"/>
    <x v="1"/>
    <s v="Director"/>
    <s v="Client meeting"/>
    <d v="2026-06-01T00:00:00"/>
    <d v="2026-06-19T00:00:00"/>
    <d v="2026-06-24T00:00:00"/>
    <x v="0"/>
    <s v="London"/>
    <x v="7"/>
    <x v="1"/>
    <x v="1"/>
    <s v="Premium Economy"/>
    <n v="12712"/>
    <n v="18"/>
    <x v="3"/>
    <x v="1"/>
    <s v="A01"/>
    <s v="H03"/>
    <n v="973.91"/>
    <n v="0"/>
    <x v="3"/>
    <n v="190.20750000000001"/>
    <n v="760.83"/>
    <n v="67.73"/>
    <n v="1802.47"/>
    <x v="0"/>
    <x v="0"/>
    <n v="0"/>
    <n v="0"/>
    <n v="0"/>
    <n v="1802.47"/>
    <x v="0"/>
    <x v="0"/>
    <x v="1"/>
    <x v="1"/>
    <x v="0"/>
    <s v="Yes"/>
    <x v="0"/>
    <x v="1"/>
    <n v="4"/>
    <n v="1906.8"/>
    <x v="1"/>
    <x v="4"/>
  </r>
  <r>
    <s v="T00090"/>
    <s v="E0025"/>
    <s v="London"/>
    <x v="1"/>
    <s v="Director"/>
    <s v="Team building"/>
    <d v="2026-06-20T00:00:00"/>
    <d v="2026-06-23T00:00:00"/>
    <d v="2026-06-27T00:00:00"/>
    <x v="0"/>
    <s v="London"/>
    <x v="21"/>
    <x v="1"/>
    <x v="1"/>
    <s v="Premium Economy"/>
    <n v="12622"/>
    <n v="3"/>
    <x v="1"/>
    <x v="0"/>
    <s v="A01"/>
    <s v="H01"/>
    <n v="908.23"/>
    <n v="0"/>
    <x v="1"/>
    <n v="157.38"/>
    <n v="472.14"/>
    <n v="73.900000000000006"/>
    <n v="1454.27"/>
    <x v="0"/>
    <x v="0"/>
    <n v="0"/>
    <n v="0"/>
    <n v="0"/>
    <n v="1454.27"/>
    <x v="0"/>
    <x v="0"/>
    <x v="1"/>
    <x v="1"/>
    <x v="0"/>
    <s v="Yes"/>
    <x v="0"/>
    <x v="1"/>
    <n v="4"/>
    <n v="1893.3"/>
    <x v="1"/>
    <x v="2"/>
  </r>
  <r>
    <s v="T00091"/>
    <s v="E0025"/>
    <s v="London"/>
    <x v="1"/>
    <s v="Director"/>
    <s v="Project work"/>
    <d v="2026-05-15T00:00:00"/>
    <d v="2026-06-16T00:00:00"/>
    <d v="2026-06-20T00:00:00"/>
    <x v="0"/>
    <s v="London"/>
    <x v="9"/>
    <x v="1"/>
    <x v="1"/>
    <s v="Economy"/>
    <n v="2482"/>
    <n v="32"/>
    <x v="2"/>
    <x v="0"/>
    <s v="A01"/>
    <s v="H01"/>
    <n v="425.6"/>
    <n v="0"/>
    <x v="1"/>
    <n v="192.99666666666667"/>
    <n v="578.99"/>
    <n v="131.86000000000001"/>
    <n v="1136.45"/>
    <x v="0"/>
    <x v="0"/>
    <n v="0"/>
    <n v="0"/>
    <n v="0"/>
    <n v="1136.45"/>
    <x v="1"/>
    <x v="0"/>
    <x v="1"/>
    <x v="0"/>
    <x v="0"/>
    <s v="Yes"/>
    <x v="0"/>
    <x v="1"/>
    <n v="4"/>
    <n v="372.3"/>
    <x v="1"/>
    <x v="2"/>
  </r>
  <r>
    <s v="T00092"/>
    <s v="E0026"/>
    <s v="Manchester"/>
    <x v="0"/>
    <s v="Senior Manager"/>
    <s v="Client meeting"/>
    <d v="2026-07-02T00:00:00"/>
    <d v="2026-07-18T00:00:00"/>
    <d v="2026-07-23T00:00:00"/>
    <x v="1"/>
    <s v="Manchester"/>
    <x v="16"/>
    <x v="1"/>
    <x v="1"/>
    <s v="Economy"/>
    <n v="2614"/>
    <n v="16"/>
    <x v="3"/>
    <x v="1"/>
    <s v="A05"/>
    <s v="H02"/>
    <n v="314.85000000000002"/>
    <n v="0"/>
    <x v="3"/>
    <n v="128.83500000000001"/>
    <n v="515.34"/>
    <n v="62.24"/>
    <n v="892.43"/>
    <x v="0"/>
    <x v="0"/>
    <n v="0"/>
    <n v="0"/>
    <n v="0"/>
    <n v="892.43"/>
    <x v="0"/>
    <x v="0"/>
    <x v="1"/>
    <x v="0"/>
    <x v="0"/>
    <s v="Yes"/>
    <x v="0"/>
    <x v="0"/>
    <n v="4"/>
    <n v="392.1"/>
    <x v="2"/>
    <x v="1"/>
  </r>
  <r>
    <s v="T00093"/>
    <s v="E0026"/>
    <s v="Manchester"/>
    <x v="0"/>
    <s v="Senior Manager"/>
    <s v="Client meeting"/>
    <d v="2026-04-21T00:00:00"/>
    <d v="2026-05-20T00:00:00"/>
    <d v="2026-05-22T00:00:00"/>
    <x v="2"/>
    <s v="Manchester"/>
    <x v="6"/>
    <x v="0"/>
    <x v="0"/>
    <s v="Standard / 2nd Class"/>
    <n v="668"/>
    <n v="29"/>
    <x v="3"/>
    <x v="0"/>
    <m/>
    <s v="H06"/>
    <n v="0"/>
    <n v="363.09"/>
    <x v="2"/>
    <n v="235.07"/>
    <n v="235.07"/>
    <n v="23.12"/>
    <n v="621.28"/>
    <x v="0"/>
    <x v="0"/>
    <n v="0"/>
    <n v="0"/>
    <n v="0"/>
    <n v="621.28"/>
    <x v="1"/>
    <x v="0"/>
    <x v="0"/>
    <x v="0"/>
    <x v="0"/>
    <s v="Yes"/>
    <x v="0"/>
    <x v="1"/>
    <n v="5"/>
    <n v="26.7"/>
    <x v="0"/>
    <x v="0"/>
  </r>
  <r>
    <s v="T00094"/>
    <s v="E0026"/>
    <s v="Manchester"/>
    <x v="0"/>
    <s v="Senior Manager"/>
    <s v="Project work"/>
    <d v="2026-06-29T00:00:00"/>
    <d v="2026-06-30T00:00:00"/>
    <d v="2026-07-02T00:00:00"/>
    <x v="0"/>
    <s v="Manchester"/>
    <x v="6"/>
    <x v="0"/>
    <x v="0"/>
    <s v="Standard / 2nd Class"/>
    <n v="570"/>
    <n v="1"/>
    <x v="1"/>
    <x v="0"/>
    <m/>
    <s v="H02"/>
    <n v="0"/>
    <n v="242.24"/>
    <x v="2"/>
    <n v="120.86"/>
    <n v="120.86"/>
    <n v="55.12"/>
    <n v="418.22"/>
    <x v="0"/>
    <x v="0"/>
    <n v="0"/>
    <n v="0"/>
    <n v="0"/>
    <n v="418.22"/>
    <x v="0"/>
    <x v="0"/>
    <x v="0"/>
    <x v="0"/>
    <x v="0"/>
    <s v="Yes"/>
    <x v="0"/>
    <x v="0"/>
    <n v="4"/>
    <n v="22.8"/>
    <x v="0"/>
    <x v="1"/>
  </r>
  <r>
    <s v="T00095"/>
    <s v="E0026"/>
    <s v="Manchester"/>
    <x v="0"/>
    <s v="Senior Manager"/>
    <s v="Client meeting"/>
    <d v="2026-06-27T00:00:00"/>
    <d v="2026-07-19T00:00:00"/>
    <d v="2026-07-22T00:00:00"/>
    <x v="1"/>
    <s v="Manchester"/>
    <x v="2"/>
    <x v="1"/>
    <x v="1"/>
    <s v="Economy"/>
    <n v="2530"/>
    <n v="22"/>
    <x v="3"/>
    <x v="3"/>
    <s v="A04"/>
    <s v="H02"/>
    <n v="693.65"/>
    <n v="0"/>
    <x v="0"/>
    <n v="205.57499999999999"/>
    <n v="411.15"/>
    <n v="54.1"/>
    <n v="1158.9000000000001"/>
    <x v="0"/>
    <x v="0"/>
    <n v="0"/>
    <n v="0"/>
    <n v="0"/>
    <n v="1158.9000000000001"/>
    <x v="1"/>
    <x v="0"/>
    <x v="1"/>
    <x v="0"/>
    <x v="1"/>
    <s v="Yes"/>
    <x v="0"/>
    <x v="1"/>
    <n v="4"/>
    <n v="379.5"/>
    <x v="3"/>
    <x v="1"/>
  </r>
  <r>
    <s v="T00096"/>
    <s v="E0027"/>
    <s v="London"/>
    <x v="0"/>
    <s v="Senior Manager"/>
    <s v="Client meeting"/>
    <d v="2026-06-20T00:00:00"/>
    <d v="2026-07-17T00:00:00"/>
    <d v="2026-07-21T00:00:00"/>
    <x v="1"/>
    <s v="London"/>
    <x v="19"/>
    <x v="1"/>
    <x v="1"/>
    <s v="Economy"/>
    <n v="1296"/>
    <n v="27"/>
    <x v="3"/>
    <x v="1"/>
    <s v="A02"/>
    <s v="H05"/>
    <n v="459.37"/>
    <n v="0"/>
    <x v="1"/>
    <n v="150.56666666666666"/>
    <n v="451.7"/>
    <n v="87.9"/>
    <n v="998.97"/>
    <x v="0"/>
    <x v="0"/>
    <n v="0"/>
    <n v="0"/>
    <n v="0"/>
    <n v="998.97"/>
    <x v="0"/>
    <x v="1"/>
    <x v="1"/>
    <x v="0"/>
    <x v="0"/>
    <s v="No"/>
    <x v="0"/>
    <x v="1"/>
    <n v="4"/>
    <n v="194.4"/>
    <x v="4"/>
    <x v="5"/>
  </r>
  <r>
    <s v="T00097"/>
    <s v="E0027"/>
    <s v="London"/>
    <x v="0"/>
    <s v="Senior Manager"/>
    <s v="Training"/>
    <d v="2026-07-05T00:00:00"/>
    <d v="2026-07-16T00:00:00"/>
    <d v="2026-07-20T00:00:00"/>
    <x v="1"/>
    <s v="London"/>
    <x v="9"/>
    <x v="1"/>
    <x v="1"/>
    <s v="Economy"/>
    <n v="2460"/>
    <n v="11"/>
    <x v="0"/>
    <x v="1"/>
    <s v="A10"/>
    <s v="H01"/>
    <n v="624.67999999999995"/>
    <n v="0"/>
    <x v="1"/>
    <n v="198.16333333333333"/>
    <n v="594.49"/>
    <n v="55.45"/>
    <n v="1274.6199999999999"/>
    <x v="0"/>
    <x v="0"/>
    <n v="0"/>
    <n v="0"/>
    <n v="0"/>
    <n v="1274.6199999999999"/>
    <x v="1"/>
    <x v="0"/>
    <x v="1"/>
    <x v="0"/>
    <x v="0"/>
    <s v="Yes"/>
    <x v="0"/>
    <x v="1"/>
    <n v="5"/>
    <n v="369"/>
    <x v="6"/>
    <x v="2"/>
  </r>
  <r>
    <s v="T00098"/>
    <s v="E0027"/>
    <s v="London"/>
    <x v="0"/>
    <s v="Senior Manager"/>
    <s v="Client meeting"/>
    <d v="2026-07-18T00:00:00"/>
    <d v="2026-07-21T00:00:00"/>
    <d v="2026-07-25T00:00:00"/>
    <x v="1"/>
    <s v="London"/>
    <x v="9"/>
    <x v="1"/>
    <x v="1"/>
    <s v="Economy"/>
    <n v="1538"/>
    <n v="3"/>
    <x v="1"/>
    <x v="0"/>
    <s v="A10"/>
    <s v="H03"/>
    <n v="489.46"/>
    <n v="0"/>
    <x v="1"/>
    <n v="194.98333333333335"/>
    <n v="584.95000000000005"/>
    <n v="74.8"/>
    <n v="1149.21"/>
    <x v="0"/>
    <x v="0"/>
    <n v="0"/>
    <n v="0"/>
    <n v="0"/>
    <n v="1149.21"/>
    <x v="1"/>
    <x v="0"/>
    <x v="1"/>
    <x v="0"/>
    <x v="0"/>
    <s v="Yes"/>
    <x v="1"/>
    <x v="1"/>
    <n v="5"/>
    <n v="230.7"/>
    <x v="6"/>
    <x v="4"/>
  </r>
  <r>
    <s v="T00099"/>
    <s v="E0027"/>
    <s v="London"/>
    <x v="0"/>
    <s v="Senior Manager"/>
    <s v="Team building"/>
    <d v="2026-05-30T00:00:00"/>
    <d v="2026-06-12T00:00:00"/>
    <d v="2026-06-14T00:00:00"/>
    <x v="0"/>
    <s v="London"/>
    <x v="19"/>
    <x v="1"/>
    <x v="1"/>
    <s v="Economy"/>
    <n v="2152"/>
    <n v="13"/>
    <x v="0"/>
    <x v="0"/>
    <s v="A02"/>
    <s v="H04"/>
    <n v="446.47"/>
    <n v="0"/>
    <x v="2"/>
    <n v="151.63999999999999"/>
    <n v="151.63999999999999"/>
    <n v="76.97"/>
    <n v="675.08"/>
    <x v="0"/>
    <x v="0"/>
    <n v="0"/>
    <n v="0"/>
    <n v="0"/>
    <n v="675.08"/>
    <x v="0"/>
    <x v="0"/>
    <x v="1"/>
    <x v="0"/>
    <x v="0"/>
    <s v="Yes"/>
    <x v="0"/>
    <x v="0"/>
    <n v="5"/>
    <n v="322.8"/>
    <x v="4"/>
    <x v="3"/>
  </r>
  <r>
    <s v="T00100"/>
    <s v="E0028"/>
    <s v="Leeds"/>
    <x v="1"/>
    <s v="Analyst"/>
    <s v="Project work"/>
    <d v="2026-05-03T00:00:00"/>
    <d v="2026-05-11T00:00:00"/>
    <d v="2026-05-16T00:00:00"/>
    <x v="2"/>
    <s v="Leeds"/>
    <x v="1"/>
    <x v="1"/>
    <x v="1"/>
    <s v="Economy"/>
    <n v="1742"/>
    <n v="8"/>
    <x v="0"/>
    <x v="0"/>
    <s v="A04"/>
    <s v="H04"/>
    <n v="361.9"/>
    <n v="0"/>
    <x v="3"/>
    <n v="258.67500000000001"/>
    <n v="1034.7"/>
    <n v="82.59"/>
    <n v="1479.19"/>
    <x v="0"/>
    <x v="0"/>
    <n v="0"/>
    <n v="0"/>
    <n v="0"/>
    <n v="1479.19"/>
    <x v="1"/>
    <x v="0"/>
    <x v="1"/>
    <x v="0"/>
    <x v="0"/>
    <s v="Yes"/>
    <x v="0"/>
    <x v="1"/>
    <n v="4"/>
    <n v="261.3"/>
    <x v="3"/>
    <x v="3"/>
  </r>
  <r>
    <s v="T00101"/>
    <s v="E0028"/>
    <s v="Leeds"/>
    <x v="1"/>
    <s v="Analyst"/>
    <s v="Other"/>
    <d v="2026-07-16T00:00:00"/>
    <d v="2026-07-28T00:00:00"/>
    <d v="2026-08-01T00:00:00"/>
    <x v="1"/>
    <s v="Leeds"/>
    <x v="7"/>
    <x v="1"/>
    <x v="1"/>
    <s v="Economy"/>
    <n v="11702"/>
    <n v="12"/>
    <x v="0"/>
    <x v="1"/>
    <s v="A01"/>
    <s v="H04"/>
    <n v="910.21"/>
    <n v="0"/>
    <x v="1"/>
    <n v="149.11666666666667"/>
    <n v="447.35"/>
    <n v="54.35"/>
    <n v="1411.91"/>
    <x v="0"/>
    <x v="0"/>
    <n v="0"/>
    <n v="0"/>
    <n v="0"/>
    <n v="1411.91"/>
    <x v="0"/>
    <x v="0"/>
    <x v="1"/>
    <x v="0"/>
    <x v="0"/>
    <s v="Yes"/>
    <x v="0"/>
    <x v="0"/>
    <n v="5"/>
    <n v="1755.3"/>
    <x v="1"/>
    <x v="3"/>
  </r>
  <r>
    <s v="T00102"/>
    <s v="E0028"/>
    <s v="Leeds"/>
    <x v="1"/>
    <s v="Analyst"/>
    <s v="Training"/>
    <d v="2026-04-11T00:00:00"/>
    <d v="2026-05-05T00:00:00"/>
    <d v="2026-05-10T00:00:00"/>
    <x v="2"/>
    <s v="Leeds"/>
    <x v="20"/>
    <x v="1"/>
    <x v="1"/>
    <s v="Economy"/>
    <n v="11338"/>
    <n v="24"/>
    <x v="3"/>
    <x v="1"/>
    <s v="A01"/>
    <s v="H03"/>
    <n v="900"/>
    <n v="0"/>
    <x v="3"/>
    <n v="225.5575"/>
    <n v="902.23"/>
    <n v="40.74"/>
    <n v="1842.97"/>
    <x v="0"/>
    <x v="0"/>
    <n v="0"/>
    <n v="0"/>
    <n v="0"/>
    <n v="1842.97"/>
    <x v="1"/>
    <x v="0"/>
    <x v="1"/>
    <x v="0"/>
    <x v="0"/>
    <s v="Yes"/>
    <x v="0"/>
    <x v="1"/>
    <n v="4"/>
    <n v="1700.7"/>
    <x v="1"/>
    <x v="4"/>
  </r>
  <r>
    <s v="T00103"/>
    <s v="E0028"/>
    <s v="Leeds"/>
    <x v="1"/>
    <s v="Analyst"/>
    <s v="Client meeting"/>
    <d v="2026-05-05T00:00:00"/>
    <d v="2026-05-07T00:00:00"/>
    <d v="2026-05-09T00:00:00"/>
    <x v="2"/>
    <s v="Leeds"/>
    <x v="10"/>
    <x v="0"/>
    <x v="1"/>
    <s v="Premium Economy"/>
    <n v="1260"/>
    <n v="2"/>
    <x v="1"/>
    <x v="0"/>
    <s v="A01"/>
    <s v="H02"/>
    <n v="201.32"/>
    <n v="0"/>
    <x v="2"/>
    <n v="81.260000000000005"/>
    <n v="81.260000000000005"/>
    <n v="60.05"/>
    <n v="342.63"/>
    <x v="0"/>
    <x v="0"/>
    <n v="0"/>
    <n v="0"/>
    <n v="0"/>
    <n v="342.63"/>
    <x v="0"/>
    <x v="0"/>
    <x v="1"/>
    <x v="1"/>
    <x v="0"/>
    <s v="Yes"/>
    <x v="0"/>
    <x v="1"/>
    <n v="5"/>
    <n v="189"/>
    <x v="1"/>
    <x v="1"/>
  </r>
  <r>
    <s v="T00104"/>
    <s v="E0029"/>
    <s v="Edinburgh"/>
    <x v="1"/>
    <s v="Manager"/>
    <s v="Project work"/>
    <d v="2026-06-21T00:00:00"/>
    <d v="2026-07-01T00:00:00"/>
    <d v="2026-07-05T00:00:00"/>
    <x v="1"/>
    <s v="Edinburgh"/>
    <x v="14"/>
    <x v="1"/>
    <x v="1"/>
    <s v="Economy"/>
    <n v="2620"/>
    <n v="10"/>
    <x v="0"/>
    <x v="0"/>
    <s v="A03"/>
    <s v="H03"/>
    <n v="621.75"/>
    <n v="0"/>
    <x v="1"/>
    <n v="234.74666666666667"/>
    <n v="704.24"/>
    <n v="116.42"/>
    <n v="1442.41"/>
    <x v="0"/>
    <x v="0"/>
    <n v="0"/>
    <n v="0"/>
    <n v="0"/>
    <n v="1442.41"/>
    <x v="1"/>
    <x v="0"/>
    <x v="1"/>
    <x v="0"/>
    <x v="0"/>
    <s v="Yes"/>
    <x v="0"/>
    <x v="1"/>
    <n v="5"/>
    <n v="393"/>
    <x v="7"/>
    <x v="4"/>
  </r>
  <r>
    <s v="T00105"/>
    <s v="E0029"/>
    <s v="Edinburgh"/>
    <x v="1"/>
    <s v="Manager"/>
    <s v="Internal meeting"/>
    <d v="2026-06-05T00:00:00"/>
    <d v="2026-06-11T00:00:00"/>
    <d v="2026-06-14T00:00:00"/>
    <x v="0"/>
    <s v="Edinburgh"/>
    <x v="18"/>
    <x v="1"/>
    <x v="1"/>
    <s v="Economy"/>
    <n v="14518"/>
    <n v="6"/>
    <x v="4"/>
    <x v="0"/>
    <s v="A01"/>
    <s v="H04"/>
    <n v="1349.29"/>
    <n v="0"/>
    <x v="0"/>
    <n v="149.755"/>
    <n v="299.51"/>
    <n v="126.86"/>
    <n v="1775.66"/>
    <x v="0"/>
    <x v="0"/>
    <n v="0"/>
    <n v="0"/>
    <n v="0"/>
    <n v="1775.66"/>
    <x v="0"/>
    <x v="0"/>
    <x v="1"/>
    <x v="0"/>
    <x v="0"/>
    <s v="Yes"/>
    <x v="0"/>
    <x v="0"/>
    <n v="4"/>
    <n v="2177.6999999999998"/>
    <x v="1"/>
    <x v="3"/>
  </r>
  <r>
    <s v="T00106"/>
    <s v="E0029"/>
    <s v="Edinburgh"/>
    <x v="1"/>
    <s v="Manager"/>
    <s v="Team building"/>
    <d v="2026-04-21T00:00:00"/>
    <d v="2026-05-02T00:00:00"/>
    <d v="2026-05-04T00:00:00"/>
    <x v="2"/>
    <s v="Edinburgh"/>
    <x v="14"/>
    <x v="1"/>
    <x v="1"/>
    <s v="Economy"/>
    <n v="1108"/>
    <n v="11"/>
    <x v="0"/>
    <x v="2"/>
    <s v="A02"/>
    <s v="H03"/>
    <n v="162"/>
    <n v="0"/>
    <x v="2"/>
    <n v="199.11"/>
    <n v="199.11"/>
    <n v="61.69"/>
    <n v="422.8"/>
    <x v="0"/>
    <x v="0"/>
    <n v="0"/>
    <n v="0"/>
    <n v="0"/>
    <n v="422.8"/>
    <x v="1"/>
    <x v="0"/>
    <x v="1"/>
    <x v="0"/>
    <x v="1"/>
    <s v="Yes"/>
    <x v="1"/>
    <x v="1"/>
    <n v="4"/>
    <n v="166.2"/>
    <x v="4"/>
    <x v="4"/>
  </r>
  <r>
    <s v="T00107"/>
    <s v="E0029"/>
    <s v="Edinburgh"/>
    <x v="1"/>
    <s v="Manager"/>
    <s v="Conference / Event"/>
    <d v="2026-07-08T00:00:00"/>
    <d v="2026-07-16T00:00:00"/>
    <d v="2026-07-20T00:00:00"/>
    <x v="1"/>
    <s v="Edinburgh"/>
    <x v="12"/>
    <x v="1"/>
    <x v="1"/>
    <s v="Economy"/>
    <n v="2682"/>
    <n v="8"/>
    <x v="0"/>
    <x v="0"/>
    <s v="A05"/>
    <s v="H03"/>
    <n v="525.94000000000005"/>
    <n v="0"/>
    <x v="1"/>
    <n v="148.00333333333333"/>
    <n v="444.01"/>
    <n v="31.18"/>
    <n v="1001.13"/>
    <x v="0"/>
    <x v="0"/>
    <n v="0"/>
    <n v="0"/>
    <n v="0"/>
    <n v="1001.13"/>
    <x v="0"/>
    <x v="0"/>
    <x v="1"/>
    <x v="0"/>
    <x v="0"/>
    <s v="Yes"/>
    <x v="0"/>
    <x v="0"/>
    <n v="5"/>
    <n v="402.3"/>
    <x v="2"/>
    <x v="4"/>
  </r>
  <r>
    <s v="T00108"/>
    <s v="E0029"/>
    <s v="Edinburgh"/>
    <x v="1"/>
    <s v="Manager"/>
    <s v="Client meeting"/>
    <d v="2026-06-07T00:00:00"/>
    <d v="2026-06-19T00:00:00"/>
    <d v="2026-06-21T00:00:00"/>
    <x v="0"/>
    <s v="Edinburgh"/>
    <x v="1"/>
    <x v="1"/>
    <x v="1"/>
    <s v="Economy"/>
    <n v="1220"/>
    <n v="12"/>
    <x v="0"/>
    <x v="0"/>
    <s v="A01"/>
    <s v="H04"/>
    <n v="386.92"/>
    <n v="0"/>
    <x v="2"/>
    <n v="158.61000000000001"/>
    <n v="158.61000000000001"/>
    <n v="95.73"/>
    <n v="641.26"/>
    <x v="0"/>
    <x v="0"/>
    <n v="0"/>
    <n v="0"/>
    <n v="0"/>
    <n v="641.26"/>
    <x v="0"/>
    <x v="0"/>
    <x v="1"/>
    <x v="0"/>
    <x v="0"/>
    <s v="Yes"/>
    <x v="1"/>
    <x v="0"/>
    <n v="5"/>
    <n v="183"/>
    <x v="1"/>
    <x v="3"/>
  </r>
  <r>
    <s v="T00109"/>
    <s v="E0030"/>
    <s v="London"/>
    <x v="3"/>
    <s v="Manager"/>
    <s v="Project work"/>
    <d v="2026-06-17T00:00:00"/>
    <d v="2026-06-20T00:00:00"/>
    <d v="2026-06-23T00:00:00"/>
    <x v="0"/>
    <s v="London"/>
    <x v="16"/>
    <x v="1"/>
    <x v="1"/>
    <s v="Economy"/>
    <n v="1196"/>
    <n v="3"/>
    <x v="1"/>
    <x v="0"/>
    <s v="A05"/>
    <s v="H05"/>
    <n v="662.88"/>
    <n v="0"/>
    <x v="0"/>
    <n v="193.3"/>
    <n v="386.6"/>
    <n v="154.41"/>
    <n v="1203.8900000000001"/>
    <x v="0"/>
    <x v="0"/>
    <n v="0"/>
    <n v="0"/>
    <n v="0"/>
    <n v="1203.8900000000001"/>
    <x v="1"/>
    <x v="1"/>
    <x v="1"/>
    <x v="0"/>
    <x v="0"/>
    <s v="No"/>
    <x v="0"/>
    <x v="1"/>
    <n v="5"/>
    <n v="179.4"/>
    <x v="2"/>
    <x v="5"/>
  </r>
  <r>
    <s v="T00110"/>
    <s v="E0030"/>
    <s v="London"/>
    <x v="3"/>
    <s v="Manager"/>
    <s v="Recruitment / Interview"/>
    <d v="2026-06-05T00:00:00"/>
    <d v="2026-06-15T00:00:00"/>
    <d v="2026-06-19T00:00:00"/>
    <x v="0"/>
    <s v="London"/>
    <x v="20"/>
    <x v="1"/>
    <x v="1"/>
    <s v="Economy"/>
    <n v="11046"/>
    <n v="10"/>
    <x v="0"/>
    <x v="1"/>
    <s v="A01"/>
    <s v="H05"/>
    <n v="867.91"/>
    <n v="0"/>
    <x v="1"/>
    <n v="214.93333333333331"/>
    <n v="644.79999999999995"/>
    <n v="90.82"/>
    <n v="1603.53"/>
    <x v="0"/>
    <x v="0"/>
    <n v="0"/>
    <n v="0"/>
    <n v="0"/>
    <n v="1603.53"/>
    <x v="0"/>
    <x v="1"/>
    <x v="1"/>
    <x v="0"/>
    <x v="0"/>
    <s v="No"/>
    <x v="0"/>
    <x v="1"/>
    <n v="5"/>
    <n v="1656.9"/>
    <x v="1"/>
    <x v="5"/>
  </r>
  <r>
    <s v="T00111"/>
    <s v="E0030"/>
    <s v="London"/>
    <x v="3"/>
    <s v="Manager"/>
    <s v="Conference / Event"/>
    <d v="2026-05-04T00:00:00"/>
    <d v="2026-05-12T00:00:00"/>
    <d v="2026-05-16T00:00:00"/>
    <x v="2"/>
    <s v="London"/>
    <x v="14"/>
    <x v="1"/>
    <x v="1"/>
    <s v="Economy"/>
    <n v="2940"/>
    <n v="8"/>
    <x v="0"/>
    <x v="0"/>
    <s v="A01"/>
    <s v="H02"/>
    <n v="549.53"/>
    <n v="0"/>
    <x v="1"/>
    <n v="164.07333333333335"/>
    <n v="492.22"/>
    <n v="71.8"/>
    <n v="1113.55"/>
    <x v="0"/>
    <x v="1"/>
    <n v="0"/>
    <n v="4.41"/>
    <n v="937.58"/>
    <n v="180.38"/>
    <x v="0"/>
    <x v="0"/>
    <x v="1"/>
    <x v="0"/>
    <x v="0"/>
    <s v="Yes"/>
    <x v="0"/>
    <x v="0"/>
    <n v="3"/>
    <n v="441"/>
    <x v="1"/>
    <x v="1"/>
  </r>
  <r>
    <s v="T00112"/>
    <s v="E0030"/>
    <s v="London"/>
    <x v="3"/>
    <s v="Manager"/>
    <s v="Training"/>
    <d v="2026-06-13T00:00:00"/>
    <d v="2026-06-25T00:00:00"/>
    <d v="2026-06-27T00:00:00"/>
    <x v="0"/>
    <s v="London"/>
    <x v="9"/>
    <x v="1"/>
    <x v="1"/>
    <s v="Economy"/>
    <n v="2456"/>
    <n v="12"/>
    <x v="0"/>
    <x v="0"/>
    <s v="A10"/>
    <s v="H03"/>
    <n v="492.38"/>
    <n v="0"/>
    <x v="2"/>
    <n v="197.44"/>
    <n v="197.44"/>
    <n v="102.45"/>
    <n v="792.27"/>
    <x v="0"/>
    <x v="0"/>
    <n v="0"/>
    <n v="0"/>
    <n v="0"/>
    <n v="792.27"/>
    <x v="1"/>
    <x v="0"/>
    <x v="1"/>
    <x v="0"/>
    <x v="0"/>
    <s v="Yes"/>
    <x v="0"/>
    <x v="1"/>
    <n v="5"/>
    <n v="368.4"/>
    <x v="6"/>
    <x v="4"/>
  </r>
  <r>
    <s v="T00113"/>
    <s v="E0031"/>
    <s v="London"/>
    <x v="5"/>
    <s v="Senior Manager"/>
    <s v="Client meeting"/>
    <d v="2026-04-29T00:00:00"/>
    <d v="2026-05-06T00:00:00"/>
    <d v="2026-05-09T00:00:00"/>
    <x v="2"/>
    <s v="London"/>
    <x v="16"/>
    <x v="1"/>
    <x v="1"/>
    <s v="Economy"/>
    <n v="1016"/>
    <n v="7"/>
    <x v="4"/>
    <x v="0"/>
    <s v="A01"/>
    <s v="H02"/>
    <n v="418.2"/>
    <n v="0"/>
    <x v="0"/>
    <n v="218.33500000000001"/>
    <n v="436.67"/>
    <n v="61.1"/>
    <n v="915.97"/>
    <x v="1"/>
    <x v="0"/>
    <n v="50.45"/>
    <n v="0"/>
    <n v="0"/>
    <n v="966.42000000000007"/>
    <x v="1"/>
    <x v="0"/>
    <x v="1"/>
    <x v="0"/>
    <x v="0"/>
    <s v="Yes"/>
    <x v="0"/>
    <x v="1"/>
    <n v="5"/>
    <n v="152.4"/>
    <x v="1"/>
    <x v="1"/>
  </r>
  <r>
    <s v="T00114"/>
    <s v="E0031"/>
    <s v="London"/>
    <x v="5"/>
    <s v="Senior Manager"/>
    <s v="Training"/>
    <d v="2026-05-05T00:00:00"/>
    <d v="2026-05-06T00:00:00"/>
    <d v="2026-05-09T00:00:00"/>
    <x v="2"/>
    <s v="London"/>
    <x v="4"/>
    <x v="1"/>
    <x v="1"/>
    <s v="Economy"/>
    <n v="1274"/>
    <n v="1"/>
    <x v="1"/>
    <x v="0"/>
    <s v="A03"/>
    <s v="H04"/>
    <n v="565.11"/>
    <n v="0"/>
    <x v="0"/>
    <n v="140.61000000000001"/>
    <n v="281.22000000000003"/>
    <n v="117.14"/>
    <n v="963.47"/>
    <x v="1"/>
    <x v="0"/>
    <n v="89.48"/>
    <n v="0"/>
    <n v="0"/>
    <n v="1052.95"/>
    <x v="0"/>
    <x v="0"/>
    <x v="1"/>
    <x v="0"/>
    <x v="0"/>
    <s v="Yes"/>
    <x v="0"/>
    <x v="0"/>
    <n v="4"/>
    <n v="191.1"/>
    <x v="7"/>
    <x v="3"/>
  </r>
  <r>
    <s v="T00115"/>
    <s v="E0031"/>
    <s v="London"/>
    <x v="5"/>
    <s v="Senior Manager"/>
    <s v="Client meeting"/>
    <d v="2026-05-24T00:00:00"/>
    <d v="2026-06-07T00:00:00"/>
    <d v="2026-06-12T00:00:00"/>
    <x v="0"/>
    <s v="London"/>
    <x v="2"/>
    <x v="1"/>
    <x v="1"/>
    <s v="Economy"/>
    <n v="2690"/>
    <n v="14"/>
    <x v="0"/>
    <x v="0"/>
    <s v="A04"/>
    <s v="H02"/>
    <n v="645.32000000000005"/>
    <n v="0"/>
    <x v="3"/>
    <n v="166.9975"/>
    <n v="667.99"/>
    <n v="61.98"/>
    <n v="1375.29"/>
    <x v="0"/>
    <x v="0"/>
    <n v="0"/>
    <n v="0"/>
    <n v="0"/>
    <n v="1375.29"/>
    <x v="0"/>
    <x v="0"/>
    <x v="1"/>
    <x v="0"/>
    <x v="0"/>
    <s v="Yes"/>
    <x v="0"/>
    <x v="0"/>
    <n v="3"/>
    <n v="403.5"/>
    <x v="3"/>
    <x v="1"/>
  </r>
  <r>
    <s v="T00116"/>
    <s v="E0032"/>
    <s v="Leeds"/>
    <x v="3"/>
    <s v="Manager"/>
    <s v="Other"/>
    <d v="2026-04-24T00:00:00"/>
    <d v="2026-05-13T00:00:00"/>
    <d v="2026-05-16T00:00:00"/>
    <x v="2"/>
    <s v="Leeds"/>
    <x v="12"/>
    <x v="1"/>
    <x v="1"/>
    <s v="Economy"/>
    <n v="3028"/>
    <n v="19"/>
    <x v="3"/>
    <x v="1"/>
    <s v="A03"/>
    <s v="H03"/>
    <n v="402.19"/>
    <n v="0"/>
    <x v="0"/>
    <n v="204.41"/>
    <n v="408.82"/>
    <n v="85.28"/>
    <n v="896.29"/>
    <x v="0"/>
    <x v="0"/>
    <n v="0"/>
    <n v="0"/>
    <n v="0"/>
    <n v="896.29"/>
    <x v="1"/>
    <x v="0"/>
    <x v="1"/>
    <x v="0"/>
    <x v="0"/>
    <s v="Yes"/>
    <x v="0"/>
    <x v="1"/>
    <n v="5"/>
    <n v="454.2"/>
    <x v="7"/>
    <x v="4"/>
  </r>
  <r>
    <s v="T00117"/>
    <s v="E0032"/>
    <s v="Leeds"/>
    <x v="3"/>
    <s v="Manager"/>
    <s v="Team building"/>
    <d v="2026-04-16T00:00:00"/>
    <d v="2026-05-03T00:00:00"/>
    <d v="2026-05-05T00:00:00"/>
    <x v="2"/>
    <s v="Leeds"/>
    <x v="14"/>
    <x v="1"/>
    <x v="1"/>
    <s v="Economy"/>
    <n v="1132"/>
    <n v="17"/>
    <x v="3"/>
    <x v="1"/>
    <s v="A01"/>
    <s v="H04"/>
    <n v="373.22"/>
    <n v="0"/>
    <x v="2"/>
    <n v="193.17"/>
    <n v="193.17"/>
    <n v="104.17"/>
    <n v="670.56"/>
    <x v="0"/>
    <x v="0"/>
    <n v="0"/>
    <n v="0"/>
    <n v="0"/>
    <n v="670.56"/>
    <x v="1"/>
    <x v="0"/>
    <x v="1"/>
    <x v="0"/>
    <x v="0"/>
    <s v="Yes"/>
    <x v="0"/>
    <x v="1"/>
    <n v="4"/>
    <n v="169.8"/>
    <x v="1"/>
    <x v="3"/>
  </r>
  <r>
    <s v="T00118"/>
    <s v="E0032"/>
    <s v="Leeds"/>
    <x v="3"/>
    <s v="Manager"/>
    <s v="Conference / Event"/>
    <d v="2026-06-12T00:00:00"/>
    <d v="2026-07-20T00:00:00"/>
    <d v="2026-07-22T00:00:00"/>
    <x v="1"/>
    <s v="Leeds"/>
    <x v="22"/>
    <x v="0"/>
    <x v="0"/>
    <s v="Standard / 2nd Class"/>
    <n v="874"/>
    <n v="38"/>
    <x v="2"/>
    <x v="3"/>
    <m/>
    <s v="H07"/>
    <n v="0"/>
    <n v="150.56"/>
    <x v="2"/>
    <n v="145.83000000000001"/>
    <n v="145.83000000000001"/>
    <n v="53.16"/>
    <n v="349.55"/>
    <x v="0"/>
    <x v="0"/>
    <n v="0"/>
    <n v="0"/>
    <n v="0"/>
    <n v="349.55"/>
    <x v="0"/>
    <x v="1"/>
    <x v="0"/>
    <x v="0"/>
    <x v="1"/>
    <s v="No"/>
    <x v="0"/>
    <x v="1"/>
    <n v="5"/>
    <n v="35"/>
    <x v="0"/>
    <x v="6"/>
  </r>
  <r>
    <s v="T00119"/>
    <s v="E0032"/>
    <s v="Leeds"/>
    <x v="3"/>
    <s v="Manager"/>
    <s v="Other"/>
    <d v="2026-05-29T00:00:00"/>
    <d v="2026-06-18T00:00:00"/>
    <d v="2026-06-21T00:00:00"/>
    <x v="0"/>
    <s v="Leeds"/>
    <x v="23"/>
    <x v="1"/>
    <x v="1"/>
    <s v="Economy"/>
    <n v="1804"/>
    <n v="20"/>
    <x v="3"/>
    <x v="0"/>
    <s v="A01"/>
    <s v="H03"/>
    <n v="188.62"/>
    <n v="0"/>
    <x v="0"/>
    <n v="141.22"/>
    <n v="282.44"/>
    <n v="69.900000000000006"/>
    <n v="540.96"/>
    <x v="0"/>
    <x v="0"/>
    <n v="0"/>
    <n v="0"/>
    <n v="0"/>
    <n v="540.96"/>
    <x v="0"/>
    <x v="0"/>
    <x v="1"/>
    <x v="0"/>
    <x v="0"/>
    <s v="Yes"/>
    <x v="1"/>
    <x v="0"/>
    <n v="3"/>
    <n v="270.60000000000002"/>
    <x v="1"/>
    <x v="4"/>
  </r>
  <r>
    <s v="T00120"/>
    <s v="E0033"/>
    <s v="Bristol"/>
    <x v="5"/>
    <s v="Consultant"/>
    <s v="Client meeting"/>
    <d v="2026-06-25T00:00:00"/>
    <d v="2026-07-12T00:00:00"/>
    <d v="2026-07-14T00:00:00"/>
    <x v="1"/>
    <s v="Bristol"/>
    <x v="6"/>
    <x v="0"/>
    <x v="0"/>
    <s v="Standard / 2nd Class"/>
    <n v="590"/>
    <n v="17"/>
    <x v="3"/>
    <x v="1"/>
    <m/>
    <s v="H02"/>
    <n v="0"/>
    <n v="207.58"/>
    <x v="2"/>
    <n v="81.69"/>
    <n v="81.69"/>
    <n v="20"/>
    <n v="309.27"/>
    <x v="0"/>
    <x v="0"/>
    <n v="0"/>
    <n v="0"/>
    <n v="0"/>
    <n v="309.27"/>
    <x v="0"/>
    <x v="0"/>
    <x v="0"/>
    <x v="0"/>
    <x v="0"/>
    <s v="Yes"/>
    <x v="0"/>
    <x v="0"/>
    <n v="5"/>
    <n v="23.6"/>
    <x v="0"/>
    <x v="1"/>
  </r>
  <r>
    <s v="T00121"/>
    <s v="E0033"/>
    <s v="Bristol"/>
    <x v="5"/>
    <s v="Consultant"/>
    <s v="Team building"/>
    <d v="2026-05-15T00:00:00"/>
    <d v="2026-06-03T00:00:00"/>
    <d v="2026-06-05T00:00:00"/>
    <x v="0"/>
    <s v="Bristol"/>
    <x v="6"/>
    <x v="0"/>
    <x v="0"/>
    <s v="Standard / 2nd Class"/>
    <n v="468"/>
    <n v="19"/>
    <x v="3"/>
    <x v="0"/>
    <m/>
    <s v="H06"/>
    <n v="0"/>
    <n v="211.07"/>
    <x v="2"/>
    <n v="107.62"/>
    <n v="107.62"/>
    <n v="37.35"/>
    <n v="356.04"/>
    <x v="0"/>
    <x v="0"/>
    <n v="0"/>
    <n v="0"/>
    <n v="0"/>
    <n v="356.04"/>
    <x v="0"/>
    <x v="0"/>
    <x v="0"/>
    <x v="0"/>
    <x v="0"/>
    <s v="Yes"/>
    <x v="0"/>
    <x v="0"/>
    <n v="4"/>
    <n v="18.7"/>
    <x v="0"/>
    <x v="0"/>
  </r>
  <r>
    <s v="T00122"/>
    <s v="E0033"/>
    <s v="Bristol"/>
    <x v="5"/>
    <s v="Consultant"/>
    <s v="Project work"/>
    <d v="2026-04-18T00:00:00"/>
    <d v="2026-05-20T00:00:00"/>
    <d v="2026-05-25T00:00:00"/>
    <x v="2"/>
    <s v="Bristol"/>
    <x v="16"/>
    <x v="1"/>
    <x v="1"/>
    <s v="Economy"/>
    <n v="2532"/>
    <n v="32"/>
    <x v="2"/>
    <x v="0"/>
    <s v="A05"/>
    <s v="H02"/>
    <n v="457.34"/>
    <n v="0"/>
    <x v="3"/>
    <n v="166.07499999999999"/>
    <n v="664.3"/>
    <n v="87.84"/>
    <n v="1209.48"/>
    <x v="1"/>
    <x v="0"/>
    <n v="146.38999999999999"/>
    <n v="0"/>
    <n v="0"/>
    <n v="1355.87"/>
    <x v="0"/>
    <x v="0"/>
    <x v="1"/>
    <x v="0"/>
    <x v="0"/>
    <s v="Yes"/>
    <x v="0"/>
    <x v="0"/>
    <n v="4"/>
    <n v="379.8"/>
    <x v="2"/>
    <x v="1"/>
  </r>
  <r>
    <s v="T00123"/>
    <s v="E0033"/>
    <s v="Bristol"/>
    <x v="5"/>
    <s v="Consultant"/>
    <s v="Training"/>
    <d v="2026-06-26T00:00:00"/>
    <d v="2026-07-13T00:00:00"/>
    <d v="2026-07-15T00:00:00"/>
    <x v="1"/>
    <s v="Bristol"/>
    <x v="15"/>
    <x v="1"/>
    <x v="1"/>
    <s v="Economy"/>
    <n v="1400"/>
    <n v="17"/>
    <x v="3"/>
    <x v="0"/>
    <s v="A01"/>
    <s v="H01"/>
    <n v="269.16000000000003"/>
    <n v="0"/>
    <x v="2"/>
    <n v="193.12"/>
    <n v="193.12"/>
    <n v="72.91"/>
    <n v="535.19000000000005"/>
    <x v="0"/>
    <x v="0"/>
    <n v="0"/>
    <n v="0"/>
    <n v="0"/>
    <n v="535.19000000000005"/>
    <x v="1"/>
    <x v="0"/>
    <x v="1"/>
    <x v="0"/>
    <x v="0"/>
    <s v="Yes"/>
    <x v="0"/>
    <x v="1"/>
    <n v="4"/>
    <n v="210"/>
    <x v="1"/>
    <x v="2"/>
  </r>
  <r>
    <s v="T00124"/>
    <s v="E0033"/>
    <s v="Bristol"/>
    <x v="5"/>
    <s v="Consultant"/>
    <s v="Conference / Event"/>
    <d v="2026-06-04T00:00:00"/>
    <d v="2026-06-11T00:00:00"/>
    <d v="2026-06-13T00:00:00"/>
    <x v="0"/>
    <s v="Bristol"/>
    <x v="14"/>
    <x v="1"/>
    <x v="1"/>
    <s v="Economy"/>
    <n v="2694"/>
    <n v="7"/>
    <x v="4"/>
    <x v="0"/>
    <s v="A01"/>
    <s v="H05"/>
    <n v="382.46"/>
    <n v="0"/>
    <x v="2"/>
    <n v="178.14"/>
    <n v="178.14"/>
    <n v="86.88"/>
    <n v="647.48"/>
    <x v="0"/>
    <x v="0"/>
    <n v="0"/>
    <n v="0"/>
    <n v="0"/>
    <n v="647.48"/>
    <x v="0"/>
    <x v="1"/>
    <x v="1"/>
    <x v="0"/>
    <x v="0"/>
    <s v="No"/>
    <x v="0"/>
    <x v="1"/>
    <n v="5"/>
    <n v="404.1"/>
    <x v="1"/>
    <x v="5"/>
  </r>
  <r>
    <s v="T00125"/>
    <s v="E0033"/>
    <s v="Bristol"/>
    <x v="5"/>
    <s v="Consultant"/>
    <s v="Client meeting"/>
    <d v="2026-06-09T00:00:00"/>
    <d v="2026-07-12T00:00:00"/>
    <d v="2026-07-15T00:00:00"/>
    <x v="1"/>
    <s v="Bristol"/>
    <x v="6"/>
    <x v="0"/>
    <x v="0"/>
    <s v="Standard / 2nd Class"/>
    <n v="432"/>
    <n v="33"/>
    <x v="2"/>
    <x v="0"/>
    <m/>
    <s v="H07"/>
    <n v="0"/>
    <n v="266"/>
    <x v="0"/>
    <n v="142.215"/>
    <n v="284.43"/>
    <n v="82.68"/>
    <n v="633.11"/>
    <x v="0"/>
    <x v="0"/>
    <n v="0"/>
    <n v="0"/>
    <n v="0"/>
    <n v="633.11"/>
    <x v="0"/>
    <x v="1"/>
    <x v="0"/>
    <x v="0"/>
    <x v="0"/>
    <s v="No"/>
    <x v="0"/>
    <x v="1"/>
    <n v="4"/>
    <n v="17.3"/>
    <x v="0"/>
    <x v="6"/>
  </r>
  <r>
    <s v="T00126"/>
    <s v="E0034"/>
    <s v="London"/>
    <x v="4"/>
    <s v="Director"/>
    <s v="Client meeting"/>
    <d v="2026-06-03T00:00:00"/>
    <d v="2026-06-16T00:00:00"/>
    <d v="2026-06-19T00:00:00"/>
    <x v="0"/>
    <s v="London"/>
    <x v="14"/>
    <x v="1"/>
    <x v="1"/>
    <s v="Economy"/>
    <n v="3518"/>
    <n v="13"/>
    <x v="0"/>
    <x v="0"/>
    <s v="A03"/>
    <s v="H01"/>
    <n v="395.19"/>
    <n v="0"/>
    <x v="0"/>
    <n v="173.25"/>
    <n v="346.5"/>
    <n v="85.68"/>
    <n v="827.37"/>
    <x v="1"/>
    <x v="0"/>
    <n v="99.3"/>
    <n v="0"/>
    <n v="0"/>
    <n v="926.67"/>
    <x v="0"/>
    <x v="0"/>
    <x v="1"/>
    <x v="0"/>
    <x v="0"/>
    <s v="Yes"/>
    <x v="0"/>
    <x v="0"/>
    <n v="5"/>
    <n v="527.70000000000005"/>
    <x v="7"/>
    <x v="2"/>
  </r>
  <r>
    <s v="T00127"/>
    <s v="E0034"/>
    <s v="London"/>
    <x v="4"/>
    <s v="Director"/>
    <s v="Conference / Event"/>
    <d v="2026-06-05T00:00:00"/>
    <d v="2026-07-04T00:00:00"/>
    <d v="2026-07-07T00:00:00"/>
    <x v="1"/>
    <s v="London"/>
    <x v="7"/>
    <x v="1"/>
    <x v="1"/>
    <s v="Premium Economy"/>
    <n v="10804"/>
    <n v="29"/>
    <x v="3"/>
    <x v="0"/>
    <s v="A07"/>
    <s v="H01"/>
    <n v="547.89"/>
    <n v="0"/>
    <x v="0"/>
    <n v="164.01"/>
    <n v="328.02"/>
    <n v="61.22"/>
    <n v="937.13"/>
    <x v="0"/>
    <x v="0"/>
    <n v="0"/>
    <n v="0"/>
    <n v="0"/>
    <n v="937.13"/>
    <x v="0"/>
    <x v="0"/>
    <x v="1"/>
    <x v="1"/>
    <x v="0"/>
    <s v="Yes"/>
    <x v="0"/>
    <x v="1"/>
    <n v="5"/>
    <n v="1620.6"/>
    <x v="5"/>
    <x v="2"/>
  </r>
  <r>
    <s v="T00128"/>
    <s v="E0034"/>
    <s v="London"/>
    <x v="4"/>
    <s v="Director"/>
    <s v="Client meeting"/>
    <d v="2026-05-06T00:00:00"/>
    <d v="2026-05-29T00:00:00"/>
    <d v="2026-06-01T00:00:00"/>
    <x v="2"/>
    <s v="London"/>
    <x v="14"/>
    <x v="1"/>
    <x v="1"/>
    <s v="Economy"/>
    <n v="1192"/>
    <n v="23"/>
    <x v="3"/>
    <x v="0"/>
    <s v="A03"/>
    <s v="H02"/>
    <n v="599.79999999999995"/>
    <n v="0"/>
    <x v="0"/>
    <n v="162.87"/>
    <n v="325.74"/>
    <n v="51.84"/>
    <n v="977.38"/>
    <x v="0"/>
    <x v="0"/>
    <n v="0"/>
    <n v="0"/>
    <n v="0"/>
    <n v="977.38"/>
    <x v="0"/>
    <x v="0"/>
    <x v="1"/>
    <x v="0"/>
    <x v="0"/>
    <s v="Yes"/>
    <x v="0"/>
    <x v="0"/>
    <n v="4"/>
    <n v="178.8"/>
    <x v="7"/>
    <x v="1"/>
  </r>
  <r>
    <s v="T00129"/>
    <s v="E0034"/>
    <s v="London"/>
    <x v="4"/>
    <s v="Director"/>
    <s v="Team building"/>
    <d v="2026-05-16T00:00:00"/>
    <d v="2026-05-30T00:00:00"/>
    <d v="2026-06-03T00:00:00"/>
    <x v="2"/>
    <s v="London"/>
    <x v="3"/>
    <x v="1"/>
    <x v="1"/>
    <s v="Economy"/>
    <n v="2968"/>
    <n v="14"/>
    <x v="0"/>
    <x v="0"/>
    <s v="A01"/>
    <s v="H03"/>
    <n v="274.93"/>
    <n v="0"/>
    <x v="1"/>
    <n v="188.67999999999998"/>
    <n v="566.04"/>
    <n v="137.52000000000001"/>
    <n v="978.49"/>
    <x v="0"/>
    <x v="0"/>
    <n v="0"/>
    <n v="0"/>
    <n v="0"/>
    <n v="978.49"/>
    <x v="1"/>
    <x v="0"/>
    <x v="1"/>
    <x v="0"/>
    <x v="0"/>
    <s v="Yes"/>
    <x v="0"/>
    <x v="1"/>
    <n v="5"/>
    <n v="445.2"/>
    <x v="1"/>
    <x v="4"/>
  </r>
  <r>
    <s v="T00130"/>
    <s v="E0035"/>
    <s v="London"/>
    <x v="2"/>
    <s v="Senior Manager"/>
    <s v="Recruitment / Interview"/>
    <d v="2026-05-28T00:00:00"/>
    <d v="2026-05-31T00:00:00"/>
    <d v="2026-06-05T00:00:00"/>
    <x v="2"/>
    <s v="London"/>
    <x v="16"/>
    <x v="1"/>
    <x v="1"/>
    <s v="Economy"/>
    <n v="3218"/>
    <n v="3"/>
    <x v="1"/>
    <x v="0"/>
    <s v="A05"/>
    <s v="H03"/>
    <n v="435.97"/>
    <n v="0"/>
    <x v="3"/>
    <n v="182.1525"/>
    <n v="728.61"/>
    <n v="52.06"/>
    <n v="1216.6400000000001"/>
    <x v="1"/>
    <x v="0"/>
    <n v="26.56"/>
    <n v="0"/>
    <n v="0"/>
    <n v="1243.2"/>
    <x v="1"/>
    <x v="0"/>
    <x v="1"/>
    <x v="0"/>
    <x v="0"/>
    <s v="Yes"/>
    <x v="0"/>
    <x v="1"/>
    <n v="4"/>
    <n v="482.7"/>
    <x v="2"/>
    <x v="4"/>
  </r>
  <r>
    <s v="T00131"/>
    <s v="E0035"/>
    <s v="London"/>
    <x v="2"/>
    <s v="Senior Manager"/>
    <s v="Conference / Event"/>
    <d v="2026-06-06T00:00:00"/>
    <d v="2026-06-21T00:00:00"/>
    <d v="2026-06-23T00:00:00"/>
    <x v="0"/>
    <s v="London"/>
    <x v="9"/>
    <x v="1"/>
    <x v="1"/>
    <s v="Economy"/>
    <n v="2924"/>
    <n v="15"/>
    <x v="3"/>
    <x v="0"/>
    <s v="A06"/>
    <s v="H02"/>
    <n v="250.97"/>
    <n v="0"/>
    <x v="2"/>
    <n v="237.87"/>
    <n v="237.87"/>
    <n v="68.73"/>
    <n v="557.57000000000005"/>
    <x v="1"/>
    <x v="0"/>
    <n v="101.1"/>
    <n v="0"/>
    <n v="0"/>
    <n v="658.67000000000007"/>
    <x v="1"/>
    <x v="0"/>
    <x v="2"/>
    <x v="0"/>
    <x v="0"/>
    <s v="No"/>
    <x v="0"/>
    <x v="1"/>
    <n v="4"/>
    <n v="438.6"/>
    <x v="9"/>
    <x v="1"/>
  </r>
  <r>
    <s v="T00132"/>
    <s v="E0035"/>
    <s v="London"/>
    <x v="2"/>
    <s v="Senior Manager"/>
    <s v="Internal meeting"/>
    <d v="2026-04-26T00:00:00"/>
    <d v="2026-05-05T00:00:00"/>
    <d v="2026-05-07T00:00:00"/>
    <x v="2"/>
    <s v="London"/>
    <x v="15"/>
    <x v="1"/>
    <x v="1"/>
    <s v="Economy"/>
    <n v="2742"/>
    <n v="9"/>
    <x v="0"/>
    <x v="0"/>
    <s v="A04"/>
    <s v="H04"/>
    <n v="417.84"/>
    <n v="0"/>
    <x v="2"/>
    <n v="143.52000000000001"/>
    <n v="143.52000000000001"/>
    <n v="67.599999999999994"/>
    <n v="628.96"/>
    <x v="0"/>
    <x v="0"/>
    <n v="0"/>
    <n v="0"/>
    <n v="0"/>
    <n v="628.96"/>
    <x v="0"/>
    <x v="0"/>
    <x v="1"/>
    <x v="0"/>
    <x v="0"/>
    <s v="Yes"/>
    <x v="0"/>
    <x v="0"/>
    <n v="3"/>
    <n v="411.3"/>
    <x v="3"/>
    <x v="3"/>
  </r>
  <r>
    <s v="T00133"/>
    <s v="E0035"/>
    <s v="London"/>
    <x v="2"/>
    <s v="Senior Manager"/>
    <s v="Internal meeting"/>
    <d v="2026-05-26T00:00:00"/>
    <d v="2026-06-03T00:00:00"/>
    <d v="2026-06-07T00:00:00"/>
    <x v="0"/>
    <s v="London"/>
    <x v="14"/>
    <x v="1"/>
    <x v="1"/>
    <s v="Economy"/>
    <n v="1018"/>
    <n v="8"/>
    <x v="0"/>
    <x v="0"/>
    <s v="A03"/>
    <s v="H04"/>
    <n v="416.91"/>
    <n v="0"/>
    <x v="1"/>
    <n v="174.41666666666666"/>
    <n v="523.25"/>
    <n v="45.53"/>
    <n v="985.69"/>
    <x v="0"/>
    <x v="0"/>
    <n v="0"/>
    <n v="0"/>
    <n v="0"/>
    <n v="985.69"/>
    <x v="0"/>
    <x v="0"/>
    <x v="1"/>
    <x v="0"/>
    <x v="0"/>
    <s v="Yes"/>
    <x v="0"/>
    <x v="0"/>
    <n v="3"/>
    <n v="152.69999999999999"/>
    <x v="7"/>
    <x v="3"/>
  </r>
  <r>
    <s v="T00134"/>
    <s v="E0036"/>
    <s v="London"/>
    <x v="1"/>
    <s v="Manager"/>
    <s v="Client meeting"/>
    <d v="2026-05-31T00:00:00"/>
    <d v="2026-06-16T00:00:00"/>
    <d v="2026-06-19T00:00:00"/>
    <x v="0"/>
    <s v="London"/>
    <x v="9"/>
    <x v="1"/>
    <x v="1"/>
    <s v="Economy"/>
    <n v="1170"/>
    <n v="16"/>
    <x v="3"/>
    <x v="1"/>
    <s v="A06"/>
    <s v="H01"/>
    <n v="150"/>
    <n v="0"/>
    <x v="0"/>
    <n v="178.8"/>
    <n v="357.6"/>
    <n v="141.32"/>
    <n v="648.91999999999996"/>
    <x v="0"/>
    <x v="0"/>
    <n v="0"/>
    <n v="0"/>
    <n v="0"/>
    <n v="648.91999999999996"/>
    <x v="0"/>
    <x v="0"/>
    <x v="2"/>
    <x v="0"/>
    <x v="0"/>
    <s v="No"/>
    <x v="0"/>
    <x v="1"/>
    <n v="5"/>
    <n v="175.5"/>
    <x v="9"/>
    <x v="2"/>
  </r>
  <r>
    <s v="T00135"/>
    <s v="E0036"/>
    <s v="London"/>
    <x v="1"/>
    <s v="Manager"/>
    <s v="Internal meeting"/>
    <d v="2026-06-26T00:00:00"/>
    <d v="2026-07-06T00:00:00"/>
    <d v="2026-07-08T00:00:00"/>
    <x v="1"/>
    <s v="London"/>
    <x v="1"/>
    <x v="1"/>
    <x v="1"/>
    <s v="Economy"/>
    <n v="3070"/>
    <n v="10"/>
    <x v="0"/>
    <x v="1"/>
    <s v="A01"/>
    <s v="H03"/>
    <n v="287.44"/>
    <n v="0"/>
    <x v="2"/>
    <n v="144.82"/>
    <n v="144.82"/>
    <n v="93.06"/>
    <n v="525.32000000000005"/>
    <x v="0"/>
    <x v="0"/>
    <n v="0"/>
    <n v="0"/>
    <n v="0"/>
    <n v="525.32000000000005"/>
    <x v="0"/>
    <x v="0"/>
    <x v="1"/>
    <x v="0"/>
    <x v="0"/>
    <s v="Yes"/>
    <x v="0"/>
    <x v="0"/>
    <n v="3"/>
    <n v="460.5"/>
    <x v="1"/>
    <x v="4"/>
  </r>
  <r>
    <s v="T00136"/>
    <s v="E0036"/>
    <s v="London"/>
    <x v="1"/>
    <s v="Manager"/>
    <s v="Client meeting"/>
    <d v="2026-06-30T00:00:00"/>
    <d v="2026-07-04T00:00:00"/>
    <d v="2026-07-07T00:00:00"/>
    <x v="1"/>
    <s v="London"/>
    <x v="1"/>
    <x v="1"/>
    <x v="1"/>
    <s v="Economy"/>
    <n v="1160"/>
    <n v="4"/>
    <x v="4"/>
    <x v="1"/>
    <s v="A04"/>
    <s v="H01"/>
    <n v="754.87"/>
    <n v="0"/>
    <x v="0"/>
    <n v="161.93"/>
    <n v="323.86"/>
    <n v="51.4"/>
    <n v="1130.1300000000001"/>
    <x v="0"/>
    <x v="0"/>
    <n v="0"/>
    <n v="0"/>
    <n v="0"/>
    <n v="1130.1300000000001"/>
    <x v="0"/>
    <x v="0"/>
    <x v="1"/>
    <x v="0"/>
    <x v="0"/>
    <s v="Yes"/>
    <x v="0"/>
    <x v="0"/>
    <n v="4"/>
    <n v="174"/>
    <x v="3"/>
    <x v="2"/>
  </r>
  <r>
    <s v="T00137"/>
    <s v="E0036"/>
    <s v="London"/>
    <x v="1"/>
    <s v="Manager"/>
    <s v="Project work"/>
    <d v="2026-06-02T00:00:00"/>
    <d v="2026-06-23T00:00:00"/>
    <d v="2026-06-26T00:00:00"/>
    <x v="0"/>
    <s v="London"/>
    <x v="16"/>
    <x v="1"/>
    <x v="1"/>
    <s v="Economy"/>
    <n v="3062"/>
    <n v="21"/>
    <x v="3"/>
    <x v="1"/>
    <s v="A05"/>
    <s v="H01"/>
    <n v="402.54"/>
    <n v="0"/>
    <x v="0"/>
    <n v="210.57"/>
    <n v="421.14"/>
    <n v="78.040000000000006"/>
    <n v="901.72"/>
    <x v="0"/>
    <x v="0"/>
    <n v="0"/>
    <n v="0"/>
    <n v="0"/>
    <n v="901.72"/>
    <x v="1"/>
    <x v="0"/>
    <x v="1"/>
    <x v="0"/>
    <x v="0"/>
    <s v="Yes"/>
    <x v="0"/>
    <x v="1"/>
    <n v="5"/>
    <n v="459.3"/>
    <x v="2"/>
    <x v="2"/>
  </r>
  <r>
    <s v="T00138"/>
    <s v="E0037"/>
    <s v="London"/>
    <x v="5"/>
    <s v="Manager"/>
    <s v="Client meeting"/>
    <d v="2026-07-27T00:00:00"/>
    <d v="2026-07-31T00:00:00"/>
    <d v="2026-08-03T00:00:00"/>
    <x v="1"/>
    <s v="London"/>
    <x v="0"/>
    <x v="0"/>
    <x v="1"/>
    <s v="Economy"/>
    <n v="1290"/>
    <n v="4"/>
    <x v="4"/>
    <x v="1"/>
    <s v="A02"/>
    <s v="H07"/>
    <n v="283.86"/>
    <n v="0"/>
    <x v="0"/>
    <n v="165.12"/>
    <n v="330.24"/>
    <n v="83.57"/>
    <n v="697.67"/>
    <x v="0"/>
    <x v="0"/>
    <n v="0"/>
    <n v="0"/>
    <n v="0"/>
    <n v="697.67"/>
    <x v="0"/>
    <x v="1"/>
    <x v="1"/>
    <x v="0"/>
    <x v="0"/>
    <s v="No"/>
    <x v="0"/>
    <x v="1"/>
    <n v="5"/>
    <n v="193.5"/>
    <x v="4"/>
    <x v="6"/>
  </r>
  <r>
    <s v="T00139"/>
    <s v="E0037"/>
    <s v="London"/>
    <x v="5"/>
    <s v="Manager"/>
    <s v="Recruitment / Interview"/>
    <d v="2026-07-03T00:00:00"/>
    <d v="2026-07-07T00:00:00"/>
    <d v="2026-07-11T00:00:00"/>
    <x v="1"/>
    <s v="London"/>
    <x v="9"/>
    <x v="1"/>
    <x v="1"/>
    <s v="Economy"/>
    <n v="3510"/>
    <n v="4"/>
    <x v="4"/>
    <x v="0"/>
    <s v="A10"/>
    <s v="H02"/>
    <n v="642.78"/>
    <n v="0"/>
    <x v="1"/>
    <n v="224.71666666666667"/>
    <n v="674.15"/>
    <n v="56.48"/>
    <n v="1373.41"/>
    <x v="0"/>
    <x v="0"/>
    <n v="0"/>
    <n v="0"/>
    <n v="0"/>
    <n v="1373.41"/>
    <x v="1"/>
    <x v="0"/>
    <x v="1"/>
    <x v="0"/>
    <x v="0"/>
    <s v="Yes"/>
    <x v="0"/>
    <x v="1"/>
    <n v="4"/>
    <n v="526.5"/>
    <x v="6"/>
    <x v="1"/>
  </r>
  <r>
    <s v="T00140"/>
    <s v="E0037"/>
    <s v="London"/>
    <x v="5"/>
    <s v="Manager"/>
    <s v="Project work"/>
    <d v="2026-05-21T00:00:00"/>
    <d v="2026-05-29T00:00:00"/>
    <d v="2026-06-01T00:00:00"/>
    <x v="2"/>
    <s v="London"/>
    <x v="16"/>
    <x v="1"/>
    <x v="1"/>
    <s v="Economy"/>
    <n v="3506"/>
    <n v="8"/>
    <x v="0"/>
    <x v="0"/>
    <s v="A05"/>
    <s v="H03"/>
    <n v="285.7"/>
    <n v="0"/>
    <x v="0"/>
    <n v="225.72"/>
    <n v="451.44"/>
    <n v="111.1"/>
    <n v="848.24"/>
    <x v="0"/>
    <x v="0"/>
    <n v="0"/>
    <n v="0"/>
    <n v="0"/>
    <n v="848.24"/>
    <x v="1"/>
    <x v="0"/>
    <x v="1"/>
    <x v="0"/>
    <x v="0"/>
    <s v="Yes"/>
    <x v="0"/>
    <x v="1"/>
    <n v="4"/>
    <n v="525.9"/>
    <x v="2"/>
    <x v="4"/>
  </r>
  <r>
    <s v="T00141"/>
    <s v="E0037"/>
    <s v="London"/>
    <x v="5"/>
    <s v="Manager"/>
    <s v="Internal meeting"/>
    <d v="2026-07-25T00:00:00"/>
    <d v="2026-07-31T00:00:00"/>
    <d v="2026-08-04T00:00:00"/>
    <x v="1"/>
    <s v="London"/>
    <x v="1"/>
    <x v="1"/>
    <x v="1"/>
    <s v="Economy"/>
    <n v="2092"/>
    <n v="6"/>
    <x v="4"/>
    <x v="0"/>
    <s v="A01"/>
    <s v="H03"/>
    <n v="198.17"/>
    <n v="0"/>
    <x v="1"/>
    <n v="131.47"/>
    <n v="394.41"/>
    <n v="113.31"/>
    <n v="705.89"/>
    <x v="1"/>
    <x v="0"/>
    <n v="142.97999999999999"/>
    <n v="0"/>
    <n v="0"/>
    <n v="848.87"/>
    <x v="0"/>
    <x v="0"/>
    <x v="1"/>
    <x v="0"/>
    <x v="0"/>
    <s v="Yes"/>
    <x v="1"/>
    <x v="0"/>
    <n v="5"/>
    <n v="313.8"/>
    <x v="1"/>
    <x v="4"/>
  </r>
  <r>
    <s v="T00142"/>
    <s v="E0037"/>
    <s v="London"/>
    <x v="5"/>
    <s v="Manager"/>
    <s v="Client meeting"/>
    <d v="2026-04-23T00:00:00"/>
    <d v="2026-05-07T00:00:00"/>
    <d v="2026-05-11T00:00:00"/>
    <x v="2"/>
    <s v="London"/>
    <x v="15"/>
    <x v="1"/>
    <x v="1"/>
    <s v="Economy"/>
    <n v="1746"/>
    <n v="14"/>
    <x v="0"/>
    <x v="0"/>
    <s v="A03"/>
    <s v="H01"/>
    <n v="480.73"/>
    <n v="0"/>
    <x v="1"/>
    <n v="150.36666666666667"/>
    <n v="451.1"/>
    <n v="94.12"/>
    <n v="1025.95"/>
    <x v="0"/>
    <x v="0"/>
    <n v="0"/>
    <n v="0"/>
    <n v="0"/>
    <n v="1025.95"/>
    <x v="0"/>
    <x v="0"/>
    <x v="1"/>
    <x v="0"/>
    <x v="0"/>
    <s v="Yes"/>
    <x v="0"/>
    <x v="0"/>
    <n v="4"/>
    <n v="261.89999999999998"/>
    <x v="7"/>
    <x v="2"/>
  </r>
  <r>
    <s v="T00143"/>
    <s v="E0037"/>
    <s v="London"/>
    <x v="5"/>
    <s v="Manager"/>
    <s v="Team building"/>
    <d v="2026-05-24T00:00:00"/>
    <d v="2026-06-18T00:00:00"/>
    <d v="2026-06-22T00:00:00"/>
    <x v="0"/>
    <s v="London"/>
    <x v="1"/>
    <x v="1"/>
    <x v="1"/>
    <s v="Economy"/>
    <n v="1564"/>
    <n v="25"/>
    <x v="3"/>
    <x v="3"/>
    <s v="A02"/>
    <s v="H02"/>
    <n v="274.35000000000002"/>
    <n v="0"/>
    <x v="1"/>
    <n v="166.68666666666667"/>
    <n v="500.06"/>
    <n v="102.12"/>
    <n v="876.53"/>
    <x v="0"/>
    <x v="0"/>
    <n v="0"/>
    <n v="0"/>
    <n v="0"/>
    <n v="876.53"/>
    <x v="0"/>
    <x v="0"/>
    <x v="1"/>
    <x v="0"/>
    <x v="1"/>
    <s v="Yes"/>
    <x v="0"/>
    <x v="1"/>
    <n v="4"/>
    <n v="234.6"/>
    <x v="4"/>
    <x v="1"/>
  </r>
  <r>
    <s v="T00144"/>
    <s v="E0037"/>
    <s v="London"/>
    <x v="5"/>
    <s v="Manager"/>
    <s v="Client meeting"/>
    <d v="2026-04-23T00:00:00"/>
    <d v="2026-05-06T00:00:00"/>
    <d v="2026-05-09T00:00:00"/>
    <x v="2"/>
    <s v="London"/>
    <x v="15"/>
    <x v="1"/>
    <x v="1"/>
    <s v="Economy"/>
    <n v="3492"/>
    <n v="13"/>
    <x v="0"/>
    <x v="3"/>
    <s v="A03"/>
    <s v="H01"/>
    <n v="464.13"/>
    <n v="0"/>
    <x v="0"/>
    <n v="98.135000000000005"/>
    <n v="196.27"/>
    <n v="52.44"/>
    <n v="712.84"/>
    <x v="0"/>
    <x v="0"/>
    <n v="0"/>
    <n v="0"/>
    <n v="0"/>
    <n v="712.84"/>
    <x v="0"/>
    <x v="0"/>
    <x v="1"/>
    <x v="0"/>
    <x v="1"/>
    <s v="Yes"/>
    <x v="0"/>
    <x v="1"/>
    <n v="4"/>
    <n v="523.79999999999995"/>
    <x v="7"/>
    <x v="2"/>
  </r>
  <r>
    <s v="T00145"/>
    <s v="E0038"/>
    <s v="London"/>
    <x v="1"/>
    <s v="Director"/>
    <s v="Project work"/>
    <d v="2026-04-07T00:00:00"/>
    <d v="2026-05-02T00:00:00"/>
    <d v="2026-05-05T00:00:00"/>
    <x v="2"/>
    <s v="London"/>
    <x v="1"/>
    <x v="1"/>
    <x v="1"/>
    <s v="Economy"/>
    <n v="1172"/>
    <n v="25"/>
    <x v="3"/>
    <x v="0"/>
    <s v="A01"/>
    <s v="H01"/>
    <n v="635.59"/>
    <n v="0"/>
    <x v="0"/>
    <n v="161.16"/>
    <n v="322.32"/>
    <n v="89.44"/>
    <n v="1047.3499999999999"/>
    <x v="0"/>
    <x v="0"/>
    <n v="0"/>
    <n v="0"/>
    <n v="0"/>
    <n v="1047.3499999999999"/>
    <x v="0"/>
    <x v="0"/>
    <x v="1"/>
    <x v="0"/>
    <x v="0"/>
    <s v="Yes"/>
    <x v="1"/>
    <x v="0"/>
    <n v="4"/>
    <n v="175.8"/>
    <x v="1"/>
    <x v="2"/>
  </r>
  <r>
    <s v="T00146"/>
    <s v="E0038"/>
    <s v="London"/>
    <x v="1"/>
    <s v="Director"/>
    <s v="Training"/>
    <d v="2026-05-19T00:00:00"/>
    <d v="2026-06-08T00:00:00"/>
    <d v="2026-06-09T00:00:00"/>
    <x v="0"/>
    <s v="London"/>
    <x v="6"/>
    <x v="0"/>
    <x v="0"/>
    <s v="Standard / 2nd Class"/>
    <n v="1090"/>
    <n v="20"/>
    <x v="3"/>
    <x v="0"/>
    <m/>
    <m/>
    <n v="0"/>
    <n v="206.41"/>
    <x v="5"/>
    <n v="0"/>
    <n v="0"/>
    <n v="51.37"/>
    <n v="257.77999999999997"/>
    <x v="0"/>
    <x v="0"/>
    <n v="0"/>
    <n v="0"/>
    <n v="0"/>
    <n v="257.77999999999997"/>
    <x v="2"/>
    <x v="2"/>
    <x v="0"/>
    <x v="0"/>
    <x v="0"/>
    <s v="Yes"/>
    <x v="0"/>
    <x v="0"/>
    <n v="5"/>
    <n v="43.6"/>
    <x v="0"/>
    <x v="7"/>
  </r>
  <r>
    <s v="T00147"/>
    <s v="E0038"/>
    <s v="London"/>
    <x v="1"/>
    <s v="Director"/>
    <s v="Recruitment / Interview"/>
    <d v="2026-04-27T00:00:00"/>
    <d v="2026-05-20T00:00:00"/>
    <d v="2026-05-22T00:00:00"/>
    <x v="2"/>
    <s v="London"/>
    <x v="16"/>
    <x v="1"/>
    <x v="1"/>
    <s v="Economy"/>
    <n v="1860"/>
    <n v="23"/>
    <x v="3"/>
    <x v="0"/>
    <s v="A02"/>
    <s v="H01"/>
    <n v="417.56"/>
    <n v="0"/>
    <x v="2"/>
    <n v="139.83000000000001"/>
    <n v="139.83000000000001"/>
    <n v="119.58"/>
    <n v="676.97"/>
    <x v="0"/>
    <x v="0"/>
    <n v="0"/>
    <n v="0"/>
    <n v="0"/>
    <n v="676.97"/>
    <x v="0"/>
    <x v="0"/>
    <x v="1"/>
    <x v="0"/>
    <x v="0"/>
    <s v="Yes"/>
    <x v="0"/>
    <x v="0"/>
    <n v="5"/>
    <n v="279"/>
    <x v="4"/>
    <x v="2"/>
  </r>
  <r>
    <s v="T00148"/>
    <s v="E0038"/>
    <s v="London"/>
    <x v="1"/>
    <s v="Director"/>
    <s v="Training"/>
    <d v="2026-07-26T00:00:00"/>
    <d v="2026-07-29T00:00:00"/>
    <d v="2026-08-01T00:00:00"/>
    <x v="1"/>
    <s v="London"/>
    <x v="9"/>
    <x v="1"/>
    <x v="1"/>
    <s v="Economy"/>
    <n v="2168"/>
    <n v="3"/>
    <x v="1"/>
    <x v="3"/>
    <s v="A06"/>
    <s v="H02"/>
    <n v="417.67"/>
    <n v="0"/>
    <x v="0"/>
    <n v="154.48500000000001"/>
    <n v="308.97000000000003"/>
    <n v="92.84"/>
    <n v="819.48"/>
    <x v="0"/>
    <x v="0"/>
    <n v="0"/>
    <n v="0"/>
    <n v="0"/>
    <n v="819.48"/>
    <x v="0"/>
    <x v="0"/>
    <x v="2"/>
    <x v="0"/>
    <x v="1"/>
    <s v="No"/>
    <x v="0"/>
    <x v="1"/>
    <n v="5"/>
    <n v="325.2"/>
    <x v="9"/>
    <x v="1"/>
  </r>
  <r>
    <s v="T00149"/>
    <s v="E0039"/>
    <s v="Birmingham"/>
    <x v="1"/>
    <s v="Director"/>
    <s v="Internal meeting"/>
    <d v="2026-06-23T00:00:00"/>
    <d v="2026-07-04T00:00:00"/>
    <d v="2026-07-07T00:00:00"/>
    <x v="1"/>
    <s v="Birmingham"/>
    <x v="9"/>
    <x v="1"/>
    <x v="1"/>
    <s v="Business"/>
    <n v="2456"/>
    <n v="11"/>
    <x v="0"/>
    <x v="3"/>
    <s v="A06"/>
    <s v="H03"/>
    <n v="565.6"/>
    <n v="0"/>
    <x v="0"/>
    <n v="198.465"/>
    <n v="396.93"/>
    <n v="39.25"/>
    <n v="1001.78"/>
    <x v="0"/>
    <x v="0"/>
    <n v="0"/>
    <n v="0"/>
    <n v="0"/>
    <n v="1001.78"/>
    <x v="1"/>
    <x v="0"/>
    <x v="2"/>
    <x v="1"/>
    <x v="1"/>
    <s v="No"/>
    <x v="0"/>
    <x v="1"/>
    <n v="5"/>
    <n v="368.4"/>
    <x v="9"/>
    <x v="4"/>
  </r>
  <r>
    <s v="T00150"/>
    <s v="E0039"/>
    <s v="Birmingham"/>
    <x v="1"/>
    <s v="Director"/>
    <s v="Client meeting"/>
    <d v="2026-07-16T00:00:00"/>
    <d v="2026-07-28T00:00:00"/>
    <d v="2026-08-01T00:00:00"/>
    <x v="1"/>
    <s v="Birmingham"/>
    <x v="3"/>
    <x v="1"/>
    <x v="1"/>
    <s v="Economy"/>
    <n v="2620"/>
    <n v="12"/>
    <x v="0"/>
    <x v="1"/>
    <s v="A02"/>
    <s v="H04"/>
    <n v="429.41"/>
    <n v="0"/>
    <x v="1"/>
    <n v="197.65333333333334"/>
    <n v="592.96"/>
    <n v="97.98"/>
    <n v="1120.3499999999999"/>
    <x v="1"/>
    <x v="0"/>
    <n v="36.72"/>
    <n v="0"/>
    <n v="0"/>
    <n v="1157.07"/>
    <x v="1"/>
    <x v="0"/>
    <x v="1"/>
    <x v="0"/>
    <x v="0"/>
    <s v="Yes"/>
    <x v="0"/>
    <x v="1"/>
    <n v="4"/>
    <n v="393"/>
    <x v="4"/>
    <x v="3"/>
  </r>
  <r>
    <s v="T00151"/>
    <s v="E0039"/>
    <s v="Birmingham"/>
    <x v="1"/>
    <s v="Director"/>
    <s v="Recruitment / Interview"/>
    <d v="2026-07-06T00:00:00"/>
    <d v="2026-07-29T00:00:00"/>
    <d v="2026-07-30T00:00:00"/>
    <x v="1"/>
    <s v="Birmingham"/>
    <x v="17"/>
    <x v="0"/>
    <x v="0"/>
    <s v="Standard / 2nd Class"/>
    <n v="1004"/>
    <n v="23"/>
    <x v="3"/>
    <x v="0"/>
    <m/>
    <m/>
    <n v="0"/>
    <n v="154.63"/>
    <x v="5"/>
    <n v="0"/>
    <n v="0"/>
    <n v="32.770000000000003"/>
    <n v="187.4"/>
    <x v="0"/>
    <x v="0"/>
    <n v="0"/>
    <n v="0"/>
    <n v="0"/>
    <n v="187.4"/>
    <x v="2"/>
    <x v="2"/>
    <x v="0"/>
    <x v="0"/>
    <x v="0"/>
    <s v="Yes"/>
    <x v="0"/>
    <x v="0"/>
    <n v="4"/>
    <n v="40.200000000000003"/>
    <x v="0"/>
    <x v="7"/>
  </r>
  <r>
    <s v="T00152"/>
    <s v="E0040"/>
    <s v="Birmingham"/>
    <x v="5"/>
    <s v="Senior Manager"/>
    <s v="Training"/>
    <d v="2026-07-23T00:00:00"/>
    <d v="2026-07-24T00:00:00"/>
    <d v="2026-07-26T00:00:00"/>
    <x v="1"/>
    <s v="Birmingham"/>
    <x v="6"/>
    <x v="0"/>
    <x v="0"/>
    <s v="Standard / 2nd Class"/>
    <n v="638"/>
    <n v="1"/>
    <x v="1"/>
    <x v="0"/>
    <m/>
    <s v="H07"/>
    <n v="0"/>
    <n v="175.22"/>
    <x v="2"/>
    <n v="186.12"/>
    <n v="186.12"/>
    <n v="85.01"/>
    <n v="446.35"/>
    <x v="0"/>
    <x v="0"/>
    <n v="0"/>
    <n v="0"/>
    <n v="0"/>
    <n v="446.35"/>
    <x v="0"/>
    <x v="1"/>
    <x v="0"/>
    <x v="0"/>
    <x v="0"/>
    <s v="No"/>
    <x v="1"/>
    <x v="1"/>
    <n v="4"/>
    <n v="25.5"/>
    <x v="0"/>
    <x v="6"/>
  </r>
  <r>
    <s v="T00153"/>
    <s v="E0040"/>
    <s v="Birmingham"/>
    <x v="5"/>
    <s v="Senior Manager"/>
    <s v="Training"/>
    <d v="2026-06-08T00:00:00"/>
    <d v="2026-06-28T00:00:00"/>
    <d v="2026-06-30T00:00:00"/>
    <x v="0"/>
    <s v="Birmingham"/>
    <x v="9"/>
    <x v="1"/>
    <x v="1"/>
    <s v="Economy"/>
    <n v="1846"/>
    <n v="20"/>
    <x v="3"/>
    <x v="3"/>
    <s v="A10"/>
    <s v="H05"/>
    <n v="363.61"/>
    <n v="0"/>
    <x v="2"/>
    <n v="75.14"/>
    <n v="75.14"/>
    <n v="43.17"/>
    <n v="481.92"/>
    <x v="0"/>
    <x v="0"/>
    <n v="0"/>
    <n v="0"/>
    <n v="0"/>
    <n v="481.92"/>
    <x v="0"/>
    <x v="1"/>
    <x v="1"/>
    <x v="0"/>
    <x v="1"/>
    <s v="No"/>
    <x v="1"/>
    <x v="1"/>
    <n v="4"/>
    <n v="276.89999999999998"/>
    <x v="6"/>
    <x v="5"/>
  </r>
  <r>
    <s v="T00154"/>
    <s v="E0040"/>
    <s v="Birmingham"/>
    <x v="5"/>
    <s v="Senior Manager"/>
    <s v="Client meeting"/>
    <d v="2026-04-28T00:00:00"/>
    <d v="2026-05-16T00:00:00"/>
    <d v="2026-05-21T00:00:00"/>
    <x v="2"/>
    <s v="Birmingham"/>
    <x v="9"/>
    <x v="1"/>
    <x v="1"/>
    <s v="Economy"/>
    <n v="2492"/>
    <n v="18"/>
    <x v="3"/>
    <x v="0"/>
    <s v="A10"/>
    <s v="H01"/>
    <n v="453.72"/>
    <n v="0"/>
    <x v="3"/>
    <n v="133.86000000000001"/>
    <n v="535.44000000000005"/>
    <n v="71.19"/>
    <n v="1060.3499999999999"/>
    <x v="0"/>
    <x v="0"/>
    <n v="0"/>
    <n v="0"/>
    <n v="0"/>
    <n v="1060.3499999999999"/>
    <x v="0"/>
    <x v="0"/>
    <x v="1"/>
    <x v="0"/>
    <x v="0"/>
    <s v="Yes"/>
    <x v="0"/>
    <x v="0"/>
    <n v="4"/>
    <n v="373.8"/>
    <x v="6"/>
    <x v="2"/>
  </r>
  <r>
    <s v="T00155"/>
    <s v="E0040"/>
    <s v="Birmingham"/>
    <x v="5"/>
    <s v="Senior Manager"/>
    <s v="Other"/>
    <d v="2026-06-15T00:00:00"/>
    <d v="2026-07-11T00:00:00"/>
    <d v="2026-07-16T00:00:00"/>
    <x v="1"/>
    <s v="Birmingham"/>
    <x v="2"/>
    <x v="1"/>
    <x v="1"/>
    <s v="Economy"/>
    <n v="3140"/>
    <n v="26"/>
    <x v="3"/>
    <x v="3"/>
    <s v="A01"/>
    <s v="H01"/>
    <n v="524.4"/>
    <n v="0"/>
    <x v="3"/>
    <n v="192.3075"/>
    <n v="769.23"/>
    <n v="47"/>
    <n v="1340.63"/>
    <x v="0"/>
    <x v="0"/>
    <n v="0"/>
    <n v="0"/>
    <n v="0"/>
    <n v="1340.63"/>
    <x v="1"/>
    <x v="0"/>
    <x v="1"/>
    <x v="0"/>
    <x v="1"/>
    <s v="Yes"/>
    <x v="1"/>
    <x v="1"/>
    <n v="4"/>
    <n v="471"/>
    <x v="1"/>
    <x v="2"/>
  </r>
  <r>
    <s v="T00156"/>
    <s v="E0040"/>
    <s v="Birmingham"/>
    <x v="5"/>
    <s v="Senior Manager"/>
    <s v="Training"/>
    <d v="2026-04-24T00:00:00"/>
    <d v="2026-05-06T00:00:00"/>
    <d v="2026-05-11T00:00:00"/>
    <x v="2"/>
    <s v="Birmingham"/>
    <x v="7"/>
    <x v="1"/>
    <x v="1"/>
    <s v="Economy"/>
    <n v="10582"/>
    <n v="12"/>
    <x v="0"/>
    <x v="3"/>
    <s v="A07"/>
    <s v="H01"/>
    <n v="1130.92"/>
    <n v="0"/>
    <x v="3"/>
    <n v="147.4325"/>
    <n v="589.73"/>
    <n v="66.19"/>
    <n v="1786.84"/>
    <x v="1"/>
    <x v="1"/>
    <n v="58.23"/>
    <n v="81.45"/>
    <n v="1290.49"/>
    <n v="636.03"/>
    <x v="0"/>
    <x v="0"/>
    <x v="1"/>
    <x v="0"/>
    <x v="1"/>
    <s v="Yes"/>
    <x v="0"/>
    <x v="1"/>
    <n v="3"/>
    <n v="1587.3"/>
    <x v="5"/>
    <x v="2"/>
  </r>
  <r>
    <s v="T00157"/>
    <s v="E0041"/>
    <s v="Edinburgh"/>
    <x v="5"/>
    <s v="Consultant"/>
    <s v="Client meeting"/>
    <d v="2026-06-07T00:00:00"/>
    <d v="2026-06-08T00:00:00"/>
    <d v="2026-06-11T00:00:00"/>
    <x v="0"/>
    <s v="Edinburgh"/>
    <x v="0"/>
    <x v="0"/>
    <x v="0"/>
    <s v="Standard / 2nd Class"/>
    <n v="918"/>
    <n v="1"/>
    <x v="1"/>
    <x v="1"/>
    <m/>
    <s v="H01"/>
    <n v="0"/>
    <n v="99"/>
    <x v="0"/>
    <n v="190.53"/>
    <n v="381.06"/>
    <n v="53.52"/>
    <n v="533.58000000000004"/>
    <x v="1"/>
    <x v="0"/>
    <n v="148.11000000000001"/>
    <n v="0"/>
    <n v="0"/>
    <n v="681.69"/>
    <x v="0"/>
    <x v="0"/>
    <x v="0"/>
    <x v="0"/>
    <x v="0"/>
    <s v="Yes"/>
    <x v="0"/>
    <x v="0"/>
    <n v="3"/>
    <n v="36.700000000000003"/>
    <x v="0"/>
    <x v="2"/>
  </r>
  <r>
    <s v="T00158"/>
    <s v="E0041"/>
    <s v="Edinburgh"/>
    <x v="5"/>
    <s v="Consultant"/>
    <s v="Conference / Event"/>
    <d v="2026-07-06T00:00:00"/>
    <d v="2026-07-27T00:00:00"/>
    <d v="2026-07-30T00:00:00"/>
    <x v="1"/>
    <s v="Edinburgh"/>
    <x v="0"/>
    <x v="0"/>
    <x v="0"/>
    <s v="Standard / 2nd Class"/>
    <n v="794"/>
    <n v="21"/>
    <x v="3"/>
    <x v="1"/>
    <m/>
    <s v="H02"/>
    <n v="0"/>
    <n v="259.08"/>
    <x v="0"/>
    <n v="124.16"/>
    <n v="248.32"/>
    <n v="62.66"/>
    <n v="570.05999999999995"/>
    <x v="0"/>
    <x v="0"/>
    <n v="0"/>
    <n v="0"/>
    <n v="0"/>
    <n v="570.05999999999995"/>
    <x v="0"/>
    <x v="0"/>
    <x v="0"/>
    <x v="0"/>
    <x v="0"/>
    <s v="Yes"/>
    <x v="0"/>
    <x v="0"/>
    <n v="4"/>
    <n v="31.8"/>
    <x v="0"/>
    <x v="1"/>
  </r>
  <r>
    <s v="T00159"/>
    <s v="E0041"/>
    <s v="Edinburgh"/>
    <x v="5"/>
    <s v="Consultant"/>
    <s v="Internal meeting"/>
    <d v="2026-04-15T00:00:00"/>
    <d v="2026-05-15T00:00:00"/>
    <d v="2026-05-18T00:00:00"/>
    <x v="2"/>
    <s v="Edinburgh"/>
    <x v="14"/>
    <x v="1"/>
    <x v="1"/>
    <s v="Economy"/>
    <n v="1134"/>
    <n v="30"/>
    <x v="3"/>
    <x v="0"/>
    <s v="A03"/>
    <s v="H01"/>
    <n v="308.76"/>
    <n v="0"/>
    <x v="0"/>
    <n v="213.3"/>
    <n v="426.6"/>
    <n v="101.08"/>
    <n v="836.44"/>
    <x v="0"/>
    <x v="0"/>
    <n v="0"/>
    <n v="0"/>
    <n v="0"/>
    <n v="836.44"/>
    <x v="1"/>
    <x v="0"/>
    <x v="1"/>
    <x v="0"/>
    <x v="0"/>
    <s v="Yes"/>
    <x v="0"/>
    <x v="1"/>
    <n v="5"/>
    <n v="170.1"/>
    <x v="7"/>
    <x v="2"/>
  </r>
  <r>
    <s v="T00160"/>
    <s v="E0042"/>
    <s v="Reading"/>
    <x v="3"/>
    <s v="Senior Manager"/>
    <s v="Client meeting"/>
    <d v="2026-05-04T00:00:00"/>
    <d v="2026-05-19T00:00:00"/>
    <d v="2026-05-21T00:00:00"/>
    <x v="2"/>
    <s v="Reading"/>
    <x v="6"/>
    <x v="0"/>
    <x v="1"/>
    <s v="Economy"/>
    <n v="366"/>
    <n v="15"/>
    <x v="3"/>
    <x v="1"/>
    <s v="A02"/>
    <s v="H07"/>
    <n v="243.38"/>
    <n v="0"/>
    <x v="2"/>
    <n v="71.3"/>
    <n v="71.3"/>
    <n v="87.01"/>
    <n v="401.69"/>
    <x v="0"/>
    <x v="0"/>
    <n v="0"/>
    <n v="0"/>
    <n v="0"/>
    <n v="401.69"/>
    <x v="0"/>
    <x v="1"/>
    <x v="1"/>
    <x v="0"/>
    <x v="0"/>
    <s v="No"/>
    <x v="0"/>
    <x v="1"/>
    <n v="5"/>
    <n v="54.9"/>
    <x v="4"/>
    <x v="6"/>
  </r>
  <r>
    <s v="T00161"/>
    <s v="E0042"/>
    <s v="Reading"/>
    <x v="3"/>
    <s v="Senior Manager"/>
    <s v="Client meeting"/>
    <d v="2026-07-01T00:00:00"/>
    <d v="2026-07-25T00:00:00"/>
    <d v="2026-07-29T00:00:00"/>
    <x v="1"/>
    <s v="Reading"/>
    <x v="4"/>
    <x v="1"/>
    <x v="1"/>
    <s v="Economy"/>
    <n v="1120"/>
    <n v="24"/>
    <x v="3"/>
    <x v="2"/>
    <s v="A02"/>
    <s v="H01"/>
    <n v="388.77"/>
    <n v="0"/>
    <x v="1"/>
    <n v="170.47"/>
    <n v="511.41"/>
    <n v="55.63"/>
    <n v="955.81"/>
    <x v="0"/>
    <x v="0"/>
    <n v="0"/>
    <n v="0"/>
    <n v="0"/>
    <n v="955.81"/>
    <x v="0"/>
    <x v="0"/>
    <x v="1"/>
    <x v="0"/>
    <x v="1"/>
    <s v="Yes"/>
    <x v="1"/>
    <x v="1"/>
    <n v="4"/>
    <n v="168"/>
    <x v="4"/>
    <x v="2"/>
  </r>
  <r>
    <s v="T00162"/>
    <s v="E0042"/>
    <s v="Reading"/>
    <x v="3"/>
    <s v="Senior Manager"/>
    <s v="Project work"/>
    <d v="2026-05-27T00:00:00"/>
    <d v="2026-06-19T00:00:00"/>
    <d v="2026-06-24T00:00:00"/>
    <x v="0"/>
    <s v="Reading"/>
    <x v="9"/>
    <x v="1"/>
    <x v="1"/>
    <s v="Economy"/>
    <n v="2976"/>
    <n v="23"/>
    <x v="3"/>
    <x v="0"/>
    <s v="A10"/>
    <s v="H02"/>
    <n v="414.5"/>
    <n v="0"/>
    <x v="3"/>
    <n v="137.23750000000001"/>
    <n v="548.95000000000005"/>
    <n v="75.62"/>
    <n v="1039.07"/>
    <x v="0"/>
    <x v="0"/>
    <n v="0"/>
    <n v="0"/>
    <n v="0"/>
    <n v="1039.07"/>
    <x v="0"/>
    <x v="0"/>
    <x v="1"/>
    <x v="0"/>
    <x v="0"/>
    <s v="Yes"/>
    <x v="0"/>
    <x v="0"/>
    <n v="4"/>
    <n v="446.4"/>
    <x v="6"/>
    <x v="1"/>
  </r>
  <r>
    <s v="T00163"/>
    <s v="E0043"/>
    <s v="Edinburgh"/>
    <x v="1"/>
    <s v="Consultant"/>
    <s v="Client meeting"/>
    <d v="2026-06-07T00:00:00"/>
    <d v="2026-07-06T00:00:00"/>
    <d v="2026-07-11T00:00:00"/>
    <x v="1"/>
    <s v="Edinburgh"/>
    <x v="21"/>
    <x v="1"/>
    <x v="1"/>
    <s v="Economy"/>
    <n v="11884"/>
    <n v="29"/>
    <x v="3"/>
    <x v="1"/>
    <s v="A01"/>
    <s v="H02"/>
    <n v="1260.0899999999999"/>
    <n v="0"/>
    <x v="3"/>
    <n v="210.54249999999999"/>
    <n v="842.17"/>
    <n v="84.08"/>
    <n v="2186.34"/>
    <x v="0"/>
    <x v="0"/>
    <n v="0"/>
    <n v="0"/>
    <n v="0"/>
    <n v="2186.34"/>
    <x v="1"/>
    <x v="0"/>
    <x v="1"/>
    <x v="0"/>
    <x v="0"/>
    <s v="Yes"/>
    <x v="0"/>
    <x v="1"/>
    <n v="5"/>
    <n v="1782.6"/>
    <x v="1"/>
    <x v="1"/>
  </r>
  <r>
    <s v="T00164"/>
    <s v="E0043"/>
    <s v="Edinburgh"/>
    <x v="1"/>
    <s v="Consultant"/>
    <s v="Team building"/>
    <d v="2026-05-21T00:00:00"/>
    <d v="2026-05-25T00:00:00"/>
    <d v="2026-05-28T00:00:00"/>
    <x v="2"/>
    <s v="Edinburgh"/>
    <x v="14"/>
    <x v="1"/>
    <x v="1"/>
    <s v="Economy"/>
    <n v="3290"/>
    <n v="4"/>
    <x v="4"/>
    <x v="0"/>
    <s v="A03"/>
    <s v="H05"/>
    <n v="614.39"/>
    <n v="0"/>
    <x v="0"/>
    <n v="152.63999999999999"/>
    <n v="305.27999999999997"/>
    <n v="69.89"/>
    <n v="989.56"/>
    <x v="0"/>
    <x v="0"/>
    <n v="0"/>
    <n v="0"/>
    <n v="0"/>
    <n v="989.56"/>
    <x v="0"/>
    <x v="1"/>
    <x v="1"/>
    <x v="0"/>
    <x v="0"/>
    <s v="No"/>
    <x v="0"/>
    <x v="1"/>
    <n v="3"/>
    <n v="493.5"/>
    <x v="7"/>
    <x v="5"/>
  </r>
  <r>
    <s v="T00165"/>
    <s v="E0043"/>
    <s v="Edinburgh"/>
    <x v="1"/>
    <s v="Consultant"/>
    <s v="Team building"/>
    <d v="2026-06-29T00:00:00"/>
    <d v="2026-07-28T00:00:00"/>
    <d v="2026-08-01T00:00:00"/>
    <x v="1"/>
    <s v="Edinburgh"/>
    <x v="2"/>
    <x v="1"/>
    <x v="1"/>
    <s v="Premium Economy"/>
    <n v="2672"/>
    <n v="29"/>
    <x v="3"/>
    <x v="1"/>
    <s v="A05"/>
    <s v="H02"/>
    <n v="286.83999999999997"/>
    <n v="0"/>
    <x v="1"/>
    <n v="210.96"/>
    <n v="632.88"/>
    <n v="54.81"/>
    <n v="974.53"/>
    <x v="0"/>
    <x v="0"/>
    <n v="0"/>
    <n v="0"/>
    <n v="0"/>
    <n v="974.53"/>
    <x v="1"/>
    <x v="0"/>
    <x v="1"/>
    <x v="1"/>
    <x v="0"/>
    <s v="Yes"/>
    <x v="0"/>
    <x v="1"/>
    <n v="4"/>
    <n v="400.8"/>
    <x v="2"/>
    <x v="1"/>
  </r>
  <r>
    <s v="T00166"/>
    <s v="E0043"/>
    <s v="Edinburgh"/>
    <x v="1"/>
    <s v="Consultant"/>
    <s v="Project work"/>
    <d v="2026-06-12T00:00:00"/>
    <d v="2026-06-21T00:00:00"/>
    <d v="2026-06-24T00:00:00"/>
    <x v="0"/>
    <s v="Edinburgh"/>
    <x v="0"/>
    <x v="0"/>
    <x v="0"/>
    <s v="Standard / 2nd Class"/>
    <n v="970"/>
    <n v="9"/>
    <x v="0"/>
    <x v="0"/>
    <m/>
    <s v="H06"/>
    <n v="0"/>
    <n v="177.3"/>
    <x v="0"/>
    <n v="95.23"/>
    <n v="190.46"/>
    <n v="56.52"/>
    <n v="424.28"/>
    <x v="0"/>
    <x v="0"/>
    <n v="0"/>
    <n v="0"/>
    <n v="0"/>
    <n v="424.28"/>
    <x v="0"/>
    <x v="0"/>
    <x v="0"/>
    <x v="0"/>
    <x v="0"/>
    <s v="Yes"/>
    <x v="0"/>
    <x v="0"/>
    <n v="5"/>
    <n v="38.799999999999997"/>
    <x v="0"/>
    <x v="0"/>
  </r>
  <r>
    <s v="T00167"/>
    <s v="E0043"/>
    <s v="Edinburgh"/>
    <x v="1"/>
    <s v="Consultant"/>
    <s v="Client meeting"/>
    <d v="2026-07-23T00:00:00"/>
    <d v="2026-07-31T00:00:00"/>
    <d v="2026-08-03T00:00:00"/>
    <x v="1"/>
    <s v="Edinburgh"/>
    <x v="6"/>
    <x v="0"/>
    <x v="0"/>
    <s v="Standard / 2nd Class"/>
    <n v="710"/>
    <n v="8"/>
    <x v="0"/>
    <x v="0"/>
    <m/>
    <s v="H02"/>
    <n v="0"/>
    <n v="179.33"/>
    <x v="0"/>
    <n v="172.56"/>
    <n v="345.12"/>
    <n v="20"/>
    <n v="544.45000000000005"/>
    <x v="1"/>
    <x v="0"/>
    <n v="113.53"/>
    <n v="0"/>
    <n v="0"/>
    <n v="657.98"/>
    <x v="0"/>
    <x v="0"/>
    <x v="0"/>
    <x v="0"/>
    <x v="0"/>
    <s v="Yes"/>
    <x v="0"/>
    <x v="0"/>
    <n v="3"/>
    <n v="28.4"/>
    <x v="0"/>
    <x v="1"/>
  </r>
  <r>
    <s v="T00168"/>
    <s v="E0043"/>
    <s v="Edinburgh"/>
    <x v="1"/>
    <s v="Consultant"/>
    <s v="Client meeting"/>
    <d v="2026-04-12T00:00:00"/>
    <d v="2026-05-06T00:00:00"/>
    <d v="2026-05-07T00:00:00"/>
    <x v="2"/>
    <s v="Edinburgh"/>
    <x v="6"/>
    <x v="0"/>
    <x v="0"/>
    <s v="Standard / 2nd Class"/>
    <n v="788"/>
    <n v="24"/>
    <x v="3"/>
    <x v="2"/>
    <m/>
    <m/>
    <n v="0"/>
    <n v="243.64"/>
    <x v="5"/>
    <n v="0"/>
    <n v="0"/>
    <n v="78.38"/>
    <n v="322.02"/>
    <x v="0"/>
    <x v="0"/>
    <n v="0"/>
    <n v="0"/>
    <n v="0"/>
    <n v="322.02"/>
    <x v="2"/>
    <x v="2"/>
    <x v="0"/>
    <x v="0"/>
    <x v="1"/>
    <s v="Yes"/>
    <x v="0"/>
    <x v="1"/>
    <n v="3"/>
    <n v="31.5"/>
    <x v="0"/>
    <x v="7"/>
  </r>
  <r>
    <s v="T00169"/>
    <s v="E0044"/>
    <s v="Bristol"/>
    <x v="5"/>
    <s v="Analyst"/>
    <s v="Project work"/>
    <d v="2026-04-28T00:00:00"/>
    <d v="2026-05-04T00:00:00"/>
    <d v="2026-05-08T00:00:00"/>
    <x v="2"/>
    <s v="Bristol"/>
    <x v="11"/>
    <x v="1"/>
    <x v="1"/>
    <s v="Economy"/>
    <n v="3578"/>
    <n v="6"/>
    <x v="4"/>
    <x v="0"/>
    <s v="A02"/>
    <s v="H03"/>
    <n v="509.02"/>
    <n v="0"/>
    <x v="1"/>
    <n v="188.12666666666667"/>
    <n v="564.38"/>
    <n v="80.010000000000005"/>
    <n v="1153.4100000000001"/>
    <x v="0"/>
    <x v="0"/>
    <n v="0"/>
    <n v="0"/>
    <n v="0"/>
    <n v="1153.4100000000001"/>
    <x v="1"/>
    <x v="0"/>
    <x v="1"/>
    <x v="0"/>
    <x v="0"/>
    <s v="Yes"/>
    <x v="0"/>
    <x v="1"/>
    <n v="4"/>
    <n v="536.70000000000005"/>
    <x v="4"/>
    <x v="4"/>
  </r>
  <r>
    <s v="T00170"/>
    <s v="E0044"/>
    <s v="Bristol"/>
    <x v="5"/>
    <s v="Analyst"/>
    <s v="Team building"/>
    <d v="2026-05-04T00:00:00"/>
    <d v="2026-06-04T00:00:00"/>
    <d v="2026-06-08T00:00:00"/>
    <x v="0"/>
    <s v="Bristol"/>
    <x v="9"/>
    <x v="1"/>
    <x v="1"/>
    <s v="Economy"/>
    <n v="2302"/>
    <n v="31"/>
    <x v="2"/>
    <x v="0"/>
    <s v="A10"/>
    <s v="H02"/>
    <n v="433.76"/>
    <n v="0"/>
    <x v="1"/>
    <n v="199.99"/>
    <n v="599.97"/>
    <n v="59.63"/>
    <n v="1093.3599999999999"/>
    <x v="0"/>
    <x v="0"/>
    <n v="0"/>
    <n v="0"/>
    <n v="0"/>
    <n v="1093.3599999999999"/>
    <x v="1"/>
    <x v="0"/>
    <x v="1"/>
    <x v="0"/>
    <x v="0"/>
    <s v="Yes"/>
    <x v="0"/>
    <x v="1"/>
    <n v="5"/>
    <n v="345.3"/>
    <x v="6"/>
    <x v="1"/>
  </r>
  <r>
    <s v="T00171"/>
    <s v="E0044"/>
    <s v="Bristol"/>
    <x v="5"/>
    <s v="Analyst"/>
    <s v="Client meeting"/>
    <d v="2026-05-03T00:00:00"/>
    <d v="2026-05-18T00:00:00"/>
    <d v="2026-05-22T00:00:00"/>
    <x v="2"/>
    <s v="Bristol"/>
    <x v="5"/>
    <x v="1"/>
    <x v="1"/>
    <s v="Economy"/>
    <n v="14486"/>
    <n v="15"/>
    <x v="3"/>
    <x v="2"/>
    <s v="A01"/>
    <s v="H04"/>
    <n v="967.42"/>
    <n v="0"/>
    <x v="1"/>
    <n v="184.57333333333335"/>
    <n v="553.72"/>
    <n v="99.51"/>
    <n v="1620.65"/>
    <x v="0"/>
    <x v="0"/>
    <n v="0"/>
    <n v="0"/>
    <n v="0"/>
    <n v="1620.65"/>
    <x v="0"/>
    <x v="0"/>
    <x v="1"/>
    <x v="0"/>
    <x v="1"/>
    <s v="Yes"/>
    <x v="0"/>
    <x v="1"/>
    <n v="4"/>
    <n v="2172.9"/>
    <x v="1"/>
    <x v="3"/>
  </r>
  <r>
    <s v="T00172"/>
    <s v="E0044"/>
    <s v="Bristol"/>
    <x v="5"/>
    <s v="Analyst"/>
    <s v="Client meeting"/>
    <d v="2026-05-06T00:00:00"/>
    <d v="2026-05-07T00:00:00"/>
    <d v="2026-05-14T00:00:00"/>
    <x v="2"/>
    <s v="Bristol"/>
    <x v="20"/>
    <x v="1"/>
    <x v="1"/>
    <s v="Economy"/>
    <n v="10852"/>
    <n v="1"/>
    <x v="1"/>
    <x v="1"/>
    <s v="A07"/>
    <s v="H01"/>
    <n v="883.83"/>
    <n v="0"/>
    <x v="7"/>
    <n v="242.47833333333332"/>
    <n v="1454.87"/>
    <n v="97.1"/>
    <n v="2435.8000000000002"/>
    <x v="0"/>
    <x v="1"/>
    <n v="0"/>
    <n v="146"/>
    <n v="2104.83"/>
    <n v="476.97000000000025"/>
    <x v="1"/>
    <x v="0"/>
    <x v="1"/>
    <x v="0"/>
    <x v="0"/>
    <s v="Yes"/>
    <x v="0"/>
    <x v="1"/>
    <n v="4"/>
    <n v="1627.8"/>
    <x v="5"/>
    <x v="2"/>
  </r>
  <r>
    <s v="T00173"/>
    <s v="E0045"/>
    <s v="London"/>
    <x v="3"/>
    <s v="Senior Manager"/>
    <s v="Team building"/>
    <d v="2026-07-01T00:00:00"/>
    <d v="2026-07-10T00:00:00"/>
    <d v="2026-07-14T00:00:00"/>
    <x v="1"/>
    <s v="London"/>
    <x v="18"/>
    <x v="1"/>
    <x v="1"/>
    <s v="Economy"/>
    <n v="16564"/>
    <n v="9"/>
    <x v="0"/>
    <x v="0"/>
    <s v="A01"/>
    <s v="H01"/>
    <n v="1676.71"/>
    <n v="0"/>
    <x v="1"/>
    <n v="184.63"/>
    <n v="553.89"/>
    <n v="85.32"/>
    <n v="2315.92"/>
    <x v="0"/>
    <x v="0"/>
    <n v="0"/>
    <n v="0"/>
    <n v="0"/>
    <n v="2315.92"/>
    <x v="0"/>
    <x v="0"/>
    <x v="1"/>
    <x v="0"/>
    <x v="0"/>
    <s v="Yes"/>
    <x v="0"/>
    <x v="0"/>
    <n v="4"/>
    <n v="2484.6"/>
    <x v="1"/>
    <x v="2"/>
  </r>
  <r>
    <s v="T00174"/>
    <s v="E0045"/>
    <s v="London"/>
    <x v="3"/>
    <s v="Senior Manager"/>
    <s v="Client meeting"/>
    <d v="2026-07-08T00:00:00"/>
    <d v="2026-07-09T00:00:00"/>
    <d v="2026-07-12T00:00:00"/>
    <x v="1"/>
    <s v="London"/>
    <x v="9"/>
    <x v="1"/>
    <x v="1"/>
    <s v="Economy"/>
    <n v="1906"/>
    <n v="1"/>
    <x v="1"/>
    <x v="0"/>
    <s v="A10"/>
    <s v="H01"/>
    <n v="405.71"/>
    <n v="0"/>
    <x v="0"/>
    <n v="149.76499999999999"/>
    <n v="299.52999999999997"/>
    <n v="76.34"/>
    <n v="781.58"/>
    <x v="1"/>
    <x v="0"/>
    <n v="126.62"/>
    <n v="0"/>
    <n v="0"/>
    <n v="908.2"/>
    <x v="0"/>
    <x v="0"/>
    <x v="1"/>
    <x v="0"/>
    <x v="0"/>
    <s v="Yes"/>
    <x v="0"/>
    <x v="0"/>
    <n v="5"/>
    <n v="285.89999999999998"/>
    <x v="6"/>
    <x v="2"/>
  </r>
  <r>
    <s v="T00175"/>
    <s v="E0045"/>
    <s v="London"/>
    <x v="3"/>
    <s v="Senior Manager"/>
    <s v="Project work"/>
    <d v="2026-05-17T00:00:00"/>
    <d v="2026-05-21T00:00:00"/>
    <d v="2026-05-24T00:00:00"/>
    <x v="2"/>
    <s v="London"/>
    <x v="6"/>
    <x v="0"/>
    <x v="0"/>
    <s v="Standard / 2nd Class"/>
    <n v="692"/>
    <n v="4"/>
    <x v="4"/>
    <x v="1"/>
    <m/>
    <s v="H07"/>
    <n v="0"/>
    <n v="143.02000000000001"/>
    <x v="0"/>
    <n v="103.065"/>
    <n v="206.13"/>
    <n v="78.34"/>
    <n v="427.49"/>
    <x v="0"/>
    <x v="0"/>
    <n v="0"/>
    <n v="0"/>
    <n v="0"/>
    <n v="427.49"/>
    <x v="0"/>
    <x v="1"/>
    <x v="0"/>
    <x v="0"/>
    <x v="0"/>
    <s v="No"/>
    <x v="0"/>
    <x v="1"/>
    <n v="5"/>
    <n v="27.7"/>
    <x v="0"/>
    <x v="6"/>
  </r>
  <r>
    <s v="T00176"/>
    <s v="E0045"/>
    <s v="London"/>
    <x v="3"/>
    <s v="Senior Manager"/>
    <s v="Client meeting"/>
    <d v="2026-06-23T00:00:00"/>
    <d v="2026-07-25T00:00:00"/>
    <d v="2026-07-28T00:00:00"/>
    <x v="1"/>
    <s v="London"/>
    <x v="16"/>
    <x v="1"/>
    <x v="1"/>
    <s v="Economy"/>
    <n v="2004"/>
    <n v="32"/>
    <x v="2"/>
    <x v="0"/>
    <s v="A01"/>
    <s v="H02"/>
    <n v="336.11"/>
    <n v="0"/>
    <x v="0"/>
    <n v="146.44999999999999"/>
    <n v="292.89999999999998"/>
    <n v="69.91"/>
    <n v="698.92"/>
    <x v="0"/>
    <x v="0"/>
    <n v="0"/>
    <n v="0"/>
    <n v="0"/>
    <n v="698.92"/>
    <x v="0"/>
    <x v="0"/>
    <x v="1"/>
    <x v="0"/>
    <x v="0"/>
    <s v="Yes"/>
    <x v="0"/>
    <x v="0"/>
    <n v="5"/>
    <n v="300.60000000000002"/>
    <x v="1"/>
    <x v="1"/>
  </r>
  <r>
    <s v="T00177"/>
    <s v="E0045"/>
    <s v="London"/>
    <x v="3"/>
    <s v="Senior Manager"/>
    <s v="Internal meeting"/>
    <d v="2026-07-04T00:00:00"/>
    <d v="2026-07-17T00:00:00"/>
    <d v="2026-07-19T00:00:00"/>
    <x v="1"/>
    <s v="London"/>
    <x v="1"/>
    <x v="1"/>
    <x v="1"/>
    <s v="Economy"/>
    <n v="1904"/>
    <n v="13"/>
    <x v="0"/>
    <x v="1"/>
    <s v="A04"/>
    <s v="H02"/>
    <n v="206.2"/>
    <n v="0"/>
    <x v="2"/>
    <n v="188.08"/>
    <n v="188.08"/>
    <n v="54.43"/>
    <n v="448.71"/>
    <x v="0"/>
    <x v="0"/>
    <n v="0"/>
    <n v="0"/>
    <n v="0"/>
    <n v="448.71"/>
    <x v="1"/>
    <x v="0"/>
    <x v="1"/>
    <x v="0"/>
    <x v="0"/>
    <s v="Yes"/>
    <x v="0"/>
    <x v="1"/>
    <n v="4"/>
    <n v="285.60000000000002"/>
    <x v="3"/>
    <x v="1"/>
  </r>
  <r>
    <s v="T00178"/>
    <s v="E0046"/>
    <s v="London"/>
    <x v="4"/>
    <s v="Senior Manager"/>
    <s v="Training"/>
    <d v="2026-05-02T00:00:00"/>
    <d v="2026-05-18T00:00:00"/>
    <d v="2026-05-23T00:00:00"/>
    <x v="2"/>
    <s v="London"/>
    <x v="15"/>
    <x v="1"/>
    <x v="1"/>
    <s v="Economy"/>
    <n v="2782"/>
    <n v="16"/>
    <x v="3"/>
    <x v="0"/>
    <s v="A04"/>
    <s v="H02"/>
    <n v="330.18"/>
    <n v="0"/>
    <x v="3"/>
    <n v="211.83250000000001"/>
    <n v="847.33"/>
    <n v="83.53"/>
    <n v="1261.04"/>
    <x v="0"/>
    <x v="0"/>
    <n v="0"/>
    <n v="0"/>
    <n v="0"/>
    <n v="1261.04"/>
    <x v="1"/>
    <x v="0"/>
    <x v="1"/>
    <x v="0"/>
    <x v="0"/>
    <s v="Yes"/>
    <x v="0"/>
    <x v="1"/>
    <n v="4"/>
    <n v="417.3"/>
    <x v="3"/>
    <x v="1"/>
  </r>
  <r>
    <s v="T00179"/>
    <s v="E0046"/>
    <s v="London"/>
    <x v="4"/>
    <s v="Senior Manager"/>
    <s v="Project work"/>
    <d v="2026-07-30T00:00:00"/>
    <d v="2026-07-31T00:00:00"/>
    <d v="2026-08-05T00:00:00"/>
    <x v="1"/>
    <s v="London"/>
    <x v="7"/>
    <x v="1"/>
    <x v="1"/>
    <s v="Economy"/>
    <n v="11632"/>
    <n v="1"/>
    <x v="1"/>
    <x v="1"/>
    <s v="A01"/>
    <s v="H01"/>
    <n v="1114.52"/>
    <n v="0"/>
    <x v="3"/>
    <n v="128.82"/>
    <n v="515.28"/>
    <n v="88.33"/>
    <n v="1718.13"/>
    <x v="0"/>
    <x v="0"/>
    <n v="0"/>
    <n v="0"/>
    <n v="0"/>
    <n v="1718.13"/>
    <x v="0"/>
    <x v="0"/>
    <x v="1"/>
    <x v="0"/>
    <x v="0"/>
    <s v="Yes"/>
    <x v="0"/>
    <x v="0"/>
    <n v="4"/>
    <n v="1744.8"/>
    <x v="1"/>
    <x v="2"/>
  </r>
  <r>
    <s v="T00180"/>
    <s v="E0046"/>
    <s v="London"/>
    <x v="4"/>
    <s v="Senior Manager"/>
    <s v="Training"/>
    <d v="2026-06-16T00:00:00"/>
    <d v="2026-07-09T00:00:00"/>
    <d v="2026-07-13T00:00:00"/>
    <x v="1"/>
    <s v="London"/>
    <x v="14"/>
    <x v="1"/>
    <x v="1"/>
    <s v="Economy"/>
    <n v="2786"/>
    <n v="23"/>
    <x v="3"/>
    <x v="0"/>
    <s v="A01"/>
    <s v="H01"/>
    <n v="381.66"/>
    <n v="0"/>
    <x v="1"/>
    <n v="147.88"/>
    <n v="443.64"/>
    <n v="120.7"/>
    <n v="946"/>
    <x v="0"/>
    <x v="0"/>
    <n v="0"/>
    <n v="0"/>
    <n v="0"/>
    <n v="946"/>
    <x v="0"/>
    <x v="0"/>
    <x v="1"/>
    <x v="0"/>
    <x v="0"/>
    <s v="Yes"/>
    <x v="0"/>
    <x v="0"/>
    <n v="5"/>
    <n v="417.9"/>
    <x v="1"/>
    <x v="2"/>
  </r>
  <r>
    <s v="T00181"/>
    <s v="E0046"/>
    <s v="London"/>
    <x v="4"/>
    <s v="Senior Manager"/>
    <s v="Recruitment / Interview"/>
    <d v="2026-05-21T00:00:00"/>
    <d v="2026-06-19T00:00:00"/>
    <d v="2026-06-23T00:00:00"/>
    <x v="0"/>
    <s v="London"/>
    <x v="15"/>
    <x v="1"/>
    <x v="1"/>
    <s v="Premium Economy"/>
    <n v="1072"/>
    <n v="29"/>
    <x v="3"/>
    <x v="1"/>
    <s v="A01"/>
    <s v="H04"/>
    <n v="547.16"/>
    <n v="0"/>
    <x v="1"/>
    <n v="212.75"/>
    <n v="638.25"/>
    <n v="89.36"/>
    <n v="1274.77"/>
    <x v="0"/>
    <x v="0"/>
    <n v="0"/>
    <n v="0"/>
    <n v="0"/>
    <n v="1274.77"/>
    <x v="1"/>
    <x v="0"/>
    <x v="1"/>
    <x v="1"/>
    <x v="0"/>
    <s v="Yes"/>
    <x v="0"/>
    <x v="1"/>
    <n v="4"/>
    <n v="160.80000000000001"/>
    <x v="1"/>
    <x v="3"/>
  </r>
  <r>
    <s v="T00182"/>
    <s v="E0047"/>
    <s v="London"/>
    <x v="3"/>
    <s v="Director"/>
    <s v="Project work"/>
    <d v="2026-05-24T00:00:00"/>
    <d v="2026-06-09T00:00:00"/>
    <d v="2026-06-16T00:00:00"/>
    <x v="0"/>
    <s v="London"/>
    <x v="5"/>
    <x v="1"/>
    <x v="1"/>
    <s v="Economy"/>
    <n v="17048"/>
    <n v="16"/>
    <x v="3"/>
    <x v="1"/>
    <s v="A08"/>
    <s v="H03"/>
    <n v="1329.15"/>
    <n v="0"/>
    <x v="7"/>
    <n v="152.68833333333333"/>
    <n v="916.13"/>
    <n v="60.64"/>
    <n v="2305.92"/>
    <x v="0"/>
    <x v="0"/>
    <n v="0"/>
    <n v="0"/>
    <n v="0"/>
    <n v="2305.92"/>
    <x v="0"/>
    <x v="0"/>
    <x v="1"/>
    <x v="0"/>
    <x v="0"/>
    <s v="Yes"/>
    <x v="0"/>
    <x v="0"/>
    <n v="4"/>
    <n v="2557.1999999999998"/>
    <x v="10"/>
    <x v="4"/>
  </r>
  <r>
    <s v="T00183"/>
    <s v="E0047"/>
    <s v="London"/>
    <x v="3"/>
    <s v="Director"/>
    <s v="Client meeting"/>
    <d v="2026-06-21T00:00:00"/>
    <d v="2026-06-22T00:00:00"/>
    <d v="2026-06-24T00:00:00"/>
    <x v="0"/>
    <s v="London"/>
    <x v="4"/>
    <x v="1"/>
    <x v="1"/>
    <s v="Economy"/>
    <n v="2664"/>
    <n v="1"/>
    <x v="1"/>
    <x v="0"/>
    <s v="A01"/>
    <s v="H01"/>
    <n v="551.66999999999996"/>
    <n v="0"/>
    <x v="2"/>
    <n v="109.59"/>
    <n v="109.59"/>
    <n v="34.659999999999997"/>
    <n v="695.92"/>
    <x v="0"/>
    <x v="0"/>
    <n v="0"/>
    <n v="0"/>
    <n v="0"/>
    <n v="695.92"/>
    <x v="0"/>
    <x v="0"/>
    <x v="1"/>
    <x v="0"/>
    <x v="0"/>
    <s v="Yes"/>
    <x v="0"/>
    <x v="0"/>
    <n v="4"/>
    <n v="399.6"/>
    <x v="1"/>
    <x v="2"/>
  </r>
  <r>
    <s v="T00184"/>
    <s v="E0048"/>
    <s v="Birmingham"/>
    <x v="5"/>
    <s v="Manager"/>
    <s v="Conference / Event"/>
    <d v="2026-05-28T00:00:00"/>
    <d v="2026-06-23T00:00:00"/>
    <d v="2026-06-25T00:00:00"/>
    <x v="0"/>
    <s v="Birmingham"/>
    <x v="3"/>
    <x v="1"/>
    <x v="1"/>
    <s v="Economy"/>
    <n v="1730"/>
    <n v="26"/>
    <x v="3"/>
    <x v="0"/>
    <s v="A02"/>
    <s v="H03"/>
    <n v="375.89"/>
    <n v="0"/>
    <x v="2"/>
    <n v="167.16"/>
    <n v="167.16"/>
    <n v="97.08"/>
    <n v="640.13"/>
    <x v="0"/>
    <x v="0"/>
    <n v="0"/>
    <n v="0"/>
    <n v="0"/>
    <n v="640.13"/>
    <x v="0"/>
    <x v="0"/>
    <x v="1"/>
    <x v="0"/>
    <x v="0"/>
    <s v="Yes"/>
    <x v="0"/>
    <x v="0"/>
    <n v="4"/>
    <n v="259.5"/>
    <x v="4"/>
    <x v="4"/>
  </r>
  <r>
    <s v="T00185"/>
    <s v="E0048"/>
    <s v="Birmingham"/>
    <x v="5"/>
    <s v="Manager"/>
    <s v="Project work"/>
    <d v="2026-05-10T00:00:00"/>
    <d v="2026-05-27T00:00:00"/>
    <d v="2026-05-30T00:00:00"/>
    <x v="2"/>
    <s v="Birmingham"/>
    <x v="14"/>
    <x v="1"/>
    <x v="1"/>
    <s v="Economy"/>
    <n v="1438"/>
    <n v="17"/>
    <x v="3"/>
    <x v="0"/>
    <s v="A03"/>
    <s v="H02"/>
    <n v="291.06"/>
    <n v="0"/>
    <x v="0"/>
    <n v="194.35499999999999"/>
    <n v="388.71"/>
    <n v="83.25"/>
    <n v="763.02"/>
    <x v="0"/>
    <x v="0"/>
    <n v="0"/>
    <n v="0"/>
    <n v="0"/>
    <n v="763.02"/>
    <x v="1"/>
    <x v="0"/>
    <x v="1"/>
    <x v="0"/>
    <x v="0"/>
    <s v="Yes"/>
    <x v="0"/>
    <x v="1"/>
    <n v="5"/>
    <n v="215.7"/>
    <x v="7"/>
    <x v="1"/>
  </r>
  <r>
    <s v="T00186"/>
    <s v="E0048"/>
    <s v="Birmingham"/>
    <x v="5"/>
    <s v="Manager"/>
    <s v="Project work"/>
    <d v="2026-04-16T00:00:00"/>
    <d v="2026-05-09T00:00:00"/>
    <d v="2026-05-15T00:00:00"/>
    <x v="2"/>
    <s v="Birmingham"/>
    <x v="13"/>
    <x v="1"/>
    <x v="1"/>
    <s v="Economy"/>
    <n v="18902"/>
    <n v="23"/>
    <x v="3"/>
    <x v="0"/>
    <s v="A01"/>
    <s v="H04"/>
    <n v="1304.3499999999999"/>
    <n v="0"/>
    <x v="4"/>
    <n v="154.70599999999999"/>
    <n v="773.53"/>
    <n v="117.72"/>
    <n v="2195.6"/>
    <x v="0"/>
    <x v="0"/>
    <n v="0"/>
    <n v="0"/>
    <n v="0"/>
    <n v="2195.6"/>
    <x v="0"/>
    <x v="0"/>
    <x v="1"/>
    <x v="0"/>
    <x v="0"/>
    <s v="Yes"/>
    <x v="0"/>
    <x v="0"/>
    <n v="5"/>
    <n v="2835.3"/>
    <x v="1"/>
    <x v="3"/>
  </r>
  <r>
    <s v="T00187"/>
    <s v="E0049"/>
    <s v="Bristol"/>
    <x v="1"/>
    <s v="Consultant"/>
    <s v="Client meeting"/>
    <d v="2026-07-16T00:00:00"/>
    <d v="2026-07-17T00:00:00"/>
    <d v="2026-07-21T00:00:00"/>
    <x v="1"/>
    <s v="Bristol"/>
    <x v="14"/>
    <x v="1"/>
    <x v="1"/>
    <s v="Economy"/>
    <n v="1814"/>
    <n v="1"/>
    <x v="1"/>
    <x v="0"/>
    <s v="A03"/>
    <s v="H02"/>
    <n v="385.31"/>
    <n v="0"/>
    <x v="1"/>
    <n v="109.51333333333334"/>
    <n v="328.54"/>
    <n v="84.63"/>
    <n v="798.48"/>
    <x v="0"/>
    <x v="0"/>
    <n v="0"/>
    <n v="0"/>
    <n v="0"/>
    <n v="798.48"/>
    <x v="0"/>
    <x v="0"/>
    <x v="1"/>
    <x v="0"/>
    <x v="0"/>
    <s v="Yes"/>
    <x v="0"/>
    <x v="0"/>
    <n v="4"/>
    <n v="272.10000000000002"/>
    <x v="7"/>
    <x v="1"/>
  </r>
  <r>
    <s v="T00188"/>
    <s v="E0049"/>
    <s v="Bristol"/>
    <x v="1"/>
    <s v="Consultant"/>
    <s v="Client meeting"/>
    <d v="2026-07-11T00:00:00"/>
    <d v="2026-07-30T00:00:00"/>
    <d v="2026-08-04T00:00:00"/>
    <x v="1"/>
    <s v="Bristol"/>
    <x v="11"/>
    <x v="1"/>
    <x v="1"/>
    <s v="Economy"/>
    <n v="3160"/>
    <n v="19"/>
    <x v="3"/>
    <x v="0"/>
    <s v="A01"/>
    <s v="H01"/>
    <n v="327.85"/>
    <n v="0"/>
    <x v="3"/>
    <n v="231.85249999999999"/>
    <n v="927.41"/>
    <n v="87.04"/>
    <n v="1342.3"/>
    <x v="0"/>
    <x v="0"/>
    <n v="0"/>
    <n v="0"/>
    <n v="0"/>
    <n v="1342.3"/>
    <x v="1"/>
    <x v="0"/>
    <x v="1"/>
    <x v="0"/>
    <x v="0"/>
    <s v="Yes"/>
    <x v="0"/>
    <x v="1"/>
    <n v="5"/>
    <n v="474"/>
    <x v="1"/>
    <x v="2"/>
  </r>
  <r>
    <s v="T00189"/>
    <s v="E0049"/>
    <s v="Bristol"/>
    <x v="1"/>
    <s v="Consultant"/>
    <s v="Recruitment / Interview"/>
    <d v="2026-06-16T00:00:00"/>
    <d v="2026-07-02T00:00:00"/>
    <d v="2026-07-04T00:00:00"/>
    <x v="1"/>
    <s v="Bristol"/>
    <x v="6"/>
    <x v="0"/>
    <x v="0"/>
    <s v="Standard / 2nd Class"/>
    <n v="532"/>
    <n v="16"/>
    <x v="3"/>
    <x v="1"/>
    <m/>
    <s v="H02"/>
    <n v="0"/>
    <n v="223.08"/>
    <x v="2"/>
    <n v="135.41999999999999"/>
    <n v="135.41999999999999"/>
    <n v="53.64"/>
    <n v="412.14"/>
    <x v="0"/>
    <x v="0"/>
    <n v="0"/>
    <n v="0"/>
    <n v="0"/>
    <n v="412.14"/>
    <x v="0"/>
    <x v="0"/>
    <x v="0"/>
    <x v="0"/>
    <x v="0"/>
    <s v="Yes"/>
    <x v="0"/>
    <x v="0"/>
    <n v="4"/>
    <n v="21.3"/>
    <x v="0"/>
    <x v="1"/>
  </r>
  <r>
    <s v="T00190"/>
    <s v="E0050"/>
    <s v="London"/>
    <x v="1"/>
    <s v="Manager"/>
    <s v="Client meeting"/>
    <d v="2026-05-08T00:00:00"/>
    <d v="2026-05-26T00:00:00"/>
    <d v="2026-05-29T00:00:00"/>
    <x v="2"/>
    <s v="London"/>
    <x v="1"/>
    <x v="1"/>
    <x v="1"/>
    <s v="Economy"/>
    <n v="3514"/>
    <n v="18"/>
    <x v="3"/>
    <x v="0"/>
    <s v="A01"/>
    <s v="H03"/>
    <n v="359.65"/>
    <n v="0"/>
    <x v="0"/>
    <n v="191.27500000000001"/>
    <n v="382.55"/>
    <n v="100.93"/>
    <n v="843.13"/>
    <x v="0"/>
    <x v="0"/>
    <n v="0"/>
    <n v="0"/>
    <n v="0"/>
    <n v="843.13"/>
    <x v="1"/>
    <x v="0"/>
    <x v="1"/>
    <x v="0"/>
    <x v="0"/>
    <s v="Yes"/>
    <x v="0"/>
    <x v="1"/>
    <n v="5"/>
    <n v="527.1"/>
    <x v="1"/>
    <x v="4"/>
  </r>
  <r>
    <s v="T00191"/>
    <s v="E0050"/>
    <s v="London"/>
    <x v="1"/>
    <s v="Manager"/>
    <s v="Team building"/>
    <d v="2026-07-25T00:00:00"/>
    <d v="2026-07-26T00:00:00"/>
    <d v="2026-07-29T00:00:00"/>
    <x v="1"/>
    <s v="London"/>
    <x v="0"/>
    <x v="0"/>
    <x v="1"/>
    <s v="Economy"/>
    <n v="1174"/>
    <n v="1"/>
    <x v="1"/>
    <x v="0"/>
    <s v="A02"/>
    <s v="H01"/>
    <n v="397.33"/>
    <n v="0"/>
    <x v="0"/>
    <n v="188.41"/>
    <n v="376.82"/>
    <n v="53.05"/>
    <n v="827.2"/>
    <x v="0"/>
    <x v="0"/>
    <n v="0"/>
    <n v="0"/>
    <n v="0"/>
    <n v="827.2"/>
    <x v="0"/>
    <x v="0"/>
    <x v="1"/>
    <x v="0"/>
    <x v="0"/>
    <s v="Yes"/>
    <x v="0"/>
    <x v="0"/>
    <n v="5"/>
    <n v="176.1"/>
    <x v="4"/>
    <x v="2"/>
  </r>
  <r>
    <s v="T00192"/>
    <s v="E0050"/>
    <s v="London"/>
    <x v="1"/>
    <s v="Manager"/>
    <s v="Project work"/>
    <d v="2026-07-09T00:00:00"/>
    <d v="2026-07-27T00:00:00"/>
    <d v="2026-08-01T00:00:00"/>
    <x v="1"/>
    <s v="London"/>
    <x v="20"/>
    <x v="1"/>
    <x v="1"/>
    <s v="Economy"/>
    <n v="11052"/>
    <n v="18"/>
    <x v="3"/>
    <x v="0"/>
    <s v="A07"/>
    <s v="H01"/>
    <n v="1091.74"/>
    <n v="0"/>
    <x v="3"/>
    <n v="130.14500000000001"/>
    <n v="520.58000000000004"/>
    <n v="114.08"/>
    <n v="1726.4"/>
    <x v="1"/>
    <x v="1"/>
    <n v="15"/>
    <n v="93.69"/>
    <n v="806.16"/>
    <n v="1028.9300000000003"/>
    <x v="0"/>
    <x v="0"/>
    <x v="1"/>
    <x v="0"/>
    <x v="0"/>
    <s v="Yes"/>
    <x v="1"/>
    <x v="0"/>
    <n v="2"/>
    <n v="1657.8"/>
    <x v="5"/>
    <x v="2"/>
  </r>
  <r>
    <s v="T00193"/>
    <s v="E0050"/>
    <s v="London"/>
    <x v="1"/>
    <s v="Manager"/>
    <s v="Client meeting"/>
    <d v="2026-06-20T00:00:00"/>
    <d v="2026-06-25T00:00:00"/>
    <d v="2026-06-29T00:00:00"/>
    <x v="0"/>
    <s v="London"/>
    <x v="9"/>
    <x v="1"/>
    <x v="1"/>
    <s v="Economy"/>
    <n v="1214"/>
    <n v="5"/>
    <x v="4"/>
    <x v="0"/>
    <s v="A10"/>
    <s v="H04"/>
    <n v="618.29999999999995"/>
    <n v="0"/>
    <x v="1"/>
    <n v="234.78333333333333"/>
    <n v="704.35"/>
    <n v="57.79"/>
    <n v="1380.44"/>
    <x v="0"/>
    <x v="0"/>
    <n v="0"/>
    <n v="0"/>
    <n v="0"/>
    <n v="1380.44"/>
    <x v="1"/>
    <x v="0"/>
    <x v="1"/>
    <x v="0"/>
    <x v="0"/>
    <s v="Yes"/>
    <x v="0"/>
    <x v="1"/>
    <n v="3"/>
    <n v="182.1"/>
    <x v="6"/>
    <x v="3"/>
  </r>
  <r>
    <s v="T00194"/>
    <s v="E0051"/>
    <s v="London"/>
    <x v="3"/>
    <s v="Consultant"/>
    <s v="Training"/>
    <d v="2026-07-21T00:00:00"/>
    <d v="2026-07-30T00:00:00"/>
    <d v="2026-07-31T00:00:00"/>
    <x v="1"/>
    <s v="London"/>
    <x v="6"/>
    <x v="0"/>
    <x v="0"/>
    <s v="Standard / 2nd Class"/>
    <n v="536"/>
    <n v="9"/>
    <x v="0"/>
    <x v="0"/>
    <m/>
    <m/>
    <n v="0"/>
    <n v="121.9"/>
    <x v="5"/>
    <n v="0"/>
    <n v="0"/>
    <n v="67.239999999999995"/>
    <n v="189.14"/>
    <x v="0"/>
    <x v="0"/>
    <n v="0"/>
    <n v="0"/>
    <n v="0"/>
    <n v="189.14"/>
    <x v="2"/>
    <x v="2"/>
    <x v="0"/>
    <x v="0"/>
    <x v="0"/>
    <s v="Yes"/>
    <x v="0"/>
    <x v="0"/>
    <n v="4"/>
    <n v="21.4"/>
    <x v="0"/>
    <x v="7"/>
  </r>
  <r>
    <s v="T00195"/>
    <s v="E0051"/>
    <s v="London"/>
    <x v="3"/>
    <s v="Consultant"/>
    <s v="Team building"/>
    <d v="2026-05-30T00:00:00"/>
    <d v="2026-05-31T00:00:00"/>
    <d v="2026-06-02T00:00:00"/>
    <x v="2"/>
    <s v="London"/>
    <x v="22"/>
    <x v="0"/>
    <x v="1"/>
    <s v="Economy"/>
    <n v="378"/>
    <n v="1"/>
    <x v="1"/>
    <x v="1"/>
    <s v="A02"/>
    <s v="H07"/>
    <n v="512.52"/>
    <n v="0"/>
    <x v="2"/>
    <n v="171.34"/>
    <n v="171.34"/>
    <n v="43.9"/>
    <n v="727.76"/>
    <x v="0"/>
    <x v="0"/>
    <n v="0"/>
    <n v="0"/>
    <n v="0"/>
    <n v="727.76"/>
    <x v="0"/>
    <x v="1"/>
    <x v="1"/>
    <x v="0"/>
    <x v="0"/>
    <s v="No"/>
    <x v="0"/>
    <x v="1"/>
    <n v="5"/>
    <n v="56.7"/>
    <x v="4"/>
    <x v="6"/>
  </r>
  <r>
    <s v="T00196"/>
    <s v="E0051"/>
    <s v="London"/>
    <x v="3"/>
    <s v="Consultant"/>
    <s v="Project work"/>
    <d v="2026-06-21T00:00:00"/>
    <d v="2026-07-12T00:00:00"/>
    <d v="2026-07-18T00:00:00"/>
    <x v="1"/>
    <s v="London"/>
    <x v="9"/>
    <x v="1"/>
    <x v="1"/>
    <s v="Economy"/>
    <n v="2476"/>
    <n v="21"/>
    <x v="3"/>
    <x v="3"/>
    <s v="A06"/>
    <s v="H04"/>
    <n v="266.48"/>
    <n v="0"/>
    <x v="4"/>
    <n v="199.226"/>
    <n v="996.13"/>
    <n v="82.03"/>
    <n v="1344.64"/>
    <x v="0"/>
    <x v="0"/>
    <n v="0"/>
    <n v="0"/>
    <n v="0"/>
    <n v="1344.64"/>
    <x v="1"/>
    <x v="0"/>
    <x v="2"/>
    <x v="0"/>
    <x v="1"/>
    <s v="No"/>
    <x v="0"/>
    <x v="1"/>
    <n v="5"/>
    <n v="371.4"/>
    <x v="9"/>
    <x v="3"/>
  </r>
  <r>
    <s v="T00197"/>
    <s v="E0051"/>
    <s v="London"/>
    <x v="3"/>
    <s v="Consultant"/>
    <s v="Client meeting"/>
    <d v="2026-06-19T00:00:00"/>
    <d v="2026-07-06T00:00:00"/>
    <d v="2026-07-09T00:00:00"/>
    <x v="1"/>
    <s v="London"/>
    <x v="1"/>
    <x v="1"/>
    <x v="1"/>
    <s v="Economy"/>
    <n v="1958"/>
    <n v="17"/>
    <x v="3"/>
    <x v="0"/>
    <s v="A01"/>
    <s v="H03"/>
    <n v="288.8"/>
    <n v="0"/>
    <x v="0"/>
    <n v="199.91499999999999"/>
    <n v="399.83"/>
    <n v="99.18"/>
    <n v="787.81"/>
    <x v="0"/>
    <x v="0"/>
    <n v="0"/>
    <n v="0"/>
    <n v="0"/>
    <n v="787.81"/>
    <x v="1"/>
    <x v="0"/>
    <x v="1"/>
    <x v="0"/>
    <x v="0"/>
    <s v="Yes"/>
    <x v="0"/>
    <x v="1"/>
    <n v="4"/>
    <n v="293.7"/>
    <x v="1"/>
    <x v="4"/>
  </r>
  <r>
    <s v="T00198"/>
    <s v="E0052"/>
    <s v="Birmingham"/>
    <x v="5"/>
    <s v="Director"/>
    <s v="Team building"/>
    <d v="2026-04-04T00:00:00"/>
    <d v="2026-05-02T00:00:00"/>
    <d v="2026-05-10T00:00:00"/>
    <x v="2"/>
    <s v="Birmingham"/>
    <x v="5"/>
    <x v="1"/>
    <x v="1"/>
    <s v="Economy"/>
    <n v="19892"/>
    <n v="28"/>
    <x v="3"/>
    <x v="0"/>
    <s v="A01"/>
    <s v="H03"/>
    <n v="1516.32"/>
    <n v="0"/>
    <x v="8"/>
    <n v="185.5842857142857"/>
    <n v="1299.0899999999999"/>
    <n v="64.84"/>
    <n v="2880.25"/>
    <x v="0"/>
    <x v="0"/>
    <n v="0"/>
    <n v="0"/>
    <n v="0"/>
    <n v="2880.25"/>
    <x v="0"/>
    <x v="0"/>
    <x v="1"/>
    <x v="0"/>
    <x v="0"/>
    <s v="Yes"/>
    <x v="0"/>
    <x v="0"/>
    <n v="5"/>
    <n v="2983.8"/>
    <x v="1"/>
    <x v="4"/>
  </r>
  <r>
    <s v="T00199"/>
    <s v="E0052"/>
    <s v="Birmingham"/>
    <x v="5"/>
    <s v="Director"/>
    <s v="Project work"/>
    <d v="2026-05-31T00:00:00"/>
    <d v="2026-06-11T00:00:00"/>
    <d v="2026-06-16T00:00:00"/>
    <x v="0"/>
    <s v="Birmingham"/>
    <x v="2"/>
    <x v="1"/>
    <x v="1"/>
    <s v="Economy"/>
    <n v="3068"/>
    <n v="11"/>
    <x v="0"/>
    <x v="0"/>
    <s v="A03"/>
    <s v="H03"/>
    <n v="250.32"/>
    <n v="0"/>
    <x v="3"/>
    <n v="211"/>
    <n v="844"/>
    <n v="74.77"/>
    <n v="1169.0899999999999"/>
    <x v="0"/>
    <x v="0"/>
    <n v="0"/>
    <n v="0"/>
    <n v="0"/>
    <n v="1169.0899999999999"/>
    <x v="1"/>
    <x v="0"/>
    <x v="1"/>
    <x v="0"/>
    <x v="0"/>
    <s v="Yes"/>
    <x v="0"/>
    <x v="1"/>
    <n v="4"/>
    <n v="460.2"/>
    <x v="7"/>
    <x v="4"/>
  </r>
  <r>
    <s v="T00200"/>
    <s v="E0052"/>
    <s v="Birmingham"/>
    <x v="5"/>
    <s v="Director"/>
    <s v="Training"/>
    <d v="2026-06-10T00:00:00"/>
    <d v="2026-06-29T00:00:00"/>
    <d v="2026-07-03T00:00:00"/>
    <x v="0"/>
    <s v="Birmingham"/>
    <x v="7"/>
    <x v="1"/>
    <x v="1"/>
    <s v="Economy"/>
    <n v="12414"/>
    <n v="19"/>
    <x v="3"/>
    <x v="0"/>
    <s v="A07"/>
    <s v="H03"/>
    <n v="838.43"/>
    <n v="0"/>
    <x v="1"/>
    <n v="217.09333333333333"/>
    <n v="651.28"/>
    <n v="148.6"/>
    <n v="1638.31"/>
    <x v="0"/>
    <x v="0"/>
    <n v="0"/>
    <n v="0"/>
    <n v="0"/>
    <n v="1638.31"/>
    <x v="0"/>
    <x v="0"/>
    <x v="1"/>
    <x v="0"/>
    <x v="0"/>
    <s v="Yes"/>
    <x v="0"/>
    <x v="0"/>
    <n v="5"/>
    <n v="1862.1"/>
    <x v="5"/>
    <x v="4"/>
  </r>
  <r>
    <s v="T00201"/>
    <s v="E0053"/>
    <s v="Reading"/>
    <x v="1"/>
    <s v="Analyst"/>
    <s v="Internal meeting"/>
    <d v="2026-05-21T00:00:00"/>
    <d v="2026-06-11T00:00:00"/>
    <d v="2026-06-14T00:00:00"/>
    <x v="0"/>
    <s v="Reading"/>
    <x v="6"/>
    <x v="0"/>
    <x v="0"/>
    <s v="First Class"/>
    <n v="868"/>
    <n v="21"/>
    <x v="3"/>
    <x v="2"/>
    <m/>
    <s v="H02"/>
    <n v="0"/>
    <n v="276.70999999999998"/>
    <x v="0"/>
    <n v="142.35499999999999"/>
    <n v="284.70999999999998"/>
    <n v="61.9"/>
    <n v="623.32000000000005"/>
    <x v="0"/>
    <x v="0"/>
    <n v="0"/>
    <n v="0"/>
    <n v="0"/>
    <n v="623.32000000000005"/>
    <x v="0"/>
    <x v="0"/>
    <x v="0"/>
    <x v="1"/>
    <x v="1"/>
    <s v="Yes"/>
    <x v="0"/>
    <x v="1"/>
    <n v="5"/>
    <n v="34.700000000000003"/>
    <x v="0"/>
    <x v="1"/>
  </r>
  <r>
    <s v="T00202"/>
    <s v="E0053"/>
    <s v="Reading"/>
    <x v="1"/>
    <s v="Analyst"/>
    <s v="Project work"/>
    <d v="2026-05-26T00:00:00"/>
    <d v="2026-06-01T00:00:00"/>
    <d v="2026-06-05T00:00:00"/>
    <x v="0"/>
    <s v="Reading"/>
    <x v="21"/>
    <x v="1"/>
    <x v="1"/>
    <s v="Economy"/>
    <n v="11962"/>
    <n v="6"/>
    <x v="4"/>
    <x v="0"/>
    <s v="A09"/>
    <s v="H01"/>
    <n v="651.74"/>
    <n v="0"/>
    <x v="1"/>
    <n v="184.05999999999997"/>
    <n v="552.17999999999995"/>
    <n v="64.28"/>
    <n v="1268.2"/>
    <x v="0"/>
    <x v="0"/>
    <n v="0"/>
    <n v="0"/>
    <n v="0"/>
    <n v="1268.2"/>
    <x v="1"/>
    <x v="0"/>
    <x v="2"/>
    <x v="0"/>
    <x v="0"/>
    <s v="No"/>
    <x v="0"/>
    <x v="1"/>
    <n v="4"/>
    <n v="1794.3"/>
    <x v="8"/>
    <x v="2"/>
  </r>
  <r>
    <s v="T00203"/>
    <s v="E0053"/>
    <s v="Reading"/>
    <x v="1"/>
    <s v="Analyst"/>
    <s v="Conference / Event"/>
    <d v="2026-05-04T00:00:00"/>
    <d v="2026-05-19T00:00:00"/>
    <d v="2026-05-24T00:00:00"/>
    <x v="2"/>
    <s v="Reading"/>
    <x v="1"/>
    <x v="1"/>
    <x v="1"/>
    <s v="Economy"/>
    <n v="3524"/>
    <n v="15"/>
    <x v="3"/>
    <x v="0"/>
    <s v="A04"/>
    <s v="H04"/>
    <n v="323.08"/>
    <n v="0"/>
    <x v="3"/>
    <n v="211.97499999999999"/>
    <n v="847.9"/>
    <n v="96.92"/>
    <n v="1267.9000000000001"/>
    <x v="1"/>
    <x v="1"/>
    <n v="154.64999999999998"/>
    <n v="74.67"/>
    <n v="585.49"/>
    <n v="911.73000000000025"/>
    <x v="1"/>
    <x v="0"/>
    <x v="1"/>
    <x v="0"/>
    <x v="0"/>
    <s v="Yes"/>
    <x v="0"/>
    <x v="1"/>
    <n v="2"/>
    <n v="528.6"/>
    <x v="3"/>
    <x v="3"/>
  </r>
  <r>
    <s v="T00204"/>
    <s v="E0053"/>
    <s v="Reading"/>
    <x v="1"/>
    <s v="Analyst"/>
    <s v="Project work"/>
    <d v="2026-06-05T00:00:00"/>
    <d v="2026-07-01T00:00:00"/>
    <d v="2026-07-06T00:00:00"/>
    <x v="1"/>
    <s v="Reading"/>
    <x v="20"/>
    <x v="1"/>
    <x v="1"/>
    <s v="Economy"/>
    <n v="10902"/>
    <n v="26"/>
    <x v="3"/>
    <x v="0"/>
    <s v="A01"/>
    <s v="H02"/>
    <n v="1057.9000000000001"/>
    <n v="0"/>
    <x v="3"/>
    <n v="223.64250000000001"/>
    <n v="894.57"/>
    <n v="66.52"/>
    <n v="2018.99"/>
    <x v="0"/>
    <x v="0"/>
    <n v="0"/>
    <n v="0"/>
    <n v="0"/>
    <n v="2018.99"/>
    <x v="1"/>
    <x v="0"/>
    <x v="1"/>
    <x v="0"/>
    <x v="0"/>
    <s v="Yes"/>
    <x v="0"/>
    <x v="1"/>
    <n v="5"/>
    <n v="1635.3"/>
    <x v="1"/>
    <x v="1"/>
  </r>
  <r>
    <s v="T00205"/>
    <s v="E0053"/>
    <s v="Reading"/>
    <x v="1"/>
    <s v="Analyst"/>
    <s v="Client meeting"/>
    <d v="2026-06-25T00:00:00"/>
    <d v="2026-07-04T00:00:00"/>
    <d v="2026-07-07T00:00:00"/>
    <x v="1"/>
    <s v="Reading"/>
    <x v="10"/>
    <x v="0"/>
    <x v="0"/>
    <s v="Standard / 2nd Class"/>
    <n v="1108"/>
    <n v="9"/>
    <x v="0"/>
    <x v="3"/>
    <m/>
    <s v="H06"/>
    <n v="0"/>
    <n v="216.27"/>
    <x v="0"/>
    <n v="101.285"/>
    <n v="202.57"/>
    <n v="77.31"/>
    <n v="496.15"/>
    <x v="0"/>
    <x v="0"/>
    <n v="0"/>
    <n v="0"/>
    <n v="0"/>
    <n v="496.15"/>
    <x v="0"/>
    <x v="0"/>
    <x v="0"/>
    <x v="0"/>
    <x v="1"/>
    <s v="Yes"/>
    <x v="1"/>
    <x v="1"/>
    <n v="5"/>
    <n v="44.3"/>
    <x v="0"/>
    <x v="0"/>
  </r>
  <r>
    <s v="T00206"/>
    <s v="E0053"/>
    <s v="Reading"/>
    <x v="1"/>
    <s v="Analyst"/>
    <s v="Conference / Event"/>
    <d v="2026-05-11T00:00:00"/>
    <d v="2026-05-19T00:00:00"/>
    <d v="2026-05-23T00:00:00"/>
    <x v="2"/>
    <s v="Reading"/>
    <x v="14"/>
    <x v="1"/>
    <x v="1"/>
    <s v="Economy"/>
    <n v="3098"/>
    <n v="8"/>
    <x v="0"/>
    <x v="0"/>
    <s v="A03"/>
    <s v="H01"/>
    <n v="454.66"/>
    <n v="0"/>
    <x v="1"/>
    <n v="207.85666666666668"/>
    <n v="623.57000000000005"/>
    <n v="34.61"/>
    <n v="1112.8399999999999"/>
    <x v="0"/>
    <x v="0"/>
    <n v="0"/>
    <n v="0"/>
    <n v="0"/>
    <n v="1112.8399999999999"/>
    <x v="1"/>
    <x v="0"/>
    <x v="1"/>
    <x v="0"/>
    <x v="0"/>
    <s v="Yes"/>
    <x v="0"/>
    <x v="1"/>
    <n v="4"/>
    <n v="464.7"/>
    <x v="7"/>
    <x v="2"/>
  </r>
  <r>
    <s v="T00207"/>
    <s v="E0053"/>
    <s v="Reading"/>
    <x v="1"/>
    <s v="Analyst"/>
    <s v="Conference / Event"/>
    <d v="2026-05-24T00:00:00"/>
    <d v="2026-06-12T00:00:00"/>
    <d v="2026-06-14T00:00:00"/>
    <x v="0"/>
    <s v="Reading"/>
    <x v="10"/>
    <x v="0"/>
    <x v="1"/>
    <s v="Economy"/>
    <n v="1272"/>
    <n v="19"/>
    <x v="3"/>
    <x v="0"/>
    <s v="A02"/>
    <s v="H06"/>
    <n v="148.77000000000001"/>
    <n v="0"/>
    <x v="2"/>
    <n v="141.96"/>
    <n v="141.96"/>
    <n v="61.13"/>
    <n v="351.86"/>
    <x v="0"/>
    <x v="0"/>
    <n v="0"/>
    <n v="0"/>
    <n v="0"/>
    <n v="351.86"/>
    <x v="0"/>
    <x v="0"/>
    <x v="1"/>
    <x v="0"/>
    <x v="0"/>
    <s v="Yes"/>
    <x v="0"/>
    <x v="0"/>
    <n v="4"/>
    <n v="190.8"/>
    <x v="4"/>
    <x v="0"/>
  </r>
  <r>
    <s v="T00208"/>
    <s v="E0054"/>
    <s v="London"/>
    <x v="4"/>
    <s v="Partner"/>
    <s v="Internal meeting"/>
    <d v="2026-04-01T00:00:00"/>
    <d v="2026-05-04T00:00:00"/>
    <d v="2026-05-10T00:00:00"/>
    <x v="2"/>
    <s v="London"/>
    <x v="5"/>
    <x v="1"/>
    <x v="1"/>
    <s v="Economy"/>
    <n v="19990"/>
    <n v="33"/>
    <x v="2"/>
    <x v="0"/>
    <s v="A01"/>
    <s v="H02"/>
    <n v="1683.81"/>
    <n v="0"/>
    <x v="4"/>
    <n v="169.62"/>
    <n v="848.1"/>
    <n v="110.33"/>
    <n v="2642.24"/>
    <x v="0"/>
    <x v="0"/>
    <n v="0"/>
    <n v="0"/>
    <n v="0"/>
    <n v="2642.24"/>
    <x v="0"/>
    <x v="0"/>
    <x v="1"/>
    <x v="0"/>
    <x v="0"/>
    <s v="Yes"/>
    <x v="0"/>
    <x v="0"/>
    <n v="4"/>
    <n v="2998.5"/>
    <x v="1"/>
    <x v="1"/>
  </r>
  <r>
    <s v="T00209"/>
    <s v="E0054"/>
    <s v="London"/>
    <x v="4"/>
    <s v="Partner"/>
    <s v="Project work"/>
    <d v="2026-04-16T00:00:00"/>
    <d v="2026-05-16T00:00:00"/>
    <d v="2026-05-19T00:00:00"/>
    <x v="2"/>
    <s v="London"/>
    <x v="14"/>
    <x v="1"/>
    <x v="1"/>
    <s v="Economy"/>
    <n v="2204"/>
    <n v="30"/>
    <x v="3"/>
    <x v="1"/>
    <s v="A03"/>
    <s v="H05"/>
    <n v="150"/>
    <n v="0"/>
    <x v="0"/>
    <n v="168.59"/>
    <n v="337.18"/>
    <n v="71.84"/>
    <n v="559.02"/>
    <x v="1"/>
    <x v="0"/>
    <n v="82.21"/>
    <n v="0"/>
    <n v="0"/>
    <n v="641.23"/>
    <x v="0"/>
    <x v="1"/>
    <x v="1"/>
    <x v="0"/>
    <x v="0"/>
    <s v="No"/>
    <x v="0"/>
    <x v="1"/>
    <n v="4"/>
    <n v="330.6"/>
    <x v="7"/>
    <x v="5"/>
  </r>
  <r>
    <s v="T00210"/>
    <s v="E0054"/>
    <s v="London"/>
    <x v="4"/>
    <s v="Partner"/>
    <s v="Other"/>
    <d v="2026-04-10T00:00:00"/>
    <d v="2026-05-19T00:00:00"/>
    <d v="2026-05-21T00:00:00"/>
    <x v="2"/>
    <s v="London"/>
    <x v="10"/>
    <x v="0"/>
    <x v="0"/>
    <s v="Standard / 2nd Class"/>
    <n v="590"/>
    <n v="39"/>
    <x v="2"/>
    <x v="1"/>
    <m/>
    <s v="H07"/>
    <n v="0"/>
    <n v="333.91"/>
    <x v="2"/>
    <n v="182.32"/>
    <n v="182.32"/>
    <n v="20"/>
    <n v="536.23"/>
    <x v="0"/>
    <x v="0"/>
    <n v="0"/>
    <n v="0"/>
    <n v="0"/>
    <n v="536.23"/>
    <x v="0"/>
    <x v="1"/>
    <x v="0"/>
    <x v="0"/>
    <x v="0"/>
    <s v="No"/>
    <x v="0"/>
    <x v="1"/>
    <n v="4"/>
    <n v="23.6"/>
    <x v="0"/>
    <x v="6"/>
  </r>
  <r>
    <s v="T00211"/>
    <s v="E0054"/>
    <s v="London"/>
    <x v="4"/>
    <s v="Partner"/>
    <s v="Project work"/>
    <d v="2026-05-11T00:00:00"/>
    <d v="2026-06-17T00:00:00"/>
    <d v="2026-06-20T00:00:00"/>
    <x v="0"/>
    <s v="London"/>
    <x v="4"/>
    <x v="1"/>
    <x v="1"/>
    <s v="Economy"/>
    <n v="3288"/>
    <n v="37"/>
    <x v="2"/>
    <x v="1"/>
    <s v="A01"/>
    <s v="H02"/>
    <n v="553.85"/>
    <n v="0"/>
    <x v="0"/>
    <n v="174.6"/>
    <n v="349.2"/>
    <n v="25.05"/>
    <n v="928.1"/>
    <x v="0"/>
    <x v="0"/>
    <n v="0"/>
    <n v="0"/>
    <n v="0"/>
    <n v="928.1"/>
    <x v="0"/>
    <x v="0"/>
    <x v="1"/>
    <x v="0"/>
    <x v="0"/>
    <s v="Yes"/>
    <x v="0"/>
    <x v="0"/>
    <n v="5"/>
    <n v="493.2"/>
    <x v="1"/>
    <x v="1"/>
  </r>
  <r>
    <s v="T00212"/>
    <s v="E0054"/>
    <s v="London"/>
    <x v="4"/>
    <s v="Partner"/>
    <s v="Project work"/>
    <d v="2026-05-07T00:00:00"/>
    <d v="2026-05-13T00:00:00"/>
    <d v="2026-05-16T00:00:00"/>
    <x v="2"/>
    <s v="London"/>
    <x v="7"/>
    <x v="1"/>
    <x v="1"/>
    <s v="Economy"/>
    <n v="10098"/>
    <n v="6"/>
    <x v="4"/>
    <x v="3"/>
    <s v="A01"/>
    <s v="H02"/>
    <n v="959.88"/>
    <n v="0"/>
    <x v="0"/>
    <n v="160.69999999999999"/>
    <n v="321.39999999999998"/>
    <n v="147.66"/>
    <n v="1428.94"/>
    <x v="0"/>
    <x v="0"/>
    <n v="0"/>
    <n v="0"/>
    <n v="0"/>
    <n v="1428.94"/>
    <x v="0"/>
    <x v="0"/>
    <x v="1"/>
    <x v="0"/>
    <x v="1"/>
    <s v="Yes"/>
    <x v="1"/>
    <x v="1"/>
    <n v="5"/>
    <n v="1514.7"/>
    <x v="1"/>
    <x v="1"/>
  </r>
  <r>
    <s v="T00213"/>
    <s v="E0054"/>
    <s v="London"/>
    <x v="4"/>
    <s v="Partner"/>
    <s v="Internal meeting"/>
    <d v="2026-06-16T00:00:00"/>
    <d v="2026-06-26T00:00:00"/>
    <d v="2026-07-02T00:00:00"/>
    <x v="0"/>
    <s v="London"/>
    <x v="7"/>
    <x v="1"/>
    <x v="1"/>
    <s v="Economy"/>
    <n v="10364"/>
    <n v="10"/>
    <x v="0"/>
    <x v="0"/>
    <s v="A09"/>
    <s v="H03"/>
    <n v="1144.25"/>
    <n v="0"/>
    <x v="4"/>
    <n v="285.73599999999999"/>
    <n v="1428.68"/>
    <n v="48.39"/>
    <n v="2621.3200000000002"/>
    <x v="0"/>
    <x v="0"/>
    <n v="0"/>
    <n v="0"/>
    <n v="0"/>
    <n v="2621.3200000000002"/>
    <x v="1"/>
    <x v="0"/>
    <x v="2"/>
    <x v="0"/>
    <x v="0"/>
    <s v="No"/>
    <x v="0"/>
    <x v="1"/>
    <n v="5"/>
    <n v="1554.6"/>
    <x v="8"/>
    <x v="4"/>
  </r>
  <r>
    <s v="T00214"/>
    <s v="E0055"/>
    <s v="London"/>
    <x v="1"/>
    <s v="Senior Manager"/>
    <s v="Client meeting"/>
    <d v="2026-05-12T00:00:00"/>
    <d v="2026-05-29T00:00:00"/>
    <d v="2026-06-01T00:00:00"/>
    <x v="2"/>
    <s v="London"/>
    <x v="3"/>
    <x v="1"/>
    <x v="1"/>
    <s v="Economy"/>
    <n v="3134"/>
    <n v="17"/>
    <x v="3"/>
    <x v="0"/>
    <s v="A04"/>
    <s v="H03"/>
    <n v="392.5"/>
    <n v="0"/>
    <x v="0"/>
    <n v="128.745"/>
    <n v="257.49"/>
    <n v="75.900000000000006"/>
    <n v="725.89"/>
    <x v="0"/>
    <x v="0"/>
    <n v="0"/>
    <n v="0"/>
    <n v="0"/>
    <n v="725.89"/>
    <x v="0"/>
    <x v="0"/>
    <x v="1"/>
    <x v="0"/>
    <x v="0"/>
    <s v="Yes"/>
    <x v="0"/>
    <x v="0"/>
    <n v="5"/>
    <n v="470.1"/>
    <x v="3"/>
    <x v="4"/>
  </r>
  <r>
    <s v="T00215"/>
    <s v="E0055"/>
    <s v="London"/>
    <x v="1"/>
    <s v="Senior Manager"/>
    <s v="Team building"/>
    <d v="2026-07-19T00:00:00"/>
    <d v="2026-07-27T00:00:00"/>
    <d v="2026-07-29T00:00:00"/>
    <x v="1"/>
    <s v="London"/>
    <x v="0"/>
    <x v="0"/>
    <x v="1"/>
    <s v="Economy"/>
    <n v="686"/>
    <n v="8"/>
    <x v="0"/>
    <x v="0"/>
    <s v="A01"/>
    <s v="H02"/>
    <n v="415.09"/>
    <n v="0"/>
    <x v="2"/>
    <n v="135.08000000000001"/>
    <n v="135.08000000000001"/>
    <n v="44.21"/>
    <n v="594.38"/>
    <x v="0"/>
    <x v="0"/>
    <n v="0"/>
    <n v="0"/>
    <n v="0"/>
    <n v="594.38"/>
    <x v="0"/>
    <x v="0"/>
    <x v="1"/>
    <x v="0"/>
    <x v="0"/>
    <s v="Yes"/>
    <x v="0"/>
    <x v="0"/>
    <n v="4"/>
    <n v="102.9"/>
    <x v="1"/>
    <x v="1"/>
  </r>
  <r>
    <s v="T00216"/>
    <s v="E0055"/>
    <s v="London"/>
    <x v="1"/>
    <s v="Senior Manager"/>
    <s v="Conference / Event"/>
    <d v="2026-05-07T00:00:00"/>
    <d v="2026-06-15T00:00:00"/>
    <d v="2026-06-17T00:00:00"/>
    <x v="0"/>
    <s v="London"/>
    <x v="0"/>
    <x v="0"/>
    <x v="0"/>
    <s v="Standard / 2nd Class"/>
    <n v="1014"/>
    <n v="39"/>
    <x v="2"/>
    <x v="1"/>
    <m/>
    <s v="H07"/>
    <n v="0"/>
    <n v="137.96"/>
    <x v="2"/>
    <n v="73.209999999999994"/>
    <n v="73.209999999999994"/>
    <n v="102.67"/>
    <n v="313.83999999999997"/>
    <x v="0"/>
    <x v="0"/>
    <n v="0"/>
    <n v="0"/>
    <n v="0"/>
    <n v="313.83999999999997"/>
    <x v="0"/>
    <x v="1"/>
    <x v="0"/>
    <x v="0"/>
    <x v="0"/>
    <s v="No"/>
    <x v="0"/>
    <x v="1"/>
    <n v="5"/>
    <n v="40.6"/>
    <x v="0"/>
    <x v="6"/>
  </r>
  <r>
    <s v="T00217"/>
    <s v="E0055"/>
    <s v="London"/>
    <x v="1"/>
    <s v="Senior Manager"/>
    <s v="Project work"/>
    <d v="2026-05-03T00:00:00"/>
    <d v="2026-05-24T00:00:00"/>
    <d v="2026-05-29T00:00:00"/>
    <x v="2"/>
    <s v="London"/>
    <x v="9"/>
    <x v="1"/>
    <x v="1"/>
    <s v="Economy"/>
    <n v="3532"/>
    <n v="21"/>
    <x v="3"/>
    <x v="3"/>
    <s v="A01"/>
    <s v="H01"/>
    <n v="422.98"/>
    <n v="0"/>
    <x v="3"/>
    <n v="209.905"/>
    <n v="839.62"/>
    <n v="20.67"/>
    <n v="1283.27"/>
    <x v="0"/>
    <x v="0"/>
    <n v="0"/>
    <n v="0"/>
    <n v="0"/>
    <n v="1283.27"/>
    <x v="1"/>
    <x v="0"/>
    <x v="1"/>
    <x v="0"/>
    <x v="1"/>
    <s v="Yes"/>
    <x v="1"/>
    <x v="1"/>
    <n v="4"/>
    <n v="529.79999999999995"/>
    <x v="1"/>
    <x v="2"/>
  </r>
  <r>
    <s v="T00218"/>
    <s v="E0055"/>
    <s v="London"/>
    <x v="1"/>
    <s v="Senior Manager"/>
    <s v="Training"/>
    <d v="2026-06-21T00:00:00"/>
    <d v="2026-07-04T00:00:00"/>
    <d v="2026-07-10T00:00:00"/>
    <x v="1"/>
    <s v="London"/>
    <x v="7"/>
    <x v="1"/>
    <x v="1"/>
    <s v="Economy"/>
    <n v="11324"/>
    <n v="13"/>
    <x v="0"/>
    <x v="1"/>
    <s v="A01"/>
    <s v="H01"/>
    <n v="1080.98"/>
    <n v="0"/>
    <x v="4"/>
    <n v="266.88800000000003"/>
    <n v="1334.44"/>
    <n v="56.97"/>
    <n v="2472.39"/>
    <x v="1"/>
    <x v="0"/>
    <n v="172.33"/>
    <n v="0"/>
    <n v="0"/>
    <n v="2644.72"/>
    <x v="1"/>
    <x v="0"/>
    <x v="1"/>
    <x v="0"/>
    <x v="0"/>
    <s v="Yes"/>
    <x v="0"/>
    <x v="1"/>
    <n v="4"/>
    <n v="1698.6"/>
    <x v="1"/>
    <x v="2"/>
  </r>
  <r>
    <s v="T00219"/>
    <s v="E0056"/>
    <s v="Manchester"/>
    <x v="5"/>
    <s v="Partner"/>
    <s v="Recruitment / Interview"/>
    <d v="2026-05-19T00:00:00"/>
    <d v="2026-05-24T00:00:00"/>
    <d v="2026-05-29T00:00:00"/>
    <x v="2"/>
    <s v="Manchester"/>
    <x v="4"/>
    <x v="1"/>
    <x v="1"/>
    <s v="Economy"/>
    <n v="2900"/>
    <n v="5"/>
    <x v="4"/>
    <x v="0"/>
    <s v="A05"/>
    <s v="H01"/>
    <n v="636.80999999999995"/>
    <n v="0"/>
    <x v="3"/>
    <n v="182.7825"/>
    <n v="731.13"/>
    <n v="87.88"/>
    <n v="1455.82"/>
    <x v="0"/>
    <x v="0"/>
    <n v="0"/>
    <n v="0"/>
    <n v="0"/>
    <n v="1455.82"/>
    <x v="0"/>
    <x v="0"/>
    <x v="1"/>
    <x v="0"/>
    <x v="0"/>
    <s v="Yes"/>
    <x v="0"/>
    <x v="0"/>
    <n v="5"/>
    <n v="435"/>
    <x v="2"/>
    <x v="2"/>
  </r>
  <r>
    <s v="T00220"/>
    <s v="E0056"/>
    <s v="Manchester"/>
    <x v="5"/>
    <s v="Partner"/>
    <s v="Other"/>
    <d v="2026-04-16T00:00:00"/>
    <d v="2026-05-03T00:00:00"/>
    <d v="2026-05-08T00:00:00"/>
    <x v="2"/>
    <s v="Manchester"/>
    <x v="16"/>
    <x v="1"/>
    <x v="1"/>
    <s v="Economy"/>
    <n v="3592"/>
    <n v="17"/>
    <x v="3"/>
    <x v="0"/>
    <s v="A01"/>
    <s v="H03"/>
    <n v="272.16000000000003"/>
    <n v="0"/>
    <x v="3"/>
    <n v="96.275000000000006"/>
    <n v="385.1"/>
    <n v="155.97"/>
    <n v="813.23"/>
    <x v="0"/>
    <x v="0"/>
    <n v="0"/>
    <n v="0"/>
    <n v="0"/>
    <n v="813.23"/>
    <x v="0"/>
    <x v="0"/>
    <x v="1"/>
    <x v="0"/>
    <x v="0"/>
    <s v="Yes"/>
    <x v="0"/>
    <x v="0"/>
    <n v="5"/>
    <n v="538.79999999999995"/>
    <x v="1"/>
    <x v="4"/>
  </r>
  <r>
    <s v="T00221"/>
    <s v="E0056"/>
    <s v="Manchester"/>
    <x v="5"/>
    <s v="Partner"/>
    <s v="Client meeting"/>
    <d v="2026-06-07T00:00:00"/>
    <d v="2026-06-18T00:00:00"/>
    <d v="2026-06-20T00:00:00"/>
    <x v="0"/>
    <s v="Manchester"/>
    <x v="15"/>
    <x v="1"/>
    <x v="1"/>
    <s v="Economy"/>
    <n v="1964"/>
    <n v="11"/>
    <x v="0"/>
    <x v="1"/>
    <s v="A03"/>
    <s v="H04"/>
    <n v="529.49"/>
    <n v="0"/>
    <x v="2"/>
    <n v="157.16"/>
    <n v="157.16"/>
    <n v="47.38"/>
    <n v="734.03"/>
    <x v="0"/>
    <x v="0"/>
    <n v="0"/>
    <n v="0"/>
    <n v="0"/>
    <n v="734.03"/>
    <x v="0"/>
    <x v="0"/>
    <x v="1"/>
    <x v="0"/>
    <x v="0"/>
    <s v="Yes"/>
    <x v="0"/>
    <x v="0"/>
    <n v="4"/>
    <n v="294.60000000000002"/>
    <x v="7"/>
    <x v="3"/>
  </r>
  <r>
    <s v="T00222"/>
    <s v="E0056"/>
    <s v="Manchester"/>
    <x v="5"/>
    <s v="Partner"/>
    <s v="Conference / Event"/>
    <d v="2026-04-23T00:00:00"/>
    <d v="2026-05-26T00:00:00"/>
    <d v="2026-05-31T00:00:00"/>
    <x v="2"/>
    <s v="Manchester"/>
    <x v="16"/>
    <x v="1"/>
    <x v="1"/>
    <s v="Economy"/>
    <n v="2216"/>
    <n v="33"/>
    <x v="2"/>
    <x v="3"/>
    <s v="A01"/>
    <s v="H02"/>
    <n v="283.27"/>
    <n v="0"/>
    <x v="3"/>
    <n v="168.48500000000001"/>
    <n v="673.94"/>
    <n v="103.56"/>
    <n v="1060.77"/>
    <x v="0"/>
    <x v="0"/>
    <n v="0"/>
    <n v="0"/>
    <n v="0"/>
    <n v="1060.77"/>
    <x v="0"/>
    <x v="0"/>
    <x v="1"/>
    <x v="0"/>
    <x v="1"/>
    <s v="Yes"/>
    <x v="0"/>
    <x v="1"/>
    <n v="4"/>
    <n v="332.4"/>
    <x v="1"/>
    <x v="1"/>
  </r>
  <r>
    <s v="T00223"/>
    <s v="E0056"/>
    <s v="Manchester"/>
    <x v="5"/>
    <s v="Partner"/>
    <s v="Internal meeting"/>
    <d v="2026-06-27T00:00:00"/>
    <d v="2026-07-21T00:00:00"/>
    <d v="2026-07-24T00:00:00"/>
    <x v="1"/>
    <s v="Manchester"/>
    <x v="9"/>
    <x v="1"/>
    <x v="1"/>
    <s v="Economy"/>
    <n v="3068"/>
    <n v="24"/>
    <x v="3"/>
    <x v="0"/>
    <s v="A10"/>
    <s v="H03"/>
    <n v="307.16000000000003"/>
    <n v="0"/>
    <x v="0"/>
    <n v="182.27500000000001"/>
    <n v="364.55"/>
    <n v="97.11"/>
    <n v="768.82"/>
    <x v="0"/>
    <x v="0"/>
    <n v="0"/>
    <n v="0"/>
    <n v="0"/>
    <n v="768.82"/>
    <x v="1"/>
    <x v="0"/>
    <x v="1"/>
    <x v="0"/>
    <x v="0"/>
    <s v="Yes"/>
    <x v="0"/>
    <x v="1"/>
    <n v="5"/>
    <n v="460.2"/>
    <x v="6"/>
    <x v="4"/>
  </r>
  <r>
    <s v="T00224"/>
    <s v="E0057"/>
    <s v="London"/>
    <x v="0"/>
    <s v="Consultant"/>
    <s v="Internal meeting"/>
    <d v="2026-05-05T00:00:00"/>
    <d v="2026-05-17T00:00:00"/>
    <d v="2026-05-21T00:00:00"/>
    <x v="2"/>
    <s v="London"/>
    <x v="9"/>
    <x v="1"/>
    <x v="1"/>
    <s v="Economy"/>
    <n v="2560"/>
    <n v="12"/>
    <x v="0"/>
    <x v="0"/>
    <s v="A10"/>
    <s v="H03"/>
    <n v="422.24"/>
    <n v="0"/>
    <x v="1"/>
    <n v="244.61666666666667"/>
    <n v="733.85"/>
    <n v="86.11"/>
    <n v="1242.2"/>
    <x v="0"/>
    <x v="0"/>
    <n v="0"/>
    <n v="0"/>
    <n v="0"/>
    <n v="1242.2"/>
    <x v="1"/>
    <x v="0"/>
    <x v="1"/>
    <x v="0"/>
    <x v="0"/>
    <s v="Yes"/>
    <x v="0"/>
    <x v="1"/>
    <n v="4"/>
    <n v="384"/>
    <x v="6"/>
    <x v="4"/>
  </r>
  <r>
    <s v="T00225"/>
    <s v="E0057"/>
    <s v="London"/>
    <x v="0"/>
    <s v="Consultant"/>
    <s v="Client meeting"/>
    <d v="2026-07-03T00:00:00"/>
    <d v="2026-07-14T00:00:00"/>
    <d v="2026-07-16T00:00:00"/>
    <x v="1"/>
    <s v="London"/>
    <x v="9"/>
    <x v="1"/>
    <x v="1"/>
    <s v="Economy"/>
    <n v="3310"/>
    <n v="11"/>
    <x v="0"/>
    <x v="0"/>
    <s v="A01"/>
    <s v="H02"/>
    <n v="162"/>
    <n v="0"/>
    <x v="2"/>
    <n v="144.21"/>
    <n v="144.21"/>
    <n v="77.650000000000006"/>
    <n v="383.86"/>
    <x v="0"/>
    <x v="0"/>
    <n v="0"/>
    <n v="0"/>
    <n v="0"/>
    <n v="383.86"/>
    <x v="0"/>
    <x v="0"/>
    <x v="1"/>
    <x v="0"/>
    <x v="0"/>
    <s v="Yes"/>
    <x v="0"/>
    <x v="0"/>
    <n v="5"/>
    <n v="496.5"/>
    <x v="1"/>
    <x v="1"/>
  </r>
  <r>
    <s v="T00226"/>
    <s v="E0057"/>
    <s v="London"/>
    <x v="0"/>
    <s v="Consultant"/>
    <s v="Client meeting"/>
    <d v="2026-04-20T00:00:00"/>
    <d v="2026-05-16T00:00:00"/>
    <d v="2026-05-18T00:00:00"/>
    <x v="2"/>
    <s v="London"/>
    <x v="9"/>
    <x v="1"/>
    <x v="1"/>
    <s v="Economy"/>
    <n v="3222"/>
    <n v="26"/>
    <x v="3"/>
    <x v="1"/>
    <s v="A01"/>
    <s v="H04"/>
    <n v="381.62"/>
    <n v="0"/>
    <x v="2"/>
    <n v="211.42"/>
    <n v="211.42"/>
    <n v="95.96"/>
    <n v="689"/>
    <x v="0"/>
    <x v="0"/>
    <n v="0"/>
    <n v="0"/>
    <n v="0"/>
    <n v="689"/>
    <x v="1"/>
    <x v="0"/>
    <x v="1"/>
    <x v="0"/>
    <x v="0"/>
    <s v="Yes"/>
    <x v="0"/>
    <x v="1"/>
    <n v="5"/>
    <n v="483.3"/>
    <x v="1"/>
    <x v="3"/>
  </r>
  <r>
    <s v="T00227"/>
    <s v="E0057"/>
    <s v="London"/>
    <x v="0"/>
    <s v="Consultant"/>
    <s v="Project work"/>
    <d v="2026-06-11T00:00:00"/>
    <d v="2026-06-13T00:00:00"/>
    <d v="2026-06-17T00:00:00"/>
    <x v="0"/>
    <s v="London"/>
    <x v="19"/>
    <x v="1"/>
    <x v="1"/>
    <s v="Economy"/>
    <n v="3000"/>
    <n v="2"/>
    <x v="1"/>
    <x v="0"/>
    <s v="A02"/>
    <s v="H02"/>
    <n v="386.53"/>
    <n v="0"/>
    <x v="1"/>
    <n v="165.53666666666666"/>
    <n v="496.61"/>
    <n v="89.83"/>
    <n v="972.97"/>
    <x v="0"/>
    <x v="0"/>
    <n v="0"/>
    <n v="0"/>
    <n v="0"/>
    <n v="972.97"/>
    <x v="0"/>
    <x v="0"/>
    <x v="1"/>
    <x v="0"/>
    <x v="0"/>
    <s v="Yes"/>
    <x v="0"/>
    <x v="0"/>
    <n v="4"/>
    <n v="450"/>
    <x v="4"/>
    <x v="1"/>
  </r>
  <r>
    <s v="T00228"/>
    <s v="E0057"/>
    <s v="London"/>
    <x v="0"/>
    <s v="Consultant"/>
    <s v="Project work"/>
    <d v="2026-04-17T00:00:00"/>
    <d v="2026-05-18T00:00:00"/>
    <d v="2026-05-20T00:00:00"/>
    <x v="2"/>
    <s v="London"/>
    <x v="9"/>
    <x v="1"/>
    <x v="1"/>
    <s v="Economy"/>
    <n v="1992"/>
    <n v="31"/>
    <x v="2"/>
    <x v="0"/>
    <s v="A06"/>
    <s v="H02"/>
    <n v="450.23"/>
    <n v="0"/>
    <x v="2"/>
    <n v="160.88"/>
    <n v="160.88"/>
    <n v="122.07"/>
    <n v="733.18"/>
    <x v="0"/>
    <x v="0"/>
    <n v="0"/>
    <n v="0"/>
    <n v="0"/>
    <n v="733.18"/>
    <x v="0"/>
    <x v="0"/>
    <x v="2"/>
    <x v="0"/>
    <x v="0"/>
    <s v="No"/>
    <x v="0"/>
    <x v="1"/>
    <n v="4"/>
    <n v="298.8"/>
    <x v="9"/>
    <x v="1"/>
  </r>
  <r>
    <s v="T00229"/>
    <s v="E0058"/>
    <s v="London"/>
    <x v="5"/>
    <s v="Analyst"/>
    <s v="Conference / Event"/>
    <d v="2026-06-08T00:00:00"/>
    <d v="2026-06-24T00:00:00"/>
    <d v="2026-06-29T00:00:00"/>
    <x v="0"/>
    <s v="London"/>
    <x v="9"/>
    <x v="1"/>
    <x v="1"/>
    <s v="Economy"/>
    <n v="2542"/>
    <n v="16"/>
    <x v="3"/>
    <x v="0"/>
    <s v="A01"/>
    <s v="H03"/>
    <n v="431.19"/>
    <n v="0"/>
    <x v="3"/>
    <n v="141.01249999999999"/>
    <n v="564.04999999999995"/>
    <n v="123.99"/>
    <n v="1119.23"/>
    <x v="0"/>
    <x v="0"/>
    <n v="0"/>
    <n v="0"/>
    <n v="0"/>
    <n v="1119.23"/>
    <x v="0"/>
    <x v="0"/>
    <x v="1"/>
    <x v="0"/>
    <x v="0"/>
    <s v="Yes"/>
    <x v="0"/>
    <x v="0"/>
    <n v="5"/>
    <n v="381.3"/>
    <x v="1"/>
    <x v="4"/>
  </r>
  <r>
    <s v="T00230"/>
    <s v="E0058"/>
    <s v="London"/>
    <x v="5"/>
    <s v="Analyst"/>
    <s v="Project work"/>
    <d v="2026-07-18T00:00:00"/>
    <d v="2026-07-19T00:00:00"/>
    <d v="2026-07-23T00:00:00"/>
    <x v="1"/>
    <s v="London"/>
    <x v="14"/>
    <x v="1"/>
    <x v="1"/>
    <s v="Economy"/>
    <n v="2968"/>
    <n v="1"/>
    <x v="1"/>
    <x v="1"/>
    <s v="A01"/>
    <s v="H02"/>
    <n v="294.02"/>
    <n v="0"/>
    <x v="1"/>
    <n v="226.83666666666667"/>
    <n v="680.51"/>
    <n v="92"/>
    <n v="1066.53"/>
    <x v="0"/>
    <x v="0"/>
    <n v="0"/>
    <n v="0"/>
    <n v="0"/>
    <n v="1066.53"/>
    <x v="1"/>
    <x v="0"/>
    <x v="1"/>
    <x v="0"/>
    <x v="0"/>
    <s v="Yes"/>
    <x v="0"/>
    <x v="1"/>
    <n v="4"/>
    <n v="445.2"/>
    <x v="1"/>
    <x v="1"/>
  </r>
  <r>
    <s v="T00231"/>
    <s v="E0058"/>
    <s v="London"/>
    <x v="5"/>
    <s v="Analyst"/>
    <s v="Project work"/>
    <d v="2026-07-04T00:00:00"/>
    <d v="2026-07-19T00:00:00"/>
    <d v="2026-07-23T00:00:00"/>
    <x v="1"/>
    <s v="London"/>
    <x v="9"/>
    <x v="1"/>
    <x v="1"/>
    <s v="Economy"/>
    <n v="3196"/>
    <n v="15"/>
    <x v="3"/>
    <x v="0"/>
    <s v="A01"/>
    <s v="H04"/>
    <n v="318.86"/>
    <n v="0"/>
    <x v="1"/>
    <n v="123.41666666666667"/>
    <n v="370.25"/>
    <n v="50.51"/>
    <n v="739.62"/>
    <x v="0"/>
    <x v="0"/>
    <n v="0"/>
    <n v="0"/>
    <n v="0"/>
    <n v="739.62"/>
    <x v="0"/>
    <x v="0"/>
    <x v="1"/>
    <x v="0"/>
    <x v="0"/>
    <s v="Yes"/>
    <x v="0"/>
    <x v="0"/>
    <n v="4"/>
    <n v="479.4"/>
    <x v="1"/>
    <x v="3"/>
  </r>
  <r>
    <s v="T00232"/>
    <s v="E0058"/>
    <s v="London"/>
    <x v="5"/>
    <s v="Analyst"/>
    <s v="Conference / Event"/>
    <d v="2026-04-08T00:00:00"/>
    <d v="2026-05-09T00:00:00"/>
    <d v="2026-05-12T00:00:00"/>
    <x v="2"/>
    <s v="London"/>
    <x v="0"/>
    <x v="0"/>
    <x v="0"/>
    <s v="Standard / 2nd Class"/>
    <n v="716"/>
    <n v="31"/>
    <x v="2"/>
    <x v="0"/>
    <m/>
    <s v="H07"/>
    <n v="0"/>
    <n v="219.05"/>
    <x v="0"/>
    <n v="84.92"/>
    <n v="169.84"/>
    <n v="57.23"/>
    <n v="446.12"/>
    <x v="0"/>
    <x v="1"/>
    <n v="0"/>
    <n v="117.97"/>
    <n v="350"/>
    <n v="214.09000000000003"/>
    <x v="0"/>
    <x v="1"/>
    <x v="0"/>
    <x v="0"/>
    <x v="0"/>
    <s v="No"/>
    <x v="0"/>
    <x v="1"/>
    <n v="4"/>
    <n v="28.6"/>
    <x v="0"/>
    <x v="6"/>
  </r>
  <r>
    <s v="T00233"/>
    <s v="E0059"/>
    <s v="Manchester"/>
    <x v="4"/>
    <s v="Consultant"/>
    <s v="Internal meeting"/>
    <d v="2026-04-15T00:00:00"/>
    <d v="2026-05-05T00:00:00"/>
    <d v="2026-05-10T00:00:00"/>
    <x v="2"/>
    <s v="Manchester"/>
    <x v="16"/>
    <x v="1"/>
    <x v="1"/>
    <s v="Economy"/>
    <n v="1592"/>
    <n v="20"/>
    <x v="3"/>
    <x v="1"/>
    <s v="A02"/>
    <s v="H04"/>
    <n v="510.42"/>
    <n v="0"/>
    <x v="3"/>
    <n v="152.32749999999999"/>
    <n v="609.30999999999995"/>
    <n v="100.77"/>
    <n v="1220.5"/>
    <x v="0"/>
    <x v="0"/>
    <n v="0"/>
    <n v="0"/>
    <n v="0"/>
    <n v="1220.5"/>
    <x v="0"/>
    <x v="0"/>
    <x v="1"/>
    <x v="0"/>
    <x v="0"/>
    <s v="Yes"/>
    <x v="0"/>
    <x v="0"/>
    <n v="4"/>
    <n v="238.8"/>
    <x v="4"/>
    <x v="3"/>
  </r>
  <r>
    <s v="T00234"/>
    <s v="E0059"/>
    <s v="Manchester"/>
    <x v="4"/>
    <s v="Consultant"/>
    <s v="Client meeting"/>
    <d v="2026-06-01T00:00:00"/>
    <d v="2026-06-20T00:00:00"/>
    <d v="2026-06-25T00:00:00"/>
    <x v="0"/>
    <s v="Manchester"/>
    <x v="16"/>
    <x v="1"/>
    <x v="1"/>
    <s v="Economy"/>
    <n v="3550"/>
    <n v="19"/>
    <x v="3"/>
    <x v="1"/>
    <s v="A02"/>
    <s v="H01"/>
    <n v="540.08000000000004"/>
    <n v="0"/>
    <x v="3"/>
    <n v="175.29"/>
    <n v="701.16"/>
    <n v="70.290000000000006"/>
    <n v="1311.53"/>
    <x v="0"/>
    <x v="1"/>
    <n v="0"/>
    <n v="136.11000000000001"/>
    <n v="930.93"/>
    <n v="516.70999999999992"/>
    <x v="0"/>
    <x v="0"/>
    <x v="1"/>
    <x v="0"/>
    <x v="0"/>
    <s v="Yes"/>
    <x v="0"/>
    <x v="0"/>
    <n v="3"/>
    <n v="532.5"/>
    <x v="4"/>
    <x v="2"/>
  </r>
  <r>
    <s v="T00235"/>
    <s v="E0059"/>
    <s v="Manchester"/>
    <x v="4"/>
    <s v="Consultant"/>
    <s v="Internal meeting"/>
    <d v="2026-07-27T00:00:00"/>
    <d v="2026-07-31T00:00:00"/>
    <d v="2026-08-05T00:00:00"/>
    <x v="1"/>
    <s v="Manchester"/>
    <x v="18"/>
    <x v="1"/>
    <x v="1"/>
    <s v="Premium Economy"/>
    <n v="21110"/>
    <n v="4"/>
    <x v="4"/>
    <x v="0"/>
    <s v="A01"/>
    <s v="H02"/>
    <n v="859.35"/>
    <n v="0"/>
    <x v="3"/>
    <n v="175.125"/>
    <n v="700.5"/>
    <n v="58.63"/>
    <n v="1618.48"/>
    <x v="0"/>
    <x v="0"/>
    <n v="0"/>
    <n v="0"/>
    <n v="0"/>
    <n v="1618.48"/>
    <x v="0"/>
    <x v="0"/>
    <x v="1"/>
    <x v="1"/>
    <x v="0"/>
    <s v="Yes"/>
    <x v="0"/>
    <x v="1"/>
    <n v="5"/>
    <n v="3166.5"/>
    <x v="1"/>
    <x v="1"/>
  </r>
  <r>
    <s v="T00236"/>
    <s v="E0060"/>
    <s v="Manchester"/>
    <x v="5"/>
    <s v="Manager"/>
    <s v="Client meeting"/>
    <d v="2026-05-21T00:00:00"/>
    <d v="2026-06-08T00:00:00"/>
    <d v="2026-06-12T00:00:00"/>
    <x v="0"/>
    <s v="Manchester"/>
    <x v="20"/>
    <x v="1"/>
    <x v="1"/>
    <s v="Economy"/>
    <n v="11998"/>
    <n v="18"/>
    <x v="3"/>
    <x v="0"/>
    <s v="A01"/>
    <s v="H01"/>
    <n v="1322.31"/>
    <n v="0"/>
    <x v="1"/>
    <n v="167.97"/>
    <n v="503.91"/>
    <n v="64.760000000000005"/>
    <n v="1890.98"/>
    <x v="0"/>
    <x v="0"/>
    <n v="0"/>
    <n v="0"/>
    <n v="0"/>
    <n v="1890.98"/>
    <x v="0"/>
    <x v="0"/>
    <x v="1"/>
    <x v="0"/>
    <x v="0"/>
    <s v="Yes"/>
    <x v="1"/>
    <x v="0"/>
    <n v="5"/>
    <n v="1799.7"/>
    <x v="1"/>
    <x v="2"/>
  </r>
  <r>
    <s v="T00237"/>
    <s v="E0060"/>
    <s v="Manchester"/>
    <x v="5"/>
    <s v="Manager"/>
    <s v="Client meeting"/>
    <d v="2026-04-19T00:00:00"/>
    <d v="2026-05-11T00:00:00"/>
    <d v="2026-05-14T00:00:00"/>
    <x v="2"/>
    <s v="Manchester"/>
    <x v="23"/>
    <x v="1"/>
    <x v="1"/>
    <s v="Economy"/>
    <n v="2930"/>
    <n v="22"/>
    <x v="3"/>
    <x v="1"/>
    <s v="A01"/>
    <s v="H03"/>
    <n v="377.62"/>
    <n v="0"/>
    <x v="0"/>
    <n v="215.035"/>
    <n v="430.07"/>
    <n v="111.02"/>
    <n v="918.71"/>
    <x v="0"/>
    <x v="0"/>
    <n v="0"/>
    <n v="0"/>
    <n v="0"/>
    <n v="918.71"/>
    <x v="1"/>
    <x v="0"/>
    <x v="1"/>
    <x v="0"/>
    <x v="0"/>
    <s v="Yes"/>
    <x v="0"/>
    <x v="1"/>
    <n v="4"/>
    <n v="439.5"/>
    <x v="1"/>
    <x v="4"/>
  </r>
  <r>
    <s v="T00238"/>
    <s v="E0061"/>
    <s v="Leeds"/>
    <x v="1"/>
    <s v="Consultant"/>
    <s v="Conference / Event"/>
    <d v="2026-05-17T00:00:00"/>
    <d v="2026-06-04T00:00:00"/>
    <d v="2026-06-09T00:00:00"/>
    <x v="0"/>
    <s v="Leeds"/>
    <x v="21"/>
    <x v="1"/>
    <x v="1"/>
    <s v="Economy"/>
    <n v="12142"/>
    <n v="18"/>
    <x v="3"/>
    <x v="0"/>
    <s v="A07"/>
    <s v="H01"/>
    <n v="1413.49"/>
    <n v="0"/>
    <x v="3"/>
    <n v="197.38"/>
    <n v="789.52"/>
    <n v="139.44"/>
    <n v="2342.4499999999998"/>
    <x v="0"/>
    <x v="1"/>
    <n v="0"/>
    <n v="52.31"/>
    <n v="1101.51"/>
    <n v="1293.2499999999998"/>
    <x v="1"/>
    <x v="0"/>
    <x v="1"/>
    <x v="0"/>
    <x v="0"/>
    <s v="Yes"/>
    <x v="0"/>
    <x v="1"/>
    <n v="3"/>
    <n v="1821.3"/>
    <x v="5"/>
    <x v="2"/>
  </r>
  <r>
    <s v="T00239"/>
    <s v="E0061"/>
    <s v="Leeds"/>
    <x v="1"/>
    <s v="Consultant"/>
    <s v="Other"/>
    <d v="2026-07-11T00:00:00"/>
    <d v="2026-07-21T00:00:00"/>
    <d v="2026-07-25T00:00:00"/>
    <x v="1"/>
    <s v="Leeds"/>
    <x v="14"/>
    <x v="1"/>
    <x v="1"/>
    <s v="Economy"/>
    <n v="2754"/>
    <n v="10"/>
    <x v="0"/>
    <x v="0"/>
    <s v="A01"/>
    <s v="H04"/>
    <n v="476.85"/>
    <n v="0"/>
    <x v="1"/>
    <n v="126.88"/>
    <n v="380.64"/>
    <n v="116.5"/>
    <n v="973.99"/>
    <x v="0"/>
    <x v="0"/>
    <n v="0"/>
    <n v="0"/>
    <n v="0"/>
    <n v="973.99"/>
    <x v="0"/>
    <x v="0"/>
    <x v="1"/>
    <x v="0"/>
    <x v="0"/>
    <s v="Yes"/>
    <x v="0"/>
    <x v="0"/>
    <n v="4"/>
    <n v="413.1"/>
    <x v="1"/>
    <x v="3"/>
  </r>
  <r>
    <s v="T00240"/>
    <s v="E0061"/>
    <s v="Leeds"/>
    <x v="1"/>
    <s v="Consultant"/>
    <s v="Recruitment / Interview"/>
    <d v="2026-05-11T00:00:00"/>
    <d v="2026-06-01T00:00:00"/>
    <d v="2026-06-04T00:00:00"/>
    <x v="0"/>
    <s v="Leeds"/>
    <x v="1"/>
    <x v="1"/>
    <x v="1"/>
    <s v="Economy"/>
    <n v="3264"/>
    <n v="21"/>
    <x v="3"/>
    <x v="1"/>
    <s v="A04"/>
    <s v="H02"/>
    <n v="328.93"/>
    <n v="0"/>
    <x v="0"/>
    <n v="186.14"/>
    <n v="372.28"/>
    <n v="68.180000000000007"/>
    <n v="769.39"/>
    <x v="0"/>
    <x v="0"/>
    <n v="0"/>
    <n v="0"/>
    <n v="0"/>
    <n v="769.39"/>
    <x v="1"/>
    <x v="0"/>
    <x v="1"/>
    <x v="0"/>
    <x v="0"/>
    <s v="Yes"/>
    <x v="0"/>
    <x v="1"/>
    <n v="4"/>
    <n v="489.6"/>
    <x v="3"/>
    <x v="1"/>
  </r>
  <r>
    <s v="T00241"/>
    <s v="E0062"/>
    <s v="Aberdeen"/>
    <x v="1"/>
    <s v="Consultant"/>
    <s v="Project work"/>
    <d v="2026-06-01T00:00:00"/>
    <d v="2026-06-25T00:00:00"/>
    <d v="2026-06-30T00:00:00"/>
    <x v="0"/>
    <s v="Aberdeen"/>
    <x v="16"/>
    <x v="1"/>
    <x v="1"/>
    <s v="Economy"/>
    <n v="2954"/>
    <n v="24"/>
    <x v="3"/>
    <x v="1"/>
    <s v="A05"/>
    <s v="H01"/>
    <n v="455.83"/>
    <n v="0"/>
    <x v="3"/>
    <n v="233.04499999999999"/>
    <n v="932.18"/>
    <n v="118.12"/>
    <n v="1506.13"/>
    <x v="0"/>
    <x v="0"/>
    <n v="0"/>
    <n v="0"/>
    <n v="0"/>
    <n v="1506.13"/>
    <x v="1"/>
    <x v="0"/>
    <x v="1"/>
    <x v="0"/>
    <x v="0"/>
    <s v="Yes"/>
    <x v="1"/>
    <x v="1"/>
    <n v="4"/>
    <n v="443.1"/>
    <x v="2"/>
    <x v="2"/>
  </r>
  <r>
    <s v="T00242"/>
    <s v="E0062"/>
    <s v="Aberdeen"/>
    <x v="1"/>
    <s v="Consultant"/>
    <s v="Internal meeting"/>
    <d v="2026-06-06T00:00:00"/>
    <d v="2026-06-16T00:00:00"/>
    <d v="2026-06-19T00:00:00"/>
    <x v="0"/>
    <s v="Aberdeen"/>
    <x v="10"/>
    <x v="0"/>
    <x v="0"/>
    <s v="Standard / 2nd Class"/>
    <n v="900"/>
    <n v="10"/>
    <x v="0"/>
    <x v="0"/>
    <m/>
    <s v="H06"/>
    <n v="0"/>
    <n v="238.63"/>
    <x v="0"/>
    <n v="151.965"/>
    <n v="303.93"/>
    <n v="45.49"/>
    <n v="588.04999999999995"/>
    <x v="0"/>
    <x v="0"/>
    <n v="0"/>
    <n v="0"/>
    <n v="0"/>
    <n v="588.04999999999995"/>
    <x v="0"/>
    <x v="0"/>
    <x v="0"/>
    <x v="0"/>
    <x v="0"/>
    <s v="Yes"/>
    <x v="0"/>
    <x v="0"/>
    <n v="4"/>
    <n v="36"/>
    <x v="0"/>
    <x v="0"/>
  </r>
  <r>
    <s v="T00243"/>
    <s v="E0063"/>
    <s v="Manchester"/>
    <x v="1"/>
    <s v="Director"/>
    <s v="Internal meeting"/>
    <d v="2026-05-10T00:00:00"/>
    <d v="2026-05-20T00:00:00"/>
    <d v="2026-05-26T00:00:00"/>
    <x v="2"/>
    <s v="Manchester"/>
    <x v="5"/>
    <x v="1"/>
    <x v="1"/>
    <s v="Economy"/>
    <n v="11950"/>
    <n v="10"/>
    <x v="0"/>
    <x v="0"/>
    <s v="A08"/>
    <s v="H03"/>
    <n v="1270.32"/>
    <n v="0"/>
    <x v="4"/>
    <n v="106.122"/>
    <n v="530.61"/>
    <n v="100.32"/>
    <n v="1901.25"/>
    <x v="0"/>
    <x v="0"/>
    <n v="0"/>
    <n v="0"/>
    <n v="0"/>
    <n v="1901.25"/>
    <x v="0"/>
    <x v="0"/>
    <x v="1"/>
    <x v="0"/>
    <x v="0"/>
    <s v="Yes"/>
    <x v="0"/>
    <x v="0"/>
    <n v="5"/>
    <n v="1792.5"/>
    <x v="10"/>
    <x v="4"/>
  </r>
  <r>
    <s v="T00244"/>
    <s v="E0063"/>
    <s v="Manchester"/>
    <x v="1"/>
    <s v="Director"/>
    <s v="Conference / Event"/>
    <d v="2026-06-09T00:00:00"/>
    <d v="2026-07-18T00:00:00"/>
    <d v="2026-07-20T00:00:00"/>
    <x v="1"/>
    <s v="Manchester"/>
    <x v="9"/>
    <x v="1"/>
    <x v="1"/>
    <s v="Economy"/>
    <n v="2580"/>
    <n v="39"/>
    <x v="2"/>
    <x v="0"/>
    <s v="A06"/>
    <s v="H02"/>
    <n v="312.72000000000003"/>
    <n v="0"/>
    <x v="2"/>
    <n v="191.22"/>
    <n v="191.22"/>
    <n v="107.41"/>
    <n v="611.35"/>
    <x v="0"/>
    <x v="0"/>
    <n v="0"/>
    <n v="0"/>
    <n v="0"/>
    <n v="611.35"/>
    <x v="1"/>
    <x v="0"/>
    <x v="2"/>
    <x v="0"/>
    <x v="0"/>
    <s v="No"/>
    <x v="0"/>
    <x v="1"/>
    <n v="5"/>
    <n v="387"/>
    <x v="9"/>
    <x v="1"/>
  </r>
  <r>
    <s v="T00245"/>
    <s v="E0063"/>
    <s v="Manchester"/>
    <x v="1"/>
    <s v="Director"/>
    <s v="Client meeting"/>
    <d v="2026-04-28T00:00:00"/>
    <d v="2026-05-15T00:00:00"/>
    <d v="2026-05-17T00:00:00"/>
    <x v="2"/>
    <s v="Manchester"/>
    <x v="9"/>
    <x v="1"/>
    <x v="1"/>
    <s v="Economy"/>
    <n v="3208"/>
    <n v="17"/>
    <x v="3"/>
    <x v="3"/>
    <s v="A10"/>
    <s v="H04"/>
    <n v="380.84"/>
    <n v="0"/>
    <x v="2"/>
    <n v="155.21"/>
    <n v="155.21"/>
    <n v="72.849999999999994"/>
    <n v="608.9"/>
    <x v="1"/>
    <x v="0"/>
    <n v="323.71000000000004"/>
    <n v="0"/>
    <n v="0"/>
    <n v="932.61"/>
    <x v="0"/>
    <x v="0"/>
    <x v="1"/>
    <x v="0"/>
    <x v="1"/>
    <s v="Yes"/>
    <x v="0"/>
    <x v="1"/>
    <n v="4"/>
    <n v="481.2"/>
    <x v="6"/>
    <x v="3"/>
  </r>
  <r>
    <s v="T00246"/>
    <s v="E0063"/>
    <s v="Manchester"/>
    <x v="1"/>
    <s v="Director"/>
    <s v="Internal meeting"/>
    <d v="2026-06-12T00:00:00"/>
    <d v="2026-06-23T00:00:00"/>
    <d v="2026-06-26T00:00:00"/>
    <x v="0"/>
    <s v="Manchester"/>
    <x v="15"/>
    <x v="1"/>
    <x v="1"/>
    <s v="Economy"/>
    <n v="2676"/>
    <n v="11"/>
    <x v="0"/>
    <x v="1"/>
    <s v="A02"/>
    <s v="H03"/>
    <n v="322.93"/>
    <n v="0"/>
    <x v="0"/>
    <n v="178.27500000000001"/>
    <n v="356.55"/>
    <n v="95.94"/>
    <n v="775.42"/>
    <x v="0"/>
    <x v="0"/>
    <n v="0"/>
    <n v="0"/>
    <n v="0"/>
    <n v="775.42"/>
    <x v="0"/>
    <x v="0"/>
    <x v="1"/>
    <x v="0"/>
    <x v="0"/>
    <s v="Yes"/>
    <x v="0"/>
    <x v="0"/>
    <n v="4"/>
    <n v="401.4"/>
    <x v="4"/>
    <x v="4"/>
  </r>
  <r>
    <s v="T00247"/>
    <s v="E0063"/>
    <s v="Manchester"/>
    <x v="1"/>
    <s v="Director"/>
    <s v="Internal meeting"/>
    <d v="2026-06-16T00:00:00"/>
    <d v="2026-06-28T00:00:00"/>
    <d v="2026-07-01T00:00:00"/>
    <x v="0"/>
    <s v="Manchester"/>
    <x v="23"/>
    <x v="1"/>
    <x v="1"/>
    <s v="Economy"/>
    <n v="3332"/>
    <n v="12"/>
    <x v="0"/>
    <x v="0"/>
    <s v="A02"/>
    <s v="H01"/>
    <n v="287.5"/>
    <n v="0"/>
    <x v="0"/>
    <n v="166.45"/>
    <n v="332.9"/>
    <n v="59.76"/>
    <n v="680.16"/>
    <x v="0"/>
    <x v="0"/>
    <n v="0"/>
    <n v="0"/>
    <n v="0"/>
    <n v="680.16"/>
    <x v="0"/>
    <x v="0"/>
    <x v="1"/>
    <x v="0"/>
    <x v="0"/>
    <s v="Yes"/>
    <x v="0"/>
    <x v="0"/>
    <n v="4"/>
    <n v="499.8"/>
    <x v="4"/>
    <x v="2"/>
  </r>
  <r>
    <s v="T00248"/>
    <s v="E0063"/>
    <s v="Manchester"/>
    <x v="1"/>
    <s v="Director"/>
    <s v="Conference / Event"/>
    <d v="2026-07-02T00:00:00"/>
    <d v="2026-07-23T00:00:00"/>
    <d v="2026-07-25T00:00:00"/>
    <x v="1"/>
    <s v="Manchester"/>
    <x v="6"/>
    <x v="0"/>
    <x v="0"/>
    <s v="Standard / 2nd Class"/>
    <n v="1040"/>
    <n v="21"/>
    <x v="3"/>
    <x v="0"/>
    <m/>
    <s v="H06"/>
    <n v="0"/>
    <n v="90"/>
    <x v="2"/>
    <n v="140.77000000000001"/>
    <n v="140.77000000000001"/>
    <n v="20"/>
    <n v="250.77"/>
    <x v="1"/>
    <x v="0"/>
    <n v="15"/>
    <n v="0"/>
    <n v="0"/>
    <n v="265.77"/>
    <x v="0"/>
    <x v="0"/>
    <x v="0"/>
    <x v="0"/>
    <x v="0"/>
    <s v="Yes"/>
    <x v="0"/>
    <x v="0"/>
    <n v="5"/>
    <n v="41.6"/>
    <x v="0"/>
    <x v="0"/>
  </r>
  <r>
    <s v="T00249"/>
    <s v="E0064"/>
    <s v="London"/>
    <x v="0"/>
    <s v="Senior Manager"/>
    <s v="Recruitment / Interview"/>
    <d v="2026-06-15T00:00:00"/>
    <d v="2026-07-08T00:00:00"/>
    <d v="2026-07-12T00:00:00"/>
    <x v="1"/>
    <s v="London"/>
    <x v="14"/>
    <x v="1"/>
    <x v="1"/>
    <s v="Economy"/>
    <n v="2158"/>
    <n v="23"/>
    <x v="3"/>
    <x v="3"/>
    <s v="A03"/>
    <s v="H04"/>
    <n v="339.73"/>
    <n v="0"/>
    <x v="1"/>
    <n v="208.07333333333335"/>
    <n v="624.22"/>
    <n v="81.459999999999994"/>
    <n v="1045.4100000000001"/>
    <x v="0"/>
    <x v="0"/>
    <n v="0"/>
    <n v="0"/>
    <n v="0"/>
    <n v="1045.4100000000001"/>
    <x v="1"/>
    <x v="0"/>
    <x v="1"/>
    <x v="0"/>
    <x v="1"/>
    <s v="Yes"/>
    <x v="0"/>
    <x v="1"/>
    <n v="3"/>
    <n v="323.7"/>
    <x v="7"/>
    <x v="3"/>
  </r>
  <r>
    <s v="T00250"/>
    <s v="E0064"/>
    <s v="London"/>
    <x v="0"/>
    <s v="Senior Manager"/>
    <s v="Recruitment / Interview"/>
    <d v="2026-07-08T00:00:00"/>
    <d v="2026-07-29T00:00:00"/>
    <d v="2026-08-01T00:00:00"/>
    <x v="1"/>
    <s v="London"/>
    <x v="20"/>
    <x v="1"/>
    <x v="1"/>
    <s v="Economy"/>
    <n v="12516"/>
    <n v="21"/>
    <x v="3"/>
    <x v="0"/>
    <s v="A07"/>
    <s v="H05"/>
    <n v="943.94"/>
    <n v="0"/>
    <x v="0"/>
    <n v="152.24"/>
    <n v="304.48"/>
    <n v="133.06"/>
    <n v="1381.48"/>
    <x v="0"/>
    <x v="0"/>
    <n v="0"/>
    <n v="0"/>
    <n v="0"/>
    <n v="1381.48"/>
    <x v="0"/>
    <x v="1"/>
    <x v="1"/>
    <x v="0"/>
    <x v="0"/>
    <s v="No"/>
    <x v="0"/>
    <x v="1"/>
    <n v="5"/>
    <n v="1877.4"/>
    <x v="5"/>
    <x v="5"/>
  </r>
  <r>
    <s v="T00251"/>
    <s v="E0064"/>
    <s v="London"/>
    <x v="0"/>
    <s v="Senior Manager"/>
    <s v="Recruitment / Interview"/>
    <d v="2026-06-04T00:00:00"/>
    <d v="2026-06-12T00:00:00"/>
    <d v="2026-06-17T00:00:00"/>
    <x v="0"/>
    <s v="London"/>
    <x v="4"/>
    <x v="1"/>
    <x v="1"/>
    <s v="Economy"/>
    <n v="3312"/>
    <n v="8"/>
    <x v="0"/>
    <x v="2"/>
    <s v="A03"/>
    <s v="H02"/>
    <n v="405.89"/>
    <n v="0"/>
    <x v="3"/>
    <n v="151.96"/>
    <n v="607.84"/>
    <n v="110.06"/>
    <n v="1123.79"/>
    <x v="0"/>
    <x v="0"/>
    <n v="0"/>
    <n v="0"/>
    <n v="0"/>
    <n v="1123.79"/>
    <x v="0"/>
    <x v="0"/>
    <x v="1"/>
    <x v="0"/>
    <x v="1"/>
    <s v="Yes"/>
    <x v="1"/>
    <x v="1"/>
    <n v="4"/>
    <n v="496.8"/>
    <x v="7"/>
    <x v="1"/>
  </r>
  <r>
    <s v="T00252"/>
    <s v="E0064"/>
    <s v="London"/>
    <x v="0"/>
    <s v="Senior Manager"/>
    <s v="Project work"/>
    <d v="2026-04-11T00:00:00"/>
    <d v="2026-05-10T00:00:00"/>
    <d v="2026-05-14T00:00:00"/>
    <x v="2"/>
    <s v="London"/>
    <x v="16"/>
    <x v="1"/>
    <x v="1"/>
    <s v="Economy"/>
    <n v="1964"/>
    <n v="29"/>
    <x v="3"/>
    <x v="0"/>
    <s v="A05"/>
    <s v="H03"/>
    <n v="265.31"/>
    <n v="0"/>
    <x v="1"/>
    <n v="198.96333333333334"/>
    <n v="596.89"/>
    <n v="61.92"/>
    <n v="924.12"/>
    <x v="0"/>
    <x v="0"/>
    <n v="0"/>
    <n v="0"/>
    <n v="0"/>
    <n v="924.12"/>
    <x v="1"/>
    <x v="0"/>
    <x v="1"/>
    <x v="0"/>
    <x v="0"/>
    <s v="Yes"/>
    <x v="0"/>
    <x v="1"/>
    <n v="5"/>
    <n v="294.60000000000002"/>
    <x v="2"/>
    <x v="4"/>
  </r>
  <r>
    <s v="T00253"/>
    <s v="E0065"/>
    <s v="Birmingham"/>
    <x v="3"/>
    <s v="Senior Manager"/>
    <s v="Training"/>
    <d v="2026-06-30T00:00:00"/>
    <d v="2026-07-29T00:00:00"/>
    <d v="2026-08-01T00:00:00"/>
    <x v="1"/>
    <s v="Birmingham"/>
    <x v="14"/>
    <x v="1"/>
    <x v="1"/>
    <s v="Economy"/>
    <n v="2692"/>
    <n v="29"/>
    <x v="3"/>
    <x v="1"/>
    <s v="A02"/>
    <s v="H03"/>
    <n v="335.29"/>
    <n v="0"/>
    <x v="0"/>
    <n v="184.85"/>
    <n v="369.7"/>
    <n v="61.17"/>
    <n v="766.16"/>
    <x v="0"/>
    <x v="0"/>
    <n v="0"/>
    <n v="0"/>
    <n v="0"/>
    <n v="766.16"/>
    <x v="1"/>
    <x v="0"/>
    <x v="1"/>
    <x v="0"/>
    <x v="0"/>
    <s v="Yes"/>
    <x v="1"/>
    <x v="1"/>
    <n v="4"/>
    <n v="403.8"/>
    <x v="4"/>
    <x v="4"/>
  </r>
  <r>
    <s v="T00254"/>
    <s v="E0065"/>
    <s v="Birmingham"/>
    <x v="3"/>
    <s v="Senior Manager"/>
    <s v="Client meeting"/>
    <d v="2026-07-19T00:00:00"/>
    <d v="2026-07-27T00:00:00"/>
    <d v="2026-07-31T00:00:00"/>
    <x v="1"/>
    <s v="Birmingham"/>
    <x v="16"/>
    <x v="1"/>
    <x v="1"/>
    <s v="Economy"/>
    <n v="3492"/>
    <n v="8"/>
    <x v="0"/>
    <x v="1"/>
    <s v="A05"/>
    <s v="H02"/>
    <n v="714.4"/>
    <n v="0"/>
    <x v="1"/>
    <n v="192.07000000000002"/>
    <n v="576.21"/>
    <n v="36.729999999999997"/>
    <n v="1327.34"/>
    <x v="0"/>
    <x v="1"/>
    <n v="0"/>
    <n v="120.12"/>
    <n v="645.30999999999995"/>
    <n v="802.15000000000009"/>
    <x v="1"/>
    <x v="0"/>
    <x v="1"/>
    <x v="0"/>
    <x v="0"/>
    <s v="Yes"/>
    <x v="0"/>
    <x v="1"/>
    <n v="3"/>
    <n v="523.79999999999995"/>
    <x v="2"/>
    <x v="1"/>
  </r>
  <r>
    <s v="T00255"/>
    <s v="E0065"/>
    <s v="Birmingham"/>
    <x v="3"/>
    <s v="Senior Manager"/>
    <s v="Client meeting"/>
    <d v="2026-05-30T00:00:00"/>
    <d v="2026-06-13T00:00:00"/>
    <d v="2026-06-17T00:00:00"/>
    <x v="0"/>
    <s v="Birmingham"/>
    <x v="4"/>
    <x v="1"/>
    <x v="1"/>
    <s v="Economy"/>
    <n v="1066"/>
    <n v="14"/>
    <x v="0"/>
    <x v="0"/>
    <s v="A05"/>
    <s v="H02"/>
    <n v="569.67999999999995"/>
    <n v="0"/>
    <x v="1"/>
    <n v="113.11"/>
    <n v="339.33"/>
    <n v="71.209999999999994"/>
    <n v="980.22"/>
    <x v="1"/>
    <x v="0"/>
    <n v="55.11"/>
    <n v="0"/>
    <n v="0"/>
    <n v="1035.33"/>
    <x v="0"/>
    <x v="0"/>
    <x v="1"/>
    <x v="0"/>
    <x v="0"/>
    <s v="Yes"/>
    <x v="0"/>
    <x v="0"/>
    <n v="3"/>
    <n v="159.9"/>
    <x v="2"/>
    <x v="1"/>
  </r>
  <r>
    <s v="T00256"/>
    <s v="E0065"/>
    <s v="Birmingham"/>
    <x v="3"/>
    <s v="Senior Manager"/>
    <s v="Conference / Event"/>
    <d v="2026-06-14T00:00:00"/>
    <d v="2026-07-04T00:00:00"/>
    <d v="2026-07-09T00:00:00"/>
    <x v="1"/>
    <s v="Birmingham"/>
    <x v="14"/>
    <x v="1"/>
    <x v="1"/>
    <s v="Economy"/>
    <n v="3502"/>
    <n v="20"/>
    <x v="3"/>
    <x v="1"/>
    <s v="A01"/>
    <s v="H03"/>
    <n v="378.08"/>
    <n v="0"/>
    <x v="3"/>
    <n v="170.74"/>
    <n v="682.96"/>
    <n v="102.07"/>
    <n v="1163.1099999999999"/>
    <x v="0"/>
    <x v="0"/>
    <n v="0"/>
    <n v="0"/>
    <n v="0"/>
    <n v="1163.1099999999999"/>
    <x v="0"/>
    <x v="0"/>
    <x v="1"/>
    <x v="0"/>
    <x v="0"/>
    <s v="Yes"/>
    <x v="0"/>
    <x v="0"/>
    <n v="5"/>
    <n v="525.29999999999995"/>
    <x v="1"/>
    <x v="4"/>
  </r>
  <r>
    <s v="T00257"/>
    <s v="E0066"/>
    <s v="London"/>
    <x v="3"/>
    <s v="Senior Manager"/>
    <s v="Training"/>
    <d v="2026-06-25T00:00:00"/>
    <d v="2026-07-11T00:00:00"/>
    <d v="2026-07-15T00:00:00"/>
    <x v="1"/>
    <s v="London"/>
    <x v="2"/>
    <x v="1"/>
    <x v="1"/>
    <s v="Economy"/>
    <n v="1526"/>
    <n v="16"/>
    <x v="3"/>
    <x v="0"/>
    <s v="A01"/>
    <s v="H02"/>
    <n v="644.83000000000004"/>
    <n v="0"/>
    <x v="1"/>
    <n v="188.31666666666669"/>
    <n v="564.95000000000005"/>
    <n v="84.83"/>
    <n v="1294.6099999999999"/>
    <x v="1"/>
    <x v="0"/>
    <n v="139.12"/>
    <n v="0"/>
    <n v="0"/>
    <n v="1433.73"/>
    <x v="1"/>
    <x v="0"/>
    <x v="1"/>
    <x v="0"/>
    <x v="0"/>
    <s v="Yes"/>
    <x v="0"/>
    <x v="1"/>
    <n v="4"/>
    <n v="228.9"/>
    <x v="1"/>
    <x v="1"/>
  </r>
  <r>
    <s v="T00258"/>
    <s v="E0066"/>
    <s v="London"/>
    <x v="3"/>
    <s v="Senior Manager"/>
    <s v="Training"/>
    <d v="2026-07-14T00:00:00"/>
    <d v="2026-07-15T00:00:00"/>
    <d v="2026-07-19T00:00:00"/>
    <x v="1"/>
    <s v="London"/>
    <x v="21"/>
    <x v="1"/>
    <x v="1"/>
    <s v="Economy"/>
    <n v="11958"/>
    <n v="1"/>
    <x v="1"/>
    <x v="1"/>
    <s v="A07"/>
    <s v="H04"/>
    <n v="1629.93"/>
    <n v="0"/>
    <x v="1"/>
    <n v="167.87666666666667"/>
    <n v="503.63"/>
    <n v="93.29"/>
    <n v="2226.85"/>
    <x v="1"/>
    <x v="0"/>
    <n v="317.31"/>
    <n v="0"/>
    <n v="0"/>
    <n v="2544.16"/>
    <x v="0"/>
    <x v="0"/>
    <x v="1"/>
    <x v="0"/>
    <x v="0"/>
    <s v="Yes"/>
    <x v="0"/>
    <x v="0"/>
    <n v="5"/>
    <n v="1793.7"/>
    <x v="5"/>
    <x v="3"/>
  </r>
  <r>
    <s v="T00259"/>
    <s v="E0066"/>
    <s v="London"/>
    <x v="3"/>
    <s v="Senior Manager"/>
    <s v="Conference / Event"/>
    <d v="2026-05-08T00:00:00"/>
    <d v="2026-05-21T00:00:00"/>
    <d v="2026-05-25T00:00:00"/>
    <x v="2"/>
    <s v="London"/>
    <x v="4"/>
    <x v="1"/>
    <x v="1"/>
    <s v="Economy"/>
    <n v="2422"/>
    <n v="13"/>
    <x v="0"/>
    <x v="0"/>
    <s v="A04"/>
    <s v="H02"/>
    <n v="353.38"/>
    <n v="0"/>
    <x v="1"/>
    <n v="205.75333333333333"/>
    <n v="617.26"/>
    <n v="105.58"/>
    <n v="1076.22"/>
    <x v="0"/>
    <x v="0"/>
    <n v="0"/>
    <n v="0"/>
    <n v="0"/>
    <n v="1076.22"/>
    <x v="0"/>
    <x v="0"/>
    <x v="1"/>
    <x v="0"/>
    <x v="0"/>
    <s v="Yes"/>
    <x v="0"/>
    <x v="0"/>
    <n v="4"/>
    <n v="363.3"/>
    <x v="3"/>
    <x v="1"/>
  </r>
  <r>
    <s v="T00260"/>
    <s v="E0066"/>
    <s v="London"/>
    <x v="3"/>
    <s v="Senior Manager"/>
    <s v="Other"/>
    <d v="2026-05-27T00:00:00"/>
    <d v="2026-06-15T00:00:00"/>
    <d v="2026-06-19T00:00:00"/>
    <x v="0"/>
    <s v="London"/>
    <x v="14"/>
    <x v="1"/>
    <x v="1"/>
    <s v="Economy"/>
    <n v="2304"/>
    <n v="19"/>
    <x v="3"/>
    <x v="1"/>
    <s v="A02"/>
    <s v="H05"/>
    <n v="415.68"/>
    <n v="0"/>
    <x v="1"/>
    <n v="162.41666666666666"/>
    <n v="487.25"/>
    <n v="107.3"/>
    <n v="1010.23"/>
    <x v="0"/>
    <x v="0"/>
    <n v="0"/>
    <n v="0"/>
    <n v="0"/>
    <n v="1010.23"/>
    <x v="0"/>
    <x v="1"/>
    <x v="1"/>
    <x v="0"/>
    <x v="0"/>
    <s v="No"/>
    <x v="0"/>
    <x v="1"/>
    <n v="5"/>
    <n v="345.6"/>
    <x v="4"/>
    <x v="5"/>
  </r>
  <r>
    <s v="T00261"/>
    <s v="E0066"/>
    <s v="London"/>
    <x v="3"/>
    <s v="Senior Manager"/>
    <s v="Training"/>
    <d v="2026-04-26T00:00:00"/>
    <d v="2026-05-16T00:00:00"/>
    <d v="2026-05-18T00:00:00"/>
    <x v="2"/>
    <s v="London"/>
    <x v="11"/>
    <x v="1"/>
    <x v="1"/>
    <s v="Economy"/>
    <n v="1620"/>
    <n v="20"/>
    <x v="3"/>
    <x v="1"/>
    <s v="A01"/>
    <s v="H03"/>
    <n v="290.87"/>
    <n v="0"/>
    <x v="2"/>
    <n v="132.54"/>
    <n v="132.54"/>
    <n v="129.12"/>
    <n v="552.53"/>
    <x v="0"/>
    <x v="0"/>
    <n v="0"/>
    <n v="0"/>
    <n v="0"/>
    <n v="552.53"/>
    <x v="0"/>
    <x v="0"/>
    <x v="1"/>
    <x v="0"/>
    <x v="0"/>
    <s v="Yes"/>
    <x v="0"/>
    <x v="0"/>
    <n v="4"/>
    <n v="243"/>
    <x v="1"/>
    <x v="4"/>
  </r>
  <r>
    <s v="T00262"/>
    <s v="E0066"/>
    <s v="London"/>
    <x v="3"/>
    <s v="Senior Manager"/>
    <s v="Project work"/>
    <d v="2026-06-25T00:00:00"/>
    <d v="2026-07-08T00:00:00"/>
    <d v="2026-07-11T00:00:00"/>
    <x v="1"/>
    <s v="London"/>
    <x v="9"/>
    <x v="1"/>
    <x v="1"/>
    <s v="Economy"/>
    <n v="1372"/>
    <n v="13"/>
    <x v="0"/>
    <x v="0"/>
    <s v="A10"/>
    <s v="H01"/>
    <n v="162"/>
    <n v="0"/>
    <x v="0"/>
    <n v="159.11500000000001"/>
    <n v="318.23"/>
    <n v="88.59"/>
    <n v="568.82000000000005"/>
    <x v="0"/>
    <x v="0"/>
    <n v="0"/>
    <n v="0"/>
    <n v="0"/>
    <n v="568.82000000000005"/>
    <x v="0"/>
    <x v="0"/>
    <x v="1"/>
    <x v="0"/>
    <x v="0"/>
    <s v="Yes"/>
    <x v="0"/>
    <x v="0"/>
    <n v="3"/>
    <n v="205.8"/>
    <x v="6"/>
    <x v="2"/>
  </r>
  <r>
    <s v="T00263"/>
    <s v="E0066"/>
    <s v="London"/>
    <x v="3"/>
    <s v="Senior Manager"/>
    <s v="Recruitment / Interview"/>
    <d v="2026-06-14T00:00:00"/>
    <d v="2026-06-30T00:00:00"/>
    <d v="2026-07-02T00:00:00"/>
    <x v="0"/>
    <s v="London"/>
    <x v="10"/>
    <x v="0"/>
    <x v="0"/>
    <s v="Standard / 2nd Class"/>
    <n v="834"/>
    <n v="16"/>
    <x v="3"/>
    <x v="2"/>
    <m/>
    <s v="H06"/>
    <n v="0"/>
    <n v="162.58000000000001"/>
    <x v="2"/>
    <n v="163.22"/>
    <n v="163.22"/>
    <n v="50.74"/>
    <n v="376.54"/>
    <x v="0"/>
    <x v="0"/>
    <n v="0"/>
    <n v="0"/>
    <n v="0"/>
    <n v="376.54"/>
    <x v="0"/>
    <x v="0"/>
    <x v="0"/>
    <x v="0"/>
    <x v="1"/>
    <s v="Yes"/>
    <x v="0"/>
    <x v="1"/>
    <n v="4"/>
    <n v="33.4"/>
    <x v="0"/>
    <x v="0"/>
  </r>
  <r>
    <s v="T00264"/>
    <s v="E0067"/>
    <s v="Edinburgh"/>
    <x v="0"/>
    <s v="Manager"/>
    <s v="Client meeting"/>
    <d v="2026-06-17T00:00:00"/>
    <d v="2026-07-26T00:00:00"/>
    <d v="2026-07-28T00:00:00"/>
    <x v="1"/>
    <s v="Edinburgh"/>
    <x v="0"/>
    <x v="0"/>
    <x v="0"/>
    <s v="Standard / 2nd Class"/>
    <n v="578"/>
    <n v="39"/>
    <x v="2"/>
    <x v="0"/>
    <m/>
    <s v="H07"/>
    <n v="0"/>
    <n v="237.56"/>
    <x v="2"/>
    <n v="193.64"/>
    <n v="193.64"/>
    <n v="20.36"/>
    <n v="451.56"/>
    <x v="1"/>
    <x v="0"/>
    <n v="63.44"/>
    <n v="0"/>
    <n v="0"/>
    <n v="515"/>
    <x v="0"/>
    <x v="1"/>
    <x v="0"/>
    <x v="0"/>
    <x v="0"/>
    <s v="No"/>
    <x v="0"/>
    <x v="1"/>
    <n v="5"/>
    <n v="23.1"/>
    <x v="0"/>
    <x v="6"/>
  </r>
  <r>
    <s v="T00265"/>
    <s v="E0067"/>
    <s v="Edinburgh"/>
    <x v="0"/>
    <s v="Manager"/>
    <s v="Team building"/>
    <d v="2026-03-30T00:00:00"/>
    <d v="2026-05-12T00:00:00"/>
    <d v="2026-05-16T00:00:00"/>
    <x v="2"/>
    <s v="Edinburgh"/>
    <x v="9"/>
    <x v="1"/>
    <x v="1"/>
    <s v="Economy"/>
    <n v="1550"/>
    <n v="43"/>
    <x v="2"/>
    <x v="2"/>
    <s v="A01"/>
    <s v="H04"/>
    <n v="432.76"/>
    <n v="0"/>
    <x v="1"/>
    <n v="178.10666666666668"/>
    <n v="534.32000000000005"/>
    <n v="129.4"/>
    <n v="1096.48"/>
    <x v="0"/>
    <x v="0"/>
    <n v="0"/>
    <n v="0"/>
    <n v="0"/>
    <n v="1096.48"/>
    <x v="0"/>
    <x v="0"/>
    <x v="1"/>
    <x v="0"/>
    <x v="1"/>
    <s v="Yes"/>
    <x v="0"/>
    <x v="1"/>
    <n v="4"/>
    <n v="232.5"/>
    <x v="1"/>
    <x v="3"/>
  </r>
  <r>
    <s v="T00266"/>
    <s v="E0067"/>
    <s v="Edinburgh"/>
    <x v="0"/>
    <s v="Manager"/>
    <s v="Project work"/>
    <d v="2026-05-13T00:00:00"/>
    <d v="2026-05-20T00:00:00"/>
    <d v="2026-05-22T00:00:00"/>
    <x v="2"/>
    <s v="Edinburgh"/>
    <x v="1"/>
    <x v="1"/>
    <x v="1"/>
    <s v="Economy"/>
    <n v="3022"/>
    <n v="7"/>
    <x v="4"/>
    <x v="3"/>
    <s v="A04"/>
    <s v="H04"/>
    <n v="418.18"/>
    <n v="0"/>
    <x v="2"/>
    <n v="183.44"/>
    <n v="183.44"/>
    <n v="122.51"/>
    <n v="724.13"/>
    <x v="0"/>
    <x v="0"/>
    <n v="0"/>
    <n v="0"/>
    <n v="0"/>
    <n v="724.13"/>
    <x v="1"/>
    <x v="0"/>
    <x v="1"/>
    <x v="0"/>
    <x v="1"/>
    <s v="Yes"/>
    <x v="0"/>
    <x v="1"/>
    <n v="2"/>
    <n v="453.3"/>
    <x v="3"/>
    <x v="3"/>
  </r>
  <r>
    <s v="T00267"/>
    <s v="E0067"/>
    <s v="Edinburgh"/>
    <x v="0"/>
    <s v="Manager"/>
    <s v="Training"/>
    <d v="2026-04-24T00:00:00"/>
    <d v="2026-05-16T00:00:00"/>
    <d v="2026-05-18T00:00:00"/>
    <x v="2"/>
    <s v="Edinburgh"/>
    <x v="12"/>
    <x v="1"/>
    <x v="1"/>
    <s v="Economy"/>
    <n v="1522"/>
    <n v="22"/>
    <x v="3"/>
    <x v="0"/>
    <s v="A03"/>
    <s v="H02"/>
    <n v="524.12"/>
    <n v="0"/>
    <x v="2"/>
    <n v="147.29"/>
    <n v="147.29"/>
    <n v="92.95"/>
    <n v="764.36"/>
    <x v="0"/>
    <x v="0"/>
    <n v="0"/>
    <n v="0"/>
    <n v="0"/>
    <n v="764.36"/>
    <x v="0"/>
    <x v="0"/>
    <x v="1"/>
    <x v="0"/>
    <x v="0"/>
    <s v="Yes"/>
    <x v="0"/>
    <x v="0"/>
    <n v="4"/>
    <n v="228.3"/>
    <x v="7"/>
    <x v="1"/>
  </r>
  <r>
    <s v="T00268"/>
    <s v="E0067"/>
    <s v="Edinburgh"/>
    <x v="0"/>
    <s v="Manager"/>
    <s v="Client meeting"/>
    <d v="2026-05-30T00:00:00"/>
    <d v="2026-06-12T00:00:00"/>
    <d v="2026-06-17T00:00:00"/>
    <x v="0"/>
    <s v="Edinburgh"/>
    <x v="9"/>
    <x v="1"/>
    <x v="1"/>
    <s v="Economy"/>
    <n v="1574"/>
    <n v="13"/>
    <x v="0"/>
    <x v="0"/>
    <s v="A10"/>
    <s v="H01"/>
    <n v="700.48"/>
    <n v="0"/>
    <x v="3"/>
    <n v="131.72749999999999"/>
    <n v="526.91"/>
    <n v="85.49"/>
    <n v="1312.88"/>
    <x v="0"/>
    <x v="0"/>
    <n v="0"/>
    <n v="0"/>
    <n v="0"/>
    <n v="1312.88"/>
    <x v="0"/>
    <x v="0"/>
    <x v="1"/>
    <x v="0"/>
    <x v="0"/>
    <s v="Yes"/>
    <x v="0"/>
    <x v="0"/>
    <n v="5"/>
    <n v="236.1"/>
    <x v="6"/>
    <x v="2"/>
  </r>
  <r>
    <s v="T00269"/>
    <s v="E0067"/>
    <s v="Edinburgh"/>
    <x v="0"/>
    <s v="Manager"/>
    <s v="Project work"/>
    <d v="2026-04-15T00:00:00"/>
    <d v="2026-05-20T00:00:00"/>
    <d v="2026-05-23T00:00:00"/>
    <x v="2"/>
    <s v="Edinburgh"/>
    <x v="6"/>
    <x v="0"/>
    <x v="0"/>
    <s v="Standard / 2nd Class"/>
    <n v="998"/>
    <n v="35"/>
    <x v="2"/>
    <x v="0"/>
    <m/>
    <s v="H06"/>
    <n v="0"/>
    <n v="105.14"/>
    <x v="0"/>
    <n v="112.265"/>
    <n v="224.53"/>
    <n v="37.54"/>
    <n v="367.21"/>
    <x v="0"/>
    <x v="0"/>
    <n v="0"/>
    <n v="0"/>
    <n v="0"/>
    <n v="367.21"/>
    <x v="0"/>
    <x v="0"/>
    <x v="0"/>
    <x v="0"/>
    <x v="0"/>
    <s v="Yes"/>
    <x v="1"/>
    <x v="0"/>
    <n v="5"/>
    <n v="39.9"/>
    <x v="0"/>
    <x v="0"/>
  </r>
  <r>
    <s v="T00270"/>
    <s v="E0068"/>
    <s v="London"/>
    <x v="5"/>
    <s v="Manager"/>
    <s v="Project work"/>
    <d v="2026-05-01T00:00:00"/>
    <d v="2026-06-10T00:00:00"/>
    <d v="2026-06-11T00:00:00"/>
    <x v="0"/>
    <s v="London"/>
    <x v="10"/>
    <x v="0"/>
    <x v="0"/>
    <s v="Standard / 2nd Class"/>
    <n v="1066"/>
    <n v="40"/>
    <x v="2"/>
    <x v="1"/>
    <m/>
    <m/>
    <n v="0"/>
    <n v="90"/>
    <x v="5"/>
    <n v="0"/>
    <n v="0"/>
    <n v="34.659999999999997"/>
    <n v="124.66"/>
    <x v="0"/>
    <x v="0"/>
    <n v="0"/>
    <n v="0"/>
    <n v="0"/>
    <n v="124.66"/>
    <x v="2"/>
    <x v="2"/>
    <x v="0"/>
    <x v="0"/>
    <x v="0"/>
    <s v="Yes"/>
    <x v="0"/>
    <x v="0"/>
    <n v="4"/>
    <n v="42.6"/>
    <x v="0"/>
    <x v="7"/>
  </r>
  <r>
    <s v="T00271"/>
    <s v="E0068"/>
    <s v="London"/>
    <x v="5"/>
    <s v="Manager"/>
    <s v="Project work"/>
    <d v="2026-06-09T00:00:00"/>
    <d v="2026-07-01T00:00:00"/>
    <d v="2026-07-03T00:00:00"/>
    <x v="1"/>
    <s v="London"/>
    <x v="14"/>
    <x v="1"/>
    <x v="1"/>
    <s v="Economy"/>
    <n v="1706"/>
    <n v="22"/>
    <x v="3"/>
    <x v="3"/>
    <s v="A01"/>
    <s v="H05"/>
    <n v="311.88"/>
    <n v="0"/>
    <x v="2"/>
    <n v="219.56"/>
    <n v="219.56"/>
    <n v="46.45"/>
    <n v="577.89"/>
    <x v="0"/>
    <x v="0"/>
    <n v="0"/>
    <n v="0"/>
    <n v="0"/>
    <n v="577.89"/>
    <x v="1"/>
    <x v="1"/>
    <x v="1"/>
    <x v="0"/>
    <x v="1"/>
    <s v="No"/>
    <x v="0"/>
    <x v="1"/>
    <n v="5"/>
    <n v="255.9"/>
    <x v="1"/>
    <x v="5"/>
  </r>
  <r>
    <s v="T00272"/>
    <s v="E0068"/>
    <s v="London"/>
    <x v="5"/>
    <s v="Manager"/>
    <s v="Team building"/>
    <d v="2026-07-08T00:00:00"/>
    <d v="2026-07-12T00:00:00"/>
    <d v="2026-07-15T00:00:00"/>
    <x v="1"/>
    <s v="London"/>
    <x v="6"/>
    <x v="0"/>
    <x v="0"/>
    <s v="Standard / 2nd Class"/>
    <n v="482"/>
    <n v="4"/>
    <x v="4"/>
    <x v="0"/>
    <m/>
    <s v="H06"/>
    <n v="0"/>
    <n v="198.76"/>
    <x v="0"/>
    <n v="130.63"/>
    <n v="261.26"/>
    <n v="32.57"/>
    <n v="492.59"/>
    <x v="0"/>
    <x v="0"/>
    <n v="0"/>
    <n v="0"/>
    <n v="0"/>
    <n v="492.59"/>
    <x v="0"/>
    <x v="0"/>
    <x v="0"/>
    <x v="0"/>
    <x v="0"/>
    <s v="Yes"/>
    <x v="0"/>
    <x v="0"/>
    <n v="4"/>
    <n v="19.3"/>
    <x v="0"/>
    <x v="0"/>
  </r>
  <r>
    <s v="T00273"/>
    <s v="E0068"/>
    <s v="London"/>
    <x v="5"/>
    <s v="Manager"/>
    <s v="Client meeting"/>
    <d v="2026-06-26T00:00:00"/>
    <d v="2026-06-27T00:00:00"/>
    <d v="2026-06-28T00:00:00"/>
    <x v="0"/>
    <s v="London"/>
    <x v="17"/>
    <x v="0"/>
    <x v="0"/>
    <s v="Standard / 2nd Class"/>
    <n v="768"/>
    <n v="1"/>
    <x v="1"/>
    <x v="1"/>
    <m/>
    <m/>
    <n v="0"/>
    <n v="189.97"/>
    <x v="5"/>
    <n v="0"/>
    <n v="0"/>
    <n v="79.31"/>
    <n v="269.27999999999997"/>
    <x v="0"/>
    <x v="0"/>
    <n v="0"/>
    <n v="0"/>
    <n v="0"/>
    <n v="269.27999999999997"/>
    <x v="2"/>
    <x v="2"/>
    <x v="0"/>
    <x v="0"/>
    <x v="0"/>
    <s v="Yes"/>
    <x v="0"/>
    <x v="0"/>
    <n v="5"/>
    <n v="30.7"/>
    <x v="0"/>
    <x v="7"/>
  </r>
  <r>
    <s v="T00274"/>
    <s v="E0068"/>
    <s v="London"/>
    <x v="5"/>
    <s v="Manager"/>
    <s v="Training"/>
    <d v="2026-05-15T00:00:00"/>
    <d v="2026-06-01T00:00:00"/>
    <d v="2026-06-05T00:00:00"/>
    <x v="0"/>
    <s v="London"/>
    <x v="4"/>
    <x v="1"/>
    <x v="1"/>
    <s v="Economy"/>
    <n v="1932"/>
    <n v="17"/>
    <x v="3"/>
    <x v="0"/>
    <s v="A01"/>
    <s v="H02"/>
    <n v="159.47"/>
    <n v="0"/>
    <x v="1"/>
    <n v="159.99333333333334"/>
    <n v="479.98"/>
    <n v="86.52"/>
    <n v="725.97"/>
    <x v="0"/>
    <x v="0"/>
    <n v="0"/>
    <n v="0"/>
    <n v="0"/>
    <n v="725.97"/>
    <x v="0"/>
    <x v="0"/>
    <x v="1"/>
    <x v="0"/>
    <x v="0"/>
    <s v="Yes"/>
    <x v="0"/>
    <x v="0"/>
    <n v="4"/>
    <n v="289.8"/>
    <x v="1"/>
    <x v="1"/>
  </r>
  <r>
    <s v="T00275"/>
    <s v="E0069"/>
    <s v="Leeds"/>
    <x v="5"/>
    <s v="Manager"/>
    <s v="Conference / Event"/>
    <d v="2026-07-02T00:00:00"/>
    <d v="2026-07-16T00:00:00"/>
    <d v="2026-07-18T00:00:00"/>
    <x v="1"/>
    <s v="Leeds"/>
    <x v="6"/>
    <x v="0"/>
    <x v="0"/>
    <s v="Standard / 2nd Class"/>
    <n v="528"/>
    <n v="14"/>
    <x v="0"/>
    <x v="0"/>
    <m/>
    <s v="H01"/>
    <n v="0"/>
    <n v="260.55"/>
    <x v="2"/>
    <n v="135.62"/>
    <n v="135.62"/>
    <n v="60.42"/>
    <n v="456.59"/>
    <x v="0"/>
    <x v="0"/>
    <n v="0"/>
    <n v="0"/>
    <n v="0"/>
    <n v="456.59"/>
    <x v="0"/>
    <x v="0"/>
    <x v="0"/>
    <x v="0"/>
    <x v="0"/>
    <s v="Yes"/>
    <x v="0"/>
    <x v="0"/>
    <n v="4"/>
    <n v="21.1"/>
    <x v="0"/>
    <x v="2"/>
  </r>
  <r>
    <s v="T00276"/>
    <s v="E0069"/>
    <s v="Leeds"/>
    <x v="5"/>
    <s v="Manager"/>
    <s v="Internal meeting"/>
    <d v="2026-07-17T00:00:00"/>
    <d v="2026-07-26T00:00:00"/>
    <d v="2026-08-01T00:00:00"/>
    <x v="1"/>
    <s v="Leeds"/>
    <x v="7"/>
    <x v="1"/>
    <x v="1"/>
    <s v="Economy"/>
    <n v="12772"/>
    <n v="9"/>
    <x v="0"/>
    <x v="0"/>
    <s v="A01"/>
    <s v="H01"/>
    <n v="1533.08"/>
    <n v="0"/>
    <x v="4"/>
    <n v="141.39600000000002"/>
    <n v="706.98"/>
    <n v="87.14"/>
    <n v="2327.1999999999998"/>
    <x v="0"/>
    <x v="0"/>
    <n v="0"/>
    <n v="0"/>
    <n v="0"/>
    <n v="2327.1999999999998"/>
    <x v="0"/>
    <x v="0"/>
    <x v="1"/>
    <x v="0"/>
    <x v="0"/>
    <s v="Yes"/>
    <x v="0"/>
    <x v="0"/>
    <n v="5"/>
    <n v="1915.8"/>
    <x v="1"/>
    <x v="2"/>
  </r>
  <r>
    <s v="T00277"/>
    <s v="E0070"/>
    <s v="London"/>
    <x v="3"/>
    <s v="Senior Manager"/>
    <s v="Recruitment / Interview"/>
    <d v="2026-05-17T00:00:00"/>
    <d v="2026-05-31T00:00:00"/>
    <d v="2026-06-06T00:00:00"/>
    <x v="2"/>
    <s v="London"/>
    <x v="5"/>
    <x v="1"/>
    <x v="1"/>
    <s v="Economy"/>
    <n v="17320"/>
    <n v="14"/>
    <x v="0"/>
    <x v="0"/>
    <s v="A01"/>
    <s v="H03"/>
    <n v="650"/>
    <n v="0"/>
    <x v="4"/>
    <n v="172.988"/>
    <n v="864.94"/>
    <n v="20.63"/>
    <n v="1535.57"/>
    <x v="0"/>
    <x v="0"/>
    <n v="0"/>
    <n v="0"/>
    <n v="0"/>
    <n v="1535.57"/>
    <x v="0"/>
    <x v="0"/>
    <x v="1"/>
    <x v="0"/>
    <x v="0"/>
    <s v="Yes"/>
    <x v="0"/>
    <x v="0"/>
    <n v="4"/>
    <n v="2598"/>
    <x v="1"/>
    <x v="4"/>
  </r>
  <r>
    <s v="T00278"/>
    <s v="E0071"/>
    <s v="London"/>
    <x v="1"/>
    <s v="Manager"/>
    <s v="Training"/>
    <d v="2026-06-04T00:00:00"/>
    <d v="2026-06-15T00:00:00"/>
    <d v="2026-06-23T00:00:00"/>
    <x v="0"/>
    <s v="London"/>
    <x v="5"/>
    <x v="1"/>
    <x v="1"/>
    <s v="Economy"/>
    <n v="20818"/>
    <n v="11"/>
    <x v="0"/>
    <x v="2"/>
    <s v="A01"/>
    <s v="H01"/>
    <n v="2147.48"/>
    <n v="0"/>
    <x v="8"/>
    <n v="170.78857142857143"/>
    <n v="1195.52"/>
    <n v="38.15"/>
    <n v="3381.15"/>
    <x v="0"/>
    <x v="0"/>
    <n v="0"/>
    <n v="0"/>
    <n v="0"/>
    <n v="3381.15"/>
    <x v="0"/>
    <x v="0"/>
    <x v="1"/>
    <x v="0"/>
    <x v="1"/>
    <s v="Yes"/>
    <x v="0"/>
    <x v="1"/>
    <n v="3"/>
    <n v="3122.7"/>
    <x v="1"/>
    <x v="2"/>
  </r>
  <r>
    <s v="T00279"/>
    <s v="E0071"/>
    <s v="London"/>
    <x v="1"/>
    <s v="Manager"/>
    <s v="Conference / Event"/>
    <d v="2026-05-10T00:00:00"/>
    <d v="2026-05-23T00:00:00"/>
    <d v="2026-05-26T00:00:00"/>
    <x v="2"/>
    <s v="London"/>
    <x v="16"/>
    <x v="1"/>
    <x v="1"/>
    <s v="Economy"/>
    <n v="1486"/>
    <n v="13"/>
    <x v="0"/>
    <x v="0"/>
    <s v="A01"/>
    <s v="H05"/>
    <n v="509.58"/>
    <n v="0"/>
    <x v="0"/>
    <n v="185.36"/>
    <n v="370.72"/>
    <n v="30.5"/>
    <n v="910.8"/>
    <x v="0"/>
    <x v="0"/>
    <n v="0"/>
    <n v="0"/>
    <n v="0"/>
    <n v="910.8"/>
    <x v="1"/>
    <x v="1"/>
    <x v="1"/>
    <x v="0"/>
    <x v="0"/>
    <s v="No"/>
    <x v="0"/>
    <x v="1"/>
    <n v="4"/>
    <n v="222.9"/>
    <x v="1"/>
    <x v="5"/>
  </r>
  <r>
    <s v="T00280"/>
    <s v="E0072"/>
    <s v="London"/>
    <x v="5"/>
    <s v="Analyst"/>
    <s v="Other"/>
    <d v="2026-05-27T00:00:00"/>
    <d v="2026-06-10T00:00:00"/>
    <d v="2026-06-12T00:00:00"/>
    <x v="0"/>
    <s v="London"/>
    <x v="16"/>
    <x v="1"/>
    <x v="1"/>
    <s v="Economy"/>
    <n v="3326"/>
    <n v="14"/>
    <x v="0"/>
    <x v="2"/>
    <s v="A05"/>
    <s v="H01"/>
    <n v="156.02000000000001"/>
    <n v="0"/>
    <x v="2"/>
    <n v="174.72"/>
    <n v="174.72"/>
    <n v="134.77000000000001"/>
    <n v="465.51"/>
    <x v="0"/>
    <x v="0"/>
    <n v="0"/>
    <n v="0"/>
    <n v="0"/>
    <n v="465.51"/>
    <x v="0"/>
    <x v="0"/>
    <x v="1"/>
    <x v="0"/>
    <x v="1"/>
    <s v="Yes"/>
    <x v="0"/>
    <x v="1"/>
    <n v="4"/>
    <n v="498.9"/>
    <x v="2"/>
    <x v="2"/>
  </r>
  <r>
    <s v="T00281"/>
    <s v="E0072"/>
    <s v="London"/>
    <x v="5"/>
    <s v="Analyst"/>
    <s v="Internal meeting"/>
    <d v="2026-07-10T00:00:00"/>
    <d v="2026-07-31T00:00:00"/>
    <d v="2026-08-02T00:00:00"/>
    <x v="1"/>
    <s v="London"/>
    <x v="14"/>
    <x v="1"/>
    <x v="1"/>
    <s v="Economy"/>
    <n v="2298"/>
    <n v="21"/>
    <x v="3"/>
    <x v="1"/>
    <s v="A01"/>
    <s v="H02"/>
    <n v="351.88"/>
    <n v="0"/>
    <x v="2"/>
    <n v="198.05"/>
    <n v="198.05"/>
    <n v="76.540000000000006"/>
    <n v="626.47"/>
    <x v="0"/>
    <x v="0"/>
    <n v="0"/>
    <n v="0"/>
    <n v="0"/>
    <n v="626.47"/>
    <x v="1"/>
    <x v="0"/>
    <x v="1"/>
    <x v="0"/>
    <x v="0"/>
    <s v="Yes"/>
    <x v="0"/>
    <x v="1"/>
    <n v="5"/>
    <n v="344.7"/>
    <x v="1"/>
    <x v="1"/>
  </r>
  <r>
    <s v="T00282"/>
    <s v="E0072"/>
    <s v="London"/>
    <x v="5"/>
    <s v="Analyst"/>
    <s v="Client meeting"/>
    <d v="2026-05-23T00:00:00"/>
    <d v="2026-06-06T00:00:00"/>
    <d v="2026-06-08T00:00:00"/>
    <x v="0"/>
    <s v="London"/>
    <x v="14"/>
    <x v="1"/>
    <x v="1"/>
    <s v="Economy"/>
    <n v="2924"/>
    <n v="14"/>
    <x v="0"/>
    <x v="0"/>
    <s v="A02"/>
    <s v="H01"/>
    <n v="224.19"/>
    <n v="0"/>
    <x v="2"/>
    <n v="184.52"/>
    <n v="184.52"/>
    <n v="136.6"/>
    <n v="545.30999999999995"/>
    <x v="0"/>
    <x v="0"/>
    <n v="0"/>
    <n v="0"/>
    <n v="0"/>
    <n v="545.30999999999995"/>
    <x v="1"/>
    <x v="0"/>
    <x v="1"/>
    <x v="0"/>
    <x v="0"/>
    <s v="Yes"/>
    <x v="0"/>
    <x v="1"/>
    <n v="4"/>
    <n v="438.6"/>
    <x v="4"/>
    <x v="2"/>
  </r>
  <r>
    <s v="T00283"/>
    <s v="E0072"/>
    <s v="London"/>
    <x v="5"/>
    <s v="Analyst"/>
    <s v="Recruitment / Interview"/>
    <d v="2026-07-13T00:00:00"/>
    <d v="2026-07-18T00:00:00"/>
    <d v="2026-07-21T00:00:00"/>
    <x v="1"/>
    <s v="London"/>
    <x v="7"/>
    <x v="1"/>
    <x v="1"/>
    <s v="Premium Economy"/>
    <n v="11688"/>
    <n v="5"/>
    <x v="4"/>
    <x v="3"/>
    <s v="A01"/>
    <s v="H04"/>
    <n v="1232.75"/>
    <n v="0"/>
    <x v="0"/>
    <n v="131.76499999999999"/>
    <n v="263.52999999999997"/>
    <n v="88.13"/>
    <n v="1584.41"/>
    <x v="0"/>
    <x v="0"/>
    <n v="0"/>
    <n v="0"/>
    <n v="0"/>
    <n v="1584.41"/>
    <x v="0"/>
    <x v="0"/>
    <x v="1"/>
    <x v="1"/>
    <x v="1"/>
    <s v="Yes"/>
    <x v="0"/>
    <x v="1"/>
    <n v="5"/>
    <n v="1753.2"/>
    <x v="1"/>
    <x v="3"/>
  </r>
  <r>
    <s v="T00284"/>
    <s v="E0073"/>
    <s v="Glasgow"/>
    <x v="4"/>
    <s v="Manager"/>
    <s v="Project work"/>
    <d v="2026-06-15T00:00:00"/>
    <d v="2026-07-10T00:00:00"/>
    <d v="2026-07-12T00:00:00"/>
    <x v="1"/>
    <s v="Glasgow"/>
    <x v="16"/>
    <x v="1"/>
    <x v="1"/>
    <s v="Economy"/>
    <n v="2638"/>
    <n v="25"/>
    <x v="3"/>
    <x v="0"/>
    <s v="A05"/>
    <s v="H04"/>
    <n v="249.21"/>
    <n v="0"/>
    <x v="2"/>
    <n v="255.29"/>
    <n v="255.29"/>
    <n v="103.47"/>
    <n v="607.97"/>
    <x v="0"/>
    <x v="0"/>
    <n v="0"/>
    <n v="0"/>
    <n v="0"/>
    <n v="607.97"/>
    <x v="1"/>
    <x v="0"/>
    <x v="1"/>
    <x v="0"/>
    <x v="0"/>
    <s v="Yes"/>
    <x v="0"/>
    <x v="1"/>
    <n v="4"/>
    <n v="395.7"/>
    <x v="2"/>
    <x v="3"/>
  </r>
  <r>
    <s v="T00285"/>
    <s v="E0073"/>
    <s v="Glasgow"/>
    <x v="4"/>
    <s v="Manager"/>
    <s v="Client meeting"/>
    <d v="2026-05-11T00:00:00"/>
    <d v="2026-05-20T00:00:00"/>
    <d v="2026-05-25T00:00:00"/>
    <x v="2"/>
    <s v="Glasgow"/>
    <x v="15"/>
    <x v="1"/>
    <x v="1"/>
    <s v="Economy"/>
    <n v="3122"/>
    <n v="9"/>
    <x v="0"/>
    <x v="0"/>
    <s v="A04"/>
    <s v="H04"/>
    <n v="368.85"/>
    <n v="0"/>
    <x v="3"/>
    <n v="222.91749999999999"/>
    <n v="891.67"/>
    <n v="34.630000000000003"/>
    <n v="1295.1500000000001"/>
    <x v="0"/>
    <x v="0"/>
    <n v="0"/>
    <n v="0"/>
    <n v="0"/>
    <n v="1295.1500000000001"/>
    <x v="1"/>
    <x v="0"/>
    <x v="1"/>
    <x v="0"/>
    <x v="0"/>
    <s v="Yes"/>
    <x v="0"/>
    <x v="1"/>
    <n v="4"/>
    <n v="468.3"/>
    <x v="3"/>
    <x v="3"/>
  </r>
  <r>
    <s v="T00286"/>
    <s v="E0073"/>
    <s v="Glasgow"/>
    <x v="4"/>
    <s v="Manager"/>
    <s v="Client meeting"/>
    <d v="2026-04-29T00:00:00"/>
    <d v="2026-05-25T00:00:00"/>
    <d v="2026-05-28T00:00:00"/>
    <x v="2"/>
    <s v="Glasgow"/>
    <x v="1"/>
    <x v="1"/>
    <x v="1"/>
    <s v="Economy"/>
    <n v="1784"/>
    <n v="26"/>
    <x v="3"/>
    <x v="0"/>
    <s v="A04"/>
    <s v="H01"/>
    <n v="362.75"/>
    <n v="0"/>
    <x v="0"/>
    <n v="189.55"/>
    <n v="379.1"/>
    <n v="107.32"/>
    <n v="849.17"/>
    <x v="0"/>
    <x v="1"/>
    <n v="0"/>
    <n v="38.340000000000003"/>
    <n v="0"/>
    <n v="887.51"/>
    <x v="1"/>
    <x v="0"/>
    <x v="1"/>
    <x v="0"/>
    <x v="0"/>
    <s v="Yes"/>
    <x v="0"/>
    <x v="1"/>
    <n v="4"/>
    <n v="267.60000000000002"/>
    <x v="3"/>
    <x v="2"/>
  </r>
  <r>
    <s v="T00287"/>
    <s v="E0073"/>
    <s v="Glasgow"/>
    <x v="4"/>
    <s v="Manager"/>
    <s v="Other"/>
    <d v="2026-07-16T00:00:00"/>
    <d v="2026-07-18T00:00:00"/>
    <d v="2026-07-21T00:00:00"/>
    <x v="1"/>
    <s v="Glasgow"/>
    <x v="7"/>
    <x v="1"/>
    <x v="1"/>
    <s v="Economy"/>
    <n v="12164"/>
    <n v="2"/>
    <x v="1"/>
    <x v="0"/>
    <s v="A07"/>
    <s v="H02"/>
    <n v="808.78"/>
    <n v="0"/>
    <x v="0"/>
    <n v="166.01499999999999"/>
    <n v="332.03"/>
    <n v="75.42"/>
    <n v="1216.23"/>
    <x v="0"/>
    <x v="0"/>
    <n v="0"/>
    <n v="0"/>
    <n v="0"/>
    <n v="1216.23"/>
    <x v="0"/>
    <x v="0"/>
    <x v="1"/>
    <x v="0"/>
    <x v="0"/>
    <s v="Yes"/>
    <x v="0"/>
    <x v="0"/>
    <n v="4"/>
    <n v="1824.6"/>
    <x v="5"/>
    <x v="1"/>
  </r>
  <r>
    <s v="T00288"/>
    <s v="E0074"/>
    <s v="London"/>
    <x v="5"/>
    <s v="Consultant"/>
    <s v="Recruitment / Interview"/>
    <d v="2026-07-08T00:00:00"/>
    <d v="2026-07-26T00:00:00"/>
    <d v="2026-07-29T00:00:00"/>
    <x v="1"/>
    <s v="London"/>
    <x v="12"/>
    <x v="1"/>
    <x v="1"/>
    <s v="Economy"/>
    <n v="1292"/>
    <n v="18"/>
    <x v="3"/>
    <x v="0"/>
    <s v="A02"/>
    <s v="H02"/>
    <n v="304.7"/>
    <n v="0"/>
    <x v="0"/>
    <n v="158.84"/>
    <n v="317.68"/>
    <n v="65.62"/>
    <n v="688"/>
    <x v="0"/>
    <x v="0"/>
    <n v="0"/>
    <n v="0"/>
    <n v="0"/>
    <n v="688"/>
    <x v="0"/>
    <x v="0"/>
    <x v="1"/>
    <x v="0"/>
    <x v="0"/>
    <s v="Yes"/>
    <x v="1"/>
    <x v="0"/>
    <n v="4"/>
    <n v="193.8"/>
    <x v="4"/>
    <x v="1"/>
  </r>
  <r>
    <s v="T00289"/>
    <s v="E0075"/>
    <s v="Glasgow"/>
    <x v="1"/>
    <s v="Manager"/>
    <s v="Training"/>
    <d v="2026-05-21T00:00:00"/>
    <d v="2026-06-01T00:00:00"/>
    <d v="2026-06-05T00:00:00"/>
    <x v="0"/>
    <s v="Glasgow"/>
    <x v="14"/>
    <x v="1"/>
    <x v="1"/>
    <s v="Economy"/>
    <n v="2248"/>
    <n v="11"/>
    <x v="0"/>
    <x v="1"/>
    <s v="A03"/>
    <s v="H01"/>
    <n v="529.96"/>
    <n v="0"/>
    <x v="1"/>
    <n v="208.17333333333332"/>
    <n v="624.52"/>
    <n v="101.7"/>
    <n v="1256.18"/>
    <x v="0"/>
    <x v="0"/>
    <n v="0"/>
    <n v="0"/>
    <n v="0"/>
    <n v="1256.18"/>
    <x v="1"/>
    <x v="0"/>
    <x v="1"/>
    <x v="0"/>
    <x v="0"/>
    <s v="Yes"/>
    <x v="0"/>
    <x v="1"/>
    <n v="5"/>
    <n v="337.2"/>
    <x v="7"/>
    <x v="2"/>
  </r>
  <r>
    <s v="T00290"/>
    <s v="E0075"/>
    <s v="Glasgow"/>
    <x v="1"/>
    <s v="Manager"/>
    <s v="Conference / Event"/>
    <d v="2026-07-16T00:00:00"/>
    <d v="2026-07-30T00:00:00"/>
    <d v="2026-08-03T00:00:00"/>
    <x v="1"/>
    <s v="Glasgow"/>
    <x v="7"/>
    <x v="1"/>
    <x v="1"/>
    <s v="Economy"/>
    <n v="10232"/>
    <n v="14"/>
    <x v="0"/>
    <x v="0"/>
    <s v="A01"/>
    <s v="H04"/>
    <n v="1270.8800000000001"/>
    <n v="0"/>
    <x v="1"/>
    <n v="187.54"/>
    <n v="562.62"/>
    <n v="50.57"/>
    <n v="1884.07"/>
    <x v="0"/>
    <x v="0"/>
    <n v="0"/>
    <n v="0"/>
    <n v="0"/>
    <n v="1884.07"/>
    <x v="0"/>
    <x v="0"/>
    <x v="1"/>
    <x v="0"/>
    <x v="0"/>
    <s v="Yes"/>
    <x v="0"/>
    <x v="0"/>
    <n v="4"/>
    <n v="1534.8"/>
    <x v="1"/>
    <x v="3"/>
  </r>
  <r>
    <s v="T00291"/>
    <s v="E0075"/>
    <s v="Glasgow"/>
    <x v="1"/>
    <s v="Manager"/>
    <s v="Recruitment / Interview"/>
    <d v="2026-05-05T00:00:00"/>
    <d v="2026-05-10T00:00:00"/>
    <d v="2026-05-13T00:00:00"/>
    <x v="2"/>
    <s v="Glasgow"/>
    <x v="9"/>
    <x v="1"/>
    <x v="1"/>
    <s v="Economy"/>
    <n v="2604"/>
    <n v="5"/>
    <x v="4"/>
    <x v="0"/>
    <s v="A10"/>
    <s v="H02"/>
    <n v="331.54"/>
    <n v="0"/>
    <x v="0"/>
    <n v="111.95"/>
    <n v="223.9"/>
    <n v="87.84"/>
    <n v="643.28"/>
    <x v="0"/>
    <x v="0"/>
    <n v="0"/>
    <n v="0"/>
    <n v="0"/>
    <n v="643.28"/>
    <x v="0"/>
    <x v="0"/>
    <x v="1"/>
    <x v="0"/>
    <x v="0"/>
    <s v="Yes"/>
    <x v="0"/>
    <x v="0"/>
    <n v="5"/>
    <n v="390.6"/>
    <x v="6"/>
    <x v="1"/>
  </r>
  <r>
    <s v="T00292"/>
    <s v="E0076"/>
    <s v="London"/>
    <x v="4"/>
    <s v="Analyst"/>
    <s v="Project work"/>
    <d v="2026-05-30T00:00:00"/>
    <d v="2026-06-12T00:00:00"/>
    <d v="2026-06-15T00:00:00"/>
    <x v="0"/>
    <s v="London"/>
    <x v="9"/>
    <x v="1"/>
    <x v="1"/>
    <s v="Economy"/>
    <n v="3324"/>
    <n v="13"/>
    <x v="0"/>
    <x v="0"/>
    <s v="A01"/>
    <s v="H01"/>
    <n v="506.17"/>
    <n v="0"/>
    <x v="0"/>
    <n v="213.405"/>
    <n v="426.81"/>
    <n v="93.22"/>
    <n v="1026.2"/>
    <x v="1"/>
    <x v="0"/>
    <n v="25.72"/>
    <n v="0"/>
    <n v="0"/>
    <n v="1051.92"/>
    <x v="1"/>
    <x v="0"/>
    <x v="1"/>
    <x v="0"/>
    <x v="0"/>
    <s v="Yes"/>
    <x v="0"/>
    <x v="1"/>
    <n v="5"/>
    <n v="498.6"/>
    <x v="1"/>
    <x v="2"/>
  </r>
  <r>
    <s v="T00293"/>
    <s v="E0076"/>
    <s v="London"/>
    <x v="4"/>
    <s v="Analyst"/>
    <s v="Recruitment / Interview"/>
    <d v="2026-04-26T00:00:00"/>
    <d v="2026-05-12T00:00:00"/>
    <d v="2026-05-16T00:00:00"/>
    <x v="2"/>
    <s v="London"/>
    <x v="4"/>
    <x v="1"/>
    <x v="1"/>
    <s v="Economy"/>
    <n v="2862"/>
    <n v="16"/>
    <x v="3"/>
    <x v="0"/>
    <s v="A01"/>
    <s v="H01"/>
    <n v="418.66"/>
    <n v="0"/>
    <x v="1"/>
    <n v="167.15333333333334"/>
    <n v="501.46"/>
    <n v="56.32"/>
    <n v="976.44"/>
    <x v="0"/>
    <x v="0"/>
    <n v="0"/>
    <n v="0"/>
    <n v="0"/>
    <n v="976.44"/>
    <x v="0"/>
    <x v="0"/>
    <x v="1"/>
    <x v="0"/>
    <x v="0"/>
    <s v="Yes"/>
    <x v="0"/>
    <x v="0"/>
    <n v="5"/>
    <n v="429.3"/>
    <x v="1"/>
    <x v="2"/>
  </r>
  <r>
    <s v="T00294"/>
    <s v="E0076"/>
    <s v="London"/>
    <x v="4"/>
    <s v="Analyst"/>
    <s v="Client meeting"/>
    <d v="2026-05-27T00:00:00"/>
    <d v="2026-06-04T00:00:00"/>
    <d v="2026-06-07T00:00:00"/>
    <x v="0"/>
    <s v="London"/>
    <x v="14"/>
    <x v="1"/>
    <x v="1"/>
    <s v="Economy"/>
    <n v="2926"/>
    <n v="8"/>
    <x v="0"/>
    <x v="3"/>
    <s v="A01"/>
    <s v="H03"/>
    <n v="621.84"/>
    <n v="0"/>
    <x v="0"/>
    <n v="154.04499999999999"/>
    <n v="308.08999999999997"/>
    <n v="79.760000000000005"/>
    <n v="1009.69"/>
    <x v="0"/>
    <x v="0"/>
    <n v="0"/>
    <n v="0"/>
    <n v="0"/>
    <n v="1009.69"/>
    <x v="0"/>
    <x v="0"/>
    <x v="1"/>
    <x v="0"/>
    <x v="1"/>
    <s v="Yes"/>
    <x v="0"/>
    <x v="1"/>
    <n v="4"/>
    <n v="438.9"/>
    <x v="1"/>
    <x v="4"/>
  </r>
  <r>
    <s v="T00295"/>
    <s v="E0076"/>
    <s v="London"/>
    <x v="4"/>
    <s v="Analyst"/>
    <s v="Client meeting"/>
    <d v="2026-05-22T00:00:00"/>
    <d v="2026-05-23T00:00:00"/>
    <d v="2026-05-26T00:00:00"/>
    <x v="2"/>
    <s v="London"/>
    <x v="9"/>
    <x v="1"/>
    <x v="1"/>
    <s v="Economy"/>
    <n v="3278"/>
    <n v="1"/>
    <x v="1"/>
    <x v="1"/>
    <s v="A06"/>
    <s v="H02"/>
    <n v="418.11"/>
    <n v="0"/>
    <x v="0"/>
    <n v="207.89500000000001"/>
    <n v="415.79"/>
    <n v="42.39"/>
    <n v="876.29"/>
    <x v="0"/>
    <x v="0"/>
    <n v="0"/>
    <n v="0"/>
    <n v="0"/>
    <n v="876.29"/>
    <x v="1"/>
    <x v="0"/>
    <x v="2"/>
    <x v="0"/>
    <x v="0"/>
    <s v="No"/>
    <x v="0"/>
    <x v="1"/>
    <n v="4"/>
    <n v="491.7"/>
    <x v="9"/>
    <x v="1"/>
  </r>
  <r>
    <s v="T00296"/>
    <s v="E0076"/>
    <s v="London"/>
    <x v="4"/>
    <s v="Analyst"/>
    <s v="Client meeting"/>
    <d v="2026-05-27T00:00:00"/>
    <d v="2026-06-16T00:00:00"/>
    <d v="2026-06-19T00:00:00"/>
    <x v="0"/>
    <s v="London"/>
    <x v="1"/>
    <x v="1"/>
    <x v="1"/>
    <s v="Economy"/>
    <n v="2608"/>
    <n v="20"/>
    <x v="3"/>
    <x v="3"/>
    <s v="A01"/>
    <s v="H02"/>
    <n v="557.39"/>
    <n v="0"/>
    <x v="0"/>
    <n v="148.97"/>
    <n v="297.94"/>
    <n v="124.42"/>
    <n v="979.75"/>
    <x v="1"/>
    <x v="0"/>
    <n v="106.03"/>
    <n v="0"/>
    <n v="0"/>
    <n v="1085.78"/>
    <x v="0"/>
    <x v="0"/>
    <x v="1"/>
    <x v="0"/>
    <x v="1"/>
    <s v="Yes"/>
    <x v="0"/>
    <x v="1"/>
    <n v="4"/>
    <n v="391.2"/>
    <x v="1"/>
    <x v="1"/>
  </r>
  <r>
    <s v="T00297"/>
    <s v="E0077"/>
    <s v="London"/>
    <x v="0"/>
    <s v="Senior Manager"/>
    <s v="Conference / Event"/>
    <d v="2026-05-25T00:00:00"/>
    <d v="2026-05-28T00:00:00"/>
    <d v="2026-06-01T00:00:00"/>
    <x v="2"/>
    <s v="London"/>
    <x v="15"/>
    <x v="1"/>
    <x v="1"/>
    <s v="Economy"/>
    <n v="1420"/>
    <n v="3"/>
    <x v="1"/>
    <x v="0"/>
    <s v="A03"/>
    <s v="H03"/>
    <n v="379.12"/>
    <n v="0"/>
    <x v="1"/>
    <n v="141.25666666666666"/>
    <n v="423.77"/>
    <n v="119.52"/>
    <n v="922.41"/>
    <x v="1"/>
    <x v="0"/>
    <n v="73.06"/>
    <n v="0"/>
    <n v="0"/>
    <n v="995.47"/>
    <x v="0"/>
    <x v="0"/>
    <x v="1"/>
    <x v="0"/>
    <x v="0"/>
    <s v="Yes"/>
    <x v="0"/>
    <x v="0"/>
    <n v="5"/>
    <n v="213"/>
    <x v="7"/>
    <x v="4"/>
  </r>
  <r>
    <s v="T00298"/>
    <s v="E0077"/>
    <s v="London"/>
    <x v="0"/>
    <s v="Senior Manager"/>
    <s v="Project work"/>
    <d v="2026-05-28T00:00:00"/>
    <d v="2026-06-15T00:00:00"/>
    <d v="2026-06-20T00:00:00"/>
    <x v="0"/>
    <s v="London"/>
    <x v="21"/>
    <x v="1"/>
    <x v="1"/>
    <s v="Economy"/>
    <n v="11738"/>
    <n v="18"/>
    <x v="3"/>
    <x v="2"/>
    <s v="A07"/>
    <s v="H01"/>
    <n v="1436.52"/>
    <n v="0"/>
    <x v="3"/>
    <n v="208.86"/>
    <n v="835.44"/>
    <n v="129.79"/>
    <n v="2401.75"/>
    <x v="0"/>
    <x v="1"/>
    <n v="0"/>
    <n v="84.92"/>
    <n v="567.99"/>
    <n v="1918.68"/>
    <x v="1"/>
    <x v="0"/>
    <x v="1"/>
    <x v="0"/>
    <x v="1"/>
    <s v="Yes"/>
    <x v="0"/>
    <x v="1"/>
    <n v="3"/>
    <n v="1760.7"/>
    <x v="5"/>
    <x v="2"/>
  </r>
  <r>
    <s v="T00299"/>
    <s v="E0077"/>
    <s v="London"/>
    <x v="0"/>
    <s v="Senior Manager"/>
    <s v="Internal meeting"/>
    <d v="2026-04-24T00:00:00"/>
    <d v="2026-05-08T00:00:00"/>
    <d v="2026-05-13T00:00:00"/>
    <x v="2"/>
    <s v="London"/>
    <x v="16"/>
    <x v="1"/>
    <x v="1"/>
    <s v="Premium Economy"/>
    <n v="2984"/>
    <n v="14"/>
    <x v="0"/>
    <x v="0"/>
    <s v="A02"/>
    <s v="H03"/>
    <n v="514.5"/>
    <n v="0"/>
    <x v="3"/>
    <n v="113.67749999999999"/>
    <n v="454.71"/>
    <n v="104.06"/>
    <n v="1073.27"/>
    <x v="0"/>
    <x v="0"/>
    <n v="0"/>
    <n v="0"/>
    <n v="0"/>
    <n v="1073.27"/>
    <x v="0"/>
    <x v="0"/>
    <x v="1"/>
    <x v="1"/>
    <x v="0"/>
    <s v="Yes"/>
    <x v="0"/>
    <x v="1"/>
    <n v="4"/>
    <n v="447.6"/>
    <x v="4"/>
    <x v="4"/>
  </r>
  <r>
    <s v="T00300"/>
    <s v="E0077"/>
    <s v="London"/>
    <x v="0"/>
    <s v="Senior Manager"/>
    <s v="Internal meeting"/>
    <d v="2026-07-01T00:00:00"/>
    <d v="2026-07-15T00:00:00"/>
    <d v="2026-07-17T00:00:00"/>
    <x v="1"/>
    <s v="London"/>
    <x v="1"/>
    <x v="1"/>
    <x v="1"/>
    <s v="Economy"/>
    <n v="2096"/>
    <n v="14"/>
    <x v="0"/>
    <x v="1"/>
    <s v="A04"/>
    <s v="H01"/>
    <n v="201.09"/>
    <n v="0"/>
    <x v="2"/>
    <n v="200.75"/>
    <n v="200.75"/>
    <n v="85.75"/>
    <n v="487.59"/>
    <x v="0"/>
    <x v="0"/>
    <n v="0"/>
    <n v="0"/>
    <n v="0"/>
    <n v="487.59"/>
    <x v="1"/>
    <x v="0"/>
    <x v="1"/>
    <x v="0"/>
    <x v="0"/>
    <s v="Yes"/>
    <x v="1"/>
    <x v="1"/>
    <n v="4"/>
    <n v="314.39999999999998"/>
    <x v="3"/>
    <x v="2"/>
  </r>
  <r>
    <s v="T00301"/>
    <s v="E0078"/>
    <s v="Birmingham"/>
    <x v="4"/>
    <s v="Analyst"/>
    <s v="Internal meeting"/>
    <d v="2026-06-01T00:00:00"/>
    <d v="2026-06-02T00:00:00"/>
    <d v="2026-06-04T00:00:00"/>
    <x v="0"/>
    <s v="Birmingham"/>
    <x v="17"/>
    <x v="0"/>
    <x v="0"/>
    <s v="Standard / 2nd Class"/>
    <n v="782"/>
    <n v="1"/>
    <x v="1"/>
    <x v="2"/>
    <m/>
    <s v="H01"/>
    <n v="0"/>
    <n v="174.55"/>
    <x v="2"/>
    <n v="136.99"/>
    <n v="136.99"/>
    <n v="46.12"/>
    <n v="357.66"/>
    <x v="0"/>
    <x v="0"/>
    <n v="0"/>
    <n v="0"/>
    <n v="0"/>
    <n v="357.66"/>
    <x v="0"/>
    <x v="0"/>
    <x v="0"/>
    <x v="0"/>
    <x v="1"/>
    <s v="Yes"/>
    <x v="0"/>
    <x v="1"/>
    <n v="5"/>
    <n v="31.3"/>
    <x v="0"/>
    <x v="2"/>
  </r>
  <r>
    <s v="T00302"/>
    <s v="E0078"/>
    <s v="Birmingham"/>
    <x v="4"/>
    <s v="Analyst"/>
    <s v="Internal meeting"/>
    <d v="2026-04-21T00:00:00"/>
    <d v="2026-05-18T00:00:00"/>
    <d v="2026-05-22T00:00:00"/>
    <x v="2"/>
    <s v="Birmingham"/>
    <x v="22"/>
    <x v="0"/>
    <x v="0"/>
    <s v="Standard / 2nd Class"/>
    <n v="852"/>
    <n v="27"/>
    <x v="3"/>
    <x v="0"/>
    <m/>
    <s v="H06"/>
    <n v="0"/>
    <n v="279.55"/>
    <x v="1"/>
    <n v="173.82000000000002"/>
    <n v="521.46"/>
    <n v="101.55"/>
    <n v="902.56"/>
    <x v="0"/>
    <x v="0"/>
    <n v="0"/>
    <n v="0"/>
    <n v="0"/>
    <n v="902.56"/>
    <x v="0"/>
    <x v="0"/>
    <x v="0"/>
    <x v="0"/>
    <x v="0"/>
    <s v="Yes"/>
    <x v="0"/>
    <x v="0"/>
    <n v="5"/>
    <n v="34.1"/>
    <x v="0"/>
    <x v="0"/>
  </r>
  <r>
    <s v="T00303"/>
    <s v="E0078"/>
    <s v="Birmingham"/>
    <x v="4"/>
    <s v="Analyst"/>
    <s v="Client meeting"/>
    <d v="2026-06-20T00:00:00"/>
    <d v="2026-07-13T00:00:00"/>
    <d v="2026-07-17T00:00:00"/>
    <x v="1"/>
    <s v="Birmingham"/>
    <x v="14"/>
    <x v="1"/>
    <x v="1"/>
    <s v="Economy"/>
    <n v="1482"/>
    <n v="23"/>
    <x v="3"/>
    <x v="3"/>
    <s v="A03"/>
    <s v="H01"/>
    <n v="536"/>
    <n v="0"/>
    <x v="1"/>
    <n v="233.05999999999997"/>
    <n v="699.18"/>
    <n v="78.88"/>
    <n v="1314.06"/>
    <x v="0"/>
    <x v="0"/>
    <n v="0"/>
    <n v="0"/>
    <n v="0"/>
    <n v="1314.06"/>
    <x v="1"/>
    <x v="0"/>
    <x v="1"/>
    <x v="0"/>
    <x v="1"/>
    <s v="Yes"/>
    <x v="0"/>
    <x v="1"/>
    <n v="4"/>
    <n v="222.3"/>
    <x v="7"/>
    <x v="2"/>
  </r>
  <r>
    <s v="T00304"/>
    <s v="E0078"/>
    <s v="Birmingham"/>
    <x v="4"/>
    <s v="Analyst"/>
    <s v="Project work"/>
    <d v="2026-06-19T00:00:00"/>
    <d v="2026-07-18T00:00:00"/>
    <d v="2026-07-20T00:00:00"/>
    <x v="1"/>
    <s v="Birmingham"/>
    <x v="22"/>
    <x v="0"/>
    <x v="1"/>
    <s v="Premium Economy"/>
    <n v="718"/>
    <n v="29"/>
    <x v="3"/>
    <x v="0"/>
    <s v="A02"/>
    <s v="H02"/>
    <n v="342.17"/>
    <n v="0"/>
    <x v="2"/>
    <n v="97.7"/>
    <n v="97.7"/>
    <n v="80.37"/>
    <n v="520.24"/>
    <x v="0"/>
    <x v="0"/>
    <n v="0"/>
    <n v="0"/>
    <n v="0"/>
    <n v="520.24"/>
    <x v="0"/>
    <x v="0"/>
    <x v="1"/>
    <x v="1"/>
    <x v="0"/>
    <s v="Yes"/>
    <x v="0"/>
    <x v="1"/>
    <n v="4"/>
    <n v="107.7"/>
    <x v="4"/>
    <x v="1"/>
  </r>
  <r>
    <s v="T00305"/>
    <s v="E0078"/>
    <s v="Birmingham"/>
    <x v="4"/>
    <s v="Analyst"/>
    <s v="Client meeting"/>
    <d v="2026-06-30T00:00:00"/>
    <d v="2026-07-18T00:00:00"/>
    <d v="2026-07-20T00:00:00"/>
    <x v="1"/>
    <s v="Birmingham"/>
    <x v="19"/>
    <x v="1"/>
    <x v="1"/>
    <s v="Economy"/>
    <n v="3440"/>
    <n v="18"/>
    <x v="3"/>
    <x v="0"/>
    <s v="A04"/>
    <s v="H02"/>
    <n v="416.32"/>
    <n v="0"/>
    <x v="2"/>
    <n v="239.14"/>
    <n v="239.14"/>
    <n v="77.63"/>
    <n v="733.09"/>
    <x v="0"/>
    <x v="0"/>
    <n v="0"/>
    <n v="0"/>
    <n v="0"/>
    <n v="733.09"/>
    <x v="1"/>
    <x v="0"/>
    <x v="1"/>
    <x v="0"/>
    <x v="0"/>
    <s v="Yes"/>
    <x v="0"/>
    <x v="1"/>
    <n v="4"/>
    <n v="516"/>
    <x v="3"/>
    <x v="1"/>
  </r>
  <r>
    <s v="T00306"/>
    <s v="E0079"/>
    <s v="Newcastle"/>
    <x v="1"/>
    <s v="Manager"/>
    <s v="Project work"/>
    <d v="2026-06-26T00:00:00"/>
    <d v="2026-07-11T00:00:00"/>
    <d v="2026-07-13T00:00:00"/>
    <x v="1"/>
    <s v="Newcastle"/>
    <x v="1"/>
    <x v="1"/>
    <x v="1"/>
    <s v="Economy"/>
    <n v="2472"/>
    <n v="15"/>
    <x v="3"/>
    <x v="0"/>
    <s v="A02"/>
    <s v="H02"/>
    <n v="263.85000000000002"/>
    <n v="0"/>
    <x v="2"/>
    <n v="89.95"/>
    <n v="89.95"/>
    <n v="75.17"/>
    <n v="428.97"/>
    <x v="0"/>
    <x v="0"/>
    <n v="0"/>
    <n v="0"/>
    <n v="0"/>
    <n v="428.97"/>
    <x v="0"/>
    <x v="0"/>
    <x v="1"/>
    <x v="0"/>
    <x v="0"/>
    <s v="Yes"/>
    <x v="0"/>
    <x v="0"/>
    <n v="4"/>
    <n v="370.8"/>
    <x v="4"/>
    <x v="1"/>
  </r>
  <r>
    <s v="T00307"/>
    <s v="E0079"/>
    <s v="Newcastle"/>
    <x v="1"/>
    <s v="Manager"/>
    <s v="Internal meeting"/>
    <d v="2026-04-17T00:00:00"/>
    <d v="2026-05-14T00:00:00"/>
    <d v="2026-05-15T00:00:00"/>
    <x v="2"/>
    <s v="Newcastle"/>
    <x v="6"/>
    <x v="0"/>
    <x v="0"/>
    <s v="Standard / 2nd Class"/>
    <n v="864"/>
    <n v="27"/>
    <x v="3"/>
    <x v="2"/>
    <m/>
    <m/>
    <n v="0"/>
    <n v="257.31"/>
    <x v="5"/>
    <n v="0"/>
    <n v="0"/>
    <n v="76.739999999999995"/>
    <n v="334.05"/>
    <x v="0"/>
    <x v="0"/>
    <n v="0"/>
    <n v="0"/>
    <n v="0"/>
    <n v="334.05"/>
    <x v="2"/>
    <x v="2"/>
    <x v="0"/>
    <x v="0"/>
    <x v="1"/>
    <s v="Yes"/>
    <x v="0"/>
    <x v="1"/>
    <n v="4"/>
    <n v="34.6"/>
    <x v="0"/>
    <x v="7"/>
  </r>
  <r>
    <s v="T00308"/>
    <s v="E0080"/>
    <s v="Cardiff"/>
    <x v="0"/>
    <s v="Senior Manager"/>
    <s v="Internal meeting"/>
    <d v="2026-05-06T00:00:00"/>
    <d v="2026-05-18T00:00:00"/>
    <d v="2026-05-21T00:00:00"/>
    <x v="2"/>
    <s v="Cardiff"/>
    <x v="9"/>
    <x v="1"/>
    <x v="1"/>
    <s v="Economy"/>
    <n v="1352"/>
    <n v="12"/>
    <x v="0"/>
    <x v="3"/>
    <s v="A01"/>
    <s v="H05"/>
    <n v="534.57000000000005"/>
    <n v="0"/>
    <x v="0"/>
    <n v="171.06"/>
    <n v="342.12"/>
    <n v="73.05"/>
    <n v="949.74"/>
    <x v="0"/>
    <x v="0"/>
    <n v="0"/>
    <n v="0"/>
    <n v="0"/>
    <n v="949.74"/>
    <x v="0"/>
    <x v="1"/>
    <x v="1"/>
    <x v="0"/>
    <x v="1"/>
    <s v="No"/>
    <x v="0"/>
    <x v="1"/>
    <n v="4"/>
    <n v="202.8"/>
    <x v="1"/>
    <x v="5"/>
  </r>
  <r>
    <s v="T00309"/>
    <s v="E0080"/>
    <s v="Cardiff"/>
    <x v="0"/>
    <s v="Senior Manager"/>
    <s v="Conference / Event"/>
    <d v="2026-04-30T00:00:00"/>
    <d v="2026-05-01T00:00:00"/>
    <d v="2026-05-06T00:00:00"/>
    <x v="2"/>
    <s v="Cardiff"/>
    <x v="7"/>
    <x v="1"/>
    <x v="1"/>
    <s v="Economy"/>
    <n v="12248"/>
    <n v="1"/>
    <x v="1"/>
    <x v="0"/>
    <s v="A01"/>
    <s v="H04"/>
    <n v="1295.29"/>
    <n v="0"/>
    <x v="3"/>
    <n v="140.82249999999999"/>
    <n v="563.29"/>
    <n v="128.97999999999999"/>
    <n v="1987.56"/>
    <x v="0"/>
    <x v="0"/>
    <n v="0"/>
    <n v="0"/>
    <n v="0"/>
    <n v="1987.56"/>
    <x v="0"/>
    <x v="0"/>
    <x v="1"/>
    <x v="0"/>
    <x v="0"/>
    <s v="Yes"/>
    <x v="0"/>
    <x v="0"/>
    <n v="5"/>
    <n v="1837.2"/>
    <x v="1"/>
    <x v="3"/>
  </r>
  <r>
    <s v="T00310"/>
    <s v="E0080"/>
    <s v="Cardiff"/>
    <x v="0"/>
    <s v="Senior Manager"/>
    <s v="Project work"/>
    <d v="2026-07-13T00:00:00"/>
    <d v="2026-07-14T00:00:00"/>
    <d v="2026-07-21T00:00:00"/>
    <x v="1"/>
    <s v="Cardiff"/>
    <x v="5"/>
    <x v="1"/>
    <x v="1"/>
    <s v="Economy"/>
    <n v="16742"/>
    <n v="1"/>
    <x v="1"/>
    <x v="1"/>
    <s v="A08"/>
    <s v="H01"/>
    <n v="2200.64"/>
    <n v="0"/>
    <x v="7"/>
    <n v="182.17999999999998"/>
    <n v="1093.08"/>
    <n v="137.15"/>
    <n v="3430.87"/>
    <x v="1"/>
    <x v="0"/>
    <n v="40.32"/>
    <n v="0"/>
    <n v="0"/>
    <n v="3471.19"/>
    <x v="0"/>
    <x v="0"/>
    <x v="1"/>
    <x v="0"/>
    <x v="0"/>
    <s v="Yes"/>
    <x v="0"/>
    <x v="0"/>
    <n v="4"/>
    <n v="2511.3000000000002"/>
    <x v="10"/>
    <x v="2"/>
  </r>
  <r>
    <s v="T00311"/>
    <s v="E0081"/>
    <s v="Manchester"/>
    <x v="4"/>
    <s v="Analyst"/>
    <s v="Internal meeting"/>
    <d v="2026-07-10T00:00:00"/>
    <d v="2026-07-22T00:00:00"/>
    <d v="2026-07-25T00:00:00"/>
    <x v="1"/>
    <s v="Manchester"/>
    <x v="3"/>
    <x v="1"/>
    <x v="1"/>
    <s v="Economy"/>
    <n v="3462"/>
    <n v="12"/>
    <x v="0"/>
    <x v="1"/>
    <s v="A01"/>
    <s v="H05"/>
    <n v="556.87"/>
    <n v="0"/>
    <x v="0"/>
    <n v="265.79500000000002"/>
    <n v="531.59"/>
    <n v="72.7"/>
    <n v="1161.1600000000001"/>
    <x v="0"/>
    <x v="0"/>
    <n v="0"/>
    <n v="0"/>
    <n v="0"/>
    <n v="1161.1600000000001"/>
    <x v="1"/>
    <x v="1"/>
    <x v="1"/>
    <x v="0"/>
    <x v="0"/>
    <s v="No"/>
    <x v="0"/>
    <x v="1"/>
    <n v="5"/>
    <n v="519.29999999999995"/>
    <x v="1"/>
    <x v="5"/>
  </r>
  <r>
    <s v="T00312"/>
    <s v="E0082"/>
    <s v="Birmingham"/>
    <x v="3"/>
    <s v="Senior Manager"/>
    <s v="Project work"/>
    <d v="2026-06-30T00:00:00"/>
    <d v="2026-07-01T00:00:00"/>
    <d v="2026-07-05T00:00:00"/>
    <x v="1"/>
    <s v="Birmingham"/>
    <x v="16"/>
    <x v="1"/>
    <x v="1"/>
    <s v="Economy"/>
    <n v="2994"/>
    <n v="1"/>
    <x v="1"/>
    <x v="0"/>
    <s v="A01"/>
    <s v="H01"/>
    <n v="391.84"/>
    <n v="0"/>
    <x v="1"/>
    <n v="100.44"/>
    <n v="301.32"/>
    <n v="112.23"/>
    <n v="805.39"/>
    <x v="0"/>
    <x v="0"/>
    <n v="0"/>
    <n v="0"/>
    <n v="0"/>
    <n v="805.39"/>
    <x v="0"/>
    <x v="0"/>
    <x v="1"/>
    <x v="0"/>
    <x v="0"/>
    <s v="Yes"/>
    <x v="1"/>
    <x v="0"/>
    <n v="4"/>
    <n v="449.1"/>
    <x v="1"/>
    <x v="2"/>
  </r>
  <r>
    <s v="T00313"/>
    <s v="E0082"/>
    <s v="Birmingham"/>
    <x v="3"/>
    <s v="Senior Manager"/>
    <s v="Client meeting"/>
    <d v="2026-04-09T00:00:00"/>
    <d v="2026-05-09T00:00:00"/>
    <d v="2026-05-10T00:00:00"/>
    <x v="2"/>
    <s v="Birmingham"/>
    <x v="0"/>
    <x v="0"/>
    <x v="0"/>
    <s v="Standard / 2nd Class"/>
    <n v="626"/>
    <n v="30"/>
    <x v="3"/>
    <x v="1"/>
    <m/>
    <m/>
    <n v="0"/>
    <n v="192.77"/>
    <x v="5"/>
    <n v="0"/>
    <n v="0"/>
    <n v="50.4"/>
    <n v="243.17"/>
    <x v="1"/>
    <x v="0"/>
    <n v="185.68"/>
    <n v="0"/>
    <n v="0"/>
    <n v="428.85"/>
    <x v="2"/>
    <x v="2"/>
    <x v="0"/>
    <x v="0"/>
    <x v="0"/>
    <s v="Yes"/>
    <x v="0"/>
    <x v="0"/>
    <n v="4"/>
    <n v="25"/>
    <x v="0"/>
    <x v="7"/>
  </r>
  <r>
    <s v="T00314"/>
    <s v="E0082"/>
    <s v="Birmingham"/>
    <x v="3"/>
    <s v="Senior Manager"/>
    <s v="Other"/>
    <d v="2026-06-27T00:00:00"/>
    <d v="2026-06-28T00:00:00"/>
    <d v="2026-07-02T00:00:00"/>
    <x v="0"/>
    <s v="Birmingham"/>
    <x v="14"/>
    <x v="1"/>
    <x v="1"/>
    <s v="Economy"/>
    <n v="2518"/>
    <n v="1"/>
    <x v="1"/>
    <x v="1"/>
    <s v="A03"/>
    <s v="H02"/>
    <n v="427.61"/>
    <n v="0"/>
    <x v="1"/>
    <n v="94.476666666666674"/>
    <n v="283.43"/>
    <n v="124.71"/>
    <n v="835.75"/>
    <x v="0"/>
    <x v="0"/>
    <n v="0"/>
    <n v="0"/>
    <n v="0"/>
    <n v="835.75"/>
    <x v="0"/>
    <x v="0"/>
    <x v="1"/>
    <x v="0"/>
    <x v="0"/>
    <s v="Yes"/>
    <x v="0"/>
    <x v="0"/>
    <n v="4"/>
    <n v="377.7"/>
    <x v="7"/>
    <x v="1"/>
  </r>
  <r>
    <s v="T00315"/>
    <s v="E0082"/>
    <s v="Birmingham"/>
    <x v="3"/>
    <s v="Senior Manager"/>
    <s v="Project work"/>
    <d v="2026-05-20T00:00:00"/>
    <d v="2026-06-06T00:00:00"/>
    <d v="2026-06-08T00:00:00"/>
    <x v="0"/>
    <s v="Birmingham"/>
    <x v="6"/>
    <x v="0"/>
    <x v="0"/>
    <s v="Standard / 2nd Class"/>
    <n v="440"/>
    <n v="17"/>
    <x v="3"/>
    <x v="0"/>
    <m/>
    <s v="H01"/>
    <n v="0"/>
    <n v="163.19"/>
    <x v="2"/>
    <n v="120.31"/>
    <n v="120.31"/>
    <n v="20"/>
    <n v="303.5"/>
    <x v="0"/>
    <x v="0"/>
    <n v="0"/>
    <n v="0"/>
    <n v="0"/>
    <n v="303.5"/>
    <x v="0"/>
    <x v="0"/>
    <x v="0"/>
    <x v="0"/>
    <x v="0"/>
    <s v="Yes"/>
    <x v="0"/>
    <x v="0"/>
    <n v="4"/>
    <n v="17.600000000000001"/>
    <x v="0"/>
    <x v="2"/>
  </r>
  <r>
    <s v="T00316"/>
    <s v="E0082"/>
    <s v="Birmingham"/>
    <x v="3"/>
    <s v="Senior Manager"/>
    <s v="Client meeting"/>
    <d v="2026-06-30T00:00:00"/>
    <d v="2026-07-31T00:00:00"/>
    <d v="2026-08-04T00:00:00"/>
    <x v="1"/>
    <s v="Birmingham"/>
    <x v="9"/>
    <x v="1"/>
    <x v="1"/>
    <s v="Economy"/>
    <n v="1486"/>
    <n v="31"/>
    <x v="2"/>
    <x v="0"/>
    <s v="A10"/>
    <s v="H03"/>
    <n v="341.81"/>
    <n v="0"/>
    <x v="1"/>
    <n v="166.58"/>
    <n v="499.74"/>
    <n v="74.8"/>
    <n v="916.35"/>
    <x v="0"/>
    <x v="0"/>
    <n v="0"/>
    <n v="0"/>
    <n v="0"/>
    <n v="916.35"/>
    <x v="0"/>
    <x v="0"/>
    <x v="1"/>
    <x v="0"/>
    <x v="0"/>
    <s v="Yes"/>
    <x v="0"/>
    <x v="0"/>
    <n v="5"/>
    <n v="222.9"/>
    <x v="6"/>
    <x v="4"/>
  </r>
  <r>
    <s v="T00317"/>
    <s v="E0083"/>
    <s v="Bristol"/>
    <x v="3"/>
    <s v="Manager"/>
    <s v="Client meeting"/>
    <d v="2026-06-14T00:00:00"/>
    <d v="2026-07-13T00:00:00"/>
    <d v="2026-07-17T00:00:00"/>
    <x v="1"/>
    <s v="Bristol"/>
    <x v="21"/>
    <x v="1"/>
    <x v="1"/>
    <s v="Economy"/>
    <n v="10986"/>
    <n v="29"/>
    <x v="3"/>
    <x v="0"/>
    <s v="A07"/>
    <s v="H04"/>
    <n v="1421.75"/>
    <n v="0"/>
    <x v="1"/>
    <n v="188.26999999999998"/>
    <n v="564.80999999999995"/>
    <n v="116.29"/>
    <n v="2102.85"/>
    <x v="1"/>
    <x v="0"/>
    <n v="54.8"/>
    <n v="0"/>
    <n v="0"/>
    <n v="2157.65"/>
    <x v="1"/>
    <x v="0"/>
    <x v="1"/>
    <x v="0"/>
    <x v="0"/>
    <s v="Yes"/>
    <x v="1"/>
    <x v="1"/>
    <n v="4"/>
    <n v="1647.9"/>
    <x v="5"/>
    <x v="3"/>
  </r>
  <r>
    <s v="T00318"/>
    <s v="E0083"/>
    <s v="Bristol"/>
    <x v="3"/>
    <s v="Manager"/>
    <s v="Training"/>
    <d v="2026-04-22T00:00:00"/>
    <d v="2026-05-20T00:00:00"/>
    <d v="2026-05-23T00:00:00"/>
    <x v="2"/>
    <s v="Bristol"/>
    <x v="16"/>
    <x v="1"/>
    <x v="1"/>
    <s v="Economy"/>
    <n v="1466"/>
    <n v="28"/>
    <x v="3"/>
    <x v="2"/>
    <s v="A01"/>
    <s v="H04"/>
    <n v="432.06"/>
    <n v="0"/>
    <x v="0"/>
    <n v="171.32499999999999"/>
    <n v="342.65"/>
    <n v="89.3"/>
    <n v="864.01"/>
    <x v="0"/>
    <x v="0"/>
    <n v="0"/>
    <n v="0"/>
    <n v="0"/>
    <n v="864.01"/>
    <x v="0"/>
    <x v="0"/>
    <x v="1"/>
    <x v="0"/>
    <x v="1"/>
    <s v="Yes"/>
    <x v="1"/>
    <x v="1"/>
    <n v="5"/>
    <n v="219.9"/>
    <x v="1"/>
    <x v="3"/>
  </r>
  <r>
    <s v="T00319"/>
    <s v="E0084"/>
    <s v="London"/>
    <x v="0"/>
    <s v="Analyst"/>
    <s v="Client meeting"/>
    <d v="2026-06-19T00:00:00"/>
    <d v="2026-07-18T00:00:00"/>
    <d v="2026-07-20T00:00:00"/>
    <x v="1"/>
    <s v="London"/>
    <x v="14"/>
    <x v="1"/>
    <x v="1"/>
    <s v="Economy"/>
    <n v="1468"/>
    <n v="29"/>
    <x v="3"/>
    <x v="0"/>
    <s v="A03"/>
    <s v="H01"/>
    <n v="376.53"/>
    <n v="0"/>
    <x v="2"/>
    <n v="202.25"/>
    <n v="202.25"/>
    <n v="27.68"/>
    <n v="606.46"/>
    <x v="0"/>
    <x v="0"/>
    <n v="0"/>
    <n v="0"/>
    <n v="0"/>
    <n v="606.46"/>
    <x v="1"/>
    <x v="0"/>
    <x v="1"/>
    <x v="0"/>
    <x v="0"/>
    <s v="Yes"/>
    <x v="0"/>
    <x v="1"/>
    <n v="4"/>
    <n v="220.2"/>
    <x v="7"/>
    <x v="2"/>
  </r>
  <r>
    <s v="T00320"/>
    <s v="E0084"/>
    <s v="London"/>
    <x v="0"/>
    <s v="Analyst"/>
    <s v="Project work"/>
    <d v="2026-06-23T00:00:00"/>
    <d v="2026-07-06T00:00:00"/>
    <d v="2026-07-08T00:00:00"/>
    <x v="1"/>
    <s v="London"/>
    <x v="14"/>
    <x v="1"/>
    <x v="1"/>
    <s v="Economy"/>
    <n v="2782"/>
    <n v="13"/>
    <x v="0"/>
    <x v="0"/>
    <s v="A03"/>
    <s v="H02"/>
    <n v="274.18"/>
    <n v="0"/>
    <x v="2"/>
    <n v="194.62"/>
    <n v="194.62"/>
    <n v="81.23"/>
    <n v="550.03"/>
    <x v="0"/>
    <x v="0"/>
    <n v="0"/>
    <n v="0"/>
    <n v="0"/>
    <n v="550.03"/>
    <x v="1"/>
    <x v="0"/>
    <x v="1"/>
    <x v="0"/>
    <x v="0"/>
    <s v="Yes"/>
    <x v="0"/>
    <x v="1"/>
    <n v="5"/>
    <n v="417.3"/>
    <x v="7"/>
    <x v="1"/>
  </r>
  <r>
    <s v="T00321"/>
    <s v="E0084"/>
    <s v="London"/>
    <x v="0"/>
    <s v="Analyst"/>
    <s v="Client meeting"/>
    <d v="2026-05-24T00:00:00"/>
    <d v="2026-06-15T00:00:00"/>
    <d v="2026-06-18T00:00:00"/>
    <x v="0"/>
    <s v="London"/>
    <x v="1"/>
    <x v="1"/>
    <x v="1"/>
    <s v="Economy"/>
    <n v="2874"/>
    <n v="22"/>
    <x v="3"/>
    <x v="0"/>
    <s v="A02"/>
    <s v="H04"/>
    <n v="331.77"/>
    <n v="0"/>
    <x v="0"/>
    <n v="141.1"/>
    <n v="282.2"/>
    <n v="106.89"/>
    <n v="720.86"/>
    <x v="0"/>
    <x v="0"/>
    <n v="0"/>
    <n v="0"/>
    <n v="0"/>
    <n v="720.86"/>
    <x v="0"/>
    <x v="0"/>
    <x v="1"/>
    <x v="0"/>
    <x v="0"/>
    <s v="Yes"/>
    <x v="0"/>
    <x v="0"/>
    <n v="4"/>
    <n v="431.1"/>
    <x v="4"/>
    <x v="3"/>
  </r>
  <r>
    <s v="T00322"/>
    <s v="E0084"/>
    <s v="London"/>
    <x v="0"/>
    <s v="Analyst"/>
    <s v="Internal meeting"/>
    <d v="2026-06-16T00:00:00"/>
    <d v="2026-06-29T00:00:00"/>
    <d v="2026-07-01T00:00:00"/>
    <x v="0"/>
    <s v="London"/>
    <x v="11"/>
    <x v="1"/>
    <x v="1"/>
    <s v="Economy"/>
    <n v="2928"/>
    <n v="13"/>
    <x v="0"/>
    <x v="0"/>
    <s v="A01"/>
    <s v="H02"/>
    <n v="328.05"/>
    <n v="0"/>
    <x v="2"/>
    <n v="232.21"/>
    <n v="232.21"/>
    <n v="20"/>
    <n v="580.26"/>
    <x v="0"/>
    <x v="0"/>
    <n v="0"/>
    <n v="0"/>
    <n v="0"/>
    <n v="580.26"/>
    <x v="1"/>
    <x v="0"/>
    <x v="1"/>
    <x v="0"/>
    <x v="0"/>
    <s v="Yes"/>
    <x v="0"/>
    <x v="1"/>
    <n v="4"/>
    <n v="439.2"/>
    <x v="1"/>
    <x v="1"/>
  </r>
  <r>
    <s v="T00323"/>
    <s v="E0084"/>
    <s v="London"/>
    <x v="0"/>
    <s v="Analyst"/>
    <s v="Project work"/>
    <d v="2026-07-12T00:00:00"/>
    <d v="2026-07-19T00:00:00"/>
    <d v="2026-07-25T00:00:00"/>
    <x v="1"/>
    <s v="London"/>
    <x v="13"/>
    <x v="1"/>
    <x v="1"/>
    <s v="Economy"/>
    <n v="13332"/>
    <n v="7"/>
    <x v="4"/>
    <x v="3"/>
    <s v="A08"/>
    <s v="H03"/>
    <n v="2351.6999999999998"/>
    <n v="0"/>
    <x v="4"/>
    <n v="131.44800000000001"/>
    <n v="657.24"/>
    <n v="74.64"/>
    <n v="3083.58"/>
    <x v="0"/>
    <x v="0"/>
    <n v="0"/>
    <n v="0"/>
    <n v="0"/>
    <n v="3083.58"/>
    <x v="0"/>
    <x v="0"/>
    <x v="1"/>
    <x v="0"/>
    <x v="1"/>
    <s v="Yes"/>
    <x v="0"/>
    <x v="1"/>
    <n v="4"/>
    <n v="1999.8"/>
    <x v="10"/>
    <x v="4"/>
  </r>
  <r>
    <s v="T00324"/>
    <s v="E0085"/>
    <s v="London"/>
    <x v="5"/>
    <s v="Manager"/>
    <s v="Project work"/>
    <d v="2026-05-29T00:00:00"/>
    <d v="2026-06-04T00:00:00"/>
    <d v="2026-06-05T00:00:00"/>
    <x v="0"/>
    <s v="London"/>
    <x v="22"/>
    <x v="0"/>
    <x v="0"/>
    <s v="Standard / 2nd Class"/>
    <n v="1218"/>
    <n v="6"/>
    <x v="4"/>
    <x v="0"/>
    <m/>
    <m/>
    <n v="0"/>
    <n v="195.64"/>
    <x v="5"/>
    <n v="0"/>
    <n v="0"/>
    <n v="73.75"/>
    <n v="269.39"/>
    <x v="0"/>
    <x v="0"/>
    <n v="0"/>
    <n v="0"/>
    <n v="0"/>
    <n v="269.39"/>
    <x v="2"/>
    <x v="2"/>
    <x v="0"/>
    <x v="0"/>
    <x v="0"/>
    <s v="Yes"/>
    <x v="0"/>
    <x v="0"/>
    <n v="5"/>
    <n v="48.7"/>
    <x v="0"/>
    <x v="7"/>
  </r>
  <r>
    <s v="T00325"/>
    <s v="E0085"/>
    <s v="London"/>
    <x v="5"/>
    <s v="Manager"/>
    <s v="Internal meeting"/>
    <d v="2026-06-20T00:00:00"/>
    <d v="2026-07-17T00:00:00"/>
    <d v="2026-07-20T00:00:00"/>
    <x v="1"/>
    <s v="London"/>
    <x v="10"/>
    <x v="0"/>
    <x v="0"/>
    <s v="Standard / 2nd Class"/>
    <n v="932"/>
    <n v="27"/>
    <x v="3"/>
    <x v="3"/>
    <m/>
    <s v="H02"/>
    <n v="0"/>
    <n v="272.11"/>
    <x v="0"/>
    <n v="122.69"/>
    <n v="245.38"/>
    <n v="83.94"/>
    <n v="601.42999999999995"/>
    <x v="1"/>
    <x v="0"/>
    <n v="221.22"/>
    <n v="0"/>
    <n v="0"/>
    <n v="822.65"/>
    <x v="0"/>
    <x v="0"/>
    <x v="0"/>
    <x v="0"/>
    <x v="1"/>
    <s v="Yes"/>
    <x v="0"/>
    <x v="1"/>
    <n v="5"/>
    <n v="37.299999999999997"/>
    <x v="0"/>
    <x v="1"/>
  </r>
  <r>
    <s v="T00326"/>
    <s v="E0085"/>
    <s v="London"/>
    <x v="5"/>
    <s v="Manager"/>
    <s v="Team building"/>
    <d v="2026-04-28T00:00:00"/>
    <d v="2026-05-02T00:00:00"/>
    <d v="2026-05-06T00:00:00"/>
    <x v="2"/>
    <s v="London"/>
    <x v="16"/>
    <x v="1"/>
    <x v="1"/>
    <s v="Economy"/>
    <n v="1722"/>
    <n v="4"/>
    <x v="4"/>
    <x v="3"/>
    <s v="A05"/>
    <s v="H04"/>
    <n v="551.85"/>
    <n v="0"/>
    <x v="1"/>
    <n v="191.97"/>
    <n v="575.91"/>
    <n v="61.62"/>
    <n v="1189.3800000000001"/>
    <x v="0"/>
    <x v="0"/>
    <n v="0"/>
    <n v="0"/>
    <n v="0"/>
    <n v="1189.3800000000001"/>
    <x v="1"/>
    <x v="0"/>
    <x v="1"/>
    <x v="0"/>
    <x v="1"/>
    <s v="Yes"/>
    <x v="0"/>
    <x v="1"/>
    <n v="4"/>
    <n v="258.3"/>
    <x v="2"/>
    <x v="3"/>
  </r>
  <r>
    <s v="T00327"/>
    <s v="E0085"/>
    <s v="London"/>
    <x v="5"/>
    <s v="Manager"/>
    <s v="Training"/>
    <d v="2026-06-11T00:00:00"/>
    <d v="2026-06-16T00:00:00"/>
    <d v="2026-06-20T00:00:00"/>
    <x v="0"/>
    <s v="London"/>
    <x v="10"/>
    <x v="0"/>
    <x v="0"/>
    <s v="Standard / 2nd Class"/>
    <n v="932"/>
    <n v="5"/>
    <x v="4"/>
    <x v="1"/>
    <m/>
    <s v="H02"/>
    <n v="0"/>
    <n v="139.94"/>
    <x v="1"/>
    <n v="155.62"/>
    <n v="466.86"/>
    <n v="35.119999999999997"/>
    <n v="641.91999999999996"/>
    <x v="0"/>
    <x v="0"/>
    <n v="0"/>
    <n v="0"/>
    <n v="0"/>
    <n v="641.91999999999996"/>
    <x v="0"/>
    <x v="0"/>
    <x v="0"/>
    <x v="0"/>
    <x v="0"/>
    <s v="Yes"/>
    <x v="0"/>
    <x v="0"/>
    <n v="4"/>
    <n v="37.299999999999997"/>
    <x v="0"/>
    <x v="1"/>
  </r>
  <r>
    <s v="T00328"/>
    <s v="E0085"/>
    <s v="London"/>
    <x v="5"/>
    <s v="Manager"/>
    <s v="Client meeting"/>
    <d v="2026-07-06T00:00:00"/>
    <d v="2026-07-16T00:00:00"/>
    <d v="2026-07-20T00:00:00"/>
    <x v="1"/>
    <s v="London"/>
    <x v="16"/>
    <x v="1"/>
    <x v="1"/>
    <s v="Economy"/>
    <n v="3274"/>
    <n v="10"/>
    <x v="0"/>
    <x v="0"/>
    <s v="A05"/>
    <s v="H01"/>
    <n v="487.3"/>
    <n v="0"/>
    <x v="1"/>
    <n v="152.07666666666668"/>
    <n v="456.23"/>
    <n v="132.13999999999999"/>
    <n v="1075.67"/>
    <x v="0"/>
    <x v="0"/>
    <n v="0"/>
    <n v="0"/>
    <n v="0"/>
    <n v="1075.67"/>
    <x v="0"/>
    <x v="0"/>
    <x v="1"/>
    <x v="0"/>
    <x v="0"/>
    <s v="Yes"/>
    <x v="0"/>
    <x v="0"/>
    <n v="4"/>
    <n v="491.1"/>
    <x v="2"/>
    <x v="2"/>
  </r>
  <r>
    <s v="T00329"/>
    <s v="E0085"/>
    <s v="London"/>
    <x v="5"/>
    <s v="Manager"/>
    <s v="Conference / Event"/>
    <d v="2026-06-26T00:00:00"/>
    <d v="2026-07-18T00:00:00"/>
    <d v="2026-07-20T00:00:00"/>
    <x v="1"/>
    <s v="London"/>
    <x v="21"/>
    <x v="1"/>
    <x v="1"/>
    <s v="Economy"/>
    <n v="11842"/>
    <n v="22"/>
    <x v="3"/>
    <x v="0"/>
    <s v="A01"/>
    <s v="H05"/>
    <n v="1361.01"/>
    <n v="0"/>
    <x v="2"/>
    <n v="139.55000000000001"/>
    <n v="139.55000000000001"/>
    <n v="71.56"/>
    <n v="1572.12"/>
    <x v="0"/>
    <x v="0"/>
    <n v="0"/>
    <n v="0"/>
    <n v="0"/>
    <n v="1572.12"/>
    <x v="0"/>
    <x v="1"/>
    <x v="1"/>
    <x v="0"/>
    <x v="0"/>
    <s v="No"/>
    <x v="0"/>
    <x v="1"/>
    <n v="4"/>
    <n v="1776.3"/>
    <x v="1"/>
    <x v="5"/>
  </r>
  <r>
    <s v="T00330"/>
    <s v="E0085"/>
    <s v="London"/>
    <x v="5"/>
    <s v="Manager"/>
    <s v="Project work"/>
    <d v="2026-05-04T00:00:00"/>
    <d v="2026-05-28T00:00:00"/>
    <d v="2026-06-02T00:00:00"/>
    <x v="2"/>
    <s v="London"/>
    <x v="18"/>
    <x v="1"/>
    <x v="1"/>
    <s v="Economy"/>
    <n v="11758"/>
    <n v="24"/>
    <x v="3"/>
    <x v="1"/>
    <s v="A01"/>
    <s v="H04"/>
    <n v="1296.3"/>
    <n v="0"/>
    <x v="3"/>
    <n v="191.5625"/>
    <n v="766.25"/>
    <n v="58.77"/>
    <n v="2121.3200000000002"/>
    <x v="1"/>
    <x v="0"/>
    <n v="191.94"/>
    <n v="0"/>
    <n v="0"/>
    <n v="2313.2600000000002"/>
    <x v="0"/>
    <x v="0"/>
    <x v="1"/>
    <x v="0"/>
    <x v="0"/>
    <s v="Yes"/>
    <x v="0"/>
    <x v="0"/>
    <n v="4"/>
    <n v="1763.7"/>
    <x v="1"/>
    <x v="3"/>
  </r>
  <r>
    <s v="T00331"/>
    <s v="E0086"/>
    <s v="Birmingham"/>
    <x v="3"/>
    <s v="Analyst"/>
    <s v="Client meeting"/>
    <d v="2026-05-23T00:00:00"/>
    <d v="2026-06-08T00:00:00"/>
    <d v="2026-06-12T00:00:00"/>
    <x v="0"/>
    <s v="Birmingham"/>
    <x v="9"/>
    <x v="1"/>
    <x v="1"/>
    <s v="Economy"/>
    <n v="2068"/>
    <n v="16"/>
    <x v="3"/>
    <x v="3"/>
    <s v="A10"/>
    <s v="H03"/>
    <n v="449.3"/>
    <n v="0"/>
    <x v="1"/>
    <n v="142.23333333333332"/>
    <n v="426.7"/>
    <n v="76.11"/>
    <n v="952.11"/>
    <x v="0"/>
    <x v="0"/>
    <n v="0"/>
    <n v="0"/>
    <n v="0"/>
    <n v="952.11"/>
    <x v="0"/>
    <x v="0"/>
    <x v="1"/>
    <x v="0"/>
    <x v="1"/>
    <s v="Yes"/>
    <x v="0"/>
    <x v="1"/>
    <n v="4"/>
    <n v="310.2"/>
    <x v="6"/>
    <x v="4"/>
  </r>
  <r>
    <s v="T00332"/>
    <s v="E0086"/>
    <s v="Birmingham"/>
    <x v="3"/>
    <s v="Analyst"/>
    <s v="Recruitment / Interview"/>
    <d v="2026-05-11T00:00:00"/>
    <d v="2026-05-19T00:00:00"/>
    <d v="2026-05-22T00:00:00"/>
    <x v="2"/>
    <s v="Birmingham"/>
    <x v="1"/>
    <x v="1"/>
    <x v="1"/>
    <s v="Economy"/>
    <n v="1584"/>
    <n v="8"/>
    <x v="0"/>
    <x v="3"/>
    <s v="A04"/>
    <s v="H05"/>
    <n v="346.44"/>
    <n v="0"/>
    <x v="0"/>
    <n v="190.13499999999999"/>
    <n v="380.27"/>
    <n v="51.69"/>
    <n v="778.4"/>
    <x v="0"/>
    <x v="0"/>
    <n v="0"/>
    <n v="0"/>
    <n v="0"/>
    <n v="778.4"/>
    <x v="1"/>
    <x v="1"/>
    <x v="1"/>
    <x v="0"/>
    <x v="1"/>
    <s v="No"/>
    <x v="0"/>
    <x v="1"/>
    <n v="5"/>
    <n v="237.6"/>
    <x v="3"/>
    <x v="5"/>
  </r>
  <r>
    <s v="T00333"/>
    <s v="E0086"/>
    <s v="Birmingham"/>
    <x v="3"/>
    <s v="Analyst"/>
    <s v="Project work"/>
    <d v="2026-05-25T00:00:00"/>
    <d v="2026-06-02T00:00:00"/>
    <d v="2026-06-04T00:00:00"/>
    <x v="0"/>
    <s v="Birmingham"/>
    <x v="14"/>
    <x v="1"/>
    <x v="1"/>
    <s v="Economy"/>
    <n v="2030"/>
    <n v="8"/>
    <x v="0"/>
    <x v="3"/>
    <s v="A03"/>
    <s v="H01"/>
    <n v="472.96"/>
    <n v="0"/>
    <x v="2"/>
    <n v="149.72"/>
    <n v="149.72"/>
    <n v="91.14"/>
    <n v="713.82"/>
    <x v="0"/>
    <x v="0"/>
    <n v="0"/>
    <n v="0"/>
    <n v="0"/>
    <n v="713.82"/>
    <x v="0"/>
    <x v="0"/>
    <x v="1"/>
    <x v="0"/>
    <x v="1"/>
    <s v="Yes"/>
    <x v="0"/>
    <x v="1"/>
    <n v="5"/>
    <n v="304.5"/>
    <x v="7"/>
    <x v="2"/>
  </r>
  <r>
    <s v="T00334"/>
    <s v="E0087"/>
    <s v="Leeds"/>
    <x v="1"/>
    <s v="Senior Manager"/>
    <s v="Other"/>
    <d v="2026-05-25T00:00:00"/>
    <d v="2026-06-09T00:00:00"/>
    <d v="2026-06-12T00:00:00"/>
    <x v="0"/>
    <s v="Leeds"/>
    <x v="1"/>
    <x v="1"/>
    <x v="1"/>
    <s v="Economy"/>
    <n v="2840"/>
    <n v="15"/>
    <x v="3"/>
    <x v="0"/>
    <s v="A01"/>
    <s v="H02"/>
    <n v="383.28"/>
    <n v="0"/>
    <x v="0"/>
    <n v="196.73"/>
    <n v="393.46"/>
    <n v="86.3"/>
    <n v="863.04"/>
    <x v="0"/>
    <x v="1"/>
    <n v="0"/>
    <n v="108.98"/>
    <n v="699.07"/>
    <n v="272.94999999999993"/>
    <x v="1"/>
    <x v="0"/>
    <x v="1"/>
    <x v="0"/>
    <x v="0"/>
    <s v="Yes"/>
    <x v="0"/>
    <x v="1"/>
    <n v="3"/>
    <n v="426"/>
    <x v="1"/>
    <x v="1"/>
  </r>
  <r>
    <s v="T00335"/>
    <s v="E0087"/>
    <s v="Leeds"/>
    <x v="1"/>
    <s v="Senior Manager"/>
    <s v="Project work"/>
    <d v="2026-06-01T00:00:00"/>
    <d v="2026-06-13T00:00:00"/>
    <d v="2026-06-15T00:00:00"/>
    <x v="0"/>
    <s v="Leeds"/>
    <x v="6"/>
    <x v="0"/>
    <x v="0"/>
    <s v="Standard / 2nd Class"/>
    <n v="504"/>
    <n v="12"/>
    <x v="0"/>
    <x v="0"/>
    <m/>
    <s v="H06"/>
    <n v="0"/>
    <n v="445.71"/>
    <x v="2"/>
    <n v="152.74"/>
    <n v="152.74"/>
    <n v="90.55"/>
    <n v="689"/>
    <x v="0"/>
    <x v="0"/>
    <n v="0"/>
    <n v="0"/>
    <n v="0"/>
    <n v="689"/>
    <x v="0"/>
    <x v="0"/>
    <x v="0"/>
    <x v="0"/>
    <x v="0"/>
    <s v="Yes"/>
    <x v="0"/>
    <x v="0"/>
    <n v="5"/>
    <n v="20.2"/>
    <x v="0"/>
    <x v="0"/>
  </r>
  <r>
    <s v="T00336"/>
    <s v="E0088"/>
    <s v="Edinburgh"/>
    <x v="4"/>
    <s v="Analyst"/>
    <s v="Conference / Event"/>
    <d v="2026-05-30T00:00:00"/>
    <d v="2026-06-08T00:00:00"/>
    <d v="2026-06-12T00:00:00"/>
    <x v="0"/>
    <s v="Edinburgh"/>
    <x v="1"/>
    <x v="1"/>
    <x v="1"/>
    <s v="Economy"/>
    <n v="3052"/>
    <n v="9"/>
    <x v="0"/>
    <x v="0"/>
    <s v="A02"/>
    <s v="H02"/>
    <n v="390.2"/>
    <n v="0"/>
    <x v="1"/>
    <n v="181.91"/>
    <n v="545.73"/>
    <n v="64.94"/>
    <n v="1000.87"/>
    <x v="0"/>
    <x v="0"/>
    <n v="0"/>
    <n v="0"/>
    <n v="0"/>
    <n v="1000.87"/>
    <x v="1"/>
    <x v="0"/>
    <x v="1"/>
    <x v="0"/>
    <x v="0"/>
    <s v="Yes"/>
    <x v="0"/>
    <x v="1"/>
    <n v="4"/>
    <n v="457.8"/>
    <x v="4"/>
    <x v="1"/>
  </r>
  <r>
    <s v="T00337"/>
    <s v="E0088"/>
    <s v="Edinburgh"/>
    <x v="4"/>
    <s v="Analyst"/>
    <s v="Training"/>
    <d v="2026-06-18T00:00:00"/>
    <d v="2026-06-19T00:00:00"/>
    <d v="2026-06-22T00:00:00"/>
    <x v="0"/>
    <s v="Edinburgh"/>
    <x v="7"/>
    <x v="1"/>
    <x v="1"/>
    <s v="Economy"/>
    <n v="12674"/>
    <n v="1"/>
    <x v="1"/>
    <x v="0"/>
    <s v="A01"/>
    <s v="H03"/>
    <n v="1461.8"/>
    <n v="0"/>
    <x v="0"/>
    <n v="186.07"/>
    <n v="372.14"/>
    <n v="33.25"/>
    <n v="1867.19"/>
    <x v="1"/>
    <x v="0"/>
    <n v="149.43"/>
    <n v="0"/>
    <n v="0"/>
    <n v="2016.6200000000001"/>
    <x v="0"/>
    <x v="0"/>
    <x v="1"/>
    <x v="0"/>
    <x v="0"/>
    <s v="Yes"/>
    <x v="0"/>
    <x v="0"/>
    <n v="4"/>
    <n v="1901.1"/>
    <x v="1"/>
    <x v="4"/>
  </r>
  <r>
    <s v="T00338"/>
    <s v="E0089"/>
    <s v="Birmingham"/>
    <x v="0"/>
    <s v="Senior Manager"/>
    <s v="Project work"/>
    <d v="2026-07-11T00:00:00"/>
    <d v="2026-07-15T00:00:00"/>
    <d v="2026-07-20T00:00:00"/>
    <x v="1"/>
    <s v="Birmingham"/>
    <x v="15"/>
    <x v="1"/>
    <x v="1"/>
    <s v="Economy"/>
    <n v="3210"/>
    <n v="4"/>
    <x v="4"/>
    <x v="0"/>
    <s v="A01"/>
    <s v="H04"/>
    <n v="664.98"/>
    <n v="0"/>
    <x v="3"/>
    <n v="158.315"/>
    <n v="633.26"/>
    <n v="77.02"/>
    <n v="1375.26"/>
    <x v="0"/>
    <x v="0"/>
    <n v="0"/>
    <n v="0"/>
    <n v="0"/>
    <n v="1375.26"/>
    <x v="0"/>
    <x v="0"/>
    <x v="1"/>
    <x v="0"/>
    <x v="0"/>
    <s v="Yes"/>
    <x v="1"/>
    <x v="0"/>
    <n v="5"/>
    <n v="481.5"/>
    <x v="1"/>
    <x v="3"/>
  </r>
  <r>
    <s v="T00339"/>
    <s v="E0090"/>
    <s v="London"/>
    <x v="1"/>
    <s v="Senior Manager"/>
    <s v="Recruitment / Interview"/>
    <d v="2026-06-10T00:00:00"/>
    <d v="2026-06-30T00:00:00"/>
    <d v="2026-07-03T00:00:00"/>
    <x v="0"/>
    <s v="London"/>
    <x v="4"/>
    <x v="1"/>
    <x v="1"/>
    <s v="Economy"/>
    <n v="3242"/>
    <n v="20"/>
    <x v="3"/>
    <x v="1"/>
    <s v="A02"/>
    <s v="H02"/>
    <n v="489.07"/>
    <n v="0"/>
    <x v="0"/>
    <n v="159.51499999999999"/>
    <n v="319.02999999999997"/>
    <n v="128.74"/>
    <n v="936.84"/>
    <x v="0"/>
    <x v="0"/>
    <n v="0"/>
    <n v="0"/>
    <n v="0"/>
    <n v="936.84"/>
    <x v="0"/>
    <x v="0"/>
    <x v="1"/>
    <x v="0"/>
    <x v="0"/>
    <s v="Yes"/>
    <x v="0"/>
    <x v="0"/>
    <n v="5"/>
    <n v="486.3"/>
    <x v="4"/>
    <x v="1"/>
  </r>
  <r>
    <s v="T00340"/>
    <s v="E0090"/>
    <s v="London"/>
    <x v="1"/>
    <s v="Senior Manager"/>
    <s v="Internal meeting"/>
    <d v="2026-07-16T00:00:00"/>
    <d v="2026-07-20T00:00:00"/>
    <d v="2026-07-22T00:00:00"/>
    <x v="1"/>
    <s v="London"/>
    <x v="22"/>
    <x v="0"/>
    <x v="1"/>
    <s v="Economy"/>
    <n v="1134"/>
    <n v="4"/>
    <x v="4"/>
    <x v="3"/>
    <s v="A02"/>
    <s v="H06"/>
    <n v="388.64"/>
    <n v="0"/>
    <x v="2"/>
    <n v="112.08"/>
    <n v="112.08"/>
    <n v="73.739999999999995"/>
    <n v="574.46"/>
    <x v="1"/>
    <x v="0"/>
    <n v="175.55"/>
    <n v="0"/>
    <n v="0"/>
    <n v="750.01"/>
    <x v="0"/>
    <x v="0"/>
    <x v="1"/>
    <x v="0"/>
    <x v="1"/>
    <s v="Yes"/>
    <x v="0"/>
    <x v="1"/>
    <n v="5"/>
    <n v="170.1"/>
    <x v="4"/>
    <x v="0"/>
  </r>
  <r>
    <s v="T00341"/>
    <s v="E0091"/>
    <s v="Glasgow"/>
    <x v="0"/>
    <s v="Consultant"/>
    <s v="Project work"/>
    <d v="2026-05-08T00:00:00"/>
    <d v="2026-05-20T00:00:00"/>
    <d v="2026-05-23T00:00:00"/>
    <x v="2"/>
    <s v="Glasgow"/>
    <x v="16"/>
    <x v="1"/>
    <x v="1"/>
    <s v="Economy"/>
    <n v="2048"/>
    <n v="12"/>
    <x v="0"/>
    <x v="2"/>
    <s v="A01"/>
    <s v="H02"/>
    <n v="253.4"/>
    <n v="0"/>
    <x v="0"/>
    <n v="202.435"/>
    <n v="404.87"/>
    <n v="37.75"/>
    <n v="696.02"/>
    <x v="0"/>
    <x v="0"/>
    <n v="0"/>
    <n v="0"/>
    <n v="0"/>
    <n v="696.02"/>
    <x v="1"/>
    <x v="0"/>
    <x v="1"/>
    <x v="0"/>
    <x v="1"/>
    <s v="Yes"/>
    <x v="0"/>
    <x v="1"/>
    <n v="4"/>
    <n v="307.2"/>
    <x v="1"/>
    <x v="1"/>
  </r>
  <r>
    <s v="T00342"/>
    <s v="E0091"/>
    <s v="Glasgow"/>
    <x v="0"/>
    <s v="Consultant"/>
    <s v="Client meeting"/>
    <d v="2026-06-25T00:00:00"/>
    <d v="2026-06-26T00:00:00"/>
    <d v="2026-06-29T00:00:00"/>
    <x v="0"/>
    <s v="Glasgow"/>
    <x v="19"/>
    <x v="1"/>
    <x v="1"/>
    <s v="Economy"/>
    <n v="3382"/>
    <n v="1"/>
    <x v="1"/>
    <x v="2"/>
    <s v="A05"/>
    <s v="H03"/>
    <n v="349.43"/>
    <n v="0"/>
    <x v="0"/>
    <n v="137.80500000000001"/>
    <n v="275.61"/>
    <n v="66.58"/>
    <n v="691.62"/>
    <x v="0"/>
    <x v="0"/>
    <n v="0"/>
    <n v="0"/>
    <n v="0"/>
    <n v="691.62"/>
    <x v="0"/>
    <x v="0"/>
    <x v="1"/>
    <x v="0"/>
    <x v="1"/>
    <s v="Yes"/>
    <x v="0"/>
    <x v="1"/>
    <n v="3"/>
    <n v="507.3"/>
    <x v="2"/>
    <x v="4"/>
  </r>
  <r>
    <s v="T00343"/>
    <s v="E0091"/>
    <s v="Glasgow"/>
    <x v="0"/>
    <s v="Consultant"/>
    <s v="Project work"/>
    <d v="2026-06-08T00:00:00"/>
    <d v="2026-06-24T00:00:00"/>
    <d v="2026-06-26T00:00:00"/>
    <x v="0"/>
    <s v="Glasgow"/>
    <x v="14"/>
    <x v="1"/>
    <x v="1"/>
    <s v="Economy"/>
    <n v="2568"/>
    <n v="16"/>
    <x v="3"/>
    <x v="1"/>
    <s v="A03"/>
    <s v="H05"/>
    <n v="465.97"/>
    <n v="0"/>
    <x v="2"/>
    <n v="147.83000000000001"/>
    <n v="147.83000000000001"/>
    <n v="100.36"/>
    <n v="714.16"/>
    <x v="1"/>
    <x v="0"/>
    <n v="217.03"/>
    <n v="0"/>
    <n v="0"/>
    <n v="931.18999999999994"/>
    <x v="0"/>
    <x v="1"/>
    <x v="1"/>
    <x v="0"/>
    <x v="0"/>
    <s v="No"/>
    <x v="0"/>
    <x v="1"/>
    <n v="4"/>
    <n v="385.2"/>
    <x v="7"/>
    <x v="5"/>
  </r>
  <r>
    <s v="T00344"/>
    <s v="E0091"/>
    <s v="Glasgow"/>
    <x v="0"/>
    <s v="Consultant"/>
    <s v="Internal meeting"/>
    <d v="2026-06-18T00:00:00"/>
    <d v="2026-06-19T00:00:00"/>
    <d v="2026-06-21T00:00:00"/>
    <x v="0"/>
    <s v="Glasgow"/>
    <x v="7"/>
    <x v="1"/>
    <x v="1"/>
    <s v="Economy"/>
    <n v="12146"/>
    <n v="1"/>
    <x v="1"/>
    <x v="0"/>
    <s v="A07"/>
    <s v="H04"/>
    <n v="1305.6099999999999"/>
    <n v="0"/>
    <x v="2"/>
    <n v="172.74"/>
    <n v="172.74"/>
    <n v="98.15"/>
    <n v="1576.5"/>
    <x v="1"/>
    <x v="0"/>
    <n v="15"/>
    <n v="0"/>
    <n v="0"/>
    <n v="1591.5"/>
    <x v="0"/>
    <x v="0"/>
    <x v="1"/>
    <x v="0"/>
    <x v="0"/>
    <s v="Yes"/>
    <x v="0"/>
    <x v="0"/>
    <n v="4"/>
    <n v="1821.9"/>
    <x v="5"/>
    <x v="3"/>
  </r>
  <r>
    <s v="T00345"/>
    <s v="E0092"/>
    <s v="Edinburgh"/>
    <x v="5"/>
    <s v="Analyst"/>
    <s v="Project work"/>
    <d v="2026-05-13T00:00:00"/>
    <d v="2026-05-27T00:00:00"/>
    <d v="2026-05-31T00:00:00"/>
    <x v="2"/>
    <s v="Edinburgh"/>
    <x v="16"/>
    <x v="1"/>
    <x v="1"/>
    <s v="Economy"/>
    <n v="2042"/>
    <n v="14"/>
    <x v="0"/>
    <x v="0"/>
    <s v="A01"/>
    <s v="H01"/>
    <n v="369.29"/>
    <n v="0"/>
    <x v="1"/>
    <n v="169.10999999999999"/>
    <n v="507.33"/>
    <n v="107.45"/>
    <n v="984.07"/>
    <x v="0"/>
    <x v="0"/>
    <n v="0"/>
    <n v="0"/>
    <n v="0"/>
    <n v="984.07"/>
    <x v="0"/>
    <x v="0"/>
    <x v="1"/>
    <x v="0"/>
    <x v="0"/>
    <s v="Yes"/>
    <x v="0"/>
    <x v="0"/>
    <n v="5"/>
    <n v="306.3"/>
    <x v="1"/>
    <x v="2"/>
  </r>
  <r>
    <s v="T00346"/>
    <s v="E0092"/>
    <s v="Edinburgh"/>
    <x v="5"/>
    <s v="Analyst"/>
    <s v="Client meeting"/>
    <d v="2026-06-18T00:00:00"/>
    <d v="2026-07-04T00:00:00"/>
    <d v="2026-07-07T00:00:00"/>
    <x v="1"/>
    <s v="Edinburgh"/>
    <x v="9"/>
    <x v="1"/>
    <x v="1"/>
    <s v="Premium Economy"/>
    <n v="2274"/>
    <n v="16"/>
    <x v="3"/>
    <x v="0"/>
    <s v="A01"/>
    <s v="H03"/>
    <n v="499.41"/>
    <n v="0"/>
    <x v="0"/>
    <n v="186.65"/>
    <n v="373.3"/>
    <n v="76.569999999999993"/>
    <n v="949.28"/>
    <x v="0"/>
    <x v="0"/>
    <n v="0"/>
    <n v="0"/>
    <n v="0"/>
    <n v="949.28"/>
    <x v="1"/>
    <x v="0"/>
    <x v="1"/>
    <x v="1"/>
    <x v="0"/>
    <s v="Yes"/>
    <x v="0"/>
    <x v="1"/>
    <n v="4"/>
    <n v="341.1"/>
    <x v="1"/>
    <x v="4"/>
  </r>
  <r>
    <s v="T00347"/>
    <s v="E0092"/>
    <s v="Edinburgh"/>
    <x v="5"/>
    <s v="Analyst"/>
    <s v="Project work"/>
    <d v="2026-05-13T00:00:00"/>
    <d v="2026-05-23T00:00:00"/>
    <d v="2026-05-26T00:00:00"/>
    <x v="2"/>
    <s v="Edinburgh"/>
    <x v="17"/>
    <x v="0"/>
    <x v="0"/>
    <s v="Standard / 2nd Class"/>
    <n v="1102"/>
    <n v="10"/>
    <x v="0"/>
    <x v="0"/>
    <m/>
    <s v="H01"/>
    <n v="0"/>
    <n v="218.19"/>
    <x v="0"/>
    <n v="144.81"/>
    <n v="289.62"/>
    <n v="45.73"/>
    <n v="553.54"/>
    <x v="0"/>
    <x v="0"/>
    <n v="0"/>
    <n v="0"/>
    <n v="0"/>
    <n v="553.54"/>
    <x v="0"/>
    <x v="0"/>
    <x v="0"/>
    <x v="0"/>
    <x v="0"/>
    <s v="Yes"/>
    <x v="0"/>
    <x v="0"/>
    <n v="5"/>
    <n v="44.1"/>
    <x v="0"/>
    <x v="2"/>
  </r>
  <r>
    <s v="T00348"/>
    <s v="E0093"/>
    <s v="Leeds"/>
    <x v="0"/>
    <s v="Consultant"/>
    <s v="Internal meeting"/>
    <d v="2026-06-09T00:00:00"/>
    <d v="2026-07-08T00:00:00"/>
    <d v="2026-07-11T00:00:00"/>
    <x v="1"/>
    <s v="Leeds"/>
    <x v="19"/>
    <x v="1"/>
    <x v="1"/>
    <s v="Economy"/>
    <n v="3536"/>
    <n v="29"/>
    <x v="3"/>
    <x v="0"/>
    <s v="A01"/>
    <s v="H03"/>
    <n v="304.56"/>
    <n v="0"/>
    <x v="0"/>
    <n v="110.89"/>
    <n v="221.78"/>
    <n v="92.47"/>
    <n v="618.80999999999995"/>
    <x v="0"/>
    <x v="0"/>
    <n v="0"/>
    <n v="0"/>
    <n v="0"/>
    <n v="618.80999999999995"/>
    <x v="0"/>
    <x v="0"/>
    <x v="1"/>
    <x v="0"/>
    <x v="0"/>
    <s v="Yes"/>
    <x v="0"/>
    <x v="0"/>
    <n v="3"/>
    <n v="530.4"/>
    <x v="1"/>
    <x v="4"/>
  </r>
  <r>
    <s v="T00349"/>
    <s v="E0093"/>
    <s v="Leeds"/>
    <x v="0"/>
    <s v="Consultant"/>
    <s v="Client meeting"/>
    <d v="2026-06-19T00:00:00"/>
    <d v="2026-07-09T00:00:00"/>
    <d v="2026-07-13T00:00:00"/>
    <x v="1"/>
    <s v="Leeds"/>
    <x v="1"/>
    <x v="1"/>
    <x v="1"/>
    <s v="Economy"/>
    <n v="1106"/>
    <n v="20"/>
    <x v="3"/>
    <x v="2"/>
    <s v="A04"/>
    <s v="H02"/>
    <n v="431.94"/>
    <n v="0"/>
    <x v="1"/>
    <n v="177.07666666666668"/>
    <n v="531.23"/>
    <n v="49.36"/>
    <n v="1012.53"/>
    <x v="0"/>
    <x v="0"/>
    <n v="0"/>
    <n v="0"/>
    <n v="0"/>
    <n v="1012.53"/>
    <x v="0"/>
    <x v="0"/>
    <x v="1"/>
    <x v="0"/>
    <x v="1"/>
    <s v="Yes"/>
    <x v="0"/>
    <x v="1"/>
    <n v="5"/>
    <n v="165.9"/>
    <x v="3"/>
    <x v="1"/>
  </r>
  <r>
    <s v="T00350"/>
    <s v="E0094"/>
    <s v="London"/>
    <x v="1"/>
    <s v="Manager"/>
    <s v="Project work"/>
    <d v="2026-06-30T00:00:00"/>
    <d v="2026-07-22T00:00:00"/>
    <d v="2026-07-28T00:00:00"/>
    <x v="1"/>
    <s v="London"/>
    <x v="9"/>
    <x v="1"/>
    <x v="1"/>
    <s v="Economy"/>
    <n v="1372"/>
    <n v="22"/>
    <x v="3"/>
    <x v="0"/>
    <s v="A06"/>
    <s v="H03"/>
    <n v="245.02"/>
    <n v="0"/>
    <x v="4"/>
    <n v="213.40600000000001"/>
    <n v="1067.03"/>
    <n v="124.05"/>
    <n v="1436.1"/>
    <x v="0"/>
    <x v="0"/>
    <n v="0"/>
    <n v="0"/>
    <n v="0"/>
    <n v="1436.1"/>
    <x v="1"/>
    <x v="0"/>
    <x v="2"/>
    <x v="0"/>
    <x v="0"/>
    <s v="No"/>
    <x v="0"/>
    <x v="1"/>
    <n v="5"/>
    <n v="205.8"/>
    <x v="9"/>
    <x v="4"/>
  </r>
  <r>
    <s v="T00351"/>
    <s v="E0094"/>
    <s v="London"/>
    <x v="1"/>
    <s v="Manager"/>
    <s v="Internal meeting"/>
    <d v="2026-06-27T00:00:00"/>
    <d v="2026-07-14T00:00:00"/>
    <d v="2026-07-18T00:00:00"/>
    <x v="1"/>
    <s v="London"/>
    <x v="1"/>
    <x v="1"/>
    <x v="1"/>
    <s v="Economy"/>
    <n v="1654"/>
    <n v="17"/>
    <x v="3"/>
    <x v="0"/>
    <s v="A04"/>
    <s v="H04"/>
    <n v="416.17"/>
    <n v="0"/>
    <x v="1"/>
    <n v="193.50333333333333"/>
    <n v="580.51"/>
    <n v="50.28"/>
    <n v="1046.96"/>
    <x v="0"/>
    <x v="0"/>
    <n v="0"/>
    <n v="0"/>
    <n v="0"/>
    <n v="1046.96"/>
    <x v="1"/>
    <x v="0"/>
    <x v="1"/>
    <x v="0"/>
    <x v="0"/>
    <s v="Yes"/>
    <x v="0"/>
    <x v="1"/>
    <n v="4"/>
    <n v="248.1"/>
    <x v="3"/>
    <x v="3"/>
  </r>
  <r>
    <s v="T00352"/>
    <s v="E0094"/>
    <s v="London"/>
    <x v="1"/>
    <s v="Manager"/>
    <s v="Other"/>
    <d v="2026-04-27T00:00:00"/>
    <d v="2026-05-14T00:00:00"/>
    <d v="2026-05-18T00:00:00"/>
    <x v="2"/>
    <s v="London"/>
    <x v="16"/>
    <x v="1"/>
    <x v="1"/>
    <s v="Economy"/>
    <n v="1782"/>
    <n v="17"/>
    <x v="3"/>
    <x v="0"/>
    <s v="A05"/>
    <s v="H04"/>
    <n v="301.52"/>
    <n v="0"/>
    <x v="1"/>
    <n v="82.179999999999993"/>
    <n v="246.54"/>
    <n v="59.6"/>
    <n v="607.66"/>
    <x v="0"/>
    <x v="0"/>
    <n v="0"/>
    <n v="0"/>
    <n v="0"/>
    <n v="607.66"/>
    <x v="0"/>
    <x v="0"/>
    <x v="1"/>
    <x v="0"/>
    <x v="0"/>
    <s v="Yes"/>
    <x v="1"/>
    <x v="0"/>
    <n v="5"/>
    <n v="267.3"/>
    <x v="2"/>
    <x v="3"/>
  </r>
  <r>
    <s v="T00353"/>
    <s v="E0094"/>
    <s v="London"/>
    <x v="1"/>
    <s v="Manager"/>
    <s v="Internal meeting"/>
    <d v="2026-06-12T00:00:00"/>
    <d v="2026-06-21T00:00:00"/>
    <d v="2026-06-24T00:00:00"/>
    <x v="0"/>
    <s v="London"/>
    <x v="22"/>
    <x v="0"/>
    <x v="1"/>
    <s v="Economy"/>
    <n v="440"/>
    <n v="9"/>
    <x v="0"/>
    <x v="3"/>
    <s v="A02"/>
    <s v="H07"/>
    <n v="140.4"/>
    <n v="0"/>
    <x v="0"/>
    <n v="97.8"/>
    <n v="195.6"/>
    <n v="94.36"/>
    <n v="430.36"/>
    <x v="0"/>
    <x v="0"/>
    <n v="0"/>
    <n v="0"/>
    <n v="0"/>
    <n v="430.36"/>
    <x v="0"/>
    <x v="1"/>
    <x v="1"/>
    <x v="0"/>
    <x v="1"/>
    <s v="No"/>
    <x v="0"/>
    <x v="1"/>
    <n v="5"/>
    <n v="66"/>
    <x v="4"/>
    <x v="6"/>
  </r>
  <r>
    <s v="T00354"/>
    <s v="E0095"/>
    <s v="London"/>
    <x v="1"/>
    <s v="Manager"/>
    <s v="Other"/>
    <d v="2026-05-06T00:00:00"/>
    <d v="2026-05-18T00:00:00"/>
    <d v="2026-05-22T00:00:00"/>
    <x v="2"/>
    <s v="London"/>
    <x v="1"/>
    <x v="1"/>
    <x v="1"/>
    <s v="Economy"/>
    <n v="1448"/>
    <n v="12"/>
    <x v="0"/>
    <x v="0"/>
    <s v="A04"/>
    <s v="H02"/>
    <n v="426.29"/>
    <n v="0"/>
    <x v="1"/>
    <n v="211.37333333333333"/>
    <n v="634.12"/>
    <n v="69.19"/>
    <n v="1129.5999999999999"/>
    <x v="0"/>
    <x v="0"/>
    <n v="0"/>
    <n v="0"/>
    <n v="0"/>
    <n v="1129.5999999999999"/>
    <x v="1"/>
    <x v="0"/>
    <x v="1"/>
    <x v="0"/>
    <x v="0"/>
    <s v="Yes"/>
    <x v="0"/>
    <x v="1"/>
    <n v="4"/>
    <n v="217.2"/>
    <x v="3"/>
    <x v="1"/>
  </r>
  <r>
    <s v="T00355"/>
    <s v="E0095"/>
    <s v="London"/>
    <x v="1"/>
    <s v="Manager"/>
    <s v="Client meeting"/>
    <d v="2026-04-13T00:00:00"/>
    <d v="2026-05-10T00:00:00"/>
    <d v="2026-05-15T00:00:00"/>
    <x v="2"/>
    <s v="London"/>
    <x v="1"/>
    <x v="1"/>
    <x v="1"/>
    <s v="Economy"/>
    <n v="1362"/>
    <n v="27"/>
    <x v="3"/>
    <x v="1"/>
    <s v="A04"/>
    <s v="H04"/>
    <n v="344.22"/>
    <n v="0"/>
    <x v="3"/>
    <n v="215.755"/>
    <n v="863.02"/>
    <n v="62.43"/>
    <n v="1269.67"/>
    <x v="0"/>
    <x v="0"/>
    <n v="0"/>
    <n v="0"/>
    <n v="0"/>
    <n v="1269.67"/>
    <x v="1"/>
    <x v="0"/>
    <x v="1"/>
    <x v="0"/>
    <x v="0"/>
    <s v="Yes"/>
    <x v="0"/>
    <x v="1"/>
    <n v="5"/>
    <n v="204.3"/>
    <x v="3"/>
    <x v="3"/>
  </r>
  <r>
    <s v="T00356"/>
    <s v="E0095"/>
    <s v="London"/>
    <x v="1"/>
    <s v="Manager"/>
    <s v="Project work"/>
    <d v="2026-06-15T00:00:00"/>
    <d v="2026-06-18T00:00:00"/>
    <d v="2026-06-20T00:00:00"/>
    <x v="0"/>
    <s v="London"/>
    <x v="17"/>
    <x v="0"/>
    <x v="0"/>
    <s v="Standard / 2nd Class"/>
    <n v="854"/>
    <n v="3"/>
    <x v="1"/>
    <x v="1"/>
    <m/>
    <s v="H06"/>
    <n v="0"/>
    <n v="256.8"/>
    <x v="2"/>
    <n v="117.14"/>
    <n v="117.14"/>
    <n v="59.81"/>
    <n v="433.75"/>
    <x v="0"/>
    <x v="0"/>
    <n v="0"/>
    <n v="0"/>
    <n v="0"/>
    <n v="433.75"/>
    <x v="0"/>
    <x v="0"/>
    <x v="0"/>
    <x v="0"/>
    <x v="0"/>
    <s v="Yes"/>
    <x v="0"/>
    <x v="0"/>
    <n v="5"/>
    <n v="34.200000000000003"/>
    <x v="0"/>
    <x v="0"/>
  </r>
  <r>
    <s v="T00357"/>
    <s v="E0096"/>
    <s v="London"/>
    <x v="4"/>
    <s v="Analyst"/>
    <s v="Internal meeting"/>
    <d v="2026-05-06T00:00:00"/>
    <d v="2026-06-02T00:00:00"/>
    <d v="2026-06-04T00:00:00"/>
    <x v="0"/>
    <s v="London"/>
    <x v="14"/>
    <x v="1"/>
    <x v="1"/>
    <s v="Economy"/>
    <n v="1740"/>
    <n v="27"/>
    <x v="3"/>
    <x v="0"/>
    <s v="A03"/>
    <s v="H03"/>
    <n v="450.19"/>
    <n v="0"/>
    <x v="2"/>
    <n v="153.44"/>
    <n v="153.44"/>
    <n v="20"/>
    <n v="623.63"/>
    <x v="0"/>
    <x v="0"/>
    <n v="0"/>
    <n v="0"/>
    <n v="0"/>
    <n v="623.63"/>
    <x v="0"/>
    <x v="0"/>
    <x v="1"/>
    <x v="0"/>
    <x v="0"/>
    <s v="Yes"/>
    <x v="0"/>
    <x v="0"/>
    <n v="5"/>
    <n v="261"/>
    <x v="7"/>
    <x v="4"/>
  </r>
  <r>
    <s v="T00358"/>
    <s v="E0096"/>
    <s v="London"/>
    <x v="4"/>
    <s v="Analyst"/>
    <s v="Project work"/>
    <d v="2026-06-09T00:00:00"/>
    <d v="2026-06-15T00:00:00"/>
    <d v="2026-06-20T00:00:00"/>
    <x v="0"/>
    <s v="London"/>
    <x v="21"/>
    <x v="1"/>
    <x v="1"/>
    <s v="Economy"/>
    <n v="12770"/>
    <n v="6"/>
    <x v="4"/>
    <x v="0"/>
    <s v="A01"/>
    <s v="H02"/>
    <n v="1231.75"/>
    <n v="0"/>
    <x v="3"/>
    <n v="225.26750000000001"/>
    <n v="901.07"/>
    <n v="20"/>
    <n v="2152.8200000000002"/>
    <x v="0"/>
    <x v="0"/>
    <n v="0"/>
    <n v="0"/>
    <n v="0"/>
    <n v="2152.8200000000002"/>
    <x v="1"/>
    <x v="0"/>
    <x v="1"/>
    <x v="0"/>
    <x v="0"/>
    <s v="Yes"/>
    <x v="0"/>
    <x v="1"/>
    <n v="4"/>
    <n v="1915.5"/>
    <x v="1"/>
    <x v="1"/>
  </r>
  <r>
    <s v="T00359"/>
    <s v="E0096"/>
    <s v="London"/>
    <x v="4"/>
    <s v="Analyst"/>
    <s v="Client meeting"/>
    <d v="2026-04-23T00:00:00"/>
    <d v="2026-05-03T00:00:00"/>
    <d v="2026-05-08T00:00:00"/>
    <x v="2"/>
    <s v="London"/>
    <x v="9"/>
    <x v="1"/>
    <x v="1"/>
    <s v="Economy"/>
    <n v="3508"/>
    <n v="10"/>
    <x v="0"/>
    <x v="1"/>
    <s v="A06"/>
    <s v="H02"/>
    <n v="396.44"/>
    <n v="0"/>
    <x v="3"/>
    <n v="171.73500000000001"/>
    <n v="686.94"/>
    <n v="86.21"/>
    <n v="1169.5899999999999"/>
    <x v="1"/>
    <x v="0"/>
    <n v="21.58"/>
    <n v="0"/>
    <n v="0"/>
    <n v="1191.1699999999998"/>
    <x v="0"/>
    <x v="0"/>
    <x v="2"/>
    <x v="0"/>
    <x v="0"/>
    <s v="No"/>
    <x v="0"/>
    <x v="1"/>
    <n v="4"/>
    <n v="526.20000000000005"/>
    <x v="9"/>
    <x v="1"/>
  </r>
  <r>
    <s v="T00360"/>
    <s v="E0096"/>
    <s v="London"/>
    <x v="4"/>
    <s v="Analyst"/>
    <s v="Internal meeting"/>
    <d v="2026-07-03T00:00:00"/>
    <d v="2026-07-22T00:00:00"/>
    <d v="2026-07-28T00:00:00"/>
    <x v="1"/>
    <s v="London"/>
    <x v="7"/>
    <x v="1"/>
    <x v="1"/>
    <s v="Economy"/>
    <n v="10762"/>
    <n v="19"/>
    <x v="3"/>
    <x v="0"/>
    <s v="A01"/>
    <s v="H02"/>
    <n v="1015.5"/>
    <n v="0"/>
    <x v="4"/>
    <n v="142.61799999999999"/>
    <n v="713.09"/>
    <n v="107.3"/>
    <n v="1835.89"/>
    <x v="0"/>
    <x v="0"/>
    <n v="0"/>
    <n v="0"/>
    <n v="0"/>
    <n v="1835.89"/>
    <x v="0"/>
    <x v="0"/>
    <x v="1"/>
    <x v="0"/>
    <x v="0"/>
    <s v="Yes"/>
    <x v="0"/>
    <x v="0"/>
    <n v="4"/>
    <n v="1614.3"/>
    <x v="1"/>
    <x v="1"/>
  </r>
  <r>
    <s v="T00361"/>
    <s v="E0097"/>
    <s v="London"/>
    <x v="1"/>
    <s v="Partner"/>
    <s v="Project work"/>
    <d v="2026-05-22T00:00:00"/>
    <d v="2026-06-08T00:00:00"/>
    <d v="2026-06-10T00:00:00"/>
    <x v="0"/>
    <s v="London"/>
    <x v="7"/>
    <x v="1"/>
    <x v="1"/>
    <s v="Premium Economy"/>
    <n v="10260"/>
    <n v="17"/>
    <x v="3"/>
    <x v="1"/>
    <s v="A01"/>
    <s v="H01"/>
    <n v="1067.05"/>
    <n v="0"/>
    <x v="2"/>
    <n v="144.41"/>
    <n v="144.41"/>
    <n v="84.36"/>
    <n v="1295.82"/>
    <x v="0"/>
    <x v="0"/>
    <n v="0"/>
    <n v="0"/>
    <n v="0"/>
    <n v="1295.82"/>
    <x v="0"/>
    <x v="0"/>
    <x v="1"/>
    <x v="1"/>
    <x v="0"/>
    <s v="Yes"/>
    <x v="0"/>
    <x v="1"/>
    <n v="4"/>
    <n v="1539"/>
    <x v="1"/>
    <x v="2"/>
  </r>
  <r>
    <s v="T00362"/>
    <s v="E0097"/>
    <s v="London"/>
    <x v="1"/>
    <s v="Partner"/>
    <s v="Team building"/>
    <d v="2026-05-20T00:00:00"/>
    <d v="2026-06-11T00:00:00"/>
    <d v="2026-06-14T00:00:00"/>
    <x v="0"/>
    <s v="London"/>
    <x v="9"/>
    <x v="1"/>
    <x v="1"/>
    <s v="Economy"/>
    <n v="1986"/>
    <n v="22"/>
    <x v="3"/>
    <x v="0"/>
    <s v="A10"/>
    <s v="H04"/>
    <n v="404.43"/>
    <n v="0"/>
    <x v="0"/>
    <n v="232.375"/>
    <n v="464.75"/>
    <n v="122.44"/>
    <n v="991.62"/>
    <x v="0"/>
    <x v="0"/>
    <n v="0"/>
    <n v="0"/>
    <n v="0"/>
    <n v="991.62"/>
    <x v="1"/>
    <x v="0"/>
    <x v="1"/>
    <x v="0"/>
    <x v="0"/>
    <s v="Yes"/>
    <x v="0"/>
    <x v="1"/>
    <n v="5"/>
    <n v="297.89999999999998"/>
    <x v="6"/>
    <x v="3"/>
  </r>
  <r>
    <s v="T00363"/>
    <s v="E0098"/>
    <s v="London"/>
    <x v="5"/>
    <s v="Director"/>
    <s v="Internal meeting"/>
    <d v="2026-05-27T00:00:00"/>
    <d v="2026-05-31T00:00:00"/>
    <d v="2026-06-02T00:00:00"/>
    <x v="2"/>
    <s v="London"/>
    <x v="0"/>
    <x v="0"/>
    <x v="0"/>
    <s v="Standard / 2nd Class"/>
    <n v="874"/>
    <n v="4"/>
    <x v="4"/>
    <x v="1"/>
    <m/>
    <s v="H01"/>
    <n v="0"/>
    <n v="262.39"/>
    <x v="2"/>
    <n v="144.53"/>
    <n v="144.53"/>
    <n v="20"/>
    <n v="426.92"/>
    <x v="0"/>
    <x v="0"/>
    <n v="0"/>
    <n v="0"/>
    <n v="0"/>
    <n v="426.92"/>
    <x v="0"/>
    <x v="0"/>
    <x v="0"/>
    <x v="0"/>
    <x v="0"/>
    <s v="Yes"/>
    <x v="0"/>
    <x v="0"/>
    <n v="4"/>
    <n v="35"/>
    <x v="0"/>
    <x v="2"/>
  </r>
  <r>
    <s v="T00364"/>
    <s v="E0098"/>
    <s v="London"/>
    <x v="5"/>
    <s v="Director"/>
    <s v="Project work"/>
    <d v="2026-06-17T00:00:00"/>
    <d v="2026-07-03T00:00:00"/>
    <d v="2026-07-07T00:00:00"/>
    <x v="1"/>
    <s v="London"/>
    <x v="1"/>
    <x v="1"/>
    <x v="1"/>
    <s v="Economy"/>
    <n v="2852"/>
    <n v="16"/>
    <x v="3"/>
    <x v="1"/>
    <s v="A01"/>
    <s v="H04"/>
    <n v="285.99"/>
    <n v="0"/>
    <x v="1"/>
    <n v="182.53333333333333"/>
    <n v="547.6"/>
    <n v="79.64"/>
    <n v="913.23"/>
    <x v="0"/>
    <x v="0"/>
    <n v="0"/>
    <n v="0"/>
    <n v="0"/>
    <n v="913.23"/>
    <x v="1"/>
    <x v="0"/>
    <x v="1"/>
    <x v="0"/>
    <x v="0"/>
    <s v="Yes"/>
    <x v="0"/>
    <x v="1"/>
    <n v="5"/>
    <n v="427.8"/>
    <x v="1"/>
    <x v="3"/>
  </r>
  <r>
    <s v="T00365"/>
    <s v="E0098"/>
    <s v="London"/>
    <x v="5"/>
    <s v="Director"/>
    <s v="Training"/>
    <d v="2026-07-10T00:00:00"/>
    <d v="2026-07-20T00:00:00"/>
    <d v="2026-07-23T00:00:00"/>
    <x v="1"/>
    <s v="London"/>
    <x v="19"/>
    <x v="1"/>
    <x v="1"/>
    <s v="Economy"/>
    <n v="2974"/>
    <n v="10"/>
    <x v="0"/>
    <x v="1"/>
    <s v="A04"/>
    <s v="H01"/>
    <n v="375.07"/>
    <n v="0"/>
    <x v="0"/>
    <n v="182.13499999999999"/>
    <n v="364.27"/>
    <n v="88.91"/>
    <n v="828.25"/>
    <x v="0"/>
    <x v="0"/>
    <n v="0"/>
    <n v="0"/>
    <n v="0"/>
    <n v="828.25"/>
    <x v="1"/>
    <x v="0"/>
    <x v="1"/>
    <x v="0"/>
    <x v="0"/>
    <s v="Yes"/>
    <x v="0"/>
    <x v="1"/>
    <n v="4"/>
    <n v="446.1"/>
    <x v="3"/>
    <x v="2"/>
  </r>
  <r>
    <s v="T00366"/>
    <s v="E0098"/>
    <s v="London"/>
    <x v="5"/>
    <s v="Director"/>
    <s v="Project work"/>
    <d v="2026-05-27T00:00:00"/>
    <d v="2026-06-14T00:00:00"/>
    <d v="2026-06-20T00:00:00"/>
    <x v="0"/>
    <s v="London"/>
    <x v="7"/>
    <x v="1"/>
    <x v="1"/>
    <s v="Premium Economy"/>
    <n v="10472"/>
    <n v="18"/>
    <x v="3"/>
    <x v="1"/>
    <s v="A01"/>
    <s v="H05"/>
    <n v="1171.78"/>
    <n v="0"/>
    <x v="4"/>
    <n v="141.61199999999999"/>
    <n v="708.06"/>
    <n v="116.89"/>
    <n v="1996.73"/>
    <x v="0"/>
    <x v="0"/>
    <n v="0"/>
    <n v="0"/>
    <n v="0"/>
    <n v="1996.73"/>
    <x v="0"/>
    <x v="1"/>
    <x v="1"/>
    <x v="1"/>
    <x v="0"/>
    <s v="No"/>
    <x v="0"/>
    <x v="1"/>
    <n v="5"/>
    <n v="1570.8"/>
    <x v="1"/>
    <x v="5"/>
  </r>
  <r>
    <s v="T00367"/>
    <s v="E0099"/>
    <s v="London"/>
    <x v="5"/>
    <s v="Manager"/>
    <s v="Client meeting"/>
    <d v="2026-06-12T00:00:00"/>
    <d v="2026-06-18T00:00:00"/>
    <d v="2026-06-22T00:00:00"/>
    <x v="0"/>
    <s v="London"/>
    <x v="9"/>
    <x v="1"/>
    <x v="1"/>
    <s v="Economy"/>
    <n v="2144"/>
    <n v="6"/>
    <x v="4"/>
    <x v="0"/>
    <s v="A10"/>
    <s v="H05"/>
    <n v="516.44000000000005"/>
    <n v="0"/>
    <x v="1"/>
    <n v="186.80666666666664"/>
    <n v="560.41999999999996"/>
    <n v="135.87"/>
    <n v="1212.73"/>
    <x v="1"/>
    <x v="0"/>
    <n v="97.84"/>
    <n v="0"/>
    <n v="0"/>
    <n v="1310.57"/>
    <x v="1"/>
    <x v="1"/>
    <x v="1"/>
    <x v="0"/>
    <x v="0"/>
    <s v="No"/>
    <x v="0"/>
    <x v="1"/>
    <n v="4"/>
    <n v="321.60000000000002"/>
    <x v="6"/>
    <x v="5"/>
  </r>
  <r>
    <s v="T00368"/>
    <s v="E0099"/>
    <s v="London"/>
    <x v="5"/>
    <s v="Manager"/>
    <s v="Client meeting"/>
    <d v="2026-06-10T00:00:00"/>
    <d v="2026-07-01T00:00:00"/>
    <d v="2026-07-04T00:00:00"/>
    <x v="1"/>
    <s v="London"/>
    <x v="3"/>
    <x v="1"/>
    <x v="1"/>
    <s v="Economy"/>
    <n v="3462"/>
    <n v="21"/>
    <x v="3"/>
    <x v="0"/>
    <s v="A04"/>
    <s v="H02"/>
    <n v="275.14999999999998"/>
    <n v="0"/>
    <x v="0"/>
    <n v="154.38499999999999"/>
    <n v="308.77"/>
    <n v="93.37"/>
    <n v="677.29"/>
    <x v="0"/>
    <x v="0"/>
    <n v="0"/>
    <n v="0"/>
    <n v="0"/>
    <n v="677.29"/>
    <x v="0"/>
    <x v="0"/>
    <x v="1"/>
    <x v="0"/>
    <x v="0"/>
    <s v="Yes"/>
    <x v="0"/>
    <x v="0"/>
    <n v="4"/>
    <n v="519.29999999999995"/>
    <x v="3"/>
    <x v="1"/>
  </r>
  <r>
    <s v="T00369"/>
    <s v="E0099"/>
    <s v="London"/>
    <x v="5"/>
    <s v="Manager"/>
    <s v="Client meeting"/>
    <d v="2026-05-19T00:00:00"/>
    <d v="2026-05-28T00:00:00"/>
    <d v="2026-05-30T00:00:00"/>
    <x v="2"/>
    <s v="London"/>
    <x v="9"/>
    <x v="1"/>
    <x v="1"/>
    <s v="Economy"/>
    <n v="2664"/>
    <n v="9"/>
    <x v="0"/>
    <x v="0"/>
    <s v="A01"/>
    <s v="H01"/>
    <n v="298.58999999999997"/>
    <n v="0"/>
    <x v="2"/>
    <n v="191.51"/>
    <n v="191.51"/>
    <n v="87.98"/>
    <n v="578.08000000000004"/>
    <x v="0"/>
    <x v="0"/>
    <n v="0"/>
    <n v="0"/>
    <n v="0"/>
    <n v="578.08000000000004"/>
    <x v="1"/>
    <x v="0"/>
    <x v="1"/>
    <x v="0"/>
    <x v="0"/>
    <s v="Yes"/>
    <x v="1"/>
    <x v="1"/>
    <n v="5"/>
    <n v="399.6"/>
    <x v="1"/>
    <x v="2"/>
  </r>
  <r>
    <s v="T00370"/>
    <s v="E0100"/>
    <s v="London"/>
    <x v="0"/>
    <s v="Manager"/>
    <s v="Training"/>
    <d v="2026-04-25T00:00:00"/>
    <d v="2026-05-05T00:00:00"/>
    <d v="2026-05-08T00:00:00"/>
    <x v="2"/>
    <s v="London"/>
    <x v="1"/>
    <x v="1"/>
    <x v="1"/>
    <s v="Economy"/>
    <n v="2810"/>
    <n v="10"/>
    <x v="0"/>
    <x v="1"/>
    <s v="A04"/>
    <s v="H05"/>
    <n v="467.61"/>
    <n v="0"/>
    <x v="0"/>
    <n v="222.79499999999999"/>
    <n v="445.59"/>
    <n v="122.69"/>
    <n v="1035.8900000000001"/>
    <x v="0"/>
    <x v="0"/>
    <n v="0"/>
    <n v="0"/>
    <n v="0"/>
    <n v="1035.8900000000001"/>
    <x v="1"/>
    <x v="1"/>
    <x v="1"/>
    <x v="0"/>
    <x v="0"/>
    <s v="No"/>
    <x v="0"/>
    <x v="1"/>
    <n v="4"/>
    <n v="421.5"/>
    <x v="3"/>
    <x v="5"/>
  </r>
  <r>
    <s v="T00371"/>
    <s v="E0100"/>
    <s v="London"/>
    <x v="0"/>
    <s v="Manager"/>
    <s v="Client meeting"/>
    <d v="2026-06-25T00:00:00"/>
    <d v="2026-06-30T00:00:00"/>
    <d v="2026-07-06T00:00:00"/>
    <x v="0"/>
    <s v="London"/>
    <x v="9"/>
    <x v="1"/>
    <x v="1"/>
    <s v="Economy"/>
    <n v="2292"/>
    <n v="5"/>
    <x v="4"/>
    <x v="0"/>
    <s v="A10"/>
    <s v="H01"/>
    <n v="628.79999999999995"/>
    <n v="0"/>
    <x v="4"/>
    <n v="225.84200000000001"/>
    <n v="1129.21"/>
    <n v="105.74"/>
    <n v="1863.75"/>
    <x v="0"/>
    <x v="0"/>
    <n v="0"/>
    <n v="0"/>
    <n v="0"/>
    <n v="1863.75"/>
    <x v="1"/>
    <x v="0"/>
    <x v="1"/>
    <x v="0"/>
    <x v="0"/>
    <s v="Yes"/>
    <x v="0"/>
    <x v="1"/>
    <n v="4"/>
    <n v="343.8"/>
    <x v="6"/>
    <x v="2"/>
  </r>
  <r>
    <s v="T00372"/>
    <s v="E0100"/>
    <s v="London"/>
    <x v="0"/>
    <s v="Manager"/>
    <s v="Project work"/>
    <d v="2026-07-12T00:00:00"/>
    <d v="2026-07-26T00:00:00"/>
    <d v="2026-07-30T00:00:00"/>
    <x v="1"/>
    <s v="London"/>
    <x v="23"/>
    <x v="1"/>
    <x v="1"/>
    <s v="Economy"/>
    <n v="2606"/>
    <n v="14"/>
    <x v="0"/>
    <x v="3"/>
    <s v="A04"/>
    <s v="H02"/>
    <n v="344.56"/>
    <n v="0"/>
    <x v="1"/>
    <n v="233.22666666666666"/>
    <n v="699.68"/>
    <n v="59.19"/>
    <n v="1103.43"/>
    <x v="0"/>
    <x v="0"/>
    <n v="0"/>
    <n v="0"/>
    <n v="0"/>
    <n v="1103.43"/>
    <x v="1"/>
    <x v="0"/>
    <x v="1"/>
    <x v="0"/>
    <x v="1"/>
    <s v="Yes"/>
    <x v="0"/>
    <x v="1"/>
    <n v="5"/>
    <n v="390.9"/>
    <x v="3"/>
    <x v="1"/>
  </r>
  <r>
    <s v="T00373"/>
    <s v="E0100"/>
    <s v="London"/>
    <x v="0"/>
    <s v="Manager"/>
    <s v="Internal meeting"/>
    <d v="2026-05-13T00:00:00"/>
    <d v="2026-05-23T00:00:00"/>
    <d v="2026-05-25T00:00:00"/>
    <x v="2"/>
    <s v="London"/>
    <x v="9"/>
    <x v="1"/>
    <x v="1"/>
    <s v="Economy"/>
    <n v="3252"/>
    <n v="10"/>
    <x v="0"/>
    <x v="0"/>
    <s v="A01"/>
    <s v="H01"/>
    <n v="525.64"/>
    <n v="0"/>
    <x v="2"/>
    <n v="119.82"/>
    <n v="119.82"/>
    <n v="102.9"/>
    <n v="748.36"/>
    <x v="1"/>
    <x v="0"/>
    <n v="55.17"/>
    <n v="0"/>
    <n v="0"/>
    <n v="803.53"/>
    <x v="0"/>
    <x v="0"/>
    <x v="1"/>
    <x v="0"/>
    <x v="0"/>
    <s v="Yes"/>
    <x v="0"/>
    <x v="0"/>
    <n v="4"/>
    <n v="487.8"/>
    <x v="1"/>
    <x v="2"/>
  </r>
  <r>
    <s v="T00374"/>
    <s v="E0100"/>
    <s v="London"/>
    <x v="0"/>
    <s v="Manager"/>
    <s v="Project work"/>
    <d v="2026-07-10T00:00:00"/>
    <d v="2026-07-24T00:00:00"/>
    <d v="2026-07-28T00:00:00"/>
    <x v="1"/>
    <s v="London"/>
    <x v="2"/>
    <x v="1"/>
    <x v="1"/>
    <s v="Economy"/>
    <n v="3228"/>
    <n v="14"/>
    <x v="0"/>
    <x v="0"/>
    <s v="A02"/>
    <s v="H02"/>
    <n v="295.83"/>
    <n v="0"/>
    <x v="1"/>
    <n v="159.38333333333333"/>
    <n v="478.15"/>
    <n v="56.75"/>
    <n v="830.73"/>
    <x v="1"/>
    <x v="0"/>
    <n v="115.66"/>
    <n v="0"/>
    <n v="0"/>
    <n v="946.39"/>
    <x v="0"/>
    <x v="0"/>
    <x v="1"/>
    <x v="0"/>
    <x v="0"/>
    <s v="Yes"/>
    <x v="0"/>
    <x v="0"/>
    <n v="4"/>
    <n v="484.2"/>
    <x v="4"/>
    <x v="1"/>
  </r>
  <r>
    <s v="T00375"/>
    <s v="E0101"/>
    <s v="Birmingham"/>
    <x v="1"/>
    <s v="Partner"/>
    <s v="Training"/>
    <d v="2026-06-06T00:00:00"/>
    <d v="2026-06-21T00:00:00"/>
    <d v="2026-06-26T00:00:00"/>
    <x v="0"/>
    <s v="Birmingham"/>
    <x v="14"/>
    <x v="1"/>
    <x v="1"/>
    <s v="Economy"/>
    <n v="2962"/>
    <n v="15"/>
    <x v="3"/>
    <x v="2"/>
    <s v="A03"/>
    <s v="H04"/>
    <n v="545.48"/>
    <n v="0"/>
    <x v="3"/>
    <n v="144.8475"/>
    <n v="579.39"/>
    <n v="69.59"/>
    <n v="1194.46"/>
    <x v="0"/>
    <x v="0"/>
    <n v="0"/>
    <n v="0"/>
    <n v="0"/>
    <n v="1194.46"/>
    <x v="0"/>
    <x v="0"/>
    <x v="1"/>
    <x v="0"/>
    <x v="1"/>
    <s v="Yes"/>
    <x v="0"/>
    <x v="1"/>
    <n v="3"/>
    <n v="444.3"/>
    <x v="7"/>
    <x v="3"/>
  </r>
  <r>
    <s v="T00376"/>
    <s v="E0101"/>
    <s v="Birmingham"/>
    <x v="1"/>
    <s v="Partner"/>
    <s v="Client meeting"/>
    <d v="2026-05-01T00:00:00"/>
    <d v="2026-05-19T00:00:00"/>
    <d v="2026-05-22T00:00:00"/>
    <x v="2"/>
    <s v="Birmingham"/>
    <x v="9"/>
    <x v="1"/>
    <x v="1"/>
    <s v="Economy"/>
    <n v="1636"/>
    <n v="18"/>
    <x v="3"/>
    <x v="3"/>
    <s v="A06"/>
    <s v="H03"/>
    <n v="338.07"/>
    <n v="0"/>
    <x v="0"/>
    <n v="197.69"/>
    <n v="395.38"/>
    <n v="67.34"/>
    <n v="800.79"/>
    <x v="0"/>
    <x v="0"/>
    <n v="0"/>
    <n v="0"/>
    <n v="0"/>
    <n v="800.79"/>
    <x v="1"/>
    <x v="0"/>
    <x v="2"/>
    <x v="0"/>
    <x v="1"/>
    <s v="No"/>
    <x v="1"/>
    <x v="1"/>
    <n v="5"/>
    <n v="245.4"/>
    <x v="9"/>
    <x v="4"/>
  </r>
  <r>
    <s v="T00377"/>
    <s v="E0101"/>
    <s v="Birmingham"/>
    <x v="1"/>
    <s v="Partner"/>
    <s v="Project work"/>
    <d v="2026-04-25T00:00:00"/>
    <d v="2026-05-27T00:00:00"/>
    <d v="2026-05-30T00:00:00"/>
    <x v="2"/>
    <s v="Birmingham"/>
    <x v="6"/>
    <x v="0"/>
    <x v="1"/>
    <s v="Economy"/>
    <n v="690"/>
    <n v="32"/>
    <x v="2"/>
    <x v="0"/>
    <s v="A01"/>
    <s v="H01"/>
    <n v="285.26"/>
    <n v="0"/>
    <x v="0"/>
    <n v="153.04499999999999"/>
    <n v="306.08999999999997"/>
    <n v="30.65"/>
    <n v="622"/>
    <x v="0"/>
    <x v="0"/>
    <n v="0"/>
    <n v="0"/>
    <n v="0"/>
    <n v="622"/>
    <x v="0"/>
    <x v="0"/>
    <x v="1"/>
    <x v="0"/>
    <x v="0"/>
    <s v="Yes"/>
    <x v="0"/>
    <x v="0"/>
    <n v="5"/>
    <n v="103.5"/>
    <x v="1"/>
    <x v="2"/>
  </r>
  <r>
    <s v="T00378"/>
    <s v="E0102"/>
    <s v="Edinburgh"/>
    <x v="0"/>
    <s v="Manager"/>
    <s v="Client meeting"/>
    <d v="2026-05-28T00:00:00"/>
    <d v="2026-06-16T00:00:00"/>
    <d v="2026-06-23T00:00:00"/>
    <x v="0"/>
    <s v="Edinburgh"/>
    <x v="21"/>
    <x v="1"/>
    <x v="1"/>
    <s v="Economy"/>
    <n v="11408"/>
    <n v="19"/>
    <x v="3"/>
    <x v="0"/>
    <s v="A09"/>
    <s v="H04"/>
    <n v="1611.5"/>
    <n v="0"/>
    <x v="7"/>
    <n v="178.99166666666667"/>
    <n v="1073.95"/>
    <n v="58.63"/>
    <n v="2744.08"/>
    <x v="0"/>
    <x v="0"/>
    <n v="0"/>
    <n v="0"/>
    <n v="0"/>
    <n v="2744.08"/>
    <x v="0"/>
    <x v="0"/>
    <x v="2"/>
    <x v="0"/>
    <x v="0"/>
    <s v="No"/>
    <x v="0"/>
    <x v="1"/>
    <n v="4"/>
    <n v="1711.2"/>
    <x v="8"/>
    <x v="3"/>
  </r>
  <r>
    <s v="T00379"/>
    <s v="E0102"/>
    <s v="Edinburgh"/>
    <x v="0"/>
    <s v="Manager"/>
    <s v="Project work"/>
    <d v="2026-07-12T00:00:00"/>
    <d v="2026-07-25T00:00:00"/>
    <d v="2026-07-29T00:00:00"/>
    <x v="1"/>
    <s v="Edinburgh"/>
    <x v="15"/>
    <x v="1"/>
    <x v="1"/>
    <s v="Economy"/>
    <n v="1880"/>
    <n v="13"/>
    <x v="0"/>
    <x v="0"/>
    <s v="A03"/>
    <s v="H04"/>
    <n v="476.47"/>
    <n v="0"/>
    <x v="1"/>
    <n v="258.16000000000003"/>
    <n v="774.48"/>
    <n v="69.22"/>
    <n v="1320.17"/>
    <x v="0"/>
    <x v="0"/>
    <n v="0"/>
    <n v="0"/>
    <n v="0"/>
    <n v="1320.17"/>
    <x v="1"/>
    <x v="0"/>
    <x v="1"/>
    <x v="0"/>
    <x v="0"/>
    <s v="Yes"/>
    <x v="0"/>
    <x v="1"/>
    <n v="4"/>
    <n v="282"/>
    <x v="7"/>
    <x v="3"/>
  </r>
  <r>
    <s v="T00380"/>
    <s v="E0102"/>
    <s v="Edinburgh"/>
    <x v="0"/>
    <s v="Manager"/>
    <s v="Internal meeting"/>
    <d v="2026-06-19T00:00:00"/>
    <d v="2026-07-06T00:00:00"/>
    <d v="2026-07-08T00:00:00"/>
    <x v="1"/>
    <s v="Edinburgh"/>
    <x v="9"/>
    <x v="1"/>
    <x v="1"/>
    <s v="Economy"/>
    <n v="3374"/>
    <n v="17"/>
    <x v="3"/>
    <x v="0"/>
    <s v="A10"/>
    <s v="H01"/>
    <n v="344.49"/>
    <n v="0"/>
    <x v="2"/>
    <n v="175.03"/>
    <n v="175.03"/>
    <n v="80.760000000000005"/>
    <n v="600.28"/>
    <x v="0"/>
    <x v="0"/>
    <n v="0"/>
    <n v="0"/>
    <n v="0"/>
    <n v="600.28"/>
    <x v="0"/>
    <x v="0"/>
    <x v="1"/>
    <x v="0"/>
    <x v="0"/>
    <s v="Yes"/>
    <x v="0"/>
    <x v="0"/>
    <n v="4"/>
    <n v="506.1"/>
    <x v="6"/>
    <x v="2"/>
  </r>
  <r>
    <s v="T00381"/>
    <s v="E0103"/>
    <s v="London"/>
    <x v="2"/>
    <s v="Senior Manager"/>
    <s v="Conference / Event"/>
    <d v="2026-07-02T00:00:00"/>
    <d v="2026-07-25T00:00:00"/>
    <d v="2026-07-27T00:00:00"/>
    <x v="1"/>
    <s v="London"/>
    <x v="16"/>
    <x v="1"/>
    <x v="1"/>
    <s v="Economy"/>
    <n v="1186"/>
    <n v="23"/>
    <x v="3"/>
    <x v="0"/>
    <s v="A05"/>
    <s v="H04"/>
    <n v="374.99"/>
    <n v="0"/>
    <x v="2"/>
    <n v="248.36"/>
    <n v="248.36"/>
    <n v="77.459999999999994"/>
    <n v="700.81"/>
    <x v="0"/>
    <x v="0"/>
    <n v="0"/>
    <n v="0"/>
    <n v="0"/>
    <n v="700.81"/>
    <x v="1"/>
    <x v="0"/>
    <x v="1"/>
    <x v="0"/>
    <x v="0"/>
    <s v="Yes"/>
    <x v="0"/>
    <x v="1"/>
    <n v="5"/>
    <n v="177.9"/>
    <x v="2"/>
    <x v="3"/>
  </r>
  <r>
    <s v="T00382"/>
    <s v="E0103"/>
    <s v="London"/>
    <x v="2"/>
    <s v="Senior Manager"/>
    <s v="Recruitment / Interview"/>
    <d v="2026-06-14T00:00:00"/>
    <d v="2026-06-23T00:00:00"/>
    <d v="2026-06-26T00:00:00"/>
    <x v="0"/>
    <s v="London"/>
    <x v="9"/>
    <x v="1"/>
    <x v="1"/>
    <s v="Economy"/>
    <n v="1584"/>
    <n v="9"/>
    <x v="0"/>
    <x v="1"/>
    <s v="A06"/>
    <s v="H01"/>
    <n v="541.41"/>
    <n v="0"/>
    <x v="0"/>
    <n v="107.175"/>
    <n v="214.35"/>
    <n v="56.23"/>
    <n v="811.99"/>
    <x v="1"/>
    <x v="0"/>
    <n v="21.01"/>
    <n v="0"/>
    <n v="0"/>
    <n v="833"/>
    <x v="0"/>
    <x v="0"/>
    <x v="2"/>
    <x v="0"/>
    <x v="0"/>
    <s v="No"/>
    <x v="0"/>
    <x v="1"/>
    <n v="4"/>
    <n v="237.6"/>
    <x v="9"/>
    <x v="2"/>
  </r>
  <r>
    <s v="T00383"/>
    <s v="E0103"/>
    <s v="London"/>
    <x v="2"/>
    <s v="Senior Manager"/>
    <s v="Conference / Event"/>
    <d v="2026-07-11T00:00:00"/>
    <d v="2026-07-21T00:00:00"/>
    <d v="2026-07-25T00:00:00"/>
    <x v="1"/>
    <s v="London"/>
    <x v="16"/>
    <x v="1"/>
    <x v="1"/>
    <s v="Economy"/>
    <n v="1422"/>
    <n v="10"/>
    <x v="0"/>
    <x v="1"/>
    <s v="A05"/>
    <s v="H03"/>
    <n v="226.9"/>
    <n v="0"/>
    <x v="1"/>
    <n v="151.45666666666668"/>
    <n v="454.37"/>
    <n v="70.25"/>
    <n v="751.52"/>
    <x v="0"/>
    <x v="0"/>
    <n v="0"/>
    <n v="0"/>
    <n v="0"/>
    <n v="751.52"/>
    <x v="0"/>
    <x v="0"/>
    <x v="1"/>
    <x v="0"/>
    <x v="0"/>
    <s v="Yes"/>
    <x v="0"/>
    <x v="0"/>
    <n v="3"/>
    <n v="213.3"/>
    <x v="2"/>
    <x v="4"/>
  </r>
  <r>
    <s v="T00384"/>
    <s v="E0103"/>
    <s v="London"/>
    <x v="2"/>
    <s v="Senior Manager"/>
    <s v="Internal meeting"/>
    <d v="2026-05-03T00:00:00"/>
    <d v="2026-05-13T00:00:00"/>
    <d v="2026-05-15T00:00:00"/>
    <x v="2"/>
    <s v="London"/>
    <x v="3"/>
    <x v="1"/>
    <x v="1"/>
    <s v="Economy"/>
    <n v="1822"/>
    <n v="10"/>
    <x v="0"/>
    <x v="1"/>
    <s v="A01"/>
    <s v="H04"/>
    <n v="709.26"/>
    <n v="0"/>
    <x v="2"/>
    <n v="130.22999999999999"/>
    <n v="130.22999999999999"/>
    <n v="134.97999999999999"/>
    <n v="974.47"/>
    <x v="0"/>
    <x v="0"/>
    <n v="0"/>
    <n v="0"/>
    <n v="0"/>
    <n v="974.47"/>
    <x v="0"/>
    <x v="0"/>
    <x v="1"/>
    <x v="0"/>
    <x v="0"/>
    <s v="Yes"/>
    <x v="0"/>
    <x v="0"/>
    <n v="4"/>
    <n v="273.3"/>
    <x v="1"/>
    <x v="3"/>
  </r>
  <r>
    <s v="T00385"/>
    <s v="E0104"/>
    <s v="London"/>
    <x v="4"/>
    <s v="Senior Manager"/>
    <s v="Other"/>
    <d v="2026-06-18T00:00:00"/>
    <d v="2026-07-04T00:00:00"/>
    <d v="2026-07-07T00:00:00"/>
    <x v="1"/>
    <s v="London"/>
    <x v="9"/>
    <x v="1"/>
    <x v="1"/>
    <s v="Economy"/>
    <n v="1886"/>
    <n v="16"/>
    <x v="3"/>
    <x v="1"/>
    <s v="A06"/>
    <s v="H01"/>
    <n v="367.96"/>
    <n v="0"/>
    <x v="0"/>
    <n v="153.96"/>
    <n v="307.92"/>
    <n v="95.39"/>
    <n v="771.27"/>
    <x v="0"/>
    <x v="0"/>
    <n v="0"/>
    <n v="0"/>
    <n v="0"/>
    <n v="771.27"/>
    <x v="0"/>
    <x v="0"/>
    <x v="2"/>
    <x v="0"/>
    <x v="0"/>
    <s v="No"/>
    <x v="0"/>
    <x v="1"/>
    <n v="5"/>
    <n v="282.89999999999998"/>
    <x v="9"/>
    <x v="2"/>
  </r>
  <r>
    <s v="T00386"/>
    <s v="E0104"/>
    <s v="London"/>
    <x v="4"/>
    <s v="Senior Manager"/>
    <s v="Project work"/>
    <d v="2026-06-07T00:00:00"/>
    <d v="2026-06-13T00:00:00"/>
    <d v="2026-06-17T00:00:00"/>
    <x v="0"/>
    <s v="London"/>
    <x v="5"/>
    <x v="1"/>
    <x v="1"/>
    <s v="Economy"/>
    <n v="16510"/>
    <n v="6"/>
    <x v="4"/>
    <x v="0"/>
    <s v="A08"/>
    <s v="H03"/>
    <n v="932.65"/>
    <n v="0"/>
    <x v="1"/>
    <n v="276.31"/>
    <n v="828.93"/>
    <n v="142.69"/>
    <n v="1904.27"/>
    <x v="0"/>
    <x v="0"/>
    <n v="0"/>
    <n v="0"/>
    <n v="0"/>
    <n v="1904.27"/>
    <x v="1"/>
    <x v="0"/>
    <x v="1"/>
    <x v="0"/>
    <x v="0"/>
    <s v="Yes"/>
    <x v="0"/>
    <x v="1"/>
    <n v="5"/>
    <n v="2476.5"/>
    <x v="10"/>
    <x v="4"/>
  </r>
  <r>
    <s v="T00387"/>
    <s v="E0105"/>
    <s v="London"/>
    <x v="5"/>
    <s v="Manager"/>
    <s v="Project work"/>
    <d v="2026-04-08T00:00:00"/>
    <d v="2026-05-07T00:00:00"/>
    <d v="2026-05-11T00:00:00"/>
    <x v="2"/>
    <s v="London"/>
    <x v="9"/>
    <x v="1"/>
    <x v="1"/>
    <s v="Economy"/>
    <n v="3512"/>
    <n v="29"/>
    <x v="3"/>
    <x v="0"/>
    <s v="A10"/>
    <s v="H02"/>
    <n v="523.28"/>
    <n v="0"/>
    <x v="1"/>
    <n v="190.64333333333332"/>
    <n v="571.92999999999995"/>
    <n v="159.07"/>
    <n v="1254.28"/>
    <x v="0"/>
    <x v="0"/>
    <n v="0"/>
    <n v="0"/>
    <n v="0"/>
    <n v="1254.28"/>
    <x v="1"/>
    <x v="0"/>
    <x v="1"/>
    <x v="0"/>
    <x v="0"/>
    <s v="Yes"/>
    <x v="0"/>
    <x v="1"/>
    <n v="4"/>
    <n v="526.79999999999995"/>
    <x v="6"/>
    <x v="1"/>
  </r>
  <r>
    <s v="T00388"/>
    <s v="E0105"/>
    <s v="London"/>
    <x v="5"/>
    <s v="Manager"/>
    <s v="Other"/>
    <d v="2026-06-05T00:00:00"/>
    <d v="2026-06-28T00:00:00"/>
    <d v="2026-06-30T00:00:00"/>
    <x v="0"/>
    <s v="London"/>
    <x v="11"/>
    <x v="1"/>
    <x v="1"/>
    <s v="Economy"/>
    <n v="2160"/>
    <n v="23"/>
    <x v="3"/>
    <x v="0"/>
    <s v="A01"/>
    <s v="H04"/>
    <n v="381.4"/>
    <n v="0"/>
    <x v="2"/>
    <n v="172.68"/>
    <n v="172.68"/>
    <n v="131.43"/>
    <n v="685.51"/>
    <x v="0"/>
    <x v="1"/>
    <n v="0"/>
    <n v="77"/>
    <n v="415.56"/>
    <n v="346.95"/>
    <x v="0"/>
    <x v="0"/>
    <x v="1"/>
    <x v="0"/>
    <x v="0"/>
    <s v="Yes"/>
    <x v="0"/>
    <x v="0"/>
    <n v="3"/>
    <n v="324"/>
    <x v="1"/>
    <x v="3"/>
  </r>
  <r>
    <s v="T00389"/>
    <s v="E0105"/>
    <s v="London"/>
    <x v="5"/>
    <s v="Manager"/>
    <s v="Training"/>
    <d v="2026-06-29T00:00:00"/>
    <d v="2026-07-10T00:00:00"/>
    <d v="2026-07-14T00:00:00"/>
    <x v="1"/>
    <s v="London"/>
    <x v="16"/>
    <x v="1"/>
    <x v="1"/>
    <s v="Economy"/>
    <n v="2108"/>
    <n v="11"/>
    <x v="0"/>
    <x v="1"/>
    <s v="A01"/>
    <s v="H05"/>
    <n v="426.76"/>
    <n v="0"/>
    <x v="1"/>
    <n v="141.49333333333334"/>
    <n v="424.48"/>
    <n v="122.5"/>
    <n v="973.74"/>
    <x v="1"/>
    <x v="0"/>
    <n v="83.59"/>
    <n v="0"/>
    <n v="0"/>
    <n v="1057.33"/>
    <x v="0"/>
    <x v="1"/>
    <x v="1"/>
    <x v="0"/>
    <x v="0"/>
    <s v="No"/>
    <x v="0"/>
    <x v="1"/>
    <n v="3"/>
    <n v="316.2"/>
    <x v="1"/>
    <x v="5"/>
  </r>
  <r>
    <s v="T00390"/>
    <s v="E0106"/>
    <s v="London"/>
    <x v="1"/>
    <s v="Director"/>
    <s v="Project work"/>
    <d v="2026-07-02T00:00:00"/>
    <d v="2026-07-31T00:00:00"/>
    <d v="2026-08-04T00:00:00"/>
    <x v="1"/>
    <s v="London"/>
    <x v="12"/>
    <x v="1"/>
    <x v="1"/>
    <s v="Economy"/>
    <n v="3278"/>
    <n v="29"/>
    <x v="3"/>
    <x v="1"/>
    <s v="A01"/>
    <s v="H02"/>
    <n v="427.29"/>
    <n v="0"/>
    <x v="1"/>
    <n v="226.62333333333333"/>
    <n v="679.87"/>
    <n v="98.94"/>
    <n v="1206.0999999999999"/>
    <x v="0"/>
    <x v="0"/>
    <n v="0"/>
    <n v="0"/>
    <n v="0"/>
    <n v="1206.0999999999999"/>
    <x v="1"/>
    <x v="0"/>
    <x v="1"/>
    <x v="0"/>
    <x v="0"/>
    <s v="Yes"/>
    <x v="0"/>
    <x v="1"/>
    <n v="5"/>
    <n v="491.7"/>
    <x v="1"/>
    <x v="1"/>
  </r>
  <r>
    <s v="T00391"/>
    <s v="E0106"/>
    <s v="London"/>
    <x v="1"/>
    <s v="Director"/>
    <s v="Training"/>
    <d v="2026-05-02T00:00:00"/>
    <d v="2026-05-03T00:00:00"/>
    <d v="2026-05-05T00:00:00"/>
    <x v="2"/>
    <s v="London"/>
    <x v="4"/>
    <x v="1"/>
    <x v="1"/>
    <s v="Economy"/>
    <n v="3324"/>
    <n v="1"/>
    <x v="1"/>
    <x v="3"/>
    <s v="A01"/>
    <s v="H01"/>
    <n v="692.2"/>
    <n v="0"/>
    <x v="2"/>
    <n v="92.54"/>
    <n v="92.54"/>
    <n v="81.75"/>
    <n v="866.49"/>
    <x v="0"/>
    <x v="0"/>
    <n v="0"/>
    <n v="0"/>
    <n v="0"/>
    <n v="866.49"/>
    <x v="0"/>
    <x v="0"/>
    <x v="1"/>
    <x v="0"/>
    <x v="1"/>
    <s v="Yes"/>
    <x v="0"/>
    <x v="1"/>
    <n v="5"/>
    <n v="498.6"/>
    <x v="1"/>
    <x v="2"/>
  </r>
  <r>
    <s v="T00392"/>
    <s v="E0106"/>
    <s v="London"/>
    <x v="1"/>
    <s v="Director"/>
    <s v="Conference / Event"/>
    <d v="2026-07-10T00:00:00"/>
    <d v="2026-07-11T00:00:00"/>
    <d v="2026-07-16T00:00:00"/>
    <x v="1"/>
    <s v="London"/>
    <x v="16"/>
    <x v="1"/>
    <x v="1"/>
    <s v="Economy"/>
    <n v="2376"/>
    <n v="1"/>
    <x v="1"/>
    <x v="0"/>
    <s v="A05"/>
    <s v="H02"/>
    <n v="581.76"/>
    <n v="0"/>
    <x v="3"/>
    <n v="118.35250000000001"/>
    <n v="473.41"/>
    <n v="51.12"/>
    <n v="1106.29"/>
    <x v="0"/>
    <x v="0"/>
    <n v="0"/>
    <n v="0"/>
    <n v="0"/>
    <n v="1106.29"/>
    <x v="0"/>
    <x v="0"/>
    <x v="1"/>
    <x v="0"/>
    <x v="0"/>
    <s v="Yes"/>
    <x v="0"/>
    <x v="0"/>
    <n v="4"/>
    <n v="356.4"/>
    <x v="2"/>
    <x v="1"/>
  </r>
  <r>
    <s v="T00393"/>
    <s v="E0107"/>
    <s v="Bristol"/>
    <x v="1"/>
    <s v="Manager"/>
    <s v="Client meeting"/>
    <d v="2026-05-14T00:00:00"/>
    <d v="2026-05-18T00:00:00"/>
    <d v="2026-05-22T00:00:00"/>
    <x v="2"/>
    <s v="Bristol"/>
    <x v="3"/>
    <x v="1"/>
    <x v="1"/>
    <s v="Economy"/>
    <n v="2876"/>
    <n v="4"/>
    <x v="4"/>
    <x v="0"/>
    <s v="A04"/>
    <s v="H02"/>
    <n v="263.91000000000003"/>
    <n v="0"/>
    <x v="1"/>
    <n v="201.85333333333332"/>
    <n v="605.55999999999995"/>
    <n v="95.23"/>
    <n v="964.7"/>
    <x v="0"/>
    <x v="0"/>
    <n v="0"/>
    <n v="0"/>
    <n v="0"/>
    <n v="964.7"/>
    <x v="1"/>
    <x v="0"/>
    <x v="1"/>
    <x v="0"/>
    <x v="0"/>
    <s v="Yes"/>
    <x v="0"/>
    <x v="1"/>
    <n v="5"/>
    <n v="431.4"/>
    <x v="3"/>
    <x v="1"/>
  </r>
  <r>
    <s v="T00394"/>
    <s v="E0107"/>
    <s v="Bristol"/>
    <x v="1"/>
    <s v="Manager"/>
    <s v="Internal meeting"/>
    <d v="2026-07-04T00:00:00"/>
    <d v="2026-07-05T00:00:00"/>
    <d v="2026-07-11T00:00:00"/>
    <x v="1"/>
    <s v="Bristol"/>
    <x v="7"/>
    <x v="1"/>
    <x v="1"/>
    <s v="Economy"/>
    <n v="11852"/>
    <n v="1"/>
    <x v="1"/>
    <x v="0"/>
    <s v="A07"/>
    <s v="H01"/>
    <n v="1214.8699999999999"/>
    <n v="0"/>
    <x v="4"/>
    <n v="216.01"/>
    <n v="1080.05"/>
    <n v="134.19999999999999"/>
    <n v="2429.12"/>
    <x v="1"/>
    <x v="0"/>
    <n v="363.85"/>
    <n v="0"/>
    <n v="0"/>
    <n v="2792.97"/>
    <x v="0"/>
    <x v="0"/>
    <x v="1"/>
    <x v="0"/>
    <x v="0"/>
    <s v="Yes"/>
    <x v="0"/>
    <x v="0"/>
    <n v="4"/>
    <n v="1777.8"/>
    <x v="5"/>
    <x v="2"/>
  </r>
  <r>
    <s v="T00395"/>
    <s v="E0107"/>
    <s v="Bristol"/>
    <x v="1"/>
    <s v="Manager"/>
    <s v="Team building"/>
    <d v="2026-05-21T00:00:00"/>
    <d v="2026-06-14T00:00:00"/>
    <d v="2026-06-17T00:00:00"/>
    <x v="0"/>
    <s v="Bristol"/>
    <x v="15"/>
    <x v="1"/>
    <x v="1"/>
    <s v="Economy"/>
    <n v="2458"/>
    <n v="24"/>
    <x v="3"/>
    <x v="2"/>
    <s v="A02"/>
    <s v="H02"/>
    <n v="595.94000000000005"/>
    <n v="0"/>
    <x v="0"/>
    <n v="128.10499999999999"/>
    <n v="256.20999999999998"/>
    <n v="56.07"/>
    <n v="908.22"/>
    <x v="0"/>
    <x v="1"/>
    <n v="0"/>
    <n v="76.27"/>
    <n v="766.94"/>
    <n v="217.54999999999995"/>
    <x v="0"/>
    <x v="0"/>
    <x v="1"/>
    <x v="0"/>
    <x v="1"/>
    <s v="Yes"/>
    <x v="0"/>
    <x v="1"/>
    <n v="3"/>
    <n v="368.7"/>
    <x v="4"/>
    <x v="1"/>
  </r>
  <r>
    <s v="T00396"/>
    <s v="E0108"/>
    <s v="London"/>
    <x v="5"/>
    <s v="Manager"/>
    <s v="Recruitment / Interview"/>
    <d v="2026-04-26T00:00:00"/>
    <d v="2026-06-01T00:00:00"/>
    <d v="2026-06-03T00:00:00"/>
    <x v="0"/>
    <s v="London"/>
    <x v="4"/>
    <x v="1"/>
    <x v="1"/>
    <s v="Economy"/>
    <n v="3166"/>
    <n v="36"/>
    <x v="2"/>
    <x v="0"/>
    <s v="A04"/>
    <s v="H05"/>
    <n v="287.22000000000003"/>
    <n v="0"/>
    <x v="2"/>
    <n v="234.08"/>
    <n v="234.08"/>
    <n v="26.24"/>
    <n v="547.54"/>
    <x v="0"/>
    <x v="0"/>
    <n v="0"/>
    <n v="0"/>
    <n v="0"/>
    <n v="547.54"/>
    <x v="1"/>
    <x v="1"/>
    <x v="1"/>
    <x v="0"/>
    <x v="0"/>
    <s v="No"/>
    <x v="0"/>
    <x v="1"/>
    <n v="3"/>
    <n v="474.9"/>
    <x v="3"/>
    <x v="5"/>
  </r>
  <r>
    <s v="T00397"/>
    <s v="E0108"/>
    <s v="London"/>
    <x v="5"/>
    <s v="Manager"/>
    <s v="Training"/>
    <d v="2026-05-16T00:00:00"/>
    <d v="2026-05-22T00:00:00"/>
    <d v="2026-05-25T00:00:00"/>
    <x v="2"/>
    <s v="London"/>
    <x v="9"/>
    <x v="1"/>
    <x v="1"/>
    <s v="Economy"/>
    <n v="1858"/>
    <n v="6"/>
    <x v="4"/>
    <x v="2"/>
    <s v="A10"/>
    <s v="H05"/>
    <n v="570.66999999999996"/>
    <n v="0"/>
    <x v="0"/>
    <n v="283.25"/>
    <n v="566.5"/>
    <n v="81.52"/>
    <n v="1218.69"/>
    <x v="0"/>
    <x v="0"/>
    <n v="0"/>
    <n v="0"/>
    <n v="0"/>
    <n v="1218.69"/>
    <x v="1"/>
    <x v="1"/>
    <x v="1"/>
    <x v="0"/>
    <x v="1"/>
    <s v="No"/>
    <x v="1"/>
    <x v="1"/>
    <n v="3"/>
    <n v="278.7"/>
    <x v="6"/>
    <x v="5"/>
  </r>
  <r>
    <s v="T00398"/>
    <s v="E0109"/>
    <s v="London"/>
    <x v="0"/>
    <s v="Senior Manager"/>
    <s v="Team building"/>
    <d v="2026-04-28T00:00:00"/>
    <d v="2026-05-21T00:00:00"/>
    <d v="2026-05-23T00:00:00"/>
    <x v="2"/>
    <s v="London"/>
    <x v="19"/>
    <x v="1"/>
    <x v="1"/>
    <s v="Economy"/>
    <n v="1848"/>
    <n v="23"/>
    <x v="3"/>
    <x v="2"/>
    <s v="A01"/>
    <s v="H01"/>
    <n v="647.53"/>
    <n v="0"/>
    <x v="2"/>
    <n v="195.62"/>
    <n v="195.62"/>
    <n v="57"/>
    <n v="900.15"/>
    <x v="0"/>
    <x v="0"/>
    <n v="0"/>
    <n v="0"/>
    <n v="0"/>
    <n v="900.15"/>
    <x v="1"/>
    <x v="0"/>
    <x v="1"/>
    <x v="0"/>
    <x v="1"/>
    <s v="Yes"/>
    <x v="1"/>
    <x v="1"/>
    <n v="5"/>
    <n v="277.2"/>
    <x v="1"/>
    <x v="2"/>
  </r>
  <r>
    <s v="T00399"/>
    <s v="E0109"/>
    <s v="London"/>
    <x v="0"/>
    <s v="Senior Manager"/>
    <s v="Training"/>
    <d v="2026-06-27T00:00:00"/>
    <d v="2026-07-16T00:00:00"/>
    <d v="2026-07-18T00:00:00"/>
    <x v="1"/>
    <s v="London"/>
    <x v="14"/>
    <x v="1"/>
    <x v="1"/>
    <s v="Economy"/>
    <n v="2034"/>
    <n v="19"/>
    <x v="3"/>
    <x v="0"/>
    <s v="A01"/>
    <s v="H02"/>
    <n v="301.41000000000003"/>
    <n v="0"/>
    <x v="2"/>
    <n v="225.86"/>
    <n v="225.86"/>
    <n v="69.48"/>
    <n v="596.75"/>
    <x v="1"/>
    <x v="0"/>
    <n v="279.04999999999995"/>
    <n v="0"/>
    <n v="0"/>
    <n v="875.8"/>
    <x v="1"/>
    <x v="0"/>
    <x v="1"/>
    <x v="0"/>
    <x v="0"/>
    <s v="Yes"/>
    <x v="0"/>
    <x v="1"/>
    <n v="4"/>
    <n v="305.10000000000002"/>
    <x v="1"/>
    <x v="1"/>
  </r>
  <r>
    <s v="T00400"/>
    <s v="E0109"/>
    <s v="London"/>
    <x v="0"/>
    <s v="Senior Manager"/>
    <s v="Team building"/>
    <d v="2026-05-25T00:00:00"/>
    <d v="2026-06-11T00:00:00"/>
    <d v="2026-06-14T00:00:00"/>
    <x v="0"/>
    <s v="London"/>
    <x v="15"/>
    <x v="1"/>
    <x v="1"/>
    <s v="Economy"/>
    <n v="2610"/>
    <n v="17"/>
    <x v="3"/>
    <x v="3"/>
    <s v="A04"/>
    <s v="H02"/>
    <n v="419.57"/>
    <n v="0"/>
    <x v="0"/>
    <n v="125.735"/>
    <n v="251.47"/>
    <n v="33.03"/>
    <n v="704.07"/>
    <x v="0"/>
    <x v="0"/>
    <n v="0"/>
    <n v="0"/>
    <n v="0"/>
    <n v="704.07"/>
    <x v="0"/>
    <x v="0"/>
    <x v="1"/>
    <x v="0"/>
    <x v="1"/>
    <s v="Yes"/>
    <x v="0"/>
    <x v="1"/>
    <n v="5"/>
    <n v="391.5"/>
    <x v="3"/>
    <x v="1"/>
  </r>
  <r>
    <s v="T00401"/>
    <s v="E0109"/>
    <s v="London"/>
    <x v="0"/>
    <s v="Senior Manager"/>
    <s v="Project work"/>
    <d v="2026-05-08T00:00:00"/>
    <d v="2026-05-31T00:00:00"/>
    <d v="2026-06-02T00:00:00"/>
    <x v="2"/>
    <s v="London"/>
    <x v="15"/>
    <x v="1"/>
    <x v="1"/>
    <s v="Economy"/>
    <n v="2720"/>
    <n v="23"/>
    <x v="3"/>
    <x v="0"/>
    <s v="A05"/>
    <s v="H04"/>
    <n v="552.36"/>
    <n v="0"/>
    <x v="2"/>
    <n v="225.74"/>
    <n v="225.74"/>
    <n v="82.47"/>
    <n v="860.57"/>
    <x v="1"/>
    <x v="0"/>
    <n v="18.86"/>
    <n v="0"/>
    <n v="0"/>
    <n v="879.43000000000006"/>
    <x v="1"/>
    <x v="0"/>
    <x v="1"/>
    <x v="0"/>
    <x v="0"/>
    <s v="Yes"/>
    <x v="0"/>
    <x v="1"/>
    <n v="5"/>
    <n v="408"/>
    <x v="2"/>
    <x v="3"/>
  </r>
  <r>
    <s v="T00402"/>
    <s v="E0109"/>
    <s v="London"/>
    <x v="0"/>
    <s v="Senior Manager"/>
    <s v="Other"/>
    <d v="2026-06-02T00:00:00"/>
    <d v="2026-06-23T00:00:00"/>
    <d v="2026-06-25T00:00:00"/>
    <x v="0"/>
    <s v="London"/>
    <x v="9"/>
    <x v="1"/>
    <x v="1"/>
    <s v="Business"/>
    <n v="2400"/>
    <n v="21"/>
    <x v="3"/>
    <x v="1"/>
    <s v="A10"/>
    <s v="H02"/>
    <n v="358.13"/>
    <n v="0"/>
    <x v="2"/>
    <n v="184.44"/>
    <n v="184.44"/>
    <n v="65.239999999999995"/>
    <n v="607.80999999999995"/>
    <x v="0"/>
    <x v="0"/>
    <n v="0"/>
    <n v="0"/>
    <n v="0"/>
    <n v="607.80999999999995"/>
    <x v="1"/>
    <x v="0"/>
    <x v="1"/>
    <x v="1"/>
    <x v="0"/>
    <s v="Yes"/>
    <x v="0"/>
    <x v="1"/>
    <n v="5"/>
    <n v="360"/>
    <x v="6"/>
    <x v="1"/>
  </r>
  <r>
    <s v="T00403"/>
    <s v="E0110"/>
    <s v="London"/>
    <x v="4"/>
    <s v="Manager"/>
    <s v="Client meeting"/>
    <d v="2026-07-14T00:00:00"/>
    <d v="2026-07-18T00:00:00"/>
    <d v="2026-07-21T00:00:00"/>
    <x v="1"/>
    <s v="London"/>
    <x v="7"/>
    <x v="1"/>
    <x v="1"/>
    <s v="Economy"/>
    <n v="10844"/>
    <n v="4"/>
    <x v="4"/>
    <x v="1"/>
    <s v="A01"/>
    <s v="H03"/>
    <n v="870.52"/>
    <n v="0"/>
    <x v="0"/>
    <n v="108.02"/>
    <n v="216.04"/>
    <n v="119.59"/>
    <n v="1206.1500000000001"/>
    <x v="0"/>
    <x v="0"/>
    <n v="0"/>
    <n v="0"/>
    <n v="0"/>
    <n v="1206.1500000000001"/>
    <x v="0"/>
    <x v="0"/>
    <x v="1"/>
    <x v="0"/>
    <x v="0"/>
    <s v="Yes"/>
    <x v="0"/>
    <x v="0"/>
    <n v="4"/>
    <n v="1626.6"/>
    <x v="1"/>
    <x v="4"/>
  </r>
  <r>
    <s v="T00404"/>
    <s v="E0110"/>
    <s v="London"/>
    <x v="4"/>
    <s v="Manager"/>
    <s v="Client meeting"/>
    <d v="2026-07-08T00:00:00"/>
    <d v="2026-07-09T00:00:00"/>
    <d v="2026-07-12T00:00:00"/>
    <x v="1"/>
    <s v="London"/>
    <x v="16"/>
    <x v="1"/>
    <x v="1"/>
    <s v="Economy"/>
    <n v="1898"/>
    <n v="1"/>
    <x v="1"/>
    <x v="0"/>
    <s v="A01"/>
    <s v="H03"/>
    <n v="177"/>
    <n v="0"/>
    <x v="0"/>
    <n v="170.255"/>
    <n v="340.51"/>
    <n v="104.5"/>
    <n v="622.01"/>
    <x v="1"/>
    <x v="0"/>
    <n v="140.99"/>
    <n v="0"/>
    <n v="0"/>
    <n v="763"/>
    <x v="0"/>
    <x v="0"/>
    <x v="1"/>
    <x v="0"/>
    <x v="0"/>
    <s v="Yes"/>
    <x v="0"/>
    <x v="0"/>
    <n v="4"/>
    <n v="284.7"/>
    <x v="1"/>
    <x v="4"/>
  </r>
  <r>
    <s v="T00405"/>
    <s v="E0110"/>
    <s v="London"/>
    <x v="4"/>
    <s v="Manager"/>
    <s v="Client meeting"/>
    <d v="2026-05-08T00:00:00"/>
    <d v="2026-05-22T00:00:00"/>
    <d v="2026-05-26T00:00:00"/>
    <x v="2"/>
    <s v="London"/>
    <x v="15"/>
    <x v="1"/>
    <x v="1"/>
    <s v="Economy"/>
    <n v="1348"/>
    <n v="14"/>
    <x v="0"/>
    <x v="1"/>
    <s v="A04"/>
    <s v="H01"/>
    <n v="480.06"/>
    <n v="0"/>
    <x v="1"/>
    <n v="201.06666666666669"/>
    <n v="603.20000000000005"/>
    <n v="91.39"/>
    <n v="1174.6500000000001"/>
    <x v="1"/>
    <x v="0"/>
    <n v="25.23"/>
    <n v="0"/>
    <n v="0"/>
    <n v="1199.8800000000001"/>
    <x v="1"/>
    <x v="0"/>
    <x v="1"/>
    <x v="0"/>
    <x v="0"/>
    <s v="Yes"/>
    <x v="0"/>
    <x v="1"/>
    <n v="3"/>
    <n v="202.2"/>
    <x v="3"/>
    <x v="2"/>
  </r>
  <r>
    <s v="T00406"/>
    <s v="E0111"/>
    <s v="Manchester"/>
    <x v="1"/>
    <s v="Manager"/>
    <s v="Client meeting"/>
    <d v="2026-07-18T00:00:00"/>
    <d v="2026-07-31T00:00:00"/>
    <d v="2026-08-03T00:00:00"/>
    <x v="1"/>
    <s v="Manchester"/>
    <x v="14"/>
    <x v="1"/>
    <x v="1"/>
    <s v="Economy"/>
    <n v="1334"/>
    <n v="13"/>
    <x v="0"/>
    <x v="0"/>
    <s v="A03"/>
    <s v="H01"/>
    <n v="426.6"/>
    <n v="0"/>
    <x v="0"/>
    <n v="204.76499999999999"/>
    <n v="409.53"/>
    <n v="58.6"/>
    <n v="894.73"/>
    <x v="0"/>
    <x v="0"/>
    <n v="0"/>
    <n v="0"/>
    <n v="0"/>
    <n v="894.73"/>
    <x v="1"/>
    <x v="0"/>
    <x v="1"/>
    <x v="0"/>
    <x v="0"/>
    <s v="Yes"/>
    <x v="0"/>
    <x v="1"/>
    <n v="4"/>
    <n v="200.1"/>
    <x v="7"/>
    <x v="2"/>
  </r>
  <r>
    <s v="T00407"/>
    <s v="E0111"/>
    <s v="Manchester"/>
    <x v="1"/>
    <s v="Manager"/>
    <s v="Recruitment / Interview"/>
    <d v="2026-06-20T00:00:00"/>
    <d v="2026-06-21T00:00:00"/>
    <d v="2026-06-24T00:00:00"/>
    <x v="0"/>
    <s v="Manchester"/>
    <x v="15"/>
    <x v="1"/>
    <x v="1"/>
    <s v="Economy"/>
    <n v="1508"/>
    <n v="1"/>
    <x v="1"/>
    <x v="3"/>
    <s v="A04"/>
    <s v="H01"/>
    <n v="355.51"/>
    <n v="0"/>
    <x v="0"/>
    <n v="155.88999999999999"/>
    <n v="311.77999999999997"/>
    <n v="70.680000000000007"/>
    <n v="737.97"/>
    <x v="1"/>
    <x v="0"/>
    <n v="120.33"/>
    <n v="0"/>
    <n v="0"/>
    <n v="858.30000000000007"/>
    <x v="0"/>
    <x v="0"/>
    <x v="1"/>
    <x v="0"/>
    <x v="1"/>
    <s v="Yes"/>
    <x v="0"/>
    <x v="1"/>
    <n v="5"/>
    <n v="226.2"/>
    <x v="3"/>
    <x v="2"/>
  </r>
  <r>
    <s v="T00408"/>
    <s v="E0111"/>
    <s v="Manchester"/>
    <x v="1"/>
    <s v="Manager"/>
    <s v="Team building"/>
    <d v="2026-04-11T00:00:00"/>
    <d v="2026-05-08T00:00:00"/>
    <d v="2026-05-12T00:00:00"/>
    <x v="2"/>
    <s v="Manchester"/>
    <x v="20"/>
    <x v="1"/>
    <x v="1"/>
    <s v="Business"/>
    <n v="10928"/>
    <n v="27"/>
    <x v="3"/>
    <x v="0"/>
    <s v="A07"/>
    <s v="H05"/>
    <n v="643.07000000000005"/>
    <n v="0"/>
    <x v="1"/>
    <n v="122.31666666666666"/>
    <n v="366.95"/>
    <n v="67.64"/>
    <n v="1077.6600000000001"/>
    <x v="0"/>
    <x v="0"/>
    <n v="0"/>
    <n v="0"/>
    <n v="0"/>
    <n v="1077.6600000000001"/>
    <x v="0"/>
    <x v="1"/>
    <x v="1"/>
    <x v="1"/>
    <x v="0"/>
    <s v="No"/>
    <x v="0"/>
    <x v="1"/>
    <n v="4"/>
    <n v="1639.2"/>
    <x v="5"/>
    <x v="5"/>
  </r>
  <r>
    <s v="T00409"/>
    <s v="E0111"/>
    <s v="Manchester"/>
    <x v="1"/>
    <s v="Manager"/>
    <s v="Internal meeting"/>
    <d v="2026-06-15T00:00:00"/>
    <d v="2026-06-26T00:00:00"/>
    <d v="2026-06-28T00:00:00"/>
    <x v="0"/>
    <s v="Manchester"/>
    <x v="15"/>
    <x v="1"/>
    <x v="1"/>
    <s v="Economy"/>
    <n v="2804"/>
    <n v="11"/>
    <x v="0"/>
    <x v="0"/>
    <s v="A05"/>
    <s v="H01"/>
    <n v="420.78"/>
    <n v="0"/>
    <x v="2"/>
    <n v="198.44"/>
    <n v="198.44"/>
    <n v="85.31"/>
    <n v="704.53"/>
    <x v="0"/>
    <x v="0"/>
    <n v="0"/>
    <n v="0"/>
    <n v="0"/>
    <n v="704.53"/>
    <x v="1"/>
    <x v="0"/>
    <x v="1"/>
    <x v="0"/>
    <x v="0"/>
    <s v="Yes"/>
    <x v="0"/>
    <x v="1"/>
    <n v="4"/>
    <n v="420.6"/>
    <x v="2"/>
    <x v="2"/>
  </r>
  <r>
    <s v="T00410"/>
    <s v="E0112"/>
    <s v="Newcastle"/>
    <x v="1"/>
    <s v="Analyst"/>
    <s v="Conference / Event"/>
    <d v="2026-04-20T00:00:00"/>
    <d v="2026-05-18T00:00:00"/>
    <d v="2026-05-22T00:00:00"/>
    <x v="2"/>
    <s v="Newcastle"/>
    <x v="14"/>
    <x v="1"/>
    <x v="1"/>
    <s v="Economy"/>
    <n v="3340"/>
    <n v="28"/>
    <x v="3"/>
    <x v="0"/>
    <s v="A03"/>
    <s v="H03"/>
    <n v="490.1"/>
    <n v="0"/>
    <x v="1"/>
    <n v="159.04333333333332"/>
    <n v="477.13"/>
    <n v="76.63"/>
    <n v="1043.8599999999999"/>
    <x v="0"/>
    <x v="0"/>
    <n v="0"/>
    <n v="0"/>
    <n v="0"/>
    <n v="1043.8599999999999"/>
    <x v="0"/>
    <x v="0"/>
    <x v="1"/>
    <x v="0"/>
    <x v="0"/>
    <s v="Yes"/>
    <x v="0"/>
    <x v="0"/>
    <n v="4"/>
    <n v="501"/>
    <x v="7"/>
    <x v="4"/>
  </r>
  <r>
    <s v="T00411"/>
    <s v="E0112"/>
    <s v="Newcastle"/>
    <x v="1"/>
    <s v="Analyst"/>
    <s v="Recruitment / Interview"/>
    <d v="2026-07-13T00:00:00"/>
    <d v="2026-07-24T00:00:00"/>
    <d v="2026-07-31T00:00:00"/>
    <x v="1"/>
    <s v="Newcastle"/>
    <x v="18"/>
    <x v="1"/>
    <x v="1"/>
    <s v="Economy"/>
    <n v="15210"/>
    <n v="11"/>
    <x v="0"/>
    <x v="1"/>
    <s v="A01"/>
    <s v="H03"/>
    <n v="1923.51"/>
    <n v="0"/>
    <x v="7"/>
    <n v="191.89"/>
    <n v="1151.3399999999999"/>
    <n v="51.2"/>
    <n v="3126.05"/>
    <x v="0"/>
    <x v="0"/>
    <n v="0"/>
    <n v="0"/>
    <n v="0"/>
    <n v="3126.05"/>
    <x v="0"/>
    <x v="0"/>
    <x v="1"/>
    <x v="0"/>
    <x v="0"/>
    <s v="Yes"/>
    <x v="0"/>
    <x v="0"/>
    <n v="4"/>
    <n v="2281.5"/>
    <x v="1"/>
    <x v="4"/>
  </r>
  <r>
    <s v="T00412"/>
    <s v="E0112"/>
    <s v="Newcastle"/>
    <x v="1"/>
    <s v="Analyst"/>
    <s v="Internal meeting"/>
    <d v="2026-04-24T00:00:00"/>
    <d v="2026-05-12T00:00:00"/>
    <d v="2026-05-16T00:00:00"/>
    <x v="2"/>
    <s v="Newcastle"/>
    <x v="16"/>
    <x v="1"/>
    <x v="1"/>
    <s v="Economy"/>
    <n v="1718"/>
    <n v="18"/>
    <x v="3"/>
    <x v="0"/>
    <s v="A01"/>
    <s v="H04"/>
    <n v="418.66"/>
    <n v="0"/>
    <x v="1"/>
    <n v="145.28"/>
    <n v="435.84"/>
    <n v="99.97"/>
    <n v="954.47"/>
    <x v="0"/>
    <x v="0"/>
    <n v="0"/>
    <n v="0"/>
    <n v="0"/>
    <n v="954.47"/>
    <x v="0"/>
    <x v="0"/>
    <x v="1"/>
    <x v="0"/>
    <x v="0"/>
    <s v="Yes"/>
    <x v="0"/>
    <x v="0"/>
    <n v="4"/>
    <n v="257.7"/>
    <x v="1"/>
    <x v="3"/>
  </r>
  <r>
    <s v="T00413"/>
    <s v="E0112"/>
    <s v="Newcastle"/>
    <x v="1"/>
    <s v="Analyst"/>
    <s v="Project work"/>
    <d v="2026-05-15T00:00:00"/>
    <d v="2026-06-04T00:00:00"/>
    <d v="2026-06-07T00:00:00"/>
    <x v="0"/>
    <s v="Newcastle"/>
    <x v="16"/>
    <x v="1"/>
    <x v="1"/>
    <s v="Economy"/>
    <n v="1438"/>
    <n v="20"/>
    <x v="3"/>
    <x v="0"/>
    <s v="A01"/>
    <s v="H02"/>
    <n v="565.46"/>
    <n v="0"/>
    <x v="0"/>
    <n v="189.625"/>
    <n v="379.25"/>
    <n v="123.03"/>
    <n v="1067.74"/>
    <x v="0"/>
    <x v="0"/>
    <n v="0"/>
    <n v="0"/>
    <n v="0"/>
    <n v="1067.74"/>
    <x v="1"/>
    <x v="0"/>
    <x v="1"/>
    <x v="0"/>
    <x v="0"/>
    <s v="Yes"/>
    <x v="0"/>
    <x v="1"/>
    <n v="3"/>
    <n v="215.7"/>
    <x v="1"/>
    <x v="1"/>
  </r>
  <r>
    <s v="T00414"/>
    <s v="E0112"/>
    <s v="Newcastle"/>
    <x v="1"/>
    <s v="Analyst"/>
    <s v="Team building"/>
    <d v="2026-07-09T00:00:00"/>
    <d v="2026-07-13T00:00:00"/>
    <d v="2026-07-14T00:00:00"/>
    <x v="1"/>
    <s v="Newcastle"/>
    <x v="10"/>
    <x v="0"/>
    <x v="0"/>
    <s v="Standard / 2nd Class"/>
    <n v="838"/>
    <n v="4"/>
    <x v="4"/>
    <x v="1"/>
    <m/>
    <m/>
    <n v="0"/>
    <n v="215.42"/>
    <x v="5"/>
    <n v="0"/>
    <n v="0"/>
    <n v="33.58"/>
    <n v="249"/>
    <x v="0"/>
    <x v="0"/>
    <n v="0"/>
    <n v="0"/>
    <n v="0"/>
    <n v="249"/>
    <x v="2"/>
    <x v="2"/>
    <x v="0"/>
    <x v="0"/>
    <x v="0"/>
    <s v="Yes"/>
    <x v="0"/>
    <x v="0"/>
    <n v="4"/>
    <n v="33.5"/>
    <x v="0"/>
    <x v="7"/>
  </r>
  <r>
    <s v="T00415"/>
    <s v="E0112"/>
    <s v="Newcastle"/>
    <x v="1"/>
    <s v="Analyst"/>
    <s v="Project work"/>
    <d v="2026-07-03T00:00:00"/>
    <d v="2026-07-10T00:00:00"/>
    <d v="2026-07-12T00:00:00"/>
    <x v="1"/>
    <s v="Newcastle"/>
    <x v="0"/>
    <x v="0"/>
    <x v="1"/>
    <s v="Economy"/>
    <n v="918"/>
    <n v="7"/>
    <x v="4"/>
    <x v="1"/>
    <s v="A02"/>
    <s v="H01"/>
    <n v="332.72"/>
    <n v="0"/>
    <x v="2"/>
    <n v="151.62"/>
    <n v="151.62"/>
    <n v="89.37"/>
    <n v="573.71"/>
    <x v="0"/>
    <x v="0"/>
    <n v="0"/>
    <n v="0"/>
    <n v="0"/>
    <n v="573.71"/>
    <x v="0"/>
    <x v="0"/>
    <x v="1"/>
    <x v="0"/>
    <x v="0"/>
    <s v="Yes"/>
    <x v="0"/>
    <x v="0"/>
    <n v="5"/>
    <n v="137.69999999999999"/>
    <x v="4"/>
    <x v="2"/>
  </r>
  <r>
    <s v="T00416"/>
    <s v="E0113"/>
    <s v="Edinburgh"/>
    <x v="4"/>
    <s v="Analyst"/>
    <s v="Client meeting"/>
    <d v="2026-05-21T00:00:00"/>
    <d v="2026-06-07T00:00:00"/>
    <d v="2026-06-12T00:00:00"/>
    <x v="0"/>
    <s v="Edinburgh"/>
    <x v="14"/>
    <x v="1"/>
    <x v="1"/>
    <s v="Economy"/>
    <n v="3270"/>
    <n v="17"/>
    <x v="3"/>
    <x v="0"/>
    <s v="A03"/>
    <s v="H02"/>
    <n v="331.51"/>
    <n v="0"/>
    <x v="3"/>
    <n v="166.5325"/>
    <n v="666.13"/>
    <n v="61.62"/>
    <n v="1059.26"/>
    <x v="0"/>
    <x v="0"/>
    <n v="0"/>
    <n v="0"/>
    <n v="0"/>
    <n v="1059.26"/>
    <x v="0"/>
    <x v="0"/>
    <x v="1"/>
    <x v="0"/>
    <x v="0"/>
    <s v="Yes"/>
    <x v="0"/>
    <x v="0"/>
    <n v="5"/>
    <n v="490.5"/>
    <x v="7"/>
    <x v="1"/>
  </r>
  <r>
    <s v="T00417"/>
    <s v="E0113"/>
    <s v="Edinburgh"/>
    <x v="4"/>
    <s v="Analyst"/>
    <s v="Client meeting"/>
    <d v="2026-05-21T00:00:00"/>
    <d v="2026-05-27T00:00:00"/>
    <d v="2026-05-30T00:00:00"/>
    <x v="2"/>
    <s v="Edinburgh"/>
    <x v="16"/>
    <x v="1"/>
    <x v="1"/>
    <s v="Economy"/>
    <n v="1856"/>
    <n v="6"/>
    <x v="4"/>
    <x v="1"/>
    <s v="A05"/>
    <s v="H03"/>
    <n v="272.2"/>
    <n v="0"/>
    <x v="0"/>
    <n v="178.55500000000001"/>
    <n v="357.11"/>
    <n v="64.97"/>
    <n v="694.28"/>
    <x v="1"/>
    <x v="0"/>
    <n v="120.74"/>
    <n v="0"/>
    <n v="0"/>
    <n v="815.02"/>
    <x v="0"/>
    <x v="0"/>
    <x v="1"/>
    <x v="0"/>
    <x v="0"/>
    <s v="Yes"/>
    <x v="0"/>
    <x v="0"/>
    <n v="3"/>
    <n v="278.39999999999998"/>
    <x v="2"/>
    <x v="4"/>
  </r>
  <r>
    <s v="T00418"/>
    <s v="E0113"/>
    <s v="Edinburgh"/>
    <x v="4"/>
    <s v="Analyst"/>
    <s v="Internal meeting"/>
    <d v="2026-06-30T00:00:00"/>
    <d v="2026-07-13T00:00:00"/>
    <d v="2026-07-19T00:00:00"/>
    <x v="1"/>
    <s v="Edinburgh"/>
    <x v="8"/>
    <x v="1"/>
    <x v="1"/>
    <s v="Economy"/>
    <n v="12618"/>
    <n v="13"/>
    <x v="0"/>
    <x v="1"/>
    <s v="A07"/>
    <s v="H03"/>
    <n v="1047.1600000000001"/>
    <n v="0"/>
    <x v="4"/>
    <n v="268.8"/>
    <n v="1344"/>
    <n v="88.61"/>
    <n v="2479.77"/>
    <x v="0"/>
    <x v="0"/>
    <n v="0"/>
    <n v="0"/>
    <n v="0"/>
    <n v="2479.77"/>
    <x v="1"/>
    <x v="0"/>
    <x v="1"/>
    <x v="0"/>
    <x v="0"/>
    <s v="Yes"/>
    <x v="0"/>
    <x v="1"/>
    <n v="5"/>
    <n v="1892.7"/>
    <x v="5"/>
    <x v="4"/>
  </r>
  <r>
    <s v="T00419"/>
    <s v="E0114"/>
    <s v="Newcastle"/>
    <x v="0"/>
    <s v="Director"/>
    <s v="Client meeting"/>
    <d v="2026-06-28T00:00:00"/>
    <d v="2026-07-08T00:00:00"/>
    <d v="2026-07-11T00:00:00"/>
    <x v="1"/>
    <s v="Newcastle"/>
    <x v="19"/>
    <x v="1"/>
    <x v="1"/>
    <s v="Economy"/>
    <n v="1012"/>
    <n v="10"/>
    <x v="0"/>
    <x v="0"/>
    <s v="A03"/>
    <s v="H03"/>
    <n v="580.1"/>
    <n v="0"/>
    <x v="0"/>
    <n v="202.19499999999999"/>
    <n v="404.39"/>
    <n v="44.45"/>
    <n v="1028.94"/>
    <x v="0"/>
    <x v="0"/>
    <n v="0"/>
    <n v="0"/>
    <n v="0"/>
    <n v="1028.94"/>
    <x v="1"/>
    <x v="0"/>
    <x v="1"/>
    <x v="0"/>
    <x v="0"/>
    <s v="Yes"/>
    <x v="0"/>
    <x v="1"/>
    <n v="5"/>
    <n v="151.80000000000001"/>
    <x v="7"/>
    <x v="4"/>
  </r>
  <r>
    <s v="T00420"/>
    <s v="E0114"/>
    <s v="Newcastle"/>
    <x v="0"/>
    <s v="Director"/>
    <s v="Training"/>
    <d v="2026-07-04T00:00:00"/>
    <d v="2026-07-30T00:00:00"/>
    <d v="2026-08-03T00:00:00"/>
    <x v="1"/>
    <s v="Newcastle"/>
    <x v="5"/>
    <x v="1"/>
    <x v="1"/>
    <s v="Economy"/>
    <n v="16766"/>
    <n v="26"/>
    <x v="3"/>
    <x v="0"/>
    <s v="A01"/>
    <s v="H05"/>
    <n v="886.87"/>
    <n v="0"/>
    <x v="1"/>
    <n v="217.37666666666667"/>
    <n v="652.13"/>
    <n v="43.84"/>
    <n v="1582.84"/>
    <x v="0"/>
    <x v="0"/>
    <n v="0"/>
    <n v="0"/>
    <n v="0"/>
    <n v="1582.84"/>
    <x v="0"/>
    <x v="1"/>
    <x v="1"/>
    <x v="0"/>
    <x v="0"/>
    <s v="No"/>
    <x v="0"/>
    <x v="1"/>
    <n v="5"/>
    <n v="2514.9"/>
    <x v="1"/>
    <x v="5"/>
  </r>
  <r>
    <s v="T00421"/>
    <s v="E0114"/>
    <s v="Newcastle"/>
    <x v="0"/>
    <s v="Director"/>
    <s v="Team building"/>
    <d v="2026-04-15T00:00:00"/>
    <d v="2026-05-02T00:00:00"/>
    <d v="2026-05-06T00:00:00"/>
    <x v="2"/>
    <s v="Newcastle"/>
    <x v="7"/>
    <x v="1"/>
    <x v="1"/>
    <s v="Economy"/>
    <n v="12714"/>
    <n v="17"/>
    <x v="3"/>
    <x v="0"/>
    <s v="A01"/>
    <s v="H04"/>
    <n v="631.24"/>
    <n v="0"/>
    <x v="1"/>
    <n v="132.41666666666666"/>
    <n v="397.25"/>
    <n v="62.68"/>
    <n v="1091.17"/>
    <x v="0"/>
    <x v="0"/>
    <n v="0"/>
    <n v="0"/>
    <n v="0"/>
    <n v="1091.17"/>
    <x v="0"/>
    <x v="0"/>
    <x v="1"/>
    <x v="0"/>
    <x v="0"/>
    <s v="Yes"/>
    <x v="0"/>
    <x v="0"/>
    <n v="5"/>
    <n v="1907.1"/>
    <x v="1"/>
    <x v="3"/>
  </r>
  <r>
    <s v="T00422"/>
    <s v="E0115"/>
    <s v="Birmingham"/>
    <x v="5"/>
    <s v="Manager"/>
    <s v="Project work"/>
    <d v="2026-06-18T00:00:00"/>
    <d v="2026-07-07T00:00:00"/>
    <d v="2026-07-10T00:00:00"/>
    <x v="1"/>
    <s v="Birmingham"/>
    <x v="9"/>
    <x v="1"/>
    <x v="1"/>
    <s v="Economy"/>
    <n v="1628"/>
    <n v="19"/>
    <x v="3"/>
    <x v="0"/>
    <s v="A10"/>
    <s v="H04"/>
    <n v="376.95"/>
    <n v="0"/>
    <x v="0"/>
    <n v="180.245"/>
    <n v="360.49"/>
    <n v="59.63"/>
    <n v="797.07"/>
    <x v="0"/>
    <x v="0"/>
    <n v="0"/>
    <n v="0"/>
    <n v="0"/>
    <n v="797.07"/>
    <x v="1"/>
    <x v="0"/>
    <x v="1"/>
    <x v="0"/>
    <x v="0"/>
    <s v="Yes"/>
    <x v="0"/>
    <x v="1"/>
    <n v="3"/>
    <n v="244.2"/>
    <x v="6"/>
    <x v="3"/>
  </r>
  <r>
    <s v="T00423"/>
    <s v="E0115"/>
    <s v="Birmingham"/>
    <x v="5"/>
    <s v="Manager"/>
    <s v="Client meeting"/>
    <d v="2026-06-03T00:00:00"/>
    <d v="2026-06-20T00:00:00"/>
    <d v="2026-06-22T00:00:00"/>
    <x v="0"/>
    <s v="Birmingham"/>
    <x v="6"/>
    <x v="0"/>
    <x v="0"/>
    <s v="First Class"/>
    <n v="714"/>
    <n v="17"/>
    <x v="3"/>
    <x v="2"/>
    <m/>
    <s v="H01"/>
    <n v="0"/>
    <n v="210.04"/>
    <x v="2"/>
    <n v="166.14"/>
    <n v="166.14"/>
    <n v="84.61"/>
    <n v="460.79"/>
    <x v="0"/>
    <x v="0"/>
    <n v="0"/>
    <n v="0"/>
    <n v="0"/>
    <n v="460.79"/>
    <x v="0"/>
    <x v="0"/>
    <x v="0"/>
    <x v="1"/>
    <x v="1"/>
    <s v="Yes"/>
    <x v="1"/>
    <x v="1"/>
    <n v="5"/>
    <n v="28.6"/>
    <x v="0"/>
    <x v="2"/>
  </r>
  <r>
    <s v="T00424"/>
    <s v="E0115"/>
    <s v="Birmingham"/>
    <x v="5"/>
    <s v="Manager"/>
    <s v="Project work"/>
    <d v="2026-05-11T00:00:00"/>
    <d v="2026-05-12T00:00:00"/>
    <d v="2026-05-16T00:00:00"/>
    <x v="2"/>
    <s v="Birmingham"/>
    <x v="5"/>
    <x v="1"/>
    <x v="1"/>
    <s v="Economy"/>
    <n v="19722"/>
    <n v="1"/>
    <x v="1"/>
    <x v="0"/>
    <s v="A01"/>
    <s v="H02"/>
    <n v="1271.57"/>
    <n v="0"/>
    <x v="1"/>
    <n v="203.93666666666664"/>
    <n v="611.80999999999995"/>
    <n v="92.15"/>
    <n v="1975.53"/>
    <x v="1"/>
    <x v="0"/>
    <n v="15"/>
    <n v="0"/>
    <n v="0"/>
    <n v="1990.53"/>
    <x v="0"/>
    <x v="0"/>
    <x v="1"/>
    <x v="0"/>
    <x v="0"/>
    <s v="Yes"/>
    <x v="0"/>
    <x v="0"/>
    <n v="4"/>
    <n v="2958.3"/>
    <x v="1"/>
    <x v="1"/>
  </r>
  <r>
    <s v="T00425"/>
    <s v="E0115"/>
    <s v="Birmingham"/>
    <x v="5"/>
    <s v="Manager"/>
    <s v="Conference / Event"/>
    <d v="2026-06-23T00:00:00"/>
    <d v="2026-06-29T00:00:00"/>
    <d v="2026-07-04T00:00:00"/>
    <x v="0"/>
    <s v="Birmingham"/>
    <x v="9"/>
    <x v="1"/>
    <x v="1"/>
    <s v="Economy"/>
    <n v="2758"/>
    <n v="6"/>
    <x v="4"/>
    <x v="0"/>
    <s v="A01"/>
    <s v="H03"/>
    <n v="462.83"/>
    <n v="0"/>
    <x v="3"/>
    <n v="128.39250000000001"/>
    <n v="513.57000000000005"/>
    <n v="67.16"/>
    <n v="1043.56"/>
    <x v="0"/>
    <x v="1"/>
    <n v="0"/>
    <n v="53.48"/>
    <n v="244.1"/>
    <n v="852.93999999999994"/>
    <x v="0"/>
    <x v="0"/>
    <x v="1"/>
    <x v="0"/>
    <x v="0"/>
    <s v="Yes"/>
    <x v="0"/>
    <x v="0"/>
    <n v="4"/>
    <n v="413.7"/>
    <x v="1"/>
    <x v="4"/>
  </r>
  <r>
    <s v="T00426"/>
    <s v="E0115"/>
    <s v="Birmingham"/>
    <x v="5"/>
    <s v="Manager"/>
    <s v="Conference / Event"/>
    <d v="2026-06-12T00:00:00"/>
    <d v="2026-07-08T00:00:00"/>
    <d v="2026-07-10T00:00:00"/>
    <x v="1"/>
    <s v="Birmingham"/>
    <x v="16"/>
    <x v="1"/>
    <x v="1"/>
    <s v="Economy"/>
    <n v="3444"/>
    <n v="26"/>
    <x v="3"/>
    <x v="1"/>
    <s v="A05"/>
    <s v="H03"/>
    <n v="601.54"/>
    <n v="0"/>
    <x v="2"/>
    <n v="147.18"/>
    <n v="147.18"/>
    <n v="58.94"/>
    <n v="807.66"/>
    <x v="0"/>
    <x v="0"/>
    <n v="0"/>
    <n v="0"/>
    <n v="0"/>
    <n v="807.66"/>
    <x v="0"/>
    <x v="0"/>
    <x v="1"/>
    <x v="0"/>
    <x v="0"/>
    <s v="Yes"/>
    <x v="0"/>
    <x v="0"/>
    <n v="4"/>
    <n v="516.6"/>
    <x v="2"/>
    <x v="4"/>
  </r>
  <r>
    <s v="T00427"/>
    <s v="E0115"/>
    <s v="Birmingham"/>
    <x v="5"/>
    <s v="Manager"/>
    <s v="Conference / Event"/>
    <d v="2026-04-25T00:00:00"/>
    <d v="2026-05-05T00:00:00"/>
    <d v="2026-05-07T00:00:00"/>
    <x v="2"/>
    <s v="Birmingham"/>
    <x v="16"/>
    <x v="1"/>
    <x v="1"/>
    <s v="Economy"/>
    <n v="1686"/>
    <n v="10"/>
    <x v="0"/>
    <x v="0"/>
    <s v="A05"/>
    <s v="H03"/>
    <n v="270.63"/>
    <n v="0"/>
    <x v="2"/>
    <n v="216.07"/>
    <n v="216.07"/>
    <n v="117.25"/>
    <n v="603.95000000000005"/>
    <x v="0"/>
    <x v="0"/>
    <n v="0"/>
    <n v="0"/>
    <n v="0"/>
    <n v="603.95000000000005"/>
    <x v="1"/>
    <x v="0"/>
    <x v="1"/>
    <x v="0"/>
    <x v="0"/>
    <s v="Yes"/>
    <x v="0"/>
    <x v="1"/>
    <n v="5"/>
    <n v="252.9"/>
    <x v="2"/>
    <x v="4"/>
  </r>
  <r>
    <s v="T00428"/>
    <s v="E0115"/>
    <s v="Birmingham"/>
    <x v="5"/>
    <s v="Manager"/>
    <s v="Internal meeting"/>
    <d v="2026-05-08T00:00:00"/>
    <d v="2026-05-23T00:00:00"/>
    <d v="2026-05-28T00:00:00"/>
    <x v="2"/>
    <s v="Birmingham"/>
    <x v="21"/>
    <x v="1"/>
    <x v="1"/>
    <s v="Economy"/>
    <n v="12992"/>
    <n v="15"/>
    <x v="3"/>
    <x v="0"/>
    <s v="A07"/>
    <s v="H03"/>
    <n v="974.79"/>
    <n v="0"/>
    <x v="3"/>
    <n v="179.83750000000001"/>
    <n v="719.35"/>
    <n v="104.28"/>
    <n v="1798.42"/>
    <x v="0"/>
    <x v="1"/>
    <n v="0"/>
    <n v="88.43"/>
    <n v="847.07"/>
    <n v="1039.7800000000002"/>
    <x v="0"/>
    <x v="0"/>
    <x v="1"/>
    <x v="0"/>
    <x v="0"/>
    <s v="Yes"/>
    <x v="0"/>
    <x v="0"/>
    <n v="3"/>
    <n v="1948.8"/>
    <x v="5"/>
    <x v="4"/>
  </r>
  <r>
    <s v="T00429"/>
    <s v="E0116"/>
    <s v="Leeds"/>
    <x v="3"/>
    <s v="Consultant"/>
    <s v="Client meeting"/>
    <d v="2026-04-14T00:00:00"/>
    <d v="2026-05-10T00:00:00"/>
    <d v="2026-05-15T00:00:00"/>
    <x v="2"/>
    <s v="Leeds"/>
    <x v="9"/>
    <x v="1"/>
    <x v="1"/>
    <s v="Economy"/>
    <n v="2748"/>
    <n v="26"/>
    <x v="3"/>
    <x v="1"/>
    <s v="A10"/>
    <s v="H01"/>
    <n v="508.02"/>
    <n v="0"/>
    <x v="3"/>
    <n v="154.06"/>
    <n v="616.24"/>
    <n v="76.540000000000006"/>
    <n v="1200.8"/>
    <x v="0"/>
    <x v="0"/>
    <n v="0"/>
    <n v="0"/>
    <n v="0"/>
    <n v="1200.8"/>
    <x v="0"/>
    <x v="0"/>
    <x v="1"/>
    <x v="0"/>
    <x v="0"/>
    <s v="Yes"/>
    <x v="0"/>
    <x v="0"/>
    <n v="4"/>
    <n v="412.2"/>
    <x v="6"/>
    <x v="2"/>
  </r>
  <r>
    <s v="T00430"/>
    <s v="E0116"/>
    <s v="Leeds"/>
    <x v="3"/>
    <s v="Consultant"/>
    <s v="Conference / Event"/>
    <d v="2026-05-11T00:00:00"/>
    <d v="2026-05-23T00:00:00"/>
    <d v="2026-05-25T00:00:00"/>
    <x v="2"/>
    <s v="Leeds"/>
    <x v="16"/>
    <x v="1"/>
    <x v="1"/>
    <s v="Economy"/>
    <n v="1788"/>
    <n v="12"/>
    <x v="0"/>
    <x v="3"/>
    <s v="A05"/>
    <s v="H05"/>
    <n v="493.1"/>
    <n v="0"/>
    <x v="2"/>
    <n v="155.19"/>
    <n v="155.19"/>
    <n v="81.67"/>
    <n v="729.96"/>
    <x v="0"/>
    <x v="1"/>
    <n v="0"/>
    <n v="133.41999999999999"/>
    <n v="324.14"/>
    <n v="539.24"/>
    <x v="0"/>
    <x v="1"/>
    <x v="1"/>
    <x v="0"/>
    <x v="1"/>
    <s v="No"/>
    <x v="0"/>
    <x v="1"/>
    <n v="3"/>
    <n v="268.2"/>
    <x v="2"/>
    <x v="5"/>
  </r>
  <r>
    <s v="T00431"/>
    <s v="E0117"/>
    <s v="Bristol"/>
    <x v="5"/>
    <s v="Manager"/>
    <s v="Team building"/>
    <d v="2026-07-12T00:00:00"/>
    <d v="2026-07-13T00:00:00"/>
    <d v="2026-07-19T00:00:00"/>
    <x v="1"/>
    <s v="Bristol"/>
    <x v="9"/>
    <x v="1"/>
    <x v="1"/>
    <s v="Economy"/>
    <n v="3540"/>
    <n v="1"/>
    <x v="1"/>
    <x v="0"/>
    <s v="A06"/>
    <s v="H02"/>
    <n v="526.21"/>
    <n v="0"/>
    <x v="4"/>
    <n v="136.852"/>
    <n v="684.26"/>
    <n v="90.34"/>
    <n v="1300.81"/>
    <x v="0"/>
    <x v="0"/>
    <n v="0"/>
    <n v="0"/>
    <n v="0"/>
    <n v="1300.81"/>
    <x v="0"/>
    <x v="0"/>
    <x v="2"/>
    <x v="0"/>
    <x v="0"/>
    <s v="No"/>
    <x v="0"/>
    <x v="1"/>
    <n v="3"/>
    <n v="531"/>
    <x v="9"/>
    <x v="1"/>
  </r>
  <r>
    <s v="T00432"/>
    <s v="E0117"/>
    <s v="Bristol"/>
    <x v="5"/>
    <s v="Manager"/>
    <s v="Internal meeting"/>
    <d v="2026-05-18T00:00:00"/>
    <d v="2026-05-24T00:00:00"/>
    <d v="2026-05-28T00:00:00"/>
    <x v="2"/>
    <s v="Bristol"/>
    <x v="11"/>
    <x v="1"/>
    <x v="1"/>
    <s v="Economy"/>
    <n v="3396"/>
    <n v="6"/>
    <x v="4"/>
    <x v="0"/>
    <s v="A04"/>
    <s v="H04"/>
    <n v="377.99"/>
    <n v="0"/>
    <x v="1"/>
    <n v="118.75666666666666"/>
    <n v="356.27"/>
    <n v="122.86"/>
    <n v="857.12"/>
    <x v="0"/>
    <x v="0"/>
    <n v="0"/>
    <n v="0"/>
    <n v="0"/>
    <n v="857.12"/>
    <x v="0"/>
    <x v="0"/>
    <x v="1"/>
    <x v="0"/>
    <x v="0"/>
    <s v="Yes"/>
    <x v="0"/>
    <x v="0"/>
    <n v="5"/>
    <n v="509.4"/>
    <x v="3"/>
    <x v="3"/>
  </r>
  <r>
    <s v="T00433"/>
    <s v="E0117"/>
    <s v="Bristol"/>
    <x v="5"/>
    <s v="Manager"/>
    <s v="Internal meeting"/>
    <d v="2026-05-09T00:00:00"/>
    <d v="2026-05-27T00:00:00"/>
    <d v="2026-05-30T00:00:00"/>
    <x v="2"/>
    <s v="Bristol"/>
    <x v="23"/>
    <x v="1"/>
    <x v="1"/>
    <s v="Economy"/>
    <n v="1844"/>
    <n v="18"/>
    <x v="3"/>
    <x v="3"/>
    <s v="A05"/>
    <s v="H05"/>
    <n v="331.34"/>
    <n v="0"/>
    <x v="0"/>
    <n v="219.52"/>
    <n v="439.04"/>
    <n v="40.86"/>
    <n v="811.24"/>
    <x v="0"/>
    <x v="0"/>
    <n v="0"/>
    <n v="0"/>
    <n v="0"/>
    <n v="811.24"/>
    <x v="1"/>
    <x v="1"/>
    <x v="1"/>
    <x v="0"/>
    <x v="1"/>
    <s v="No"/>
    <x v="1"/>
    <x v="1"/>
    <n v="4"/>
    <n v="276.60000000000002"/>
    <x v="2"/>
    <x v="5"/>
  </r>
  <r>
    <s v="T00434"/>
    <s v="E0117"/>
    <s v="Bristol"/>
    <x v="5"/>
    <s v="Manager"/>
    <s v="Training"/>
    <d v="2026-06-27T00:00:00"/>
    <d v="2026-07-26T00:00:00"/>
    <d v="2026-07-29T00:00:00"/>
    <x v="1"/>
    <s v="Bristol"/>
    <x v="16"/>
    <x v="1"/>
    <x v="1"/>
    <s v="Economy"/>
    <n v="1458"/>
    <n v="29"/>
    <x v="3"/>
    <x v="1"/>
    <s v="A01"/>
    <s v="H02"/>
    <n v="514.22"/>
    <n v="0"/>
    <x v="0"/>
    <n v="183.685"/>
    <n v="367.37"/>
    <n v="110.05"/>
    <n v="991.64"/>
    <x v="0"/>
    <x v="0"/>
    <n v="0"/>
    <n v="0"/>
    <n v="0"/>
    <n v="991.64"/>
    <x v="1"/>
    <x v="0"/>
    <x v="1"/>
    <x v="0"/>
    <x v="0"/>
    <s v="Yes"/>
    <x v="0"/>
    <x v="1"/>
    <n v="5"/>
    <n v="218.7"/>
    <x v="1"/>
    <x v="1"/>
  </r>
  <r>
    <s v="T00435"/>
    <s v="E0118"/>
    <s v="Bristol"/>
    <x v="4"/>
    <s v="Director"/>
    <s v="Project work"/>
    <d v="2026-05-30T00:00:00"/>
    <d v="2026-06-08T00:00:00"/>
    <d v="2026-06-12T00:00:00"/>
    <x v="0"/>
    <s v="Bristol"/>
    <x v="15"/>
    <x v="1"/>
    <x v="1"/>
    <s v="Economy"/>
    <n v="3262"/>
    <n v="9"/>
    <x v="0"/>
    <x v="0"/>
    <s v="A01"/>
    <s v="H04"/>
    <n v="353.85"/>
    <n v="0"/>
    <x v="1"/>
    <n v="166.25333333333333"/>
    <n v="498.76"/>
    <n v="74.13"/>
    <n v="926.74"/>
    <x v="1"/>
    <x v="0"/>
    <n v="74.599999999999994"/>
    <n v="0"/>
    <n v="0"/>
    <n v="1001.34"/>
    <x v="0"/>
    <x v="0"/>
    <x v="1"/>
    <x v="0"/>
    <x v="0"/>
    <s v="Yes"/>
    <x v="0"/>
    <x v="0"/>
    <n v="4"/>
    <n v="489.3"/>
    <x v="1"/>
    <x v="3"/>
  </r>
  <r>
    <s v="T00436"/>
    <s v="E0118"/>
    <s v="Bristol"/>
    <x v="4"/>
    <s v="Director"/>
    <s v="Training"/>
    <d v="2026-05-10T00:00:00"/>
    <d v="2026-05-12T00:00:00"/>
    <d v="2026-05-14T00:00:00"/>
    <x v="2"/>
    <s v="Bristol"/>
    <x v="20"/>
    <x v="1"/>
    <x v="1"/>
    <s v="Economy"/>
    <n v="12200"/>
    <n v="2"/>
    <x v="1"/>
    <x v="0"/>
    <s v="A01"/>
    <s v="H01"/>
    <n v="995.21"/>
    <n v="0"/>
    <x v="2"/>
    <n v="193.39"/>
    <n v="193.39"/>
    <n v="96.77"/>
    <n v="1285.3699999999999"/>
    <x v="1"/>
    <x v="0"/>
    <n v="120.94"/>
    <n v="0"/>
    <n v="0"/>
    <n v="1406.31"/>
    <x v="0"/>
    <x v="0"/>
    <x v="1"/>
    <x v="0"/>
    <x v="0"/>
    <s v="Yes"/>
    <x v="0"/>
    <x v="0"/>
    <n v="5"/>
    <n v="1830"/>
    <x v="1"/>
    <x v="2"/>
  </r>
  <r>
    <s v="T00437"/>
    <s v="E0118"/>
    <s v="Bristol"/>
    <x v="4"/>
    <s v="Director"/>
    <s v="Internal meeting"/>
    <d v="2026-07-09T00:00:00"/>
    <d v="2026-07-15T00:00:00"/>
    <d v="2026-07-19T00:00:00"/>
    <x v="1"/>
    <s v="Bristol"/>
    <x v="7"/>
    <x v="1"/>
    <x v="1"/>
    <s v="Business"/>
    <n v="11356"/>
    <n v="6"/>
    <x v="4"/>
    <x v="2"/>
    <s v="A07"/>
    <s v="H01"/>
    <n v="1486.17"/>
    <n v="0"/>
    <x v="1"/>
    <n v="227.59"/>
    <n v="682.77"/>
    <n v="116.45"/>
    <n v="2285.39"/>
    <x v="0"/>
    <x v="0"/>
    <n v="0"/>
    <n v="0"/>
    <n v="0"/>
    <n v="2285.39"/>
    <x v="1"/>
    <x v="0"/>
    <x v="1"/>
    <x v="1"/>
    <x v="1"/>
    <s v="Yes"/>
    <x v="0"/>
    <x v="1"/>
    <n v="4"/>
    <n v="1703.4"/>
    <x v="5"/>
    <x v="2"/>
  </r>
  <r>
    <s v="T00438"/>
    <s v="E0118"/>
    <s v="Bristol"/>
    <x v="4"/>
    <s v="Director"/>
    <s v="Project work"/>
    <d v="2026-06-12T00:00:00"/>
    <d v="2026-06-17T00:00:00"/>
    <d v="2026-06-21T00:00:00"/>
    <x v="0"/>
    <s v="Bristol"/>
    <x v="22"/>
    <x v="0"/>
    <x v="0"/>
    <s v="Standard / 2nd Class"/>
    <n v="1164"/>
    <n v="5"/>
    <x v="4"/>
    <x v="1"/>
    <m/>
    <s v="H06"/>
    <n v="0"/>
    <n v="217.92"/>
    <x v="1"/>
    <n v="107.70666666666666"/>
    <n v="323.12"/>
    <n v="26.68"/>
    <n v="567.72"/>
    <x v="0"/>
    <x v="0"/>
    <n v="0"/>
    <n v="0"/>
    <n v="0"/>
    <n v="567.72"/>
    <x v="0"/>
    <x v="0"/>
    <x v="0"/>
    <x v="0"/>
    <x v="0"/>
    <s v="Yes"/>
    <x v="0"/>
    <x v="0"/>
    <n v="4"/>
    <n v="46.6"/>
    <x v="0"/>
    <x v="0"/>
  </r>
  <r>
    <s v="T00439"/>
    <s v="E0118"/>
    <s v="Bristol"/>
    <x v="4"/>
    <s v="Director"/>
    <s v="Client meeting"/>
    <d v="2026-06-25T00:00:00"/>
    <d v="2026-07-14T00:00:00"/>
    <d v="2026-07-20T00:00:00"/>
    <x v="1"/>
    <s v="Bristol"/>
    <x v="20"/>
    <x v="1"/>
    <x v="1"/>
    <s v="Premium Economy"/>
    <n v="12474"/>
    <n v="19"/>
    <x v="3"/>
    <x v="1"/>
    <s v="A01"/>
    <s v="H01"/>
    <n v="1180.72"/>
    <n v="0"/>
    <x v="4"/>
    <n v="188.30599999999998"/>
    <n v="941.53"/>
    <n v="72.010000000000005"/>
    <n v="2194.2600000000002"/>
    <x v="0"/>
    <x v="1"/>
    <n v="0"/>
    <n v="40.58"/>
    <n v="1910.03"/>
    <n v="324.81000000000017"/>
    <x v="0"/>
    <x v="0"/>
    <x v="1"/>
    <x v="1"/>
    <x v="0"/>
    <s v="Yes"/>
    <x v="0"/>
    <x v="1"/>
    <n v="4"/>
    <n v="1871.1"/>
    <x v="1"/>
    <x v="2"/>
  </r>
  <r>
    <s v="T00440"/>
    <s v="E0118"/>
    <s v="Bristol"/>
    <x v="4"/>
    <s v="Director"/>
    <s v="Project work"/>
    <d v="2026-06-18T00:00:00"/>
    <d v="2026-07-08T00:00:00"/>
    <d v="2026-07-13T00:00:00"/>
    <x v="1"/>
    <s v="Bristol"/>
    <x v="1"/>
    <x v="1"/>
    <x v="1"/>
    <s v="Economy"/>
    <n v="1236"/>
    <n v="20"/>
    <x v="3"/>
    <x v="0"/>
    <s v="A01"/>
    <s v="H04"/>
    <n v="302.8"/>
    <n v="0"/>
    <x v="3"/>
    <n v="151.47"/>
    <n v="605.88"/>
    <n v="79.64"/>
    <n v="988.32"/>
    <x v="0"/>
    <x v="0"/>
    <n v="0"/>
    <n v="0"/>
    <n v="0"/>
    <n v="988.32"/>
    <x v="0"/>
    <x v="0"/>
    <x v="1"/>
    <x v="0"/>
    <x v="0"/>
    <s v="Yes"/>
    <x v="1"/>
    <x v="0"/>
    <n v="4"/>
    <n v="185.4"/>
    <x v="1"/>
    <x v="3"/>
  </r>
  <r>
    <s v="T00441"/>
    <s v="E0119"/>
    <s v="London"/>
    <x v="5"/>
    <s v="Senior Manager"/>
    <s v="Project work"/>
    <d v="2026-07-10T00:00:00"/>
    <d v="2026-07-12T00:00:00"/>
    <d v="2026-07-15T00:00:00"/>
    <x v="1"/>
    <s v="London"/>
    <x v="3"/>
    <x v="1"/>
    <x v="1"/>
    <s v="Economy"/>
    <n v="2786"/>
    <n v="2"/>
    <x v="1"/>
    <x v="1"/>
    <s v="A04"/>
    <s v="H02"/>
    <n v="371.15"/>
    <n v="0"/>
    <x v="0"/>
    <n v="217.71"/>
    <n v="435.42"/>
    <n v="71.42"/>
    <n v="877.99"/>
    <x v="0"/>
    <x v="0"/>
    <n v="0"/>
    <n v="0"/>
    <n v="0"/>
    <n v="877.99"/>
    <x v="1"/>
    <x v="0"/>
    <x v="1"/>
    <x v="0"/>
    <x v="0"/>
    <s v="Yes"/>
    <x v="0"/>
    <x v="1"/>
    <n v="5"/>
    <n v="417.9"/>
    <x v="3"/>
    <x v="1"/>
  </r>
  <r>
    <s v="T00442"/>
    <s v="E0119"/>
    <s v="London"/>
    <x v="5"/>
    <s v="Senior Manager"/>
    <s v="Team building"/>
    <d v="2026-06-17T00:00:00"/>
    <d v="2026-06-25T00:00:00"/>
    <d v="2026-07-02T00:00:00"/>
    <x v="0"/>
    <s v="London"/>
    <x v="5"/>
    <x v="1"/>
    <x v="1"/>
    <s v="Economy"/>
    <n v="11300"/>
    <n v="8"/>
    <x v="0"/>
    <x v="0"/>
    <s v="A08"/>
    <s v="H01"/>
    <n v="1735.6"/>
    <n v="0"/>
    <x v="7"/>
    <n v="177.17333333333332"/>
    <n v="1063.04"/>
    <n v="48.58"/>
    <n v="2847.22"/>
    <x v="0"/>
    <x v="0"/>
    <n v="0"/>
    <n v="0"/>
    <n v="0"/>
    <n v="2847.22"/>
    <x v="0"/>
    <x v="0"/>
    <x v="1"/>
    <x v="0"/>
    <x v="0"/>
    <s v="Yes"/>
    <x v="1"/>
    <x v="0"/>
    <n v="4"/>
    <n v="1695"/>
    <x v="10"/>
    <x v="2"/>
  </r>
  <r>
    <s v="T00443"/>
    <s v="E0120"/>
    <s v="Edinburgh"/>
    <x v="5"/>
    <s v="Manager"/>
    <s v="Team building"/>
    <d v="2026-05-03T00:00:00"/>
    <d v="2026-05-04T00:00:00"/>
    <d v="2026-05-07T00:00:00"/>
    <x v="2"/>
    <s v="Edinburgh"/>
    <x v="9"/>
    <x v="1"/>
    <x v="1"/>
    <s v="Economy"/>
    <n v="1228"/>
    <n v="1"/>
    <x v="1"/>
    <x v="0"/>
    <s v="A10"/>
    <s v="H01"/>
    <n v="651.97"/>
    <n v="0"/>
    <x v="0"/>
    <n v="133.64500000000001"/>
    <n v="267.29000000000002"/>
    <n v="118.01"/>
    <n v="1037.27"/>
    <x v="0"/>
    <x v="0"/>
    <n v="0"/>
    <n v="0"/>
    <n v="0"/>
    <n v="1037.27"/>
    <x v="0"/>
    <x v="0"/>
    <x v="1"/>
    <x v="0"/>
    <x v="0"/>
    <s v="Yes"/>
    <x v="0"/>
    <x v="0"/>
    <n v="5"/>
    <n v="184.2"/>
    <x v="6"/>
    <x v="2"/>
  </r>
  <r>
    <s v="T00444"/>
    <s v="E0120"/>
    <s v="Edinburgh"/>
    <x v="5"/>
    <s v="Manager"/>
    <s v="Training"/>
    <d v="2026-07-05T00:00:00"/>
    <d v="2026-07-27T00:00:00"/>
    <d v="2026-07-30T00:00:00"/>
    <x v="1"/>
    <s v="Edinburgh"/>
    <x v="9"/>
    <x v="1"/>
    <x v="1"/>
    <s v="Economy"/>
    <n v="3490"/>
    <n v="22"/>
    <x v="3"/>
    <x v="0"/>
    <s v="A10"/>
    <s v="H02"/>
    <n v="173.64"/>
    <n v="0"/>
    <x v="0"/>
    <n v="232.28"/>
    <n v="464.56"/>
    <n v="124.6"/>
    <n v="762.8"/>
    <x v="0"/>
    <x v="0"/>
    <n v="0"/>
    <n v="0"/>
    <n v="0"/>
    <n v="762.8"/>
    <x v="1"/>
    <x v="0"/>
    <x v="1"/>
    <x v="0"/>
    <x v="0"/>
    <s v="Yes"/>
    <x v="0"/>
    <x v="1"/>
    <n v="5"/>
    <n v="523.5"/>
    <x v="6"/>
    <x v="1"/>
  </r>
  <r>
    <s v="T00445"/>
    <s v="E0120"/>
    <s v="Edinburgh"/>
    <x v="5"/>
    <s v="Manager"/>
    <s v="Project work"/>
    <d v="2026-05-10T00:00:00"/>
    <d v="2026-05-30T00:00:00"/>
    <d v="2026-06-03T00:00:00"/>
    <x v="2"/>
    <s v="Edinburgh"/>
    <x v="9"/>
    <x v="1"/>
    <x v="1"/>
    <s v="Economy"/>
    <n v="3598"/>
    <n v="20"/>
    <x v="3"/>
    <x v="3"/>
    <s v="A01"/>
    <s v="H01"/>
    <n v="185.8"/>
    <n v="0"/>
    <x v="1"/>
    <n v="180.98000000000002"/>
    <n v="542.94000000000005"/>
    <n v="39.15"/>
    <n v="767.89"/>
    <x v="1"/>
    <x v="0"/>
    <n v="175.92"/>
    <n v="0"/>
    <n v="0"/>
    <n v="943.81"/>
    <x v="1"/>
    <x v="0"/>
    <x v="1"/>
    <x v="0"/>
    <x v="1"/>
    <s v="Yes"/>
    <x v="0"/>
    <x v="1"/>
    <n v="4"/>
    <n v="539.70000000000005"/>
    <x v="1"/>
    <x v="2"/>
  </r>
  <r>
    <s v="T00446"/>
    <s v="E0121"/>
    <s v="London"/>
    <x v="4"/>
    <s v="Consultant"/>
    <s v="Team building"/>
    <d v="2026-07-02T00:00:00"/>
    <d v="2026-07-14T00:00:00"/>
    <d v="2026-07-17T00:00:00"/>
    <x v="1"/>
    <s v="London"/>
    <x v="4"/>
    <x v="1"/>
    <x v="1"/>
    <s v="Economy"/>
    <n v="2626"/>
    <n v="12"/>
    <x v="0"/>
    <x v="0"/>
    <s v="A05"/>
    <s v="H01"/>
    <n v="162"/>
    <n v="0"/>
    <x v="0"/>
    <n v="207.51"/>
    <n v="415.02"/>
    <n v="67.569999999999993"/>
    <n v="644.59"/>
    <x v="0"/>
    <x v="0"/>
    <n v="0"/>
    <n v="0"/>
    <n v="0"/>
    <n v="644.59"/>
    <x v="0"/>
    <x v="0"/>
    <x v="1"/>
    <x v="0"/>
    <x v="0"/>
    <s v="Yes"/>
    <x v="0"/>
    <x v="0"/>
    <n v="4"/>
    <n v="393.9"/>
    <x v="2"/>
    <x v="2"/>
  </r>
  <r>
    <s v="T00447"/>
    <s v="E0121"/>
    <s v="London"/>
    <x v="4"/>
    <s v="Consultant"/>
    <s v="Other"/>
    <d v="2026-05-17T00:00:00"/>
    <d v="2026-05-26T00:00:00"/>
    <d v="2026-05-28T00:00:00"/>
    <x v="2"/>
    <s v="London"/>
    <x v="20"/>
    <x v="1"/>
    <x v="1"/>
    <s v="Economy"/>
    <n v="10250"/>
    <n v="9"/>
    <x v="0"/>
    <x v="0"/>
    <s v="A07"/>
    <s v="H03"/>
    <n v="865.5"/>
    <n v="0"/>
    <x v="2"/>
    <n v="141.16999999999999"/>
    <n v="141.16999999999999"/>
    <n v="125.15"/>
    <n v="1131.82"/>
    <x v="0"/>
    <x v="0"/>
    <n v="0"/>
    <n v="0"/>
    <n v="0"/>
    <n v="1131.82"/>
    <x v="0"/>
    <x v="0"/>
    <x v="1"/>
    <x v="0"/>
    <x v="0"/>
    <s v="Yes"/>
    <x v="0"/>
    <x v="0"/>
    <n v="5"/>
    <n v="1537.5"/>
    <x v="5"/>
    <x v="4"/>
  </r>
  <r>
    <s v="T00448"/>
    <s v="E0121"/>
    <s v="London"/>
    <x v="4"/>
    <s v="Consultant"/>
    <s v="Project work"/>
    <d v="2026-06-14T00:00:00"/>
    <d v="2026-07-10T00:00:00"/>
    <d v="2026-07-12T00:00:00"/>
    <x v="1"/>
    <s v="London"/>
    <x v="0"/>
    <x v="0"/>
    <x v="1"/>
    <s v="Economy"/>
    <n v="826"/>
    <n v="26"/>
    <x v="3"/>
    <x v="1"/>
    <s v="A02"/>
    <s v="H06"/>
    <n v="288.7"/>
    <n v="0"/>
    <x v="2"/>
    <n v="161.19"/>
    <n v="161.19"/>
    <n v="63"/>
    <n v="512.89"/>
    <x v="0"/>
    <x v="0"/>
    <n v="0"/>
    <n v="0"/>
    <n v="0"/>
    <n v="512.89"/>
    <x v="0"/>
    <x v="0"/>
    <x v="1"/>
    <x v="0"/>
    <x v="0"/>
    <s v="Yes"/>
    <x v="0"/>
    <x v="0"/>
    <n v="4"/>
    <n v="123.9"/>
    <x v="4"/>
    <x v="0"/>
  </r>
  <r>
    <s v="T00449"/>
    <s v="E0122"/>
    <s v="London"/>
    <x v="2"/>
    <s v="Analyst"/>
    <s v="Recruitment / Interview"/>
    <d v="2026-06-13T00:00:00"/>
    <d v="2026-07-11T00:00:00"/>
    <d v="2026-07-14T00:00:00"/>
    <x v="1"/>
    <s v="London"/>
    <x v="1"/>
    <x v="1"/>
    <x v="1"/>
    <s v="Economy"/>
    <n v="1136"/>
    <n v="28"/>
    <x v="3"/>
    <x v="3"/>
    <s v="A04"/>
    <s v="H02"/>
    <n v="280.23"/>
    <n v="0"/>
    <x v="0"/>
    <n v="155.68"/>
    <n v="311.36"/>
    <n v="55.5"/>
    <n v="647.09"/>
    <x v="1"/>
    <x v="0"/>
    <n v="236.28"/>
    <n v="0"/>
    <n v="0"/>
    <n v="883.37"/>
    <x v="0"/>
    <x v="0"/>
    <x v="1"/>
    <x v="0"/>
    <x v="1"/>
    <s v="Yes"/>
    <x v="0"/>
    <x v="1"/>
    <n v="4"/>
    <n v="170.4"/>
    <x v="3"/>
    <x v="1"/>
  </r>
  <r>
    <s v="T00450"/>
    <s v="E0122"/>
    <s v="London"/>
    <x v="2"/>
    <s v="Analyst"/>
    <s v="Client meeting"/>
    <d v="2026-06-30T00:00:00"/>
    <d v="2026-07-16T00:00:00"/>
    <d v="2026-07-21T00:00:00"/>
    <x v="1"/>
    <s v="London"/>
    <x v="9"/>
    <x v="1"/>
    <x v="1"/>
    <s v="Economy"/>
    <n v="1480"/>
    <n v="16"/>
    <x v="3"/>
    <x v="3"/>
    <s v="A01"/>
    <s v="H02"/>
    <n v="362.43"/>
    <n v="0"/>
    <x v="3"/>
    <n v="178.63499999999999"/>
    <n v="714.54"/>
    <n v="108.48"/>
    <n v="1185.45"/>
    <x v="0"/>
    <x v="0"/>
    <n v="0"/>
    <n v="0"/>
    <n v="0"/>
    <n v="1185.45"/>
    <x v="0"/>
    <x v="0"/>
    <x v="1"/>
    <x v="0"/>
    <x v="1"/>
    <s v="Yes"/>
    <x v="0"/>
    <x v="1"/>
    <n v="5"/>
    <n v="222"/>
    <x v="1"/>
    <x v="1"/>
  </r>
  <r>
    <s v="T00451"/>
    <s v="E0122"/>
    <s v="London"/>
    <x v="2"/>
    <s v="Analyst"/>
    <s v="Project work"/>
    <d v="2026-05-21T00:00:00"/>
    <d v="2026-05-26T00:00:00"/>
    <d v="2026-05-29T00:00:00"/>
    <x v="2"/>
    <s v="London"/>
    <x v="9"/>
    <x v="1"/>
    <x v="1"/>
    <s v="Premium Economy"/>
    <n v="2436"/>
    <n v="5"/>
    <x v="4"/>
    <x v="0"/>
    <s v="A06"/>
    <s v="H03"/>
    <n v="282.99"/>
    <n v="0"/>
    <x v="0"/>
    <n v="157.435"/>
    <n v="314.87"/>
    <n v="110.69"/>
    <n v="708.55"/>
    <x v="0"/>
    <x v="0"/>
    <n v="0"/>
    <n v="0"/>
    <n v="0"/>
    <n v="708.55"/>
    <x v="0"/>
    <x v="0"/>
    <x v="2"/>
    <x v="1"/>
    <x v="0"/>
    <s v="No"/>
    <x v="0"/>
    <x v="1"/>
    <n v="4"/>
    <n v="365.4"/>
    <x v="9"/>
    <x v="4"/>
  </r>
  <r>
    <s v="T00452"/>
    <s v="E0123"/>
    <s v="Manchester"/>
    <x v="3"/>
    <s v="Consultant"/>
    <s v="Client meeting"/>
    <d v="2026-05-10T00:00:00"/>
    <d v="2026-05-11T00:00:00"/>
    <d v="2026-05-13T00:00:00"/>
    <x v="2"/>
    <s v="Manchester"/>
    <x v="16"/>
    <x v="1"/>
    <x v="1"/>
    <s v="Economy"/>
    <n v="1710"/>
    <n v="1"/>
    <x v="1"/>
    <x v="1"/>
    <s v="A02"/>
    <s v="H04"/>
    <n v="462.09"/>
    <n v="0"/>
    <x v="2"/>
    <n v="184.3"/>
    <n v="184.3"/>
    <n v="69.62"/>
    <n v="716.01"/>
    <x v="0"/>
    <x v="0"/>
    <n v="0"/>
    <n v="0"/>
    <n v="0"/>
    <n v="716.01"/>
    <x v="1"/>
    <x v="0"/>
    <x v="1"/>
    <x v="0"/>
    <x v="0"/>
    <s v="Yes"/>
    <x v="1"/>
    <x v="1"/>
    <n v="4"/>
    <n v="256.5"/>
    <x v="4"/>
    <x v="3"/>
  </r>
  <r>
    <s v="T00453"/>
    <s v="E0123"/>
    <s v="Manchester"/>
    <x v="3"/>
    <s v="Consultant"/>
    <s v="Client meeting"/>
    <d v="2026-05-11T00:00:00"/>
    <d v="2026-05-12T00:00:00"/>
    <d v="2026-05-13T00:00:00"/>
    <x v="2"/>
    <s v="Manchester"/>
    <x v="6"/>
    <x v="0"/>
    <x v="0"/>
    <s v="Standard / 2nd Class"/>
    <n v="894"/>
    <n v="1"/>
    <x v="1"/>
    <x v="0"/>
    <m/>
    <m/>
    <n v="0"/>
    <n v="235.02"/>
    <x v="5"/>
    <n v="0"/>
    <n v="0"/>
    <n v="45.83"/>
    <n v="280.85000000000002"/>
    <x v="0"/>
    <x v="0"/>
    <n v="0"/>
    <n v="0"/>
    <n v="0"/>
    <n v="280.85000000000002"/>
    <x v="2"/>
    <x v="2"/>
    <x v="0"/>
    <x v="0"/>
    <x v="0"/>
    <s v="Yes"/>
    <x v="0"/>
    <x v="0"/>
    <n v="4"/>
    <n v="35.799999999999997"/>
    <x v="0"/>
    <x v="7"/>
  </r>
  <r>
    <s v="T00454"/>
    <s v="E0123"/>
    <s v="Manchester"/>
    <x v="3"/>
    <s v="Consultant"/>
    <s v="Project work"/>
    <d v="2026-07-06T00:00:00"/>
    <d v="2026-07-25T00:00:00"/>
    <d v="2026-07-29T00:00:00"/>
    <x v="1"/>
    <s v="Manchester"/>
    <x v="20"/>
    <x v="1"/>
    <x v="1"/>
    <s v="Economy"/>
    <n v="10294"/>
    <n v="19"/>
    <x v="3"/>
    <x v="1"/>
    <s v="A01"/>
    <s v="H01"/>
    <n v="978.88"/>
    <n v="0"/>
    <x v="1"/>
    <n v="141.48333333333332"/>
    <n v="424.45"/>
    <n v="84.78"/>
    <n v="1488.11"/>
    <x v="0"/>
    <x v="0"/>
    <n v="0"/>
    <n v="0"/>
    <n v="0"/>
    <n v="1488.11"/>
    <x v="0"/>
    <x v="0"/>
    <x v="1"/>
    <x v="0"/>
    <x v="0"/>
    <s v="Yes"/>
    <x v="0"/>
    <x v="0"/>
    <n v="4"/>
    <n v="1544.1"/>
    <x v="1"/>
    <x v="2"/>
  </r>
  <r>
    <s v="T00455"/>
    <s v="E0124"/>
    <s v="London"/>
    <x v="1"/>
    <s v="Analyst"/>
    <s v="Internal meeting"/>
    <d v="2026-06-17T00:00:00"/>
    <d v="2026-07-23T00:00:00"/>
    <d v="2026-07-25T00:00:00"/>
    <x v="1"/>
    <s v="London"/>
    <x v="17"/>
    <x v="0"/>
    <x v="0"/>
    <s v="Standard / 2nd Class"/>
    <n v="770"/>
    <n v="36"/>
    <x v="2"/>
    <x v="0"/>
    <m/>
    <s v="H01"/>
    <n v="0"/>
    <n v="310"/>
    <x v="2"/>
    <n v="208.43"/>
    <n v="208.43"/>
    <n v="81.290000000000006"/>
    <n v="599.72"/>
    <x v="1"/>
    <x v="0"/>
    <n v="134.74"/>
    <n v="0"/>
    <n v="0"/>
    <n v="734.46"/>
    <x v="0"/>
    <x v="0"/>
    <x v="0"/>
    <x v="0"/>
    <x v="0"/>
    <s v="Yes"/>
    <x v="0"/>
    <x v="0"/>
    <n v="4"/>
    <n v="30.8"/>
    <x v="0"/>
    <x v="2"/>
  </r>
  <r>
    <s v="T00456"/>
    <s v="E0124"/>
    <s v="London"/>
    <x v="1"/>
    <s v="Analyst"/>
    <s v="Project work"/>
    <d v="2026-05-02T00:00:00"/>
    <d v="2026-05-18T00:00:00"/>
    <d v="2026-05-22T00:00:00"/>
    <x v="2"/>
    <s v="London"/>
    <x v="16"/>
    <x v="1"/>
    <x v="1"/>
    <s v="Economy"/>
    <n v="1596"/>
    <n v="16"/>
    <x v="3"/>
    <x v="1"/>
    <s v="A02"/>
    <s v="H01"/>
    <n v="391.62"/>
    <n v="0"/>
    <x v="1"/>
    <n v="165.75"/>
    <n v="497.25"/>
    <n v="93.67"/>
    <n v="982.54"/>
    <x v="0"/>
    <x v="0"/>
    <n v="0"/>
    <n v="0"/>
    <n v="0"/>
    <n v="982.54"/>
    <x v="0"/>
    <x v="0"/>
    <x v="1"/>
    <x v="0"/>
    <x v="0"/>
    <s v="Yes"/>
    <x v="0"/>
    <x v="0"/>
    <n v="5"/>
    <n v="239.4"/>
    <x v="4"/>
    <x v="2"/>
  </r>
  <r>
    <s v="T00457"/>
    <s v="E0124"/>
    <s v="London"/>
    <x v="1"/>
    <s v="Analyst"/>
    <s v="Internal meeting"/>
    <d v="2026-05-26T00:00:00"/>
    <d v="2026-06-12T00:00:00"/>
    <d v="2026-06-14T00:00:00"/>
    <x v="0"/>
    <s v="London"/>
    <x v="14"/>
    <x v="1"/>
    <x v="1"/>
    <s v="Economy"/>
    <n v="2030"/>
    <n v="17"/>
    <x v="3"/>
    <x v="2"/>
    <s v="A03"/>
    <s v="H03"/>
    <n v="465.62"/>
    <n v="0"/>
    <x v="2"/>
    <n v="144.59"/>
    <n v="144.59"/>
    <n v="115.01"/>
    <n v="725.22"/>
    <x v="0"/>
    <x v="0"/>
    <n v="0"/>
    <n v="0"/>
    <n v="0"/>
    <n v="725.22"/>
    <x v="0"/>
    <x v="0"/>
    <x v="1"/>
    <x v="0"/>
    <x v="1"/>
    <s v="Yes"/>
    <x v="0"/>
    <x v="1"/>
    <n v="3"/>
    <n v="304.5"/>
    <x v="7"/>
    <x v="4"/>
  </r>
  <r>
    <s v="T00458"/>
    <s v="E0125"/>
    <s v="Manchester"/>
    <x v="1"/>
    <s v="Analyst"/>
    <s v="Project work"/>
    <d v="2026-07-16T00:00:00"/>
    <d v="2026-07-31T00:00:00"/>
    <d v="2026-08-04T00:00:00"/>
    <x v="1"/>
    <s v="Manchester"/>
    <x v="19"/>
    <x v="1"/>
    <x v="1"/>
    <s v="Economy"/>
    <n v="1796"/>
    <n v="15"/>
    <x v="3"/>
    <x v="0"/>
    <s v="A02"/>
    <s v="H05"/>
    <n v="390.15"/>
    <n v="0"/>
    <x v="1"/>
    <n v="253.19000000000003"/>
    <n v="759.57"/>
    <n v="56.63"/>
    <n v="1206.3499999999999"/>
    <x v="1"/>
    <x v="0"/>
    <n v="56.34"/>
    <n v="0"/>
    <n v="0"/>
    <n v="1262.6899999999998"/>
    <x v="1"/>
    <x v="1"/>
    <x v="1"/>
    <x v="0"/>
    <x v="0"/>
    <s v="No"/>
    <x v="0"/>
    <x v="1"/>
    <n v="3"/>
    <n v="269.39999999999998"/>
    <x v="4"/>
    <x v="5"/>
  </r>
  <r>
    <s v="T00459"/>
    <s v="E0125"/>
    <s v="Manchester"/>
    <x v="1"/>
    <s v="Analyst"/>
    <s v="Training"/>
    <d v="2026-06-10T00:00:00"/>
    <d v="2026-06-25T00:00:00"/>
    <d v="2026-06-29T00:00:00"/>
    <x v="0"/>
    <s v="Manchester"/>
    <x v="15"/>
    <x v="1"/>
    <x v="1"/>
    <s v="Economy"/>
    <n v="2752"/>
    <n v="15"/>
    <x v="3"/>
    <x v="0"/>
    <s v="A01"/>
    <s v="H01"/>
    <n v="462.38"/>
    <n v="0"/>
    <x v="1"/>
    <n v="128.18666666666667"/>
    <n v="384.56"/>
    <n v="72.2"/>
    <n v="919.14"/>
    <x v="0"/>
    <x v="0"/>
    <n v="0"/>
    <n v="0"/>
    <n v="0"/>
    <n v="919.14"/>
    <x v="0"/>
    <x v="0"/>
    <x v="1"/>
    <x v="0"/>
    <x v="0"/>
    <s v="Yes"/>
    <x v="0"/>
    <x v="0"/>
    <n v="4"/>
    <n v="412.8"/>
    <x v="1"/>
    <x v="2"/>
  </r>
  <r>
    <s v="T00460"/>
    <s v="E0125"/>
    <s v="Manchester"/>
    <x v="1"/>
    <s v="Analyst"/>
    <s v="Client meeting"/>
    <d v="2026-05-06T00:00:00"/>
    <d v="2026-05-20T00:00:00"/>
    <d v="2026-05-25T00:00:00"/>
    <x v="2"/>
    <s v="Manchester"/>
    <x v="13"/>
    <x v="1"/>
    <x v="1"/>
    <s v="Economy"/>
    <n v="19816"/>
    <n v="14"/>
    <x v="0"/>
    <x v="3"/>
    <s v="A08"/>
    <s v="H01"/>
    <n v="795.8"/>
    <n v="0"/>
    <x v="3"/>
    <n v="91.025000000000006"/>
    <n v="364.1"/>
    <n v="86.95"/>
    <n v="1246.8499999999999"/>
    <x v="0"/>
    <x v="0"/>
    <n v="0"/>
    <n v="0"/>
    <n v="0"/>
    <n v="1246.8499999999999"/>
    <x v="0"/>
    <x v="0"/>
    <x v="1"/>
    <x v="0"/>
    <x v="1"/>
    <s v="Yes"/>
    <x v="0"/>
    <x v="1"/>
    <n v="5"/>
    <n v="2972.4"/>
    <x v="10"/>
    <x v="2"/>
  </r>
  <r>
    <s v="T00461"/>
    <s v="E0126"/>
    <s v="Bristol"/>
    <x v="3"/>
    <s v="Analyst"/>
    <s v="Team building"/>
    <d v="2026-05-21T00:00:00"/>
    <d v="2026-05-30T00:00:00"/>
    <d v="2026-06-01T00:00:00"/>
    <x v="2"/>
    <s v="Bristol"/>
    <x v="0"/>
    <x v="0"/>
    <x v="0"/>
    <s v="Standard / 2nd Class"/>
    <n v="758"/>
    <n v="9"/>
    <x v="0"/>
    <x v="0"/>
    <m/>
    <s v="H01"/>
    <n v="0"/>
    <n v="261.64"/>
    <x v="2"/>
    <n v="83.16"/>
    <n v="83.16"/>
    <n v="20"/>
    <n v="364.8"/>
    <x v="0"/>
    <x v="1"/>
    <n v="0"/>
    <n v="22.27"/>
    <n v="0"/>
    <n v="387.07"/>
    <x v="0"/>
    <x v="0"/>
    <x v="0"/>
    <x v="0"/>
    <x v="0"/>
    <s v="Yes"/>
    <x v="0"/>
    <x v="0"/>
    <n v="3"/>
    <n v="30.3"/>
    <x v="0"/>
    <x v="2"/>
  </r>
  <r>
    <s v="T00462"/>
    <s v="E0126"/>
    <s v="Bristol"/>
    <x v="3"/>
    <s v="Analyst"/>
    <s v="Conference / Event"/>
    <d v="2026-05-19T00:00:00"/>
    <d v="2026-06-12T00:00:00"/>
    <d v="2026-06-16T00:00:00"/>
    <x v="0"/>
    <s v="Bristol"/>
    <x v="19"/>
    <x v="1"/>
    <x v="1"/>
    <s v="Economy"/>
    <n v="2660"/>
    <n v="24"/>
    <x v="3"/>
    <x v="0"/>
    <s v="A04"/>
    <s v="H01"/>
    <n v="363.87"/>
    <n v="0"/>
    <x v="1"/>
    <n v="194.44666666666669"/>
    <n v="583.34"/>
    <n v="81.62"/>
    <n v="1028.83"/>
    <x v="0"/>
    <x v="0"/>
    <n v="0"/>
    <n v="0"/>
    <n v="0"/>
    <n v="1028.83"/>
    <x v="1"/>
    <x v="0"/>
    <x v="1"/>
    <x v="0"/>
    <x v="0"/>
    <s v="Yes"/>
    <x v="0"/>
    <x v="1"/>
    <n v="4"/>
    <n v="399"/>
    <x v="3"/>
    <x v="2"/>
  </r>
  <r>
    <s v="T00463"/>
    <s v="E0127"/>
    <s v="London"/>
    <x v="5"/>
    <s v="Director"/>
    <s v="Internal meeting"/>
    <d v="2026-07-01T00:00:00"/>
    <d v="2026-07-13T00:00:00"/>
    <d v="2026-07-18T00:00:00"/>
    <x v="1"/>
    <s v="London"/>
    <x v="16"/>
    <x v="1"/>
    <x v="1"/>
    <s v="Economy"/>
    <n v="2934"/>
    <n v="12"/>
    <x v="0"/>
    <x v="0"/>
    <s v="A01"/>
    <s v="H01"/>
    <n v="292.22000000000003"/>
    <n v="0"/>
    <x v="3"/>
    <n v="149.69999999999999"/>
    <n v="598.79999999999995"/>
    <n v="50.4"/>
    <n v="941.42"/>
    <x v="0"/>
    <x v="1"/>
    <n v="0"/>
    <n v="104.04"/>
    <n v="445.51"/>
    <n v="599.95000000000005"/>
    <x v="0"/>
    <x v="0"/>
    <x v="1"/>
    <x v="0"/>
    <x v="0"/>
    <s v="Yes"/>
    <x v="0"/>
    <x v="0"/>
    <n v="4"/>
    <n v="440.1"/>
    <x v="1"/>
    <x v="2"/>
  </r>
  <r>
    <s v="T00464"/>
    <s v="E0127"/>
    <s v="London"/>
    <x v="5"/>
    <s v="Director"/>
    <s v="Client meeting"/>
    <d v="2026-06-26T00:00:00"/>
    <d v="2026-06-27T00:00:00"/>
    <d v="2026-06-30T00:00:00"/>
    <x v="0"/>
    <s v="London"/>
    <x v="22"/>
    <x v="0"/>
    <x v="1"/>
    <s v="Economy"/>
    <n v="1076"/>
    <n v="1"/>
    <x v="1"/>
    <x v="1"/>
    <s v="A01"/>
    <s v="H01"/>
    <n v="290.29000000000002"/>
    <n v="0"/>
    <x v="0"/>
    <n v="192.85499999999999"/>
    <n v="385.71"/>
    <n v="30.27"/>
    <n v="706.27"/>
    <x v="0"/>
    <x v="0"/>
    <n v="0"/>
    <n v="0"/>
    <n v="0"/>
    <n v="706.27"/>
    <x v="0"/>
    <x v="0"/>
    <x v="1"/>
    <x v="0"/>
    <x v="0"/>
    <s v="Yes"/>
    <x v="0"/>
    <x v="0"/>
    <n v="4"/>
    <n v="161.4"/>
    <x v="1"/>
    <x v="2"/>
  </r>
  <r>
    <s v="T00465"/>
    <s v="E0127"/>
    <s v="London"/>
    <x v="5"/>
    <s v="Director"/>
    <s v="Training"/>
    <d v="2026-07-12T00:00:00"/>
    <d v="2026-07-29T00:00:00"/>
    <d v="2026-08-02T00:00:00"/>
    <x v="1"/>
    <s v="London"/>
    <x v="7"/>
    <x v="1"/>
    <x v="1"/>
    <s v="Economy"/>
    <n v="10320"/>
    <n v="17"/>
    <x v="3"/>
    <x v="0"/>
    <s v="A09"/>
    <s v="H02"/>
    <n v="1212.95"/>
    <n v="0"/>
    <x v="1"/>
    <n v="151.30666666666667"/>
    <n v="453.92"/>
    <n v="77.84"/>
    <n v="1744.71"/>
    <x v="0"/>
    <x v="0"/>
    <n v="0"/>
    <n v="0"/>
    <n v="0"/>
    <n v="1744.71"/>
    <x v="0"/>
    <x v="0"/>
    <x v="2"/>
    <x v="0"/>
    <x v="0"/>
    <s v="No"/>
    <x v="0"/>
    <x v="1"/>
    <n v="5"/>
    <n v="1548"/>
    <x v="8"/>
    <x v="1"/>
  </r>
  <r>
    <s v="T00466"/>
    <s v="E0127"/>
    <s v="London"/>
    <x v="5"/>
    <s v="Director"/>
    <s v="Internal meeting"/>
    <d v="2026-05-10T00:00:00"/>
    <d v="2026-05-20T00:00:00"/>
    <d v="2026-05-24T00:00:00"/>
    <x v="2"/>
    <s v="London"/>
    <x v="14"/>
    <x v="1"/>
    <x v="1"/>
    <s v="Premium Economy"/>
    <n v="3028"/>
    <n v="10"/>
    <x v="0"/>
    <x v="1"/>
    <s v="A03"/>
    <s v="H04"/>
    <n v="218.15"/>
    <n v="0"/>
    <x v="1"/>
    <n v="217.82000000000002"/>
    <n v="653.46"/>
    <n v="87.07"/>
    <n v="958.68"/>
    <x v="0"/>
    <x v="0"/>
    <n v="0"/>
    <n v="0"/>
    <n v="0"/>
    <n v="958.68"/>
    <x v="1"/>
    <x v="0"/>
    <x v="1"/>
    <x v="1"/>
    <x v="0"/>
    <s v="Yes"/>
    <x v="0"/>
    <x v="1"/>
    <n v="5"/>
    <n v="454.2"/>
    <x v="7"/>
    <x v="3"/>
  </r>
  <r>
    <s v="T00467"/>
    <s v="E0128"/>
    <s v="London"/>
    <x v="1"/>
    <s v="Consultant"/>
    <s v="Internal meeting"/>
    <d v="2026-05-17T00:00:00"/>
    <d v="2026-06-04T00:00:00"/>
    <d v="2026-06-07T00:00:00"/>
    <x v="0"/>
    <s v="London"/>
    <x v="17"/>
    <x v="0"/>
    <x v="0"/>
    <s v="Standard / 2nd Class"/>
    <n v="476"/>
    <n v="18"/>
    <x v="3"/>
    <x v="1"/>
    <m/>
    <s v="H06"/>
    <n v="0"/>
    <n v="147.72"/>
    <x v="0"/>
    <n v="184.46"/>
    <n v="368.92"/>
    <n v="20"/>
    <n v="536.64"/>
    <x v="1"/>
    <x v="0"/>
    <n v="18.170000000000002"/>
    <n v="0"/>
    <n v="0"/>
    <n v="554.80999999999995"/>
    <x v="0"/>
    <x v="0"/>
    <x v="0"/>
    <x v="0"/>
    <x v="0"/>
    <s v="Yes"/>
    <x v="0"/>
    <x v="0"/>
    <n v="3"/>
    <n v="19"/>
    <x v="0"/>
    <x v="0"/>
  </r>
  <r>
    <s v="T00468"/>
    <s v="E0128"/>
    <s v="London"/>
    <x v="1"/>
    <s v="Consultant"/>
    <s v="Client meeting"/>
    <d v="2026-05-27T00:00:00"/>
    <d v="2026-06-16T00:00:00"/>
    <d v="2026-06-20T00:00:00"/>
    <x v="0"/>
    <s v="London"/>
    <x v="19"/>
    <x v="1"/>
    <x v="1"/>
    <s v="Economy"/>
    <n v="2368"/>
    <n v="20"/>
    <x v="3"/>
    <x v="0"/>
    <s v="A03"/>
    <s v="H02"/>
    <n v="505.73"/>
    <n v="0"/>
    <x v="1"/>
    <n v="222.17333333333332"/>
    <n v="666.52"/>
    <n v="71.23"/>
    <n v="1243.48"/>
    <x v="0"/>
    <x v="0"/>
    <n v="0"/>
    <n v="0"/>
    <n v="0"/>
    <n v="1243.48"/>
    <x v="1"/>
    <x v="0"/>
    <x v="1"/>
    <x v="0"/>
    <x v="0"/>
    <s v="Yes"/>
    <x v="0"/>
    <x v="1"/>
    <n v="4"/>
    <n v="355.2"/>
    <x v="7"/>
    <x v="1"/>
  </r>
  <r>
    <s v="T00469"/>
    <s v="E0128"/>
    <s v="London"/>
    <x v="1"/>
    <s v="Consultant"/>
    <s v="Internal meeting"/>
    <d v="2026-05-02T00:00:00"/>
    <d v="2026-05-30T00:00:00"/>
    <d v="2026-06-03T00:00:00"/>
    <x v="2"/>
    <s v="London"/>
    <x v="9"/>
    <x v="1"/>
    <x v="1"/>
    <s v="Economy"/>
    <n v="1256"/>
    <n v="28"/>
    <x v="3"/>
    <x v="0"/>
    <s v="A06"/>
    <s v="H01"/>
    <n v="150"/>
    <n v="0"/>
    <x v="1"/>
    <n v="194.35"/>
    <n v="583.04999999999995"/>
    <n v="48.17"/>
    <n v="781.22"/>
    <x v="0"/>
    <x v="0"/>
    <n v="0"/>
    <n v="0"/>
    <n v="0"/>
    <n v="781.22"/>
    <x v="1"/>
    <x v="0"/>
    <x v="2"/>
    <x v="0"/>
    <x v="0"/>
    <s v="No"/>
    <x v="0"/>
    <x v="1"/>
    <n v="4"/>
    <n v="188.4"/>
    <x v="9"/>
    <x v="2"/>
  </r>
  <r>
    <s v="T00470"/>
    <s v="E0128"/>
    <s v="London"/>
    <x v="1"/>
    <s v="Consultant"/>
    <s v="Internal meeting"/>
    <d v="2026-05-22T00:00:00"/>
    <d v="2026-05-25T00:00:00"/>
    <d v="2026-05-28T00:00:00"/>
    <x v="2"/>
    <s v="London"/>
    <x v="17"/>
    <x v="0"/>
    <x v="0"/>
    <s v="Standard / 2nd Class"/>
    <n v="806"/>
    <n v="3"/>
    <x v="1"/>
    <x v="0"/>
    <m/>
    <s v="H02"/>
    <n v="0"/>
    <n v="287.41000000000003"/>
    <x v="0"/>
    <n v="238.04"/>
    <n v="476.08"/>
    <n v="49.49"/>
    <n v="812.98"/>
    <x v="0"/>
    <x v="0"/>
    <n v="0"/>
    <n v="0"/>
    <n v="0"/>
    <n v="812.98"/>
    <x v="1"/>
    <x v="0"/>
    <x v="0"/>
    <x v="0"/>
    <x v="0"/>
    <s v="Yes"/>
    <x v="0"/>
    <x v="1"/>
    <n v="4"/>
    <n v="32.200000000000003"/>
    <x v="0"/>
    <x v="1"/>
  </r>
  <r>
    <s v="T00471"/>
    <s v="E0128"/>
    <s v="London"/>
    <x v="1"/>
    <s v="Consultant"/>
    <s v="Recruitment / Interview"/>
    <d v="2026-05-13T00:00:00"/>
    <d v="2026-06-01T00:00:00"/>
    <d v="2026-06-06T00:00:00"/>
    <x v="0"/>
    <s v="London"/>
    <x v="13"/>
    <x v="1"/>
    <x v="1"/>
    <s v="Economy"/>
    <n v="13262"/>
    <n v="19"/>
    <x v="3"/>
    <x v="1"/>
    <s v="A08"/>
    <s v="H03"/>
    <n v="1264.67"/>
    <n v="0"/>
    <x v="3"/>
    <n v="152.88749999999999"/>
    <n v="611.54999999999995"/>
    <n v="98.23"/>
    <n v="1974.45"/>
    <x v="0"/>
    <x v="0"/>
    <n v="0"/>
    <n v="0"/>
    <n v="0"/>
    <n v="1974.45"/>
    <x v="0"/>
    <x v="0"/>
    <x v="1"/>
    <x v="0"/>
    <x v="0"/>
    <s v="Yes"/>
    <x v="0"/>
    <x v="0"/>
    <n v="4"/>
    <n v="1989.3"/>
    <x v="10"/>
    <x v="4"/>
  </r>
  <r>
    <s v="T00472"/>
    <s v="E0129"/>
    <s v="Newcastle"/>
    <x v="4"/>
    <s v="Director"/>
    <s v="Project work"/>
    <d v="2026-05-29T00:00:00"/>
    <d v="2026-06-10T00:00:00"/>
    <d v="2026-06-16T00:00:00"/>
    <x v="0"/>
    <s v="Newcastle"/>
    <x v="8"/>
    <x v="1"/>
    <x v="1"/>
    <s v="Economy"/>
    <n v="11448"/>
    <n v="12"/>
    <x v="0"/>
    <x v="0"/>
    <s v="A07"/>
    <s v="H04"/>
    <n v="1092.9000000000001"/>
    <n v="0"/>
    <x v="4"/>
    <n v="160.518"/>
    <n v="802.59"/>
    <n v="92.73"/>
    <n v="1988.22"/>
    <x v="0"/>
    <x v="0"/>
    <n v="0"/>
    <n v="0"/>
    <n v="0"/>
    <n v="1988.22"/>
    <x v="0"/>
    <x v="0"/>
    <x v="1"/>
    <x v="0"/>
    <x v="0"/>
    <s v="Yes"/>
    <x v="0"/>
    <x v="0"/>
    <n v="4"/>
    <n v="1717.2"/>
    <x v="5"/>
    <x v="3"/>
  </r>
  <r>
    <s v="T00473"/>
    <s v="E0129"/>
    <s v="Newcastle"/>
    <x v="4"/>
    <s v="Director"/>
    <s v="Project work"/>
    <d v="2026-06-19T00:00:00"/>
    <d v="2026-07-01T00:00:00"/>
    <d v="2026-07-04T00:00:00"/>
    <x v="1"/>
    <s v="Newcastle"/>
    <x v="7"/>
    <x v="1"/>
    <x v="1"/>
    <s v="Economy"/>
    <n v="11908"/>
    <n v="12"/>
    <x v="0"/>
    <x v="0"/>
    <s v="A01"/>
    <s v="H01"/>
    <n v="1212.01"/>
    <n v="0"/>
    <x v="0"/>
    <n v="190.34"/>
    <n v="380.68"/>
    <n v="84.5"/>
    <n v="1677.19"/>
    <x v="1"/>
    <x v="0"/>
    <n v="15"/>
    <n v="0"/>
    <n v="0"/>
    <n v="1692.19"/>
    <x v="0"/>
    <x v="0"/>
    <x v="1"/>
    <x v="0"/>
    <x v="0"/>
    <s v="Yes"/>
    <x v="0"/>
    <x v="0"/>
    <n v="5"/>
    <n v="1786.2"/>
    <x v="1"/>
    <x v="2"/>
  </r>
  <r>
    <s v="T00474"/>
    <s v="E0129"/>
    <s v="Newcastle"/>
    <x v="4"/>
    <s v="Director"/>
    <s v="Conference / Event"/>
    <d v="2026-05-24T00:00:00"/>
    <d v="2026-06-11T00:00:00"/>
    <d v="2026-06-13T00:00:00"/>
    <x v="0"/>
    <s v="Newcastle"/>
    <x v="6"/>
    <x v="0"/>
    <x v="0"/>
    <s v="Standard / 2nd Class"/>
    <n v="1080"/>
    <n v="18"/>
    <x v="3"/>
    <x v="0"/>
    <m/>
    <s v="H06"/>
    <n v="0"/>
    <n v="316.89999999999998"/>
    <x v="2"/>
    <n v="94.88"/>
    <n v="94.88"/>
    <n v="31.77"/>
    <n v="443.55"/>
    <x v="1"/>
    <x v="0"/>
    <n v="38.17"/>
    <n v="0"/>
    <n v="0"/>
    <n v="481.72"/>
    <x v="0"/>
    <x v="0"/>
    <x v="0"/>
    <x v="0"/>
    <x v="0"/>
    <s v="Yes"/>
    <x v="1"/>
    <x v="0"/>
    <n v="4"/>
    <n v="43.2"/>
    <x v="0"/>
    <x v="0"/>
  </r>
  <r>
    <s v="T00475"/>
    <s v="E0130"/>
    <s v="London"/>
    <x v="1"/>
    <s v="Senior Manager"/>
    <s v="Internal meeting"/>
    <d v="2026-06-18T00:00:00"/>
    <d v="2026-07-01T00:00:00"/>
    <d v="2026-07-04T00:00:00"/>
    <x v="1"/>
    <s v="London"/>
    <x v="2"/>
    <x v="1"/>
    <x v="1"/>
    <s v="Economy"/>
    <n v="2434"/>
    <n v="13"/>
    <x v="0"/>
    <x v="0"/>
    <s v="A04"/>
    <s v="H02"/>
    <n v="559.4"/>
    <n v="0"/>
    <x v="0"/>
    <n v="191.04"/>
    <n v="382.08"/>
    <n v="74.45"/>
    <n v="1015.93"/>
    <x v="0"/>
    <x v="0"/>
    <n v="0"/>
    <n v="0"/>
    <n v="0"/>
    <n v="1015.93"/>
    <x v="1"/>
    <x v="0"/>
    <x v="1"/>
    <x v="0"/>
    <x v="0"/>
    <s v="Yes"/>
    <x v="0"/>
    <x v="1"/>
    <n v="3"/>
    <n v="365.1"/>
    <x v="3"/>
    <x v="1"/>
  </r>
  <r>
    <s v="T00476"/>
    <s v="E0130"/>
    <s v="London"/>
    <x v="1"/>
    <s v="Senior Manager"/>
    <s v="Project work"/>
    <d v="2026-06-20T00:00:00"/>
    <d v="2026-06-25T00:00:00"/>
    <d v="2026-06-27T00:00:00"/>
    <x v="0"/>
    <s v="London"/>
    <x v="9"/>
    <x v="1"/>
    <x v="1"/>
    <s v="Economy"/>
    <n v="2204"/>
    <n v="5"/>
    <x v="4"/>
    <x v="1"/>
    <s v="A06"/>
    <s v="H02"/>
    <n v="604.74"/>
    <n v="0"/>
    <x v="2"/>
    <n v="179.34"/>
    <n v="179.34"/>
    <n v="132.69"/>
    <n v="916.77"/>
    <x v="0"/>
    <x v="0"/>
    <n v="0"/>
    <n v="0"/>
    <n v="0"/>
    <n v="916.77"/>
    <x v="0"/>
    <x v="0"/>
    <x v="2"/>
    <x v="0"/>
    <x v="0"/>
    <s v="No"/>
    <x v="0"/>
    <x v="1"/>
    <n v="5"/>
    <n v="330.6"/>
    <x v="9"/>
    <x v="1"/>
  </r>
  <r>
    <s v="T00477"/>
    <s v="E0130"/>
    <s v="London"/>
    <x v="1"/>
    <s v="Senior Manager"/>
    <s v="Training"/>
    <d v="2026-05-12T00:00:00"/>
    <d v="2026-05-29T00:00:00"/>
    <d v="2026-06-02T00:00:00"/>
    <x v="2"/>
    <s v="London"/>
    <x v="14"/>
    <x v="1"/>
    <x v="1"/>
    <s v="Economy"/>
    <n v="3228"/>
    <n v="17"/>
    <x v="3"/>
    <x v="3"/>
    <s v="A03"/>
    <s v="H03"/>
    <n v="348.05"/>
    <n v="0"/>
    <x v="1"/>
    <n v="138.39666666666668"/>
    <n v="415.19"/>
    <n v="64.3"/>
    <n v="827.54"/>
    <x v="0"/>
    <x v="0"/>
    <n v="0"/>
    <n v="0"/>
    <n v="0"/>
    <n v="827.54"/>
    <x v="0"/>
    <x v="0"/>
    <x v="1"/>
    <x v="0"/>
    <x v="1"/>
    <s v="Yes"/>
    <x v="1"/>
    <x v="1"/>
    <n v="4"/>
    <n v="484.2"/>
    <x v="7"/>
    <x v="4"/>
  </r>
  <r>
    <s v="T00478"/>
    <s v="E0131"/>
    <s v="Glasgow"/>
    <x v="3"/>
    <s v="Senior Manager"/>
    <s v="Client meeting"/>
    <d v="2026-06-09T00:00:00"/>
    <d v="2026-06-30T00:00:00"/>
    <d v="2026-07-04T00:00:00"/>
    <x v="0"/>
    <s v="Glasgow"/>
    <x v="21"/>
    <x v="1"/>
    <x v="1"/>
    <s v="Premium Economy"/>
    <n v="11964"/>
    <n v="21"/>
    <x v="3"/>
    <x v="3"/>
    <s v="A01"/>
    <s v="H03"/>
    <n v="791.88"/>
    <n v="0"/>
    <x v="1"/>
    <n v="160.76"/>
    <n v="482.28"/>
    <n v="79.95"/>
    <n v="1354.11"/>
    <x v="1"/>
    <x v="0"/>
    <n v="15"/>
    <n v="0"/>
    <n v="0"/>
    <n v="1369.11"/>
    <x v="0"/>
    <x v="0"/>
    <x v="1"/>
    <x v="1"/>
    <x v="1"/>
    <s v="Yes"/>
    <x v="0"/>
    <x v="1"/>
    <n v="4"/>
    <n v="1794.6"/>
    <x v="1"/>
    <x v="4"/>
  </r>
  <r>
    <s v="T00479"/>
    <s v="E0131"/>
    <s v="Glasgow"/>
    <x v="3"/>
    <s v="Senior Manager"/>
    <s v="Client meeting"/>
    <d v="2026-07-06T00:00:00"/>
    <d v="2026-07-07T00:00:00"/>
    <d v="2026-07-09T00:00:00"/>
    <x v="1"/>
    <s v="Glasgow"/>
    <x v="16"/>
    <x v="1"/>
    <x v="1"/>
    <s v="Economy"/>
    <n v="3524"/>
    <n v="1"/>
    <x v="1"/>
    <x v="1"/>
    <s v="A01"/>
    <s v="H05"/>
    <n v="556.66"/>
    <n v="0"/>
    <x v="2"/>
    <n v="150.9"/>
    <n v="150.9"/>
    <n v="98.98"/>
    <n v="806.54"/>
    <x v="0"/>
    <x v="0"/>
    <n v="0"/>
    <n v="0"/>
    <n v="0"/>
    <n v="806.54"/>
    <x v="0"/>
    <x v="1"/>
    <x v="1"/>
    <x v="0"/>
    <x v="0"/>
    <s v="No"/>
    <x v="1"/>
    <x v="1"/>
    <n v="3"/>
    <n v="528.6"/>
    <x v="1"/>
    <x v="5"/>
  </r>
  <r>
    <s v="T00480"/>
    <s v="E0131"/>
    <s v="Glasgow"/>
    <x v="3"/>
    <s v="Senior Manager"/>
    <s v="Internal meeting"/>
    <d v="2026-06-12T00:00:00"/>
    <d v="2026-06-29T00:00:00"/>
    <d v="2026-07-01T00:00:00"/>
    <x v="0"/>
    <s v="Glasgow"/>
    <x v="6"/>
    <x v="0"/>
    <x v="0"/>
    <s v="Standard / 2nd Class"/>
    <n v="1230"/>
    <n v="17"/>
    <x v="3"/>
    <x v="0"/>
    <m/>
    <s v="H06"/>
    <n v="0"/>
    <n v="358.23"/>
    <x v="2"/>
    <n v="138.69999999999999"/>
    <n v="138.69999999999999"/>
    <n v="20"/>
    <n v="516.92999999999995"/>
    <x v="0"/>
    <x v="0"/>
    <n v="0"/>
    <n v="0"/>
    <n v="0"/>
    <n v="516.92999999999995"/>
    <x v="0"/>
    <x v="0"/>
    <x v="0"/>
    <x v="0"/>
    <x v="0"/>
    <s v="Yes"/>
    <x v="0"/>
    <x v="0"/>
    <n v="4"/>
    <n v="49.2"/>
    <x v="0"/>
    <x v="0"/>
  </r>
  <r>
    <s v="T00481"/>
    <s v="E0131"/>
    <s v="Glasgow"/>
    <x v="3"/>
    <s v="Senior Manager"/>
    <s v="Client meeting"/>
    <d v="2026-06-10T00:00:00"/>
    <d v="2026-06-12T00:00:00"/>
    <d v="2026-06-15T00:00:00"/>
    <x v="0"/>
    <s v="Glasgow"/>
    <x v="14"/>
    <x v="1"/>
    <x v="1"/>
    <s v="Economy"/>
    <n v="2916"/>
    <n v="2"/>
    <x v="1"/>
    <x v="0"/>
    <s v="A01"/>
    <s v="H02"/>
    <n v="563.79999999999995"/>
    <n v="0"/>
    <x v="0"/>
    <n v="260.91000000000003"/>
    <n v="521.82000000000005"/>
    <n v="117.8"/>
    <n v="1203.42"/>
    <x v="1"/>
    <x v="0"/>
    <n v="81.96"/>
    <n v="0"/>
    <n v="0"/>
    <n v="1285.3800000000001"/>
    <x v="1"/>
    <x v="0"/>
    <x v="1"/>
    <x v="0"/>
    <x v="0"/>
    <s v="Yes"/>
    <x v="1"/>
    <x v="1"/>
    <n v="4"/>
    <n v="437.4"/>
    <x v="1"/>
    <x v="1"/>
  </r>
  <r>
    <s v="T00482"/>
    <s v="E0131"/>
    <s v="Glasgow"/>
    <x v="3"/>
    <s v="Senior Manager"/>
    <s v="Client meeting"/>
    <d v="2026-04-20T00:00:00"/>
    <d v="2026-05-11T00:00:00"/>
    <d v="2026-05-17T00:00:00"/>
    <x v="2"/>
    <s v="Glasgow"/>
    <x v="13"/>
    <x v="1"/>
    <x v="1"/>
    <s v="Economy"/>
    <n v="12548"/>
    <n v="21"/>
    <x v="3"/>
    <x v="1"/>
    <s v="A08"/>
    <s v="H03"/>
    <n v="1075.92"/>
    <n v="0"/>
    <x v="4"/>
    <n v="170.596"/>
    <n v="852.98"/>
    <n v="71.08"/>
    <n v="1999.98"/>
    <x v="0"/>
    <x v="0"/>
    <n v="0"/>
    <n v="0"/>
    <n v="0"/>
    <n v="1999.98"/>
    <x v="0"/>
    <x v="0"/>
    <x v="1"/>
    <x v="0"/>
    <x v="0"/>
    <s v="Yes"/>
    <x v="0"/>
    <x v="0"/>
    <n v="5"/>
    <n v="1882.2"/>
    <x v="10"/>
    <x v="4"/>
  </r>
  <r>
    <s v="T00483"/>
    <s v="E0132"/>
    <s v="London"/>
    <x v="0"/>
    <s v="Partner"/>
    <s v="Team building"/>
    <d v="2026-05-21T00:00:00"/>
    <d v="2026-06-08T00:00:00"/>
    <d v="2026-06-11T00:00:00"/>
    <x v="0"/>
    <s v="London"/>
    <x v="15"/>
    <x v="1"/>
    <x v="1"/>
    <s v="Economy"/>
    <n v="2896"/>
    <n v="18"/>
    <x v="3"/>
    <x v="0"/>
    <s v="A04"/>
    <s v="H05"/>
    <n v="282.48"/>
    <n v="0"/>
    <x v="0"/>
    <n v="167.13"/>
    <n v="334.26"/>
    <n v="88.05"/>
    <n v="704.79"/>
    <x v="0"/>
    <x v="0"/>
    <n v="0"/>
    <n v="0"/>
    <n v="0"/>
    <n v="704.79"/>
    <x v="0"/>
    <x v="1"/>
    <x v="1"/>
    <x v="0"/>
    <x v="0"/>
    <s v="No"/>
    <x v="0"/>
    <x v="1"/>
    <n v="4"/>
    <n v="434.4"/>
    <x v="3"/>
    <x v="5"/>
  </r>
  <r>
    <s v="T00484"/>
    <s v="E0132"/>
    <s v="London"/>
    <x v="0"/>
    <s v="Partner"/>
    <s v="Client meeting"/>
    <d v="2026-06-29T00:00:00"/>
    <d v="2026-07-19T00:00:00"/>
    <d v="2026-07-21T00:00:00"/>
    <x v="1"/>
    <s v="London"/>
    <x v="7"/>
    <x v="1"/>
    <x v="1"/>
    <s v="Economy"/>
    <n v="10496"/>
    <n v="20"/>
    <x v="3"/>
    <x v="1"/>
    <s v="A07"/>
    <s v="H01"/>
    <n v="815.12"/>
    <n v="0"/>
    <x v="2"/>
    <n v="170.92"/>
    <n v="170.92"/>
    <n v="104.47"/>
    <n v="1090.51"/>
    <x v="0"/>
    <x v="0"/>
    <n v="0"/>
    <n v="0"/>
    <n v="0"/>
    <n v="1090.51"/>
    <x v="0"/>
    <x v="0"/>
    <x v="1"/>
    <x v="0"/>
    <x v="0"/>
    <s v="Yes"/>
    <x v="0"/>
    <x v="0"/>
    <n v="4"/>
    <n v="1574.4"/>
    <x v="5"/>
    <x v="2"/>
  </r>
  <r>
    <s v="T00485"/>
    <s v="E0132"/>
    <s v="London"/>
    <x v="0"/>
    <s v="Partner"/>
    <s v="Conference / Event"/>
    <d v="2026-06-22T00:00:00"/>
    <d v="2026-07-11T00:00:00"/>
    <d v="2026-07-14T00:00:00"/>
    <x v="1"/>
    <s v="London"/>
    <x v="10"/>
    <x v="0"/>
    <x v="1"/>
    <s v="Economy"/>
    <n v="1214"/>
    <n v="19"/>
    <x v="3"/>
    <x v="0"/>
    <s v="A01"/>
    <s v="H06"/>
    <n v="311.04000000000002"/>
    <n v="0"/>
    <x v="0"/>
    <n v="127.625"/>
    <n v="255.25"/>
    <n v="64.94"/>
    <n v="631.23"/>
    <x v="1"/>
    <x v="0"/>
    <n v="100.62"/>
    <n v="0"/>
    <n v="0"/>
    <n v="731.85"/>
    <x v="0"/>
    <x v="0"/>
    <x v="1"/>
    <x v="0"/>
    <x v="0"/>
    <s v="Yes"/>
    <x v="0"/>
    <x v="0"/>
    <n v="4"/>
    <n v="182.1"/>
    <x v="1"/>
    <x v="0"/>
  </r>
  <r>
    <s v="T00486"/>
    <s v="E0133"/>
    <s v="Leeds"/>
    <x v="0"/>
    <s v="Manager"/>
    <s v="Client meeting"/>
    <d v="2026-06-10T00:00:00"/>
    <d v="2026-06-25T00:00:00"/>
    <d v="2026-06-28T00:00:00"/>
    <x v="0"/>
    <s v="Leeds"/>
    <x v="14"/>
    <x v="1"/>
    <x v="1"/>
    <s v="Economy"/>
    <n v="2384"/>
    <n v="15"/>
    <x v="3"/>
    <x v="1"/>
    <s v="A01"/>
    <s v="H04"/>
    <n v="464.93"/>
    <n v="0"/>
    <x v="0"/>
    <n v="218.75"/>
    <n v="437.5"/>
    <n v="61.51"/>
    <n v="963.94"/>
    <x v="0"/>
    <x v="0"/>
    <n v="0"/>
    <n v="0"/>
    <n v="0"/>
    <n v="963.94"/>
    <x v="1"/>
    <x v="0"/>
    <x v="1"/>
    <x v="0"/>
    <x v="0"/>
    <s v="Yes"/>
    <x v="0"/>
    <x v="1"/>
    <n v="4"/>
    <n v="357.6"/>
    <x v="1"/>
    <x v="3"/>
  </r>
  <r>
    <s v="T00487"/>
    <s v="E0133"/>
    <s v="Leeds"/>
    <x v="0"/>
    <s v="Manager"/>
    <s v="Client meeting"/>
    <d v="2026-06-30T00:00:00"/>
    <d v="2026-07-12T00:00:00"/>
    <d v="2026-07-18T00:00:00"/>
    <x v="1"/>
    <s v="Leeds"/>
    <x v="8"/>
    <x v="1"/>
    <x v="1"/>
    <s v="Economy"/>
    <n v="10096"/>
    <n v="12"/>
    <x v="0"/>
    <x v="3"/>
    <s v="A01"/>
    <s v="H04"/>
    <n v="1317.48"/>
    <n v="0"/>
    <x v="4"/>
    <n v="250.96599999999998"/>
    <n v="1254.83"/>
    <n v="76.930000000000007"/>
    <n v="2649.24"/>
    <x v="1"/>
    <x v="0"/>
    <n v="174.95999999999998"/>
    <n v="0"/>
    <n v="0"/>
    <n v="2824.2"/>
    <x v="1"/>
    <x v="0"/>
    <x v="1"/>
    <x v="0"/>
    <x v="1"/>
    <s v="Yes"/>
    <x v="0"/>
    <x v="1"/>
    <n v="4"/>
    <n v="1514.4"/>
    <x v="1"/>
    <x v="3"/>
  </r>
  <r>
    <s v="T00488"/>
    <s v="E0134"/>
    <s v="Bristol"/>
    <x v="0"/>
    <s v="Director"/>
    <s v="Internal meeting"/>
    <d v="2026-06-28T00:00:00"/>
    <d v="2026-07-07T00:00:00"/>
    <d v="2026-07-12T00:00:00"/>
    <x v="1"/>
    <s v="Bristol"/>
    <x v="5"/>
    <x v="1"/>
    <x v="1"/>
    <s v="Economy"/>
    <n v="18858"/>
    <n v="9"/>
    <x v="0"/>
    <x v="1"/>
    <s v="A01"/>
    <s v="H02"/>
    <n v="1518.98"/>
    <n v="0"/>
    <x v="3"/>
    <n v="224.39"/>
    <n v="897.56"/>
    <n v="61"/>
    <n v="2477.54"/>
    <x v="0"/>
    <x v="0"/>
    <n v="0"/>
    <n v="0"/>
    <n v="0"/>
    <n v="2477.54"/>
    <x v="1"/>
    <x v="0"/>
    <x v="1"/>
    <x v="0"/>
    <x v="0"/>
    <s v="Yes"/>
    <x v="0"/>
    <x v="1"/>
    <n v="4"/>
    <n v="2828.7"/>
    <x v="1"/>
    <x v="1"/>
  </r>
  <r>
    <s v="T00489"/>
    <s v="E0134"/>
    <s v="Bristol"/>
    <x v="0"/>
    <s v="Director"/>
    <s v="Team building"/>
    <d v="2026-06-14T00:00:00"/>
    <d v="2026-06-18T00:00:00"/>
    <d v="2026-06-22T00:00:00"/>
    <x v="0"/>
    <s v="Bristol"/>
    <x v="4"/>
    <x v="1"/>
    <x v="1"/>
    <s v="Economy"/>
    <n v="3050"/>
    <n v="4"/>
    <x v="4"/>
    <x v="0"/>
    <s v="A02"/>
    <s v="H02"/>
    <n v="788.95"/>
    <n v="0"/>
    <x v="1"/>
    <n v="151.80666666666667"/>
    <n v="455.42"/>
    <n v="92.6"/>
    <n v="1336.97"/>
    <x v="0"/>
    <x v="0"/>
    <n v="0"/>
    <n v="0"/>
    <n v="0"/>
    <n v="1336.97"/>
    <x v="0"/>
    <x v="0"/>
    <x v="1"/>
    <x v="0"/>
    <x v="0"/>
    <s v="Yes"/>
    <x v="0"/>
    <x v="0"/>
    <n v="4"/>
    <n v="457.5"/>
    <x v="4"/>
    <x v="1"/>
  </r>
  <r>
    <s v="T00490"/>
    <s v="E0134"/>
    <s v="Bristol"/>
    <x v="0"/>
    <s v="Director"/>
    <s v="Client meeting"/>
    <d v="2026-07-02T00:00:00"/>
    <d v="2026-07-11T00:00:00"/>
    <d v="2026-07-18T00:00:00"/>
    <x v="1"/>
    <s v="Bristol"/>
    <x v="13"/>
    <x v="1"/>
    <x v="1"/>
    <s v="Economy"/>
    <n v="11972"/>
    <n v="9"/>
    <x v="0"/>
    <x v="0"/>
    <s v="A01"/>
    <s v="H01"/>
    <n v="1109.56"/>
    <n v="0"/>
    <x v="7"/>
    <n v="146.42499999999998"/>
    <n v="878.55"/>
    <n v="63.46"/>
    <n v="2051.5700000000002"/>
    <x v="0"/>
    <x v="0"/>
    <n v="0"/>
    <n v="0"/>
    <n v="0"/>
    <n v="2051.5700000000002"/>
    <x v="0"/>
    <x v="0"/>
    <x v="1"/>
    <x v="0"/>
    <x v="0"/>
    <s v="Yes"/>
    <x v="0"/>
    <x v="0"/>
    <n v="5"/>
    <n v="1795.8"/>
    <x v="1"/>
    <x v="2"/>
  </r>
  <r>
    <s v="T00491"/>
    <s v="E0134"/>
    <s v="Bristol"/>
    <x v="0"/>
    <s v="Director"/>
    <s v="Project work"/>
    <d v="2026-04-28T00:00:00"/>
    <d v="2026-05-13T00:00:00"/>
    <d v="2026-05-17T00:00:00"/>
    <x v="2"/>
    <s v="Bristol"/>
    <x v="19"/>
    <x v="1"/>
    <x v="1"/>
    <s v="Economy"/>
    <n v="3200"/>
    <n v="15"/>
    <x v="3"/>
    <x v="0"/>
    <s v="A05"/>
    <s v="H01"/>
    <n v="297.92"/>
    <n v="0"/>
    <x v="1"/>
    <n v="126.43"/>
    <n v="379.29"/>
    <n v="134.22999999999999"/>
    <n v="811.44"/>
    <x v="1"/>
    <x v="0"/>
    <n v="166.52"/>
    <n v="0"/>
    <n v="0"/>
    <n v="977.96"/>
    <x v="0"/>
    <x v="0"/>
    <x v="1"/>
    <x v="0"/>
    <x v="0"/>
    <s v="Yes"/>
    <x v="0"/>
    <x v="0"/>
    <n v="4"/>
    <n v="480"/>
    <x v="2"/>
    <x v="2"/>
  </r>
  <r>
    <s v="T00492"/>
    <s v="E0134"/>
    <s v="Bristol"/>
    <x v="0"/>
    <s v="Director"/>
    <s v="Client meeting"/>
    <d v="2026-07-06T00:00:00"/>
    <d v="2026-07-26T00:00:00"/>
    <d v="2026-07-28T00:00:00"/>
    <x v="1"/>
    <s v="Bristol"/>
    <x v="10"/>
    <x v="0"/>
    <x v="0"/>
    <s v="Standard / 2nd Class"/>
    <n v="382"/>
    <n v="20"/>
    <x v="3"/>
    <x v="3"/>
    <m/>
    <s v="H01"/>
    <n v="0"/>
    <n v="234.26"/>
    <x v="2"/>
    <n v="160.01"/>
    <n v="160.01"/>
    <n v="43.37"/>
    <n v="437.64"/>
    <x v="0"/>
    <x v="0"/>
    <n v="0"/>
    <n v="0"/>
    <n v="0"/>
    <n v="437.64"/>
    <x v="0"/>
    <x v="0"/>
    <x v="0"/>
    <x v="0"/>
    <x v="1"/>
    <s v="Yes"/>
    <x v="0"/>
    <x v="1"/>
    <n v="4"/>
    <n v="15.3"/>
    <x v="0"/>
    <x v="2"/>
  </r>
  <r>
    <s v="T00493"/>
    <s v="E0135"/>
    <s v="Birmingham"/>
    <x v="4"/>
    <s v="Director"/>
    <s v="Client meeting"/>
    <d v="2026-06-12T00:00:00"/>
    <d v="2026-06-22T00:00:00"/>
    <d v="2026-06-26T00:00:00"/>
    <x v="0"/>
    <s v="Birmingham"/>
    <x v="4"/>
    <x v="1"/>
    <x v="1"/>
    <s v="Economy"/>
    <n v="3076"/>
    <n v="10"/>
    <x v="0"/>
    <x v="1"/>
    <s v="A01"/>
    <s v="H01"/>
    <n v="366.89"/>
    <n v="0"/>
    <x v="1"/>
    <n v="137.60666666666665"/>
    <n v="412.82"/>
    <n v="31.55"/>
    <n v="811.26"/>
    <x v="0"/>
    <x v="0"/>
    <n v="0"/>
    <n v="0"/>
    <n v="0"/>
    <n v="811.26"/>
    <x v="0"/>
    <x v="0"/>
    <x v="1"/>
    <x v="0"/>
    <x v="0"/>
    <s v="Yes"/>
    <x v="0"/>
    <x v="0"/>
    <n v="5"/>
    <n v="461.4"/>
    <x v="1"/>
    <x v="2"/>
  </r>
  <r>
    <s v="T00494"/>
    <s v="E0135"/>
    <s v="Birmingham"/>
    <x v="4"/>
    <s v="Director"/>
    <s v="Client meeting"/>
    <d v="2026-06-20T00:00:00"/>
    <d v="2026-06-21T00:00:00"/>
    <d v="2026-06-23T00:00:00"/>
    <x v="0"/>
    <s v="Birmingham"/>
    <x v="14"/>
    <x v="1"/>
    <x v="1"/>
    <s v="Economy"/>
    <n v="2504"/>
    <n v="1"/>
    <x v="1"/>
    <x v="1"/>
    <s v="A02"/>
    <s v="H04"/>
    <n v="502.76"/>
    <n v="0"/>
    <x v="2"/>
    <n v="227.55"/>
    <n v="227.55"/>
    <n v="134.72999999999999"/>
    <n v="865.04"/>
    <x v="0"/>
    <x v="0"/>
    <n v="0"/>
    <n v="0"/>
    <n v="0"/>
    <n v="865.04"/>
    <x v="1"/>
    <x v="0"/>
    <x v="1"/>
    <x v="0"/>
    <x v="0"/>
    <s v="Yes"/>
    <x v="0"/>
    <x v="1"/>
    <n v="5"/>
    <n v="375.6"/>
    <x v="4"/>
    <x v="3"/>
  </r>
  <r>
    <s v="T00495"/>
    <s v="E0136"/>
    <s v="Reading"/>
    <x v="5"/>
    <s v="Senior Manager"/>
    <s v="Training"/>
    <d v="2026-05-12T00:00:00"/>
    <d v="2026-05-15T00:00:00"/>
    <d v="2026-05-19T00:00:00"/>
    <x v="2"/>
    <s v="Reading"/>
    <x v="9"/>
    <x v="1"/>
    <x v="1"/>
    <s v="Premium Economy"/>
    <n v="1252"/>
    <n v="3"/>
    <x v="1"/>
    <x v="1"/>
    <s v="A10"/>
    <s v="H01"/>
    <n v="190.88"/>
    <n v="0"/>
    <x v="1"/>
    <n v="196.59"/>
    <n v="589.77"/>
    <n v="60.12"/>
    <n v="840.77"/>
    <x v="0"/>
    <x v="0"/>
    <n v="0"/>
    <n v="0"/>
    <n v="0"/>
    <n v="840.77"/>
    <x v="1"/>
    <x v="0"/>
    <x v="1"/>
    <x v="1"/>
    <x v="0"/>
    <s v="Yes"/>
    <x v="0"/>
    <x v="1"/>
    <n v="4"/>
    <n v="187.8"/>
    <x v="6"/>
    <x v="2"/>
  </r>
  <r>
    <s v="T00496"/>
    <s v="E0136"/>
    <s v="Reading"/>
    <x v="5"/>
    <s v="Senior Manager"/>
    <s v="Project work"/>
    <d v="2026-05-18T00:00:00"/>
    <d v="2026-06-02T00:00:00"/>
    <d v="2026-06-07T00:00:00"/>
    <x v="0"/>
    <s v="Reading"/>
    <x v="9"/>
    <x v="1"/>
    <x v="1"/>
    <s v="Economy"/>
    <n v="3052"/>
    <n v="15"/>
    <x v="3"/>
    <x v="3"/>
    <s v="A10"/>
    <s v="H02"/>
    <n v="575.1"/>
    <n v="0"/>
    <x v="3"/>
    <n v="174.51499999999999"/>
    <n v="698.06"/>
    <n v="61.17"/>
    <n v="1334.33"/>
    <x v="1"/>
    <x v="0"/>
    <n v="92.66"/>
    <n v="0"/>
    <n v="0"/>
    <n v="1426.99"/>
    <x v="0"/>
    <x v="0"/>
    <x v="1"/>
    <x v="0"/>
    <x v="1"/>
    <s v="Yes"/>
    <x v="0"/>
    <x v="1"/>
    <n v="3"/>
    <n v="457.8"/>
    <x v="6"/>
    <x v="1"/>
  </r>
  <r>
    <s v="T00497"/>
    <s v="E0136"/>
    <s v="Reading"/>
    <x v="5"/>
    <s v="Senior Manager"/>
    <s v="Internal meeting"/>
    <d v="2026-04-22T00:00:00"/>
    <d v="2026-05-04T00:00:00"/>
    <d v="2026-05-06T00:00:00"/>
    <x v="2"/>
    <s v="Reading"/>
    <x v="7"/>
    <x v="1"/>
    <x v="1"/>
    <s v="Premium Economy"/>
    <n v="12654"/>
    <n v="12"/>
    <x v="0"/>
    <x v="0"/>
    <s v="A07"/>
    <s v="H04"/>
    <n v="720.85"/>
    <n v="0"/>
    <x v="2"/>
    <n v="223.5"/>
    <n v="223.5"/>
    <n v="128.44"/>
    <n v="1072.79"/>
    <x v="0"/>
    <x v="0"/>
    <n v="0"/>
    <n v="0"/>
    <n v="0"/>
    <n v="1072.79"/>
    <x v="1"/>
    <x v="0"/>
    <x v="1"/>
    <x v="1"/>
    <x v="0"/>
    <s v="Yes"/>
    <x v="0"/>
    <x v="1"/>
    <n v="5"/>
    <n v="1898.1"/>
    <x v="5"/>
    <x v="3"/>
  </r>
  <r>
    <s v="T00498"/>
    <s v="E0137"/>
    <s v="London"/>
    <x v="2"/>
    <s v="Senior Manager"/>
    <s v="Project work"/>
    <d v="2026-05-15T00:00:00"/>
    <d v="2026-06-02T00:00:00"/>
    <d v="2026-06-08T00:00:00"/>
    <x v="0"/>
    <s v="London"/>
    <x v="20"/>
    <x v="1"/>
    <x v="1"/>
    <s v="Economy"/>
    <n v="12606"/>
    <n v="18"/>
    <x v="3"/>
    <x v="0"/>
    <s v="A09"/>
    <s v="H03"/>
    <n v="889.83"/>
    <n v="0"/>
    <x v="4"/>
    <n v="164.01"/>
    <n v="820.05"/>
    <n v="101.62"/>
    <n v="1811.5"/>
    <x v="0"/>
    <x v="0"/>
    <n v="0"/>
    <n v="0"/>
    <n v="0"/>
    <n v="1811.5"/>
    <x v="0"/>
    <x v="0"/>
    <x v="2"/>
    <x v="0"/>
    <x v="0"/>
    <s v="No"/>
    <x v="0"/>
    <x v="1"/>
    <n v="4"/>
    <n v="1890.9"/>
    <x v="8"/>
    <x v="4"/>
  </r>
  <r>
    <s v="T00499"/>
    <s v="E0137"/>
    <s v="London"/>
    <x v="2"/>
    <s v="Senior Manager"/>
    <s v="Client meeting"/>
    <d v="2026-05-10T00:00:00"/>
    <d v="2026-06-02T00:00:00"/>
    <d v="2026-06-06T00:00:00"/>
    <x v="0"/>
    <s v="London"/>
    <x v="16"/>
    <x v="1"/>
    <x v="1"/>
    <s v="Economy"/>
    <n v="2482"/>
    <n v="23"/>
    <x v="3"/>
    <x v="0"/>
    <s v="A05"/>
    <s v="H03"/>
    <n v="466.36"/>
    <n v="0"/>
    <x v="1"/>
    <n v="168.40666666666667"/>
    <n v="505.22"/>
    <n v="48.18"/>
    <n v="1019.76"/>
    <x v="0"/>
    <x v="0"/>
    <n v="0"/>
    <n v="0"/>
    <n v="0"/>
    <n v="1019.76"/>
    <x v="0"/>
    <x v="0"/>
    <x v="1"/>
    <x v="0"/>
    <x v="0"/>
    <s v="Yes"/>
    <x v="0"/>
    <x v="0"/>
    <n v="4"/>
    <n v="372.3"/>
    <x v="2"/>
    <x v="4"/>
  </r>
  <r>
    <s v="T00500"/>
    <s v="E0137"/>
    <s v="London"/>
    <x v="2"/>
    <s v="Senior Manager"/>
    <s v="Internal meeting"/>
    <d v="2026-05-05T00:00:00"/>
    <d v="2026-05-10T00:00:00"/>
    <d v="2026-05-14T00:00:00"/>
    <x v="2"/>
    <s v="London"/>
    <x v="18"/>
    <x v="1"/>
    <x v="1"/>
    <s v="Economy"/>
    <n v="16310"/>
    <n v="5"/>
    <x v="4"/>
    <x v="1"/>
    <s v="A08"/>
    <s v="H04"/>
    <n v="1545.92"/>
    <n v="0"/>
    <x v="1"/>
    <n v="99.509999999999991"/>
    <n v="298.52999999999997"/>
    <n v="127.53"/>
    <n v="1971.98"/>
    <x v="0"/>
    <x v="0"/>
    <n v="0"/>
    <n v="0"/>
    <n v="0"/>
    <n v="1971.98"/>
    <x v="0"/>
    <x v="0"/>
    <x v="1"/>
    <x v="0"/>
    <x v="0"/>
    <s v="Yes"/>
    <x v="0"/>
    <x v="0"/>
    <n v="4"/>
    <n v="2446.5"/>
    <x v="10"/>
    <x v="3"/>
  </r>
  <r>
    <s v="T00501"/>
    <s v="E0137"/>
    <s v="London"/>
    <x v="2"/>
    <s v="Senior Manager"/>
    <s v="Project work"/>
    <d v="2026-06-12T00:00:00"/>
    <d v="2026-06-19T00:00:00"/>
    <d v="2026-06-22T00:00:00"/>
    <x v="0"/>
    <s v="London"/>
    <x v="9"/>
    <x v="1"/>
    <x v="1"/>
    <s v="Economy"/>
    <n v="3226"/>
    <n v="7"/>
    <x v="4"/>
    <x v="3"/>
    <s v="A01"/>
    <s v="H02"/>
    <n v="526.15"/>
    <n v="0"/>
    <x v="0"/>
    <n v="148.46"/>
    <n v="296.92"/>
    <n v="88"/>
    <n v="911.07"/>
    <x v="0"/>
    <x v="0"/>
    <n v="0"/>
    <n v="0"/>
    <n v="0"/>
    <n v="911.07"/>
    <x v="0"/>
    <x v="0"/>
    <x v="1"/>
    <x v="0"/>
    <x v="1"/>
    <s v="Yes"/>
    <x v="0"/>
    <x v="1"/>
    <n v="5"/>
    <n v="483.9"/>
    <x v="1"/>
    <x v="1"/>
  </r>
  <r>
    <s v="T00502"/>
    <s v="E0137"/>
    <s v="London"/>
    <x v="2"/>
    <s v="Senior Manager"/>
    <s v="Project work"/>
    <d v="2026-06-20T00:00:00"/>
    <d v="2026-07-22T00:00:00"/>
    <d v="2026-07-24T00:00:00"/>
    <x v="1"/>
    <s v="London"/>
    <x v="22"/>
    <x v="0"/>
    <x v="1"/>
    <s v="Economy"/>
    <n v="444"/>
    <n v="32"/>
    <x v="2"/>
    <x v="3"/>
    <s v="A01"/>
    <s v="H06"/>
    <n v="321.07"/>
    <n v="0"/>
    <x v="2"/>
    <n v="107.96"/>
    <n v="107.96"/>
    <n v="85.76"/>
    <n v="514.79"/>
    <x v="0"/>
    <x v="0"/>
    <n v="0"/>
    <n v="0"/>
    <n v="0"/>
    <n v="514.79"/>
    <x v="0"/>
    <x v="0"/>
    <x v="1"/>
    <x v="0"/>
    <x v="1"/>
    <s v="Yes"/>
    <x v="0"/>
    <x v="1"/>
    <n v="3"/>
    <n v="66.599999999999994"/>
    <x v="1"/>
    <x v="0"/>
  </r>
  <r>
    <s v="T00503"/>
    <s v="E0137"/>
    <s v="London"/>
    <x v="2"/>
    <s v="Senior Manager"/>
    <s v="Client meeting"/>
    <d v="2026-04-10T00:00:00"/>
    <d v="2026-05-06T00:00:00"/>
    <d v="2026-05-09T00:00:00"/>
    <x v="2"/>
    <s v="London"/>
    <x v="12"/>
    <x v="1"/>
    <x v="1"/>
    <s v="Premium Economy"/>
    <n v="2400"/>
    <n v="26"/>
    <x v="3"/>
    <x v="0"/>
    <s v="A01"/>
    <s v="H01"/>
    <n v="525.22"/>
    <n v="0"/>
    <x v="0"/>
    <n v="182.82"/>
    <n v="365.64"/>
    <n v="56.42"/>
    <n v="947.28"/>
    <x v="0"/>
    <x v="0"/>
    <n v="0"/>
    <n v="0"/>
    <n v="0"/>
    <n v="947.28"/>
    <x v="1"/>
    <x v="0"/>
    <x v="1"/>
    <x v="1"/>
    <x v="0"/>
    <s v="Yes"/>
    <x v="0"/>
    <x v="1"/>
    <n v="4"/>
    <n v="360"/>
    <x v="1"/>
    <x v="2"/>
  </r>
  <r>
    <s v="T00504"/>
    <s v="E0138"/>
    <s v="London"/>
    <x v="2"/>
    <s v="Director"/>
    <s v="Client meeting"/>
    <d v="2026-04-13T00:00:00"/>
    <d v="2026-05-09T00:00:00"/>
    <d v="2026-05-11T00:00:00"/>
    <x v="2"/>
    <s v="London"/>
    <x v="7"/>
    <x v="1"/>
    <x v="1"/>
    <s v="Economy"/>
    <n v="10310"/>
    <n v="26"/>
    <x v="3"/>
    <x v="0"/>
    <s v="A07"/>
    <s v="H04"/>
    <n v="1213.1099999999999"/>
    <n v="0"/>
    <x v="2"/>
    <n v="225.08"/>
    <n v="225.08"/>
    <n v="156.94"/>
    <n v="1595.13"/>
    <x v="0"/>
    <x v="0"/>
    <n v="0"/>
    <n v="0"/>
    <n v="0"/>
    <n v="1595.13"/>
    <x v="1"/>
    <x v="0"/>
    <x v="1"/>
    <x v="0"/>
    <x v="0"/>
    <s v="Yes"/>
    <x v="0"/>
    <x v="1"/>
    <n v="4"/>
    <n v="1546.5"/>
    <x v="5"/>
    <x v="3"/>
  </r>
  <r>
    <s v="T00505"/>
    <s v="E0138"/>
    <s v="London"/>
    <x v="2"/>
    <s v="Director"/>
    <s v="Conference / Event"/>
    <d v="2026-04-23T00:00:00"/>
    <d v="2026-05-16T00:00:00"/>
    <d v="2026-05-21T00:00:00"/>
    <x v="2"/>
    <s v="London"/>
    <x v="3"/>
    <x v="1"/>
    <x v="1"/>
    <s v="Economy"/>
    <n v="3514"/>
    <n v="23"/>
    <x v="3"/>
    <x v="1"/>
    <s v="A04"/>
    <s v="H04"/>
    <n v="342.97"/>
    <n v="0"/>
    <x v="3"/>
    <n v="213.92250000000001"/>
    <n v="855.69"/>
    <n v="49.73"/>
    <n v="1248.3900000000001"/>
    <x v="0"/>
    <x v="0"/>
    <n v="0"/>
    <n v="0"/>
    <n v="0"/>
    <n v="1248.3900000000001"/>
    <x v="1"/>
    <x v="0"/>
    <x v="1"/>
    <x v="0"/>
    <x v="0"/>
    <s v="Yes"/>
    <x v="0"/>
    <x v="1"/>
    <n v="5"/>
    <n v="527.1"/>
    <x v="3"/>
    <x v="3"/>
  </r>
  <r>
    <s v="T00506"/>
    <s v="E0138"/>
    <s v="London"/>
    <x v="2"/>
    <s v="Director"/>
    <s v="Client meeting"/>
    <d v="2026-05-30T00:00:00"/>
    <d v="2026-05-31T00:00:00"/>
    <d v="2026-06-04T00:00:00"/>
    <x v="2"/>
    <s v="London"/>
    <x v="8"/>
    <x v="1"/>
    <x v="1"/>
    <s v="Economy"/>
    <n v="11094"/>
    <n v="1"/>
    <x v="1"/>
    <x v="0"/>
    <s v="A09"/>
    <s v="H03"/>
    <n v="687.27"/>
    <n v="0"/>
    <x v="1"/>
    <n v="155.9"/>
    <n v="467.7"/>
    <n v="106.8"/>
    <n v="1261.77"/>
    <x v="1"/>
    <x v="0"/>
    <n v="67.33"/>
    <n v="0"/>
    <n v="0"/>
    <n v="1329.1"/>
    <x v="0"/>
    <x v="0"/>
    <x v="2"/>
    <x v="0"/>
    <x v="0"/>
    <s v="No"/>
    <x v="0"/>
    <x v="1"/>
    <n v="4"/>
    <n v="1664.1"/>
    <x v="8"/>
    <x v="4"/>
  </r>
  <r>
    <s v="T00507"/>
    <s v="E0138"/>
    <s v="London"/>
    <x v="2"/>
    <s v="Director"/>
    <s v="Internal meeting"/>
    <d v="2026-04-28T00:00:00"/>
    <d v="2026-05-15T00:00:00"/>
    <d v="2026-05-20T00:00:00"/>
    <x v="2"/>
    <s v="London"/>
    <x v="7"/>
    <x v="1"/>
    <x v="1"/>
    <s v="Premium Economy"/>
    <n v="11662"/>
    <n v="17"/>
    <x v="3"/>
    <x v="3"/>
    <s v="A01"/>
    <s v="H02"/>
    <n v="1412.07"/>
    <n v="0"/>
    <x v="3"/>
    <n v="118.9725"/>
    <n v="475.89"/>
    <n v="94.82"/>
    <n v="1982.78"/>
    <x v="0"/>
    <x v="0"/>
    <n v="0"/>
    <n v="0"/>
    <n v="0"/>
    <n v="1982.78"/>
    <x v="0"/>
    <x v="0"/>
    <x v="1"/>
    <x v="1"/>
    <x v="1"/>
    <s v="Yes"/>
    <x v="0"/>
    <x v="1"/>
    <n v="4"/>
    <n v="1749.3"/>
    <x v="1"/>
    <x v="1"/>
  </r>
  <r>
    <s v="T00508"/>
    <s v="E0139"/>
    <s v="Manchester"/>
    <x v="4"/>
    <s v="Manager"/>
    <s v="Internal meeting"/>
    <d v="2026-05-21T00:00:00"/>
    <d v="2026-05-22T00:00:00"/>
    <d v="2026-05-24T00:00:00"/>
    <x v="2"/>
    <s v="Manchester"/>
    <x v="12"/>
    <x v="1"/>
    <x v="1"/>
    <s v="Economy"/>
    <n v="2980"/>
    <n v="1"/>
    <x v="1"/>
    <x v="3"/>
    <s v="A01"/>
    <s v="H01"/>
    <n v="510.54"/>
    <n v="0"/>
    <x v="2"/>
    <n v="124.2"/>
    <n v="124.2"/>
    <n v="66.92"/>
    <n v="701.66"/>
    <x v="0"/>
    <x v="0"/>
    <n v="0"/>
    <n v="0"/>
    <n v="0"/>
    <n v="701.66"/>
    <x v="0"/>
    <x v="0"/>
    <x v="1"/>
    <x v="0"/>
    <x v="1"/>
    <s v="Yes"/>
    <x v="0"/>
    <x v="1"/>
    <n v="4"/>
    <n v="447"/>
    <x v="1"/>
    <x v="2"/>
  </r>
  <r>
    <s v="T00509"/>
    <s v="E0139"/>
    <s v="Manchester"/>
    <x v="4"/>
    <s v="Manager"/>
    <s v="Client meeting"/>
    <d v="2026-04-15T00:00:00"/>
    <d v="2026-05-10T00:00:00"/>
    <d v="2026-05-12T00:00:00"/>
    <x v="2"/>
    <s v="Manchester"/>
    <x v="19"/>
    <x v="1"/>
    <x v="1"/>
    <s v="Economy"/>
    <n v="1620"/>
    <n v="25"/>
    <x v="3"/>
    <x v="2"/>
    <s v="A02"/>
    <s v="H02"/>
    <n v="467.78"/>
    <n v="0"/>
    <x v="2"/>
    <n v="154.02000000000001"/>
    <n v="154.02000000000001"/>
    <n v="20"/>
    <n v="641.79999999999995"/>
    <x v="0"/>
    <x v="0"/>
    <n v="0"/>
    <n v="0"/>
    <n v="0"/>
    <n v="641.79999999999995"/>
    <x v="0"/>
    <x v="0"/>
    <x v="1"/>
    <x v="0"/>
    <x v="1"/>
    <s v="Yes"/>
    <x v="0"/>
    <x v="1"/>
    <n v="4"/>
    <n v="243"/>
    <x v="4"/>
    <x v="1"/>
  </r>
  <r>
    <s v="T00510"/>
    <s v="E0139"/>
    <s v="Manchester"/>
    <x v="4"/>
    <s v="Manager"/>
    <s v="Internal meeting"/>
    <d v="2026-06-12T00:00:00"/>
    <d v="2026-06-21T00:00:00"/>
    <d v="2026-06-23T00:00:00"/>
    <x v="0"/>
    <s v="Manchester"/>
    <x v="15"/>
    <x v="1"/>
    <x v="1"/>
    <s v="Economy"/>
    <n v="2240"/>
    <n v="9"/>
    <x v="0"/>
    <x v="1"/>
    <s v="A03"/>
    <s v="H03"/>
    <n v="323.01"/>
    <n v="0"/>
    <x v="2"/>
    <n v="217.21"/>
    <n v="217.21"/>
    <n v="120.42"/>
    <n v="660.64"/>
    <x v="0"/>
    <x v="0"/>
    <n v="0"/>
    <n v="0"/>
    <n v="0"/>
    <n v="660.64"/>
    <x v="1"/>
    <x v="0"/>
    <x v="1"/>
    <x v="0"/>
    <x v="0"/>
    <s v="Yes"/>
    <x v="0"/>
    <x v="1"/>
    <n v="5"/>
    <n v="336"/>
    <x v="7"/>
    <x v="4"/>
  </r>
  <r>
    <s v="T00511"/>
    <s v="E0139"/>
    <s v="Manchester"/>
    <x v="4"/>
    <s v="Manager"/>
    <s v="Training"/>
    <d v="2026-05-05T00:00:00"/>
    <d v="2026-05-26T00:00:00"/>
    <d v="2026-05-28T00:00:00"/>
    <x v="2"/>
    <s v="Manchester"/>
    <x v="14"/>
    <x v="1"/>
    <x v="1"/>
    <s v="Economy"/>
    <n v="2648"/>
    <n v="21"/>
    <x v="3"/>
    <x v="1"/>
    <s v="A03"/>
    <s v="H03"/>
    <n v="175.96"/>
    <n v="0"/>
    <x v="2"/>
    <n v="137.28"/>
    <n v="137.28"/>
    <n v="86.76"/>
    <n v="400"/>
    <x v="0"/>
    <x v="0"/>
    <n v="0"/>
    <n v="0"/>
    <n v="0"/>
    <n v="400"/>
    <x v="0"/>
    <x v="0"/>
    <x v="1"/>
    <x v="0"/>
    <x v="0"/>
    <s v="Yes"/>
    <x v="0"/>
    <x v="0"/>
    <n v="4"/>
    <n v="397.2"/>
    <x v="7"/>
    <x v="4"/>
  </r>
  <r>
    <s v="T00512"/>
    <s v="E0140"/>
    <s v="London"/>
    <x v="5"/>
    <s v="Analyst"/>
    <s v="Team building"/>
    <d v="2026-07-19T00:00:00"/>
    <d v="2026-07-22T00:00:00"/>
    <d v="2026-07-25T00:00:00"/>
    <x v="1"/>
    <s v="London"/>
    <x v="1"/>
    <x v="1"/>
    <x v="1"/>
    <s v="Economy"/>
    <n v="2026"/>
    <n v="3"/>
    <x v="1"/>
    <x v="0"/>
    <s v="A04"/>
    <s v="H01"/>
    <n v="673.41"/>
    <n v="0"/>
    <x v="0"/>
    <n v="172.14500000000001"/>
    <n v="344.29"/>
    <n v="100.01"/>
    <n v="1117.71"/>
    <x v="0"/>
    <x v="0"/>
    <n v="0"/>
    <n v="0"/>
    <n v="0"/>
    <n v="1117.71"/>
    <x v="0"/>
    <x v="0"/>
    <x v="1"/>
    <x v="0"/>
    <x v="0"/>
    <s v="Yes"/>
    <x v="0"/>
    <x v="0"/>
    <n v="4"/>
    <n v="303.89999999999998"/>
    <x v="3"/>
    <x v="2"/>
  </r>
  <r>
    <s v="T00513"/>
    <s v="E0140"/>
    <s v="London"/>
    <x v="5"/>
    <s v="Analyst"/>
    <s v="Client meeting"/>
    <d v="2026-04-04T00:00:00"/>
    <d v="2026-05-07T00:00:00"/>
    <d v="2026-05-10T00:00:00"/>
    <x v="2"/>
    <s v="London"/>
    <x v="20"/>
    <x v="1"/>
    <x v="1"/>
    <s v="Economy"/>
    <n v="12936"/>
    <n v="33"/>
    <x v="2"/>
    <x v="0"/>
    <s v="A01"/>
    <s v="H02"/>
    <n v="1142.9100000000001"/>
    <n v="0"/>
    <x v="0"/>
    <n v="113.08"/>
    <n v="226.16"/>
    <n v="154.83000000000001"/>
    <n v="1523.9"/>
    <x v="0"/>
    <x v="0"/>
    <n v="0"/>
    <n v="0"/>
    <n v="0"/>
    <n v="1523.9"/>
    <x v="0"/>
    <x v="0"/>
    <x v="1"/>
    <x v="0"/>
    <x v="0"/>
    <s v="Yes"/>
    <x v="0"/>
    <x v="0"/>
    <n v="4"/>
    <n v="1940.4"/>
    <x v="1"/>
    <x v="1"/>
  </r>
  <r>
    <s v="T00514"/>
    <s v="E0140"/>
    <s v="London"/>
    <x v="5"/>
    <s v="Analyst"/>
    <s v="Project work"/>
    <d v="2026-05-20T00:00:00"/>
    <d v="2026-06-10T00:00:00"/>
    <d v="2026-06-14T00:00:00"/>
    <x v="0"/>
    <s v="London"/>
    <x v="14"/>
    <x v="1"/>
    <x v="1"/>
    <s v="Economy"/>
    <n v="1746"/>
    <n v="21"/>
    <x v="3"/>
    <x v="2"/>
    <s v="A01"/>
    <s v="H03"/>
    <n v="481.17"/>
    <n v="0"/>
    <x v="1"/>
    <n v="201.76999999999998"/>
    <n v="605.30999999999995"/>
    <n v="76.23"/>
    <n v="1162.71"/>
    <x v="0"/>
    <x v="0"/>
    <n v="0"/>
    <n v="0"/>
    <n v="0"/>
    <n v="1162.71"/>
    <x v="1"/>
    <x v="0"/>
    <x v="1"/>
    <x v="0"/>
    <x v="1"/>
    <s v="Yes"/>
    <x v="0"/>
    <x v="1"/>
    <n v="5"/>
    <n v="261.89999999999998"/>
    <x v="1"/>
    <x v="4"/>
  </r>
  <r>
    <s v="T00515"/>
    <s v="E0140"/>
    <s v="London"/>
    <x v="5"/>
    <s v="Analyst"/>
    <s v="Project work"/>
    <d v="2026-05-08T00:00:00"/>
    <d v="2026-05-22T00:00:00"/>
    <d v="2026-05-24T00:00:00"/>
    <x v="2"/>
    <s v="London"/>
    <x v="4"/>
    <x v="1"/>
    <x v="1"/>
    <s v="Economy"/>
    <n v="3392"/>
    <n v="14"/>
    <x v="0"/>
    <x v="0"/>
    <s v="A03"/>
    <s v="H01"/>
    <n v="520.83000000000004"/>
    <n v="0"/>
    <x v="2"/>
    <n v="194.08"/>
    <n v="194.08"/>
    <n v="20"/>
    <n v="734.91"/>
    <x v="1"/>
    <x v="0"/>
    <n v="286.22000000000003"/>
    <n v="0"/>
    <n v="0"/>
    <n v="1021.13"/>
    <x v="0"/>
    <x v="0"/>
    <x v="1"/>
    <x v="0"/>
    <x v="0"/>
    <s v="Yes"/>
    <x v="0"/>
    <x v="0"/>
    <n v="4"/>
    <n v="508.8"/>
    <x v="7"/>
    <x v="2"/>
  </r>
  <r>
    <s v="T00516"/>
    <s v="E0140"/>
    <s v="London"/>
    <x v="5"/>
    <s v="Analyst"/>
    <s v="Recruitment / Interview"/>
    <d v="2026-06-23T00:00:00"/>
    <d v="2026-07-25T00:00:00"/>
    <d v="2026-07-29T00:00:00"/>
    <x v="1"/>
    <s v="London"/>
    <x v="14"/>
    <x v="1"/>
    <x v="1"/>
    <s v="Economy"/>
    <n v="3516"/>
    <n v="32"/>
    <x v="2"/>
    <x v="0"/>
    <s v="A01"/>
    <s v="H01"/>
    <n v="449.12"/>
    <n v="0"/>
    <x v="1"/>
    <n v="130.9"/>
    <n v="392.7"/>
    <n v="105.19"/>
    <n v="947.01"/>
    <x v="0"/>
    <x v="0"/>
    <n v="0"/>
    <n v="0"/>
    <n v="0"/>
    <n v="947.01"/>
    <x v="0"/>
    <x v="0"/>
    <x v="1"/>
    <x v="0"/>
    <x v="0"/>
    <s v="Yes"/>
    <x v="0"/>
    <x v="0"/>
    <n v="3"/>
    <n v="527.4"/>
    <x v="1"/>
    <x v="2"/>
  </r>
  <r>
    <s v="T00517"/>
    <s v="E0140"/>
    <s v="London"/>
    <x v="5"/>
    <s v="Analyst"/>
    <s v="Client meeting"/>
    <d v="2026-07-24T00:00:00"/>
    <d v="2026-07-29T00:00:00"/>
    <d v="2026-07-31T00:00:00"/>
    <x v="1"/>
    <s v="London"/>
    <x v="3"/>
    <x v="1"/>
    <x v="1"/>
    <s v="Economy"/>
    <n v="2364"/>
    <n v="5"/>
    <x v="4"/>
    <x v="0"/>
    <s v="A01"/>
    <s v="H03"/>
    <n v="643.70000000000005"/>
    <n v="0"/>
    <x v="2"/>
    <n v="124.59"/>
    <n v="124.59"/>
    <n v="49.56"/>
    <n v="817.85"/>
    <x v="0"/>
    <x v="0"/>
    <n v="0"/>
    <n v="0"/>
    <n v="0"/>
    <n v="817.85"/>
    <x v="0"/>
    <x v="0"/>
    <x v="1"/>
    <x v="0"/>
    <x v="0"/>
    <s v="Yes"/>
    <x v="0"/>
    <x v="0"/>
    <n v="4"/>
    <n v="354.6"/>
    <x v="1"/>
    <x v="4"/>
  </r>
  <r>
    <s v="T00518"/>
    <s v="E0141"/>
    <s v="Bristol"/>
    <x v="1"/>
    <s v="Director"/>
    <s v="Client meeting"/>
    <d v="2026-05-05T00:00:00"/>
    <d v="2026-05-27T00:00:00"/>
    <d v="2026-05-28T00:00:00"/>
    <x v="2"/>
    <s v="Bristol"/>
    <x v="10"/>
    <x v="0"/>
    <x v="0"/>
    <s v="Standard / 2nd Class"/>
    <n v="428"/>
    <n v="22"/>
    <x v="3"/>
    <x v="1"/>
    <m/>
    <m/>
    <n v="0"/>
    <n v="314.79000000000002"/>
    <x v="5"/>
    <n v="0"/>
    <n v="0"/>
    <n v="98.01"/>
    <n v="412.8"/>
    <x v="0"/>
    <x v="1"/>
    <n v="0"/>
    <n v="32.36"/>
    <n v="236.09"/>
    <n v="209.07000000000002"/>
    <x v="2"/>
    <x v="2"/>
    <x v="0"/>
    <x v="0"/>
    <x v="0"/>
    <s v="Yes"/>
    <x v="0"/>
    <x v="0"/>
    <n v="4"/>
    <n v="17.100000000000001"/>
    <x v="0"/>
    <x v="7"/>
  </r>
  <r>
    <s v="T00519"/>
    <s v="E0141"/>
    <s v="Bristol"/>
    <x v="1"/>
    <s v="Director"/>
    <s v="Client meeting"/>
    <d v="2026-05-29T00:00:00"/>
    <d v="2026-06-17T00:00:00"/>
    <d v="2026-06-21T00:00:00"/>
    <x v="0"/>
    <s v="Bristol"/>
    <x v="9"/>
    <x v="1"/>
    <x v="1"/>
    <s v="Economy"/>
    <n v="1498"/>
    <n v="19"/>
    <x v="3"/>
    <x v="0"/>
    <s v="A06"/>
    <s v="H04"/>
    <n v="603.4"/>
    <n v="0"/>
    <x v="1"/>
    <n v="130.55333333333334"/>
    <n v="391.66"/>
    <n v="67.88"/>
    <n v="1062.94"/>
    <x v="0"/>
    <x v="0"/>
    <n v="0"/>
    <n v="0"/>
    <n v="0"/>
    <n v="1062.94"/>
    <x v="0"/>
    <x v="0"/>
    <x v="2"/>
    <x v="0"/>
    <x v="0"/>
    <s v="No"/>
    <x v="0"/>
    <x v="1"/>
    <n v="4"/>
    <n v="224.7"/>
    <x v="9"/>
    <x v="3"/>
  </r>
  <r>
    <s v="T00520"/>
    <s v="E0141"/>
    <s v="Bristol"/>
    <x v="1"/>
    <s v="Director"/>
    <s v="Project work"/>
    <d v="2026-05-08T00:00:00"/>
    <d v="2026-05-24T00:00:00"/>
    <d v="2026-05-27T00:00:00"/>
    <x v="2"/>
    <s v="Bristol"/>
    <x v="0"/>
    <x v="0"/>
    <x v="0"/>
    <s v="Standard / 2nd Class"/>
    <n v="378"/>
    <n v="16"/>
    <x v="3"/>
    <x v="0"/>
    <m/>
    <s v="H06"/>
    <n v="0"/>
    <n v="215.89"/>
    <x v="0"/>
    <n v="127.54"/>
    <n v="255.08"/>
    <n v="20"/>
    <n v="490.97"/>
    <x v="0"/>
    <x v="0"/>
    <n v="0"/>
    <n v="0"/>
    <n v="0"/>
    <n v="490.97"/>
    <x v="0"/>
    <x v="0"/>
    <x v="0"/>
    <x v="0"/>
    <x v="0"/>
    <s v="Yes"/>
    <x v="0"/>
    <x v="0"/>
    <n v="5"/>
    <n v="15.1"/>
    <x v="0"/>
    <x v="0"/>
  </r>
  <r>
    <s v="T00521"/>
    <s v="E0141"/>
    <s v="Bristol"/>
    <x v="1"/>
    <s v="Director"/>
    <s v="Internal meeting"/>
    <d v="2026-05-17T00:00:00"/>
    <d v="2026-06-03T00:00:00"/>
    <d v="2026-06-10T00:00:00"/>
    <x v="0"/>
    <s v="Bristol"/>
    <x v="18"/>
    <x v="1"/>
    <x v="1"/>
    <s v="Economy"/>
    <n v="21538"/>
    <n v="17"/>
    <x v="3"/>
    <x v="0"/>
    <s v="A08"/>
    <s v="H04"/>
    <n v="1273.08"/>
    <n v="0"/>
    <x v="7"/>
    <n v="115.08666666666666"/>
    <n v="690.52"/>
    <n v="77.930000000000007"/>
    <n v="2041.53"/>
    <x v="0"/>
    <x v="0"/>
    <n v="0"/>
    <n v="0"/>
    <n v="0"/>
    <n v="2041.53"/>
    <x v="0"/>
    <x v="0"/>
    <x v="1"/>
    <x v="0"/>
    <x v="0"/>
    <s v="Yes"/>
    <x v="0"/>
    <x v="0"/>
    <n v="4"/>
    <n v="3230.7"/>
    <x v="10"/>
    <x v="3"/>
  </r>
  <r>
    <s v="T00522"/>
    <s v="E0142"/>
    <s v="Edinburgh"/>
    <x v="1"/>
    <s v="Senior Manager"/>
    <s v="Other"/>
    <d v="2026-06-24T00:00:00"/>
    <d v="2026-07-11T00:00:00"/>
    <d v="2026-07-15T00:00:00"/>
    <x v="1"/>
    <s v="Edinburgh"/>
    <x v="16"/>
    <x v="1"/>
    <x v="1"/>
    <s v="Economy"/>
    <n v="1838"/>
    <n v="17"/>
    <x v="3"/>
    <x v="3"/>
    <s v="A05"/>
    <s v="H01"/>
    <n v="451.5"/>
    <n v="0"/>
    <x v="1"/>
    <n v="118.27999999999999"/>
    <n v="354.84"/>
    <n v="73.8"/>
    <n v="880.14"/>
    <x v="0"/>
    <x v="0"/>
    <n v="0"/>
    <n v="0"/>
    <n v="0"/>
    <n v="880.14"/>
    <x v="0"/>
    <x v="0"/>
    <x v="1"/>
    <x v="0"/>
    <x v="1"/>
    <s v="Yes"/>
    <x v="0"/>
    <x v="1"/>
    <n v="4"/>
    <n v="275.7"/>
    <x v="2"/>
    <x v="2"/>
  </r>
  <r>
    <s v="T00523"/>
    <s v="E0142"/>
    <s v="Edinburgh"/>
    <x v="1"/>
    <s v="Senior Manager"/>
    <s v="Training"/>
    <d v="2026-07-19T00:00:00"/>
    <d v="2026-07-23T00:00:00"/>
    <d v="2026-07-25T00:00:00"/>
    <x v="1"/>
    <s v="Edinburgh"/>
    <x v="11"/>
    <x v="1"/>
    <x v="1"/>
    <s v="Economy"/>
    <n v="1520"/>
    <n v="4"/>
    <x v="4"/>
    <x v="3"/>
    <s v="A04"/>
    <s v="H02"/>
    <n v="374.65"/>
    <n v="0"/>
    <x v="2"/>
    <n v="176.85"/>
    <n v="176.85"/>
    <n v="50.5"/>
    <n v="602"/>
    <x v="0"/>
    <x v="0"/>
    <n v="0"/>
    <n v="0"/>
    <n v="0"/>
    <n v="602"/>
    <x v="0"/>
    <x v="0"/>
    <x v="1"/>
    <x v="0"/>
    <x v="1"/>
    <s v="Yes"/>
    <x v="0"/>
    <x v="1"/>
    <n v="4"/>
    <n v="228"/>
    <x v="3"/>
    <x v="1"/>
  </r>
  <r>
    <s v="T00524"/>
    <s v="E0143"/>
    <s v="Manchester"/>
    <x v="3"/>
    <s v="Analyst"/>
    <s v="Client meeting"/>
    <d v="2026-06-13T00:00:00"/>
    <d v="2026-07-01T00:00:00"/>
    <d v="2026-07-02T00:00:00"/>
    <x v="1"/>
    <s v="Manchester"/>
    <x v="17"/>
    <x v="0"/>
    <x v="1"/>
    <s v="Premium Economy"/>
    <n v="1038"/>
    <n v="18"/>
    <x v="3"/>
    <x v="0"/>
    <s v="A01"/>
    <m/>
    <n v="145.03"/>
    <n v="0"/>
    <x v="5"/>
    <n v="0"/>
    <n v="0"/>
    <n v="87.39"/>
    <n v="232.42"/>
    <x v="0"/>
    <x v="0"/>
    <n v="0"/>
    <n v="0"/>
    <n v="0"/>
    <n v="232.42"/>
    <x v="2"/>
    <x v="2"/>
    <x v="1"/>
    <x v="1"/>
    <x v="0"/>
    <s v="Yes"/>
    <x v="0"/>
    <x v="1"/>
    <n v="5"/>
    <n v="155.69999999999999"/>
    <x v="1"/>
    <x v="7"/>
  </r>
  <r>
    <s v="T00525"/>
    <s v="E0143"/>
    <s v="Manchester"/>
    <x v="3"/>
    <s v="Analyst"/>
    <s v="Project work"/>
    <d v="2026-07-22T00:00:00"/>
    <d v="2026-07-28T00:00:00"/>
    <d v="2026-07-30T00:00:00"/>
    <x v="1"/>
    <s v="Manchester"/>
    <x v="9"/>
    <x v="1"/>
    <x v="1"/>
    <s v="Economy"/>
    <n v="3062"/>
    <n v="6"/>
    <x v="4"/>
    <x v="3"/>
    <s v="A10"/>
    <s v="H04"/>
    <n v="370.24"/>
    <n v="0"/>
    <x v="2"/>
    <n v="188.47"/>
    <n v="188.47"/>
    <n v="122.63"/>
    <n v="681.34"/>
    <x v="0"/>
    <x v="0"/>
    <n v="0"/>
    <n v="0"/>
    <n v="0"/>
    <n v="681.34"/>
    <x v="1"/>
    <x v="0"/>
    <x v="1"/>
    <x v="0"/>
    <x v="1"/>
    <s v="Yes"/>
    <x v="0"/>
    <x v="1"/>
    <n v="4"/>
    <n v="459.3"/>
    <x v="6"/>
    <x v="3"/>
  </r>
  <r>
    <s v="T00526"/>
    <s v="E0143"/>
    <s v="Manchester"/>
    <x v="3"/>
    <s v="Analyst"/>
    <s v="Client meeting"/>
    <d v="2026-05-08T00:00:00"/>
    <d v="2026-05-18T00:00:00"/>
    <d v="2026-05-23T00:00:00"/>
    <x v="2"/>
    <s v="Manchester"/>
    <x v="7"/>
    <x v="1"/>
    <x v="1"/>
    <s v="Economy"/>
    <n v="11254"/>
    <n v="10"/>
    <x v="0"/>
    <x v="2"/>
    <s v="A01"/>
    <s v="H04"/>
    <n v="1143.06"/>
    <n v="0"/>
    <x v="3"/>
    <n v="150.3725"/>
    <n v="601.49"/>
    <n v="40.61"/>
    <n v="1785.16"/>
    <x v="0"/>
    <x v="1"/>
    <n v="0"/>
    <n v="122.22"/>
    <n v="872.27"/>
    <n v="1035.1100000000001"/>
    <x v="0"/>
    <x v="0"/>
    <x v="1"/>
    <x v="0"/>
    <x v="1"/>
    <s v="Yes"/>
    <x v="0"/>
    <x v="1"/>
    <n v="3"/>
    <n v="1688.1"/>
    <x v="1"/>
    <x v="3"/>
  </r>
  <r>
    <s v="T00527"/>
    <s v="E0143"/>
    <s v="Manchester"/>
    <x v="3"/>
    <s v="Analyst"/>
    <s v="Project work"/>
    <d v="2026-04-29T00:00:00"/>
    <d v="2026-05-12T00:00:00"/>
    <d v="2026-05-16T00:00:00"/>
    <x v="2"/>
    <s v="Manchester"/>
    <x v="20"/>
    <x v="1"/>
    <x v="1"/>
    <s v="Economy"/>
    <n v="11140"/>
    <n v="13"/>
    <x v="0"/>
    <x v="0"/>
    <s v="A07"/>
    <s v="H03"/>
    <n v="820.79"/>
    <n v="0"/>
    <x v="1"/>
    <n v="212.72666666666666"/>
    <n v="638.17999999999995"/>
    <n v="119.59"/>
    <n v="1578.56"/>
    <x v="0"/>
    <x v="0"/>
    <n v="0"/>
    <n v="0"/>
    <n v="0"/>
    <n v="1578.56"/>
    <x v="0"/>
    <x v="0"/>
    <x v="1"/>
    <x v="0"/>
    <x v="0"/>
    <s v="Yes"/>
    <x v="0"/>
    <x v="0"/>
    <n v="3"/>
    <n v="1671"/>
    <x v="5"/>
    <x v="4"/>
  </r>
  <r>
    <s v="T00528"/>
    <s v="E0143"/>
    <s v="Manchester"/>
    <x v="3"/>
    <s v="Analyst"/>
    <s v="Recruitment / Interview"/>
    <d v="2026-06-06T00:00:00"/>
    <d v="2026-06-14T00:00:00"/>
    <d v="2026-06-17T00:00:00"/>
    <x v="0"/>
    <s v="Manchester"/>
    <x v="17"/>
    <x v="0"/>
    <x v="1"/>
    <s v="Economy"/>
    <n v="656"/>
    <n v="8"/>
    <x v="0"/>
    <x v="0"/>
    <s v="A02"/>
    <s v="H06"/>
    <n v="270.19"/>
    <n v="0"/>
    <x v="0"/>
    <n v="107.9"/>
    <n v="215.8"/>
    <n v="101.98"/>
    <n v="587.97"/>
    <x v="0"/>
    <x v="0"/>
    <n v="0"/>
    <n v="0"/>
    <n v="0"/>
    <n v="587.97"/>
    <x v="0"/>
    <x v="0"/>
    <x v="1"/>
    <x v="0"/>
    <x v="0"/>
    <s v="Yes"/>
    <x v="0"/>
    <x v="0"/>
    <n v="4"/>
    <n v="98.4"/>
    <x v="4"/>
    <x v="0"/>
  </r>
  <r>
    <s v="T00529"/>
    <s v="E0144"/>
    <s v="Belfast"/>
    <x v="3"/>
    <s v="Manager"/>
    <s v="Project work"/>
    <d v="2026-06-08T00:00:00"/>
    <d v="2026-06-15T00:00:00"/>
    <d v="2026-06-19T00:00:00"/>
    <x v="0"/>
    <s v="Belfast"/>
    <x v="7"/>
    <x v="1"/>
    <x v="1"/>
    <s v="Economy"/>
    <n v="10004"/>
    <n v="7"/>
    <x v="4"/>
    <x v="1"/>
    <s v="A09"/>
    <s v="H03"/>
    <n v="1213.48"/>
    <n v="0"/>
    <x v="1"/>
    <n v="183.69333333333336"/>
    <n v="551.08000000000004"/>
    <n v="20"/>
    <n v="1784.56"/>
    <x v="0"/>
    <x v="0"/>
    <n v="0"/>
    <n v="0"/>
    <n v="0"/>
    <n v="1784.56"/>
    <x v="0"/>
    <x v="0"/>
    <x v="2"/>
    <x v="0"/>
    <x v="0"/>
    <s v="No"/>
    <x v="0"/>
    <x v="1"/>
    <n v="4"/>
    <n v="1500.6"/>
    <x v="8"/>
    <x v="4"/>
  </r>
  <r>
    <s v="T00530"/>
    <s v="E0144"/>
    <s v="Belfast"/>
    <x v="3"/>
    <s v="Manager"/>
    <s v="Training"/>
    <d v="2026-04-29T00:00:00"/>
    <d v="2026-05-27T00:00:00"/>
    <d v="2026-06-01T00:00:00"/>
    <x v="2"/>
    <s v="Belfast"/>
    <x v="5"/>
    <x v="1"/>
    <x v="1"/>
    <s v="Economy"/>
    <n v="14842"/>
    <n v="28"/>
    <x v="3"/>
    <x v="1"/>
    <s v="A08"/>
    <s v="H01"/>
    <n v="650"/>
    <n v="0"/>
    <x v="3"/>
    <n v="239.44499999999999"/>
    <n v="957.78"/>
    <n v="20"/>
    <n v="1627.78"/>
    <x v="1"/>
    <x v="0"/>
    <n v="232.67"/>
    <n v="0"/>
    <n v="0"/>
    <n v="1860.45"/>
    <x v="1"/>
    <x v="0"/>
    <x v="1"/>
    <x v="0"/>
    <x v="0"/>
    <s v="Yes"/>
    <x v="0"/>
    <x v="1"/>
    <n v="4"/>
    <n v="2226.3000000000002"/>
    <x v="10"/>
    <x v="2"/>
  </r>
  <r>
    <s v="T00531"/>
    <s v="E0145"/>
    <s v="London"/>
    <x v="4"/>
    <s v="Analyst"/>
    <s v="Internal meeting"/>
    <d v="2026-06-25T00:00:00"/>
    <d v="2026-07-04T00:00:00"/>
    <d v="2026-07-09T00:00:00"/>
    <x v="1"/>
    <s v="London"/>
    <x v="7"/>
    <x v="1"/>
    <x v="1"/>
    <s v="Economy"/>
    <n v="11200"/>
    <n v="9"/>
    <x v="0"/>
    <x v="3"/>
    <s v="A01"/>
    <s v="H04"/>
    <n v="840.75"/>
    <n v="0"/>
    <x v="3"/>
    <n v="180.095"/>
    <n v="720.38"/>
    <n v="78.44"/>
    <n v="1639.57"/>
    <x v="0"/>
    <x v="0"/>
    <n v="0"/>
    <n v="0"/>
    <n v="0"/>
    <n v="1639.57"/>
    <x v="0"/>
    <x v="0"/>
    <x v="1"/>
    <x v="0"/>
    <x v="1"/>
    <s v="Yes"/>
    <x v="0"/>
    <x v="1"/>
    <n v="4"/>
    <n v="1680"/>
    <x v="1"/>
    <x v="3"/>
  </r>
  <r>
    <s v="T00532"/>
    <s v="E0145"/>
    <s v="London"/>
    <x v="4"/>
    <s v="Analyst"/>
    <s v="Other"/>
    <d v="2026-06-18T00:00:00"/>
    <d v="2026-06-28T00:00:00"/>
    <d v="2026-07-01T00:00:00"/>
    <x v="0"/>
    <s v="London"/>
    <x v="9"/>
    <x v="1"/>
    <x v="1"/>
    <s v="Economy"/>
    <n v="2752"/>
    <n v="10"/>
    <x v="0"/>
    <x v="0"/>
    <s v="A10"/>
    <s v="H03"/>
    <n v="527.96"/>
    <n v="0"/>
    <x v="0"/>
    <n v="106.995"/>
    <n v="213.99"/>
    <n v="120.76"/>
    <n v="862.71"/>
    <x v="0"/>
    <x v="0"/>
    <n v="0"/>
    <n v="0"/>
    <n v="0"/>
    <n v="862.71"/>
    <x v="0"/>
    <x v="0"/>
    <x v="1"/>
    <x v="0"/>
    <x v="0"/>
    <s v="Yes"/>
    <x v="0"/>
    <x v="0"/>
    <n v="5"/>
    <n v="412.8"/>
    <x v="6"/>
    <x v="4"/>
  </r>
  <r>
    <s v="T00533"/>
    <s v="E0145"/>
    <s v="London"/>
    <x v="4"/>
    <s v="Analyst"/>
    <s v="Client meeting"/>
    <d v="2026-06-13T00:00:00"/>
    <d v="2026-06-25T00:00:00"/>
    <d v="2026-06-29T00:00:00"/>
    <x v="0"/>
    <s v="London"/>
    <x v="16"/>
    <x v="1"/>
    <x v="1"/>
    <s v="Economy"/>
    <n v="1104"/>
    <n v="12"/>
    <x v="0"/>
    <x v="1"/>
    <s v="A05"/>
    <s v="H01"/>
    <n v="576.02"/>
    <n v="0"/>
    <x v="1"/>
    <n v="171.35666666666668"/>
    <n v="514.07000000000005"/>
    <n v="48.94"/>
    <n v="1139.03"/>
    <x v="1"/>
    <x v="0"/>
    <n v="173.24"/>
    <n v="0"/>
    <n v="0"/>
    <n v="1312.27"/>
    <x v="0"/>
    <x v="0"/>
    <x v="1"/>
    <x v="0"/>
    <x v="0"/>
    <s v="Yes"/>
    <x v="0"/>
    <x v="0"/>
    <n v="4"/>
    <n v="165.6"/>
    <x v="2"/>
    <x v="2"/>
  </r>
  <r>
    <s v="T00534"/>
    <s v="E0146"/>
    <s v="London"/>
    <x v="0"/>
    <s v="Manager"/>
    <s v="Client meeting"/>
    <d v="2026-04-20T00:00:00"/>
    <d v="2026-05-08T00:00:00"/>
    <d v="2026-05-10T00:00:00"/>
    <x v="2"/>
    <s v="London"/>
    <x v="0"/>
    <x v="0"/>
    <x v="0"/>
    <s v="Standard / 2nd Class"/>
    <n v="522"/>
    <n v="18"/>
    <x v="3"/>
    <x v="1"/>
    <m/>
    <s v="H06"/>
    <n v="0"/>
    <n v="184.97"/>
    <x v="2"/>
    <n v="174.02"/>
    <n v="174.02"/>
    <n v="55"/>
    <n v="413.99"/>
    <x v="0"/>
    <x v="0"/>
    <n v="0"/>
    <n v="0"/>
    <n v="0"/>
    <n v="413.99"/>
    <x v="0"/>
    <x v="0"/>
    <x v="0"/>
    <x v="0"/>
    <x v="0"/>
    <s v="Yes"/>
    <x v="0"/>
    <x v="0"/>
    <n v="5"/>
    <n v="20.9"/>
    <x v="0"/>
    <x v="0"/>
  </r>
  <r>
    <s v="T00535"/>
    <s v="E0147"/>
    <s v="London"/>
    <x v="0"/>
    <s v="Director"/>
    <s v="Training"/>
    <d v="2026-04-22T00:00:00"/>
    <d v="2026-05-11T00:00:00"/>
    <d v="2026-05-16T00:00:00"/>
    <x v="2"/>
    <s v="London"/>
    <x v="9"/>
    <x v="1"/>
    <x v="1"/>
    <s v="Economy"/>
    <n v="1800"/>
    <n v="19"/>
    <x v="3"/>
    <x v="3"/>
    <s v="A10"/>
    <s v="H02"/>
    <n v="399.77"/>
    <n v="0"/>
    <x v="3"/>
    <n v="161.17500000000001"/>
    <n v="644.70000000000005"/>
    <n v="116.24"/>
    <n v="1160.71"/>
    <x v="1"/>
    <x v="0"/>
    <n v="79.78"/>
    <n v="0"/>
    <n v="0"/>
    <n v="1240.49"/>
    <x v="0"/>
    <x v="0"/>
    <x v="1"/>
    <x v="0"/>
    <x v="1"/>
    <s v="Yes"/>
    <x v="0"/>
    <x v="1"/>
    <n v="3"/>
    <n v="270"/>
    <x v="6"/>
    <x v="1"/>
  </r>
  <r>
    <s v="T00536"/>
    <s v="E0147"/>
    <s v="London"/>
    <x v="0"/>
    <s v="Director"/>
    <s v="Conference / Event"/>
    <d v="2026-04-23T00:00:00"/>
    <d v="2026-05-18T00:00:00"/>
    <d v="2026-05-24T00:00:00"/>
    <x v="2"/>
    <s v="London"/>
    <x v="19"/>
    <x v="1"/>
    <x v="1"/>
    <s v="Economy"/>
    <n v="1132"/>
    <n v="25"/>
    <x v="3"/>
    <x v="0"/>
    <s v="A02"/>
    <s v="H01"/>
    <n v="365.46"/>
    <n v="0"/>
    <x v="4"/>
    <n v="204.14400000000001"/>
    <n v="1020.72"/>
    <n v="35.19"/>
    <n v="1421.37"/>
    <x v="0"/>
    <x v="1"/>
    <n v="0"/>
    <n v="82.75"/>
    <n v="1039.6300000000001"/>
    <n v="464.48999999999978"/>
    <x v="1"/>
    <x v="0"/>
    <x v="1"/>
    <x v="0"/>
    <x v="0"/>
    <s v="Yes"/>
    <x v="0"/>
    <x v="1"/>
    <n v="3"/>
    <n v="169.8"/>
    <x v="4"/>
    <x v="2"/>
  </r>
  <r>
    <s v="T00537"/>
    <s v="E0148"/>
    <s v="London"/>
    <x v="5"/>
    <s v="Senior Manager"/>
    <s v="Project work"/>
    <d v="2026-05-30T00:00:00"/>
    <d v="2026-06-07T00:00:00"/>
    <d v="2026-06-09T00:00:00"/>
    <x v="0"/>
    <s v="London"/>
    <x v="15"/>
    <x v="1"/>
    <x v="1"/>
    <s v="Economy"/>
    <n v="1866"/>
    <n v="8"/>
    <x v="0"/>
    <x v="0"/>
    <s v="A04"/>
    <s v="H03"/>
    <n v="271.32"/>
    <n v="0"/>
    <x v="2"/>
    <n v="161.65"/>
    <n v="161.65"/>
    <n v="118.99"/>
    <n v="551.96"/>
    <x v="1"/>
    <x v="0"/>
    <n v="43.39"/>
    <n v="0"/>
    <n v="0"/>
    <n v="595.35"/>
    <x v="0"/>
    <x v="0"/>
    <x v="1"/>
    <x v="0"/>
    <x v="0"/>
    <s v="Yes"/>
    <x v="0"/>
    <x v="0"/>
    <n v="4"/>
    <n v="279.89999999999998"/>
    <x v="3"/>
    <x v="4"/>
  </r>
  <r>
    <s v="T00538"/>
    <s v="E0149"/>
    <s v="Glasgow"/>
    <x v="0"/>
    <s v="Manager"/>
    <s v="Client meeting"/>
    <d v="2026-04-23T00:00:00"/>
    <d v="2026-05-04T00:00:00"/>
    <d v="2026-05-08T00:00:00"/>
    <x v="2"/>
    <s v="Glasgow"/>
    <x v="16"/>
    <x v="1"/>
    <x v="1"/>
    <s v="Economy"/>
    <n v="2722"/>
    <n v="11"/>
    <x v="0"/>
    <x v="0"/>
    <s v="A05"/>
    <s v="H03"/>
    <n v="475.46"/>
    <n v="0"/>
    <x v="1"/>
    <n v="216.84333333333333"/>
    <n v="650.53"/>
    <n v="94.75"/>
    <n v="1220.74"/>
    <x v="0"/>
    <x v="0"/>
    <n v="0"/>
    <n v="0"/>
    <n v="0"/>
    <n v="1220.74"/>
    <x v="1"/>
    <x v="0"/>
    <x v="1"/>
    <x v="0"/>
    <x v="0"/>
    <s v="Yes"/>
    <x v="0"/>
    <x v="1"/>
    <n v="5"/>
    <n v="408.3"/>
    <x v="2"/>
    <x v="4"/>
  </r>
  <r>
    <s v="T00539"/>
    <s v="E0149"/>
    <s v="Glasgow"/>
    <x v="0"/>
    <s v="Manager"/>
    <s v="Client meeting"/>
    <d v="2026-06-29T00:00:00"/>
    <d v="2026-07-16T00:00:00"/>
    <d v="2026-07-18T00:00:00"/>
    <x v="1"/>
    <s v="Glasgow"/>
    <x v="9"/>
    <x v="1"/>
    <x v="1"/>
    <s v="Economy"/>
    <n v="3088"/>
    <n v="17"/>
    <x v="3"/>
    <x v="1"/>
    <s v="A10"/>
    <s v="H02"/>
    <n v="150"/>
    <n v="0"/>
    <x v="2"/>
    <n v="232.54"/>
    <n v="232.54"/>
    <n v="98.27"/>
    <n v="480.81"/>
    <x v="1"/>
    <x v="0"/>
    <n v="49.62"/>
    <n v="0"/>
    <n v="0"/>
    <n v="530.42999999999995"/>
    <x v="1"/>
    <x v="0"/>
    <x v="1"/>
    <x v="0"/>
    <x v="0"/>
    <s v="Yes"/>
    <x v="0"/>
    <x v="1"/>
    <n v="5"/>
    <n v="463.2"/>
    <x v="6"/>
    <x v="1"/>
  </r>
  <r>
    <s v="T00540"/>
    <s v="E0149"/>
    <s v="Glasgow"/>
    <x v="0"/>
    <s v="Manager"/>
    <s v="Project work"/>
    <d v="2026-04-28T00:00:00"/>
    <d v="2026-05-08T00:00:00"/>
    <d v="2026-05-09T00:00:00"/>
    <x v="2"/>
    <s v="Glasgow"/>
    <x v="0"/>
    <x v="0"/>
    <x v="0"/>
    <s v="Standard / 2nd Class"/>
    <n v="718"/>
    <n v="10"/>
    <x v="0"/>
    <x v="0"/>
    <m/>
    <m/>
    <n v="0"/>
    <n v="199.24"/>
    <x v="5"/>
    <n v="0"/>
    <n v="0"/>
    <n v="61.72"/>
    <n v="260.95999999999998"/>
    <x v="0"/>
    <x v="0"/>
    <n v="0"/>
    <n v="0"/>
    <n v="0"/>
    <n v="260.95999999999998"/>
    <x v="2"/>
    <x v="2"/>
    <x v="0"/>
    <x v="0"/>
    <x v="0"/>
    <s v="Yes"/>
    <x v="0"/>
    <x v="0"/>
    <n v="4"/>
    <n v="28.7"/>
    <x v="0"/>
    <x v="7"/>
  </r>
  <r>
    <s v="T00541"/>
    <s v="E0149"/>
    <s v="Glasgow"/>
    <x v="0"/>
    <s v="Manager"/>
    <s v="Project work"/>
    <d v="2026-07-18T00:00:00"/>
    <d v="2026-07-19T00:00:00"/>
    <d v="2026-07-27T00:00:00"/>
    <x v="1"/>
    <s v="Glasgow"/>
    <x v="8"/>
    <x v="1"/>
    <x v="1"/>
    <s v="Economy"/>
    <n v="12758"/>
    <n v="1"/>
    <x v="1"/>
    <x v="1"/>
    <s v="A09"/>
    <s v="H02"/>
    <n v="998.65"/>
    <n v="0"/>
    <x v="8"/>
    <n v="188.23714285714286"/>
    <n v="1317.66"/>
    <n v="42.38"/>
    <n v="2358.69"/>
    <x v="0"/>
    <x v="0"/>
    <n v="0"/>
    <n v="0"/>
    <n v="0"/>
    <n v="2358.69"/>
    <x v="0"/>
    <x v="0"/>
    <x v="2"/>
    <x v="0"/>
    <x v="0"/>
    <s v="No"/>
    <x v="1"/>
    <x v="1"/>
    <n v="4"/>
    <n v="1913.7"/>
    <x v="8"/>
    <x v="1"/>
  </r>
  <r>
    <s v="T00542"/>
    <s v="E0150"/>
    <s v="Edinburgh"/>
    <x v="4"/>
    <s v="Manager"/>
    <s v="Client meeting"/>
    <d v="2026-06-16T00:00:00"/>
    <d v="2026-07-06T00:00:00"/>
    <d v="2026-07-10T00:00:00"/>
    <x v="1"/>
    <s v="Edinburgh"/>
    <x v="14"/>
    <x v="1"/>
    <x v="1"/>
    <s v="Economy"/>
    <n v="1406"/>
    <n v="20"/>
    <x v="3"/>
    <x v="0"/>
    <s v="A03"/>
    <s v="H05"/>
    <n v="152.5"/>
    <n v="0"/>
    <x v="1"/>
    <n v="167.17666666666665"/>
    <n v="501.53"/>
    <n v="93.11"/>
    <n v="747.14"/>
    <x v="0"/>
    <x v="0"/>
    <n v="0"/>
    <n v="0"/>
    <n v="0"/>
    <n v="747.14"/>
    <x v="0"/>
    <x v="1"/>
    <x v="1"/>
    <x v="0"/>
    <x v="0"/>
    <s v="No"/>
    <x v="0"/>
    <x v="1"/>
    <n v="5"/>
    <n v="210.9"/>
    <x v="7"/>
    <x v="5"/>
  </r>
  <r>
    <s v="T00543"/>
    <s v="E0150"/>
    <s v="Edinburgh"/>
    <x v="4"/>
    <s v="Manager"/>
    <s v="Project work"/>
    <d v="2026-06-06T00:00:00"/>
    <d v="2026-06-07T00:00:00"/>
    <d v="2026-06-10T00:00:00"/>
    <x v="0"/>
    <s v="Edinburgh"/>
    <x v="3"/>
    <x v="1"/>
    <x v="1"/>
    <s v="Economy"/>
    <n v="3410"/>
    <n v="1"/>
    <x v="1"/>
    <x v="1"/>
    <s v="A04"/>
    <s v="H04"/>
    <n v="316.76"/>
    <n v="0"/>
    <x v="0"/>
    <n v="136"/>
    <n v="272"/>
    <n v="108.2"/>
    <n v="696.96"/>
    <x v="1"/>
    <x v="0"/>
    <n v="285.62"/>
    <n v="0"/>
    <n v="0"/>
    <n v="982.58"/>
    <x v="0"/>
    <x v="0"/>
    <x v="1"/>
    <x v="0"/>
    <x v="0"/>
    <s v="Yes"/>
    <x v="1"/>
    <x v="0"/>
    <n v="3"/>
    <n v="511.5"/>
    <x v="3"/>
    <x v="3"/>
  </r>
  <r>
    <s v="T00544"/>
    <s v="E0150"/>
    <s v="Edinburgh"/>
    <x v="4"/>
    <s v="Manager"/>
    <s v="Project work"/>
    <d v="2026-06-13T00:00:00"/>
    <d v="2026-06-25T00:00:00"/>
    <d v="2026-06-29T00:00:00"/>
    <x v="0"/>
    <s v="Edinburgh"/>
    <x v="7"/>
    <x v="1"/>
    <x v="1"/>
    <s v="Economy"/>
    <n v="12008"/>
    <n v="12"/>
    <x v="0"/>
    <x v="3"/>
    <s v="A07"/>
    <s v="H03"/>
    <n v="687.11"/>
    <n v="0"/>
    <x v="1"/>
    <n v="186.36333333333334"/>
    <n v="559.09"/>
    <n v="73.709999999999994"/>
    <n v="1319.91"/>
    <x v="0"/>
    <x v="0"/>
    <n v="0"/>
    <n v="0"/>
    <n v="0"/>
    <n v="1319.91"/>
    <x v="0"/>
    <x v="0"/>
    <x v="1"/>
    <x v="0"/>
    <x v="1"/>
    <s v="Yes"/>
    <x v="1"/>
    <x v="1"/>
    <n v="4"/>
    <n v="1801.2"/>
    <x v="5"/>
    <x v="4"/>
  </r>
  <r>
    <s v="T00545"/>
    <s v="E0151"/>
    <s v="London"/>
    <x v="1"/>
    <s v="Manager"/>
    <s v="Client meeting"/>
    <d v="2026-06-03T00:00:00"/>
    <d v="2026-06-16T00:00:00"/>
    <d v="2026-06-18T00:00:00"/>
    <x v="0"/>
    <s v="London"/>
    <x v="3"/>
    <x v="1"/>
    <x v="1"/>
    <s v="Economy"/>
    <n v="1316"/>
    <n v="13"/>
    <x v="0"/>
    <x v="0"/>
    <s v="A01"/>
    <s v="H02"/>
    <n v="389.19"/>
    <n v="0"/>
    <x v="2"/>
    <n v="170.56"/>
    <n v="170.56"/>
    <n v="37.65"/>
    <n v="597.4"/>
    <x v="0"/>
    <x v="0"/>
    <n v="0"/>
    <n v="0"/>
    <n v="0"/>
    <n v="597.4"/>
    <x v="0"/>
    <x v="0"/>
    <x v="1"/>
    <x v="0"/>
    <x v="0"/>
    <s v="Yes"/>
    <x v="0"/>
    <x v="0"/>
    <n v="4"/>
    <n v="197.4"/>
    <x v="1"/>
    <x v="1"/>
  </r>
  <r>
    <s v="T00546"/>
    <s v="E0151"/>
    <s v="London"/>
    <x v="1"/>
    <s v="Manager"/>
    <s v="Recruitment / Interview"/>
    <d v="2026-06-29T00:00:00"/>
    <d v="2026-07-01T00:00:00"/>
    <d v="2026-07-04T00:00:00"/>
    <x v="1"/>
    <s v="London"/>
    <x v="6"/>
    <x v="0"/>
    <x v="1"/>
    <s v="Economy"/>
    <n v="716"/>
    <n v="2"/>
    <x v="1"/>
    <x v="0"/>
    <s v="A02"/>
    <s v="H06"/>
    <n v="244.22"/>
    <n v="0"/>
    <x v="0"/>
    <n v="111.425"/>
    <n v="222.85"/>
    <n v="46.29"/>
    <n v="513.36"/>
    <x v="0"/>
    <x v="1"/>
    <n v="0"/>
    <n v="6.71"/>
    <n v="350.3"/>
    <n v="169.77000000000004"/>
    <x v="0"/>
    <x v="0"/>
    <x v="1"/>
    <x v="0"/>
    <x v="0"/>
    <s v="Yes"/>
    <x v="0"/>
    <x v="0"/>
    <n v="4"/>
    <n v="107.4"/>
    <x v="4"/>
    <x v="0"/>
  </r>
  <r>
    <s v="T00547"/>
    <s v="E0151"/>
    <s v="London"/>
    <x v="1"/>
    <s v="Manager"/>
    <s v="Internal meeting"/>
    <d v="2026-05-04T00:00:00"/>
    <d v="2026-05-07T00:00:00"/>
    <d v="2026-05-09T00:00:00"/>
    <x v="2"/>
    <s v="London"/>
    <x v="22"/>
    <x v="0"/>
    <x v="0"/>
    <s v="Standard / 2nd Class"/>
    <n v="504"/>
    <n v="3"/>
    <x v="1"/>
    <x v="0"/>
    <m/>
    <s v="H01"/>
    <n v="0"/>
    <n v="241.44"/>
    <x v="2"/>
    <n v="240.06"/>
    <n v="240.06"/>
    <n v="84.01"/>
    <n v="565.51"/>
    <x v="0"/>
    <x v="0"/>
    <n v="0"/>
    <n v="0"/>
    <n v="0"/>
    <n v="565.51"/>
    <x v="1"/>
    <x v="0"/>
    <x v="0"/>
    <x v="0"/>
    <x v="0"/>
    <s v="Yes"/>
    <x v="0"/>
    <x v="1"/>
    <n v="4"/>
    <n v="20.2"/>
    <x v="0"/>
    <x v="2"/>
  </r>
  <r>
    <s v="T00548"/>
    <s v="E0151"/>
    <s v="London"/>
    <x v="1"/>
    <s v="Manager"/>
    <s v="Conference / Event"/>
    <d v="2026-04-22T00:00:00"/>
    <d v="2026-05-03T00:00:00"/>
    <d v="2026-05-05T00:00:00"/>
    <x v="2"/>
    <s v="London"/>
    <x v="16"/>
    <x v="1"/>
    <x v="1"/>
    <s v="Economy"/>
    <n v="1166"/>
    <n v="11"/>
    <x v="0"/>
    <x v="0"/>
    <s v="A01"/>
    <s v="H02"/>
    <n v="182.77"/>
    <n v="0"/>
    <x v="2"/>
    <n v="96.86"/>
    <n v="96.86"/>
    <n v="107.71"/>
    <n v="387.34"/>
    <x v="0"/>
    <x v="0"/>
    <n v="0"/>
    <n v="0"/>
    <n v="0"/>
    <n v="387.34"/>
    <x v="0"/>
    <x v="0"/>
    <x v="1"/>
    <x v="0"/>
    <x v="0"/>
    <s v="Yes"/>
    <x v="0"/>
    <x v="0"/>
    <n v="4"/>
    <n v="174.9"/>
    <x v="1"/>
    <x v="1"/>
  </r>
  <r>
    <s v="T00549"/>
    <s v="E0151"/>
    <s v="London"/>
    <x v="1"/>
    <s v="Manager"/>
    <s v="Project work"/>
    <d v="2026-05-10T00:00:00"/>
    <d v="2026-05-28T00:00:00"/>
    <d v="2026-05-31T00:00:00"/>
    <x v="2"/>
    <s v="London"/>
    <x v="1"/>
    <x v="1"/>
    <x v="1"/>
    <s v="Economy"/>
    <n v="2648"/>
    <n v="18"/>
    <x v="3"/>
    <x v="1"/>
    <s v="A02"/>
    <s v="H03"/>
    <n v="315.39999999999998"/>
    <n v="0"/>
    <x v="0"/>
    <n v="231.715"/>
    <n v="463.43"/>
    <n v="58.15"/>
    <n v="836.98"/>
    <x v="0"/>
    <x v="0"/>
    <n v="0"/>
    <n v="0"/>
    <n v="0"/>
    <n v="836.98"/>
    <x v="1"/>
    <x v="0"/>
    <x v="1"/>
    <x v="0"/>
    <x v="0"/>
    <s v="Yes"/>
    <x v="0"/>
    <x v="1"/>
    <n v="4"/>
    <n v="397.2"/>
    <x v="4"/>
    <x v="4"/>
  </r>
  <r>
    <s v="T00550"/>
    <s v="E0151"/>
    <s v="London"/>
    <x v="1"/>
    <s v="Manager"/>
    <s v="Client meeting"/>
    <d v="2026-05-31T00:00:00"/>
    <d v="2026-06-16T00:00:00"/>
    <d v="2026-06-19T00:00:00"/>
    <x v="0"/>
    <s v="London"/>
    <x v="1"/>
    <x v="1"/>
    <x v="1"/>
    <s v="Economy"/>
    <n v="2304"/>
    <n v="16"/>
    <x v="3"/>
    <x v="0"/>
    <s v="A01"/>
    <s v="H05"/>
    <n v="506.19"/>
    <n v="0"/>
    <x v="0"/>
    <n v="181.07499999999999"/>
    <n v="362.15"/>
    <n v="106.37"/>
    <n v="974.71"/>
    <x v="1"/>
    <x v="0"/>
    <n v="40.14"/>
    <n v="0"/>
    <n v="0"/>
    <n v="1014.85"/>
    <x v="1"/>
    <x v="1"/>
    <x v="1"/>
    <x v="0"/>
    <x v="0"/>
    <s v="No"/>
    <x v="0"/>
    <x v="1"/>
    <n v="4"/>
    <n v="345.6"/>
    <x v="1"/>
    <x v="5"/>
  </r>
  <r>
    <s v="T00551"/>
    <s v="E0152"/>
    <s v="Edinburgh"/>
    <x v="0"/>
    <s v="Manager"/>
    <s v="Project work"/>
    <d v="2026-06-06T00:00:00"/>
    <d v="2026-06-14T00:00:00"/>
    <d v="2026-06-15T00:00:00"/>
    <x v="0"/>
    <s v="Edinburgh"/>
    <x v="6"/>
    <x v="0"/>
    <x v="1"/>
    <s v="Economy"/>
    <n v="1116"/>
    <n v="8"/>
    <x v="0"/>
    <x v="0"/>
    <s v="A02"/>
    <m/>
    <n v="460.73"/>
    <n v="0"/>
    <x v="5"/>
    <n v="0"/>
    <n v="0"/>
    <n v="48.7"/>
    <n v="509.43"/>
    <x v="0"/>
    <x v="0"/>
    <n v="0"/>
    <n v="0"/>
    <n v="0"/>
    <n v="509.43"/>
    <x v="2"/>
    <x v="2"/>
    <x v="1"/>
    <x v="0"/>
    <x v="0"/>
    <s v="Yes"/>
    <x v="0"/>
    <x v="0"/>
    <n v="5"/>
    <n v="167.4"/>
    <x v="4"/>
    <x v="7"/>
  </r>
  <r>
    <s v="T00552"/>
    <s v="E0152"/>
    <s v="Edinburgh"/>
    <x v="0"/>
    <s v="Manager"/>
    <s v="Project work"/>
    <d v="2026-06-01T00:00:00"/>
    <d v="2026-06-11T00:00:00"/>
    <d v="2026-06-14T00:00:00"/>
    <x v="0"/>
    <s v="Edinburgh"/>
    <x v="15"/>
    <x v="1"/>
    <x v="1"/>
    <s v="Economy"/>
    <n v="3126"/>
    <n v="10"/>
    <x v="0"/>
    <x v="0"/>
    <s v="A01"/>
    <s v="H01"/>
    <n v="162"/>
    <n v="0"/>
    <x v="0"/>
    <n v="231.48"/>
    <n v="462.96"/>
    <n v="58.36"/>
    <n v="683.32"/>
    <x v="0"/>
    <x v="0"/>
    <n v="0"/>
    <n v="0"/>
    <n v="0"/>
    <n v="683.32"/>
    <x v="1"/>
    <x v="0"/>
    <x v="1"/>
    <x v="0"/>
    <x v="0"/>
    <s v="Yes"/>
    <x v="0"/>
    <x v="1"/>
    <n v="5"/>
    <n v="468.9"/>
    <x v="1"/>
    <x v="2"/>
  </r>
  <r>
    <s v="T00553"/>
    <s v="E0152"/>
    <s v="Edinburgh"/>
    <x v="0"/>
    <s v="Manager"/>
    <s v="Client meeting"/>
    <d v="2026-06-12T00:00:00"/>
    <d v="2026-07-02T00:00:00"/>
    <d v="2026-07-05T00:00:00"/>
    <x v="1"/>
    <s v="Edinburgh"/>
    <x v="1"/>
    <x v="1"/>
    <x v="1"/>
    <s v="Economy"/>
    <n v="2456"/>
    <n v="20"/>
    <x v="3"/>
    <x v="0"/>
    <s v="A01"/>
    <s v="H05"/>
    <n v="483.19"/>
    <n v="0"/>
    <x v="0"/>
    <n v="217.67"/>
    <n v="435.34"/>
    <n v="131.18"/>
    <n v="1049.71"/>
    <x v="0"/>
    <x v="0"/>
    <n v="0"/>
    <n v="0"/>
    <n v="0"/>
    <n v="1049.71"/>
    <x v="1"/>
    <x v="1"/>
    <x v="1"/>
    <x v="0"/>
    <x v="0"/>
    <s v="No"/>
    <x v="0"/>
    <x v="1"/>
    <n v="4"/>
    <n v="368.4"/>
    <x v="1"/>
    <x v="5"/>
  </r>
  <r>
    <s v="T00554"/>
    <s v="E0153"/>
    <s v="Manchester"/>
    <x v="2"/>
    <s v="Analyst"/>
    <s v="Client meeting"/>
    <d v="2026-04-11T00:00:00"/>
    <d v="2026-05-04T00:00:00"/>
    <d v="2026-05-07T00:00:00"/>
    <x v="2"/>
    <s v="Manchester"/>
    <x v="14"/>
    <x v="1"/>
    <x v="1"/>
    <s v="Economy"/>
    <n v="2962"/>
    <n v="23"/>
    <x v="3"/>
    <x v="1"/>
    <s v="A01"/>
    <s v="H04"/>
    <n v="315.16000000000003"/>
    <n v="0"/>
    <x v="0"/>
    <n v="214.08"/>
    <n v="428.16"/>
    <n v="63.11"/>
    <n v="806.43"/>
    <x v="0"/>
    <x v="0"/>
    <n v="0"/>
    <n v="0"/>
    <n v="0"/>
    <n v="806.43"/>
    <x v="1"/>
    <x v="0"/>
    <x v="1"/>
    <x v="0"/>
    <x v="0"/>
    <s v="Yes"/>
    <x v="0"/>
    <x v="1"/>
    <n v="4"/>
    <n v="444.3"/>
    <x v="1"/>
    <x v="3"/>
  </r>
  <r>
    <s v="T00555"/>
    <s v="E0154"/>
    <s v="London"/>
    <x v="4"/>
    <s v="Consultant"/>
    <s v="Conference / Event"/>
    <d v="2026-06-17T00:00:00"/>
    <d v="2026-06-22T00:00:00"/>
    <d v="2026-06-26T00:00:00"/>
    <x v="0"/>
    <s v="London"/>
    <x v="19"/>
    <x v="1"/>
    <x v="1"/>
    <s v="Economy"/>
    <n v="2884"/>
    <n v="5"/>
    <x v="4"/>
    <x v="0"/>
    <s v="A03"/>
    <s v="H04"/>
    <n v="379.74"/>
    <n v="0"/>
    <x v="1"/>
    <n v="203.88333333333333"/>
    <n v="611.65"/>
    <n v="108.46"/>
    <n v="1099.8499999999999"/>
    <x v="0"/>
    <x v="0"/>
    <n v="0"/>
    <n v="0"/>
    <n v="0"/>
    <n v="1099.8499999999999"/>
    <x v="1"/>
    <x v="0"/>
    <x v="1"/>
    <x v="0"/>
    <x v="0"/>
    <s v="Yes"/>
    <x v="0"/>
    <x v="1"/>
    <n v="4"/>
    <n v="432.6"/>
    <x v="7"/>
    <x v="3"/>
  </r>
  <r>
    <s v="T00556"/>
    <s v="E0154"/>
    <s v="London"/>
    <x v="4"/>
    <s v="Consultant"/>
    <s v="Internal meeting"/>
    <d v="2026-06-16T00:00:00"/>
    <d v="2026-07-05T00:00:00"/>
    <d v="2026-07-14T00:00:00"/>
    <x v="1"/>
    <s v="London"/>
    <x v="13"/>
    <x v="1"/>
    <x v="1"/>
    <s v="Economy"/>
    <n v="21018"/>
    <n v="19"/>
    <x v="3"/>
    <x v="0"/>
    <s v="A08"/>
    <s v="H01"/>
    <n v="910.26"/>
    <n v="0"/>
    <x v="6"/>
    <n v="218.05250000000001"/>
    <n v="1744.42"/>
    <n v="54.9"/>
    <n v="2709.58"/>
    <x v="0"/>
    <x v="0"/>
    <n v="0"/>
    <n v="0"/>
    <n v="0"/>
    <n v="2709.58"/>
    <x v="0"/>
    <x v="0"/>
    <x v="1"/>
    <x v="0"/>
    <x v="0"/>
    <s v="Yes"/>
    <x v="0"/>
    <x v="0"/>
    <n v="4"/>
    <n v="3152.7"/>
    <x v="10"/>
    <x v="2"/>
  </r>
  <r>
    <s v="T00557"/>
    <s v="E0155"/>
    <s v="London"/>
    <x v="1"/>
    <s v="Analyst"/>
    <s v="Training"/>
    <d v="2026-05-07T00:00:00"/>
    <d v="2026-05-19T00:00:00"/>
    <d v="2026-05-26T00:00:00"/>
    <x v="2"/>
    <s v="London"/>
    <x v="18"/>
    <x v="1"/>
    <x v="1"/>
    <s v="Economy"/>
    <n v="20998"/>
    <n v="12"/>
    <x v="0"/>
    <x v="1"/>
    <s v="A08"/>
    <s v="H02"/>
    <n v="1733.67"/>
    <n v="0"/>
    <x v="7"/>
    <n v="188.07166666666669"/>
    <n v="1128.43"/>
    <n v="73.069999999999993"/>
    <n v="2935.17"/>
    <x v="0"/>
    <x v="0"/>
    <n v="0"/>
    <n v="0"/>
    <n v="0"/>
    <n v="2935.17"/>
    <x v="0"/>
    <x v="0"/>
    <x v="1"/>
    <x v="0"/>
    <x v="0"/>
    <s v="Yes"/>
    <x v="1"/>
    <x v="0"/>
    <n v="4"/>
    <n v="3149.7"/>
    <x v="10"/>
    <x v="1"/>
  </r>
  <r>
    <s v="T00558"/>
    <s v="E0155"/>
    <s v="London"/>
    <x v="1"/>
    <s v="Analyst"/>
    <s v="Project work"/>
    <d v="2026-04-03T00:00:00"/>
    <d v="2026-05-08T00:00:00"/>
    <d v="2026-05-11T00:00:00"/>
    <x v="2"/>
    <s v="London"/>
    <x v="9"/>
    <x v="1"/>
    <x v="1"/>
    <s v="Economy"/>
    <n v="2588"/>
    <n v="35"/>
    <x v="2"/>
    <x v="1"/>
    <s v="A10"/>
    <s v="H01"/>
    <n v="316.27"/>
    <n v="0"/>
    <x v="0"/>
    <n v="134.405"/>
    <n v="268.81"/>
    <n v="94.96"/>
    <n v="680.04"/>
    <x v="1"/>
    <x v="0"/>
    <n v="15"/>
    <n v="0"/>
    <n v="0"/>
    <n v="695.04"/>
    <x v="0"/>
    <x v="0"/>
    <x v="1"/>
    <x v="0"/>
    <x v="0"/>
    <s v="Yes"/>
    <x v="0"/>
    <x v="0"/>
    <n v="5"/>
    <n v="388.2"/>
    <x v="6"/>
    <x v="2"/>
  </r>
  <r>
    <s v="T00559"/>
    <s v="E0155"/>
    <s v="London"/>
    <x v="1"/>
    <s v="Analyst"/>
    <s v="Team building"/>
    <d v="2026-07-03T00:00:00"/>
    <d v="2026-07-09T00:00:00"/>
    <d v="2026-07-11T00:00:00"/>
    <x v="1"/>
    <s v="London"/>
    <x v="10"/>
    <x v="0"/>
    <x v="0"/>
    <s v="Standard / 2nd Class"/>
    <n v="888"/>
    <n v="6"/>
    <x v="4"/>
    <x v="2"/>
    <m/>
    <s v="H07"/>
    <n v="0"/>
    <n v="229.54"/>
    <x v="2"/>
    <n v="142.86000000000001"/>
    <n v="142.86000000000001"/>
    <n v="73.040000000000006"/>
    <n v="445.44"/>
    <x v="0"/>
    <x v="0"/>
    <n v="0"/>
    <n v="0"/>
    <n v="0"/>
    <n v="445.44"/>
    <x v="0"/>
    <x v="1"/>
    <x v="0"/>
    <x v="0"/>
    <x v="1"/>
    <s v="No"/>
    <x v="0"/>
    <x v="1"/>
    <n v="3"/>
    <n v="35.5"/>
    <x v="0"/>
    <x v="6"/>
  </r>
  <r>
    <s v="T00560"/>
    <s v="E0155"/>
    <s v="London"/>
    <x v="1"/>
    <s v="Analyst"/>
    <s v="Client meeting"/>
    <d v="2026-05-30T00:00:00"/>
    <d v="2026-06-05T00:00:00"/>
    <d v="2026-06-10T00:00:00"/>
    <x v="0"/>
    <s v="London"/>
    <x v="4"/>
    <x v="1"/>
    <x v="1"/>
    <s v="Economy"/>
    <n v="3578"/>
    <n v="6"/>
    <x v="4"/>
    <x v="0"/>
    <s v="A05"/>
    <s v="H01"/>
    <n v="355.25"/>
    <n v="0"/>
    <x v="3"/>
    <n v="162.36000000000001"/>
    <n v="649.44000000000005"/>
    <n v="77.63"/>
    <n v="1082.32"/>
    <x v="0"/>
    <x v="0"/>
    <n v="0"/>
    <n v="0"/>
    <n v="0"/>
    <n v="1082.32"/>
    <x v="0"/>
    <x v="0"/>
    <x v="1"/>
    <x v="0"/>
    <x v="0"/>
    <s v="Yes"/>
    <x v="0"/>
    <x v="0"/>
    <n v="5"/>
    <n v="536.70000000000005"/>
    <x v="2"/>
    <x v="2"/>
  </r>
  <r>
    <s v="T00561"/>
    <s v="E0155"/>
    <s v="London"/>
    <x v="1"/>
    <s v="Analyst"/>
    <s v="Training"/>
    <d v="2026-04-08T00:00:00"/>
    <d v="2026-05-03T00:00:00"/>
    <d v="2026-05-05T00:00:00"/>
    <x v="2"/>
    <s v="London"/>
    <x v="15"/>
    <x v="1"/>
    <x v="1"/>
    <s v="Economy"/>
    <n v="1364"/>
    <n v="25"/>
    <x v="3"/>
    <x v="0"/>
    <s v="A05"/>
    <s v="H01"/>
    <n v="325.16000000000003"/>
    <n v="0"/>
    <x v="2"/>
    <n v="136.34"/>
    <n v="136.34"/>
    <n v="102.39"/>
    <n v="563.89"/>
    <x v="0"/>
    <x v="0"/>
    <n v="0"/>
    <n v="0"/>
    <n v="0"/>
    <n v="563.89"/>
    <x v="0"/>
    <x v="0"/>
    <x v="1"/>
    <x v="0"/>
    <x v="0"/>
    <s v="Yes"/>
    <x v="0"/>
    <x v="0"/>
    <n v="5"/>
    <n v="204.6"/>
    <x v="2"/>
    <x v="2"/>
  </r>
  <r>
    <s v="T00562"/>
    <s v="E0155"/>
    <s v="London"/>
    <x v="1"/>
    <s v="Analyst"/>
    <s v="Recruitment / Interview"/>
    <d v="2026-07-07T00:00:00"/>
    <d v="2026-07-22T00:00:00"/>
    <d v="2026-07-27T00:00:00"/>
    <x v="1"/>
    <s v="London"/>
    <x v="16"/>
    <x v="1"/>
    <x v="1"/>
    <s v="Economy"/>
    <n v="3146"/>
    <n v="15"/>
    <x v="3"/>
    <x v="3"/>
    <s v="A05"/>
    <s v="H03"/>
    <n v="527.66999999999996"/>
    <n v="0"/>
    <x v="3"/>
    <n v="167.6925"/>
    <n v="670.77"/>
    <n v="91.99"/>
    <n v="1290.43"/>
    <x v="0"/>
    <x v="0"/>
    <n v="0"/>
    <n v="0"/>
    <n v="0"/>
    <n v="1290.43"/>
    <x v="0"/>
    <x v="0"/>
    <x v="1"/>
    <x v="0"/>
    <x v="1"/>
    <s v="Yes"/>
    <x v="1"/>
    <x v="1"/>
    <n v="5"/>
    <n v="471.9"/>
    <x v="2"/>
    <x v="4"/>
  </r>
  <r>
    <s v="T00563"/>
    <s v="E0156"/>
    <s v="Manchester"/>
    <x v="1"/>
    <s v="Senior Manager"/>
    <s v="Recruitment / Interview"/>
    <d v="2026-05-09T00:00:00"/>
    <d v="2026-05-23T00:00:00"/>
    <d v="2026-05-26T00:00:00"/>
    <x v="2"/>
    <s v="Manchester"/>
    <x v="6"/>
    <x v="0"/>
    <x v="0"/>
    <s v="Standard / 2nd Class"/>
    <n v="676"/>
    <n v="14"/>
    <x v="0"/>
    <x v="0"/>
    <m/>
    <s v="H01"/>
    <n v="0"/>
    <n v="237.19"/>
    <x v="0"/>
    <n v="92.6"/>
    <n v="185.2"/>
    <n v="20"/>
    <n v="442.39"/>
    <x v="0"/>
    <x v="0"/>
    <n v="0"/>
    <n v="0"/>
    <n v="0"/>
    <n v="442.39"/>
    <x v="0"/>
    <x v="0"/>
    <x v="0"/>
    <x v="0"/>
    <x v="0"/>
    <s v="Yes"/>
    <x v="0"/>
    <x v="0"/>
    <n v="5"/>
    <n v="27"/>
    <x v="0"/>
    <x v="2"/>
  </r>
  <r>
    <s v="T00564"/>
    <s v="E0156"/>
    <s v="Manchester"/>
    <x v="1"/>
    <s v="Senior Manager"/>
    <s v="Recruitment / Interview"/>
    <d v="2026-05-16T00:00:00"/>
    <d v="2026-05-26T00:00:00"/>
    <d v="2026-05-29T00:00:00"/>
    <x v="2"/>
    <s v="Manchester"/>
    <x v="6"/>
    <x v="0"/>
    <x v="0"/>
    <s v="Standard / 2nd Class"/>
    <n v="948"/>
    <n v="10"/>
    <x v="0"/>
    <x v="3"/>
    <m/>
    <s v="H06"/>
    <n v="0"/>
    <n v="220.55"/>
    <x v="0"/>
    <n v="178.14500000000001"/>
    <n v="356.29"/>
    <n v="85.2"/>
    <n v="662.04"/>
    <x v="0"/>
    <x v="0"/>
    <n v="0"/>
    <n v="0"/>
    <n v="0"/>
    <n v="662.04"/>
    <x v="0"/>
    <x v="0"/>
    <x v="0"/>
    <x v="0"/>
    <x v="1"/>
    <s v="Yes"/>
    <x v="0"/>
    <x v="1"/>
    <n v="3"/>
    <n v="37.9"/>
    <x v="0"/>
    <x v="0"/>
  </r>
  <r>
    <s v="T00565"/>
    <s v="E0156"/>
    <s v="Manchester"/>
    <x v="1"/>
    <s v="Senior Manager"/>
    <s v="Internal meeting"/>
    <d v="2026-04-23T00:00:00"/>
    <d v="2026-05-05T00:00:00"/>
    <d v="2026-05-09T00:00:00"/>
    <x v="2"/>
    <s v="Manchester"/>
    <x v="15"/>
    <x v="1"/>
    <x v="1"/>
    <s v="Economy"/>
    <n v="2186"/>
    <n v="12"/>
    <x v="0"/>
    <x v="1"/>
    <s v="A01"/>
    <s v="H02"/>
    <n v="257.37"/>
    <n v="0"/>
    <x v="1"/>
    <n v="261.74333333333334"/>
    <n v="785.23"/>
    <n v="91.38"/>
    <n v="1133.98"/>
    <x v="0"/>
    <x v="0"/>
    <n v="0"/>
    <n v="0"/>
    <n v="0"/>
    <n v="1133.98"/>
    <x v="1"/>
    <x v="0"/>
    <x v="1"/>
    <x v="0"/>
    <x v="0"/>
    <s v="Yes"/>
    <x v="0"/>
    <x v="1"/>
    <n v="3"/>
    <n v="327.9"/>
    <x v="1"/>
    <x v="1"/>
  </r>
  <r>
    <s v="T00566"/>
    <s v="E0156"/>
    <s v="Manchester"/>
    <x v="1"/>
    <s v="Senior Manager"/>
    <s v="Project work"/>
    <d v="2026-06-23T00:00:00"/>
    <d v="2026-07-15T00:00:00"/>
    <d v="2026-07-18T00:00:00"/>
    <x v="1"/>
    <s v="Manchester"/>
    <x v="1"/>
    <x v="1"/>
    <x v="1"/>
    <s v="Economy"/>
    <n v="2346"/>
    <n v="22"/>
    <x v="3"/>
    <x v="0"/>
    <s v="A04"/>
    <s v="H05"/>
    <n v="299.57"/>
    <n v="0"/>
    <x v="0"/>
    <n v="185.94499999999999"/>
    <n v="371.89"/>
    <n v="99.46"/>
    <n v="770.92"/>
    <x v="0"/>
    <x v="0"/>
    <n v="0"/>
    <n v="0"/>
    <n v="0"/>
    <n v="770.92"/>
    <x v="1"/>
    <x v="1"/>
    <x v="1"/>
    <x v="0"/>
    <x v="0"/>
    <s v="No"/>
    <x v="0"/>
    <x v="1"/>
    <n v="4"/>
    <n v="351.9"/>
    <x v="3"/>
    <x v="5"/>
  </r>
  <r>
    <s v="T00567"/>
    <s v="E0156"/>
    <s v="Manchester"/>
    <x v="1"/>
    <s v="Senior Manager"/>
    <s v="Other"/>
    <d v="2026-05-18T00:00:00"/>
    <d v="2026-06-06T00:00:00"/>
    <d v="2026-06-09T00:00:00"/>
    <x v="0"/>
    <s v="Manchester"/>
    <x v="14"/>
    <x v="1"/>
    <x v="1"/>
    <s v="Economy"/>
    <n v="2792"/>
    <n v="19"/>
    <x v="3"/>
    <x v="1"/>
    <s v="A03"/>
    <s v="H03"/>
    <n v="150"/>
    <n v="0"/>
    <x v="0"/>
    <n v="178.55"/>
    <n v="357.1"/>
    <n v="37.28"/>
    <n v="544.38"/>
    <x v="0"/>
    <x v="0"/>
    <n v="0"/>
    <n v="0"/>
    <n v="0"/>
    <n v="544.38"/>
    <x v="0"/>
    <x v="0"/>
    <x v="1"/>
    <x v="0"/>
    <x v="0"/>
    <s v="Yes"/>
    <x v="0"/>
    <x v="0"/>
    <n v="5"/>
    <n v="418.8"/>
    <x v="7"/>
    <x v="4"/>
  </r>
  <r>
    <s v="T00568"/>
    <s v="E0156"/>
    <s v="Manchester"/>
    <x v="1"/>
    <s v="Senior Manager"/>
    <s v="Project work"/>
    <d v="2026-07-01T00:00:00"/>
    <d v="2026-07-19T00:00:00"/>
    <d v="2026-07-24T00:00:00"/>
    <x v="1"/>
    <s v="Manchester"/>
    <x v="11"/>
    <x v="1"/>
    <x v="1"/>
    <s v="Economy"/>
    <n v="2360"/>
    <n v="18"/>
    <x v="3"/>
    <x v="0"/>
    <s v="A04"/>
    <s v="H03"/>
    <n v="195.23"/>
    <n v="0"/>
    <x v="3"/>
    <n v="219.20500000000001"/>
    <n v="876.82"/>
    <n v="62.68"/>
    <n v="1134.73"/>
    <x v="0"/>
    <x v="0"/>
    <n v="0"/>
    <n v="0"/>
    <n v="0"/>
    <n v="1134.73"/>
    <x v="1"/>
    <x v="0"/>
    <x v="1"/>
    <x v="0"/>
    <x v="0"/>
    <s v="Yes"/>
    <x v="0"/>
    <x v="1"/>
    <n v="4"/>
    <n v="354"/>
    <x v="3"/>
    <x v="4"/>
  </r>
  <r>
    <s v="T00569"/>
    <s v="E0157"/>
    <s v="Manchester"/>
    <x v="5"/>
    <s v="Manager"/>
    <s v="Project work"/>
    <d v="2026-06-17T00:00:00"/>
    <d v="2026-07-15T00:00:00"/>
    <d v="2026-07-18T00:00:00"/>
    <x v="1"/>
    <s v="Manchester"/>
    <x v="14"/>
    <x v="1"/>
    <x v="1"/>
    <s v="Economy"/>
    <n v="2428"/>
    <n v="28"/>
    <x v="3"/>
    <x v="0"/>
    <s v="A01"/>
    <s v="H01"/>
    <n v="349.76"/>
    <n v="0"/>
    <x v="0"/>
    <n v="138.13499999999999"/>
    <n v="276.27"/>
    <n v="66.430000000000007"/>
    <n v="692.46"/>
    <x v="0"/>
    <x v="0"/>
    <n v="0"/>
    <n v="0"/>
    <n v="0"/>
    <n v="692.46"/>
    <x v="0"/>
    <x v="0"/>
    <x v="1"/>
    <x v="0"/>
    <x v="0"/>
    <s v="Yes"/>
    <x v="0"/>
    <x v="0"/>
    <n v="5"/>
    <n v="364.2"/>
    <x v="1"/>
    <x v="2"/>
  </r>
  <r>
    <s v="T00570"/>
    <s v="E0157"/>
    <s v="Manchester"/>
    <x v="5"/>
    <s v="Manager"/>
    <s v="Client meeting"/>
    <d v="2026-05-17T00:00:00"/>
    <d v="2026-06-11T00:00:00"/>
    <d v="2026-06-13T00:00:00"/>
    <x v="0"/>
    <s v="Manchester"/>
    <x v="4"/>
    <x v="1"/>
    <x v="1"/>
    <s v="Economy"/>
    <n v="1474"/>
    <n v="25"/>
    <x v="3"/>
    <x v="0"/>
    <s v="A02"/>
    <s v="H04"/>
    <n v="259.88"/>
    <n v="0"/>
    <x v="2"/>
    <n v="187.1"/>
    <n v="187.1"/>
    <n v="83.31"/>
    <n v="530.29"/>
    <x v="0"/>
    <x v="0"/>
    <n v="0"/>
    <n v="0"/>
    <n v="0"/>
    <n v="530.29"/>
    <x v="0"/>
    <x v="0"/>
    <x v="1"/>
    <x v="0"/>
    <x v="0"/>
    <s v="Yes"/>
    <x v="0"/>
    <x v="0"/>
    <n v="4"/>
    <n v="221.1"/>
    <x v="4"/>
    <x v="3"/>
  </r>
  <r>
    <s v="T00571"/>
    <s v="E0157"/>
    <s v="Manchester"/>
    <x v="5"/>
    <s v="Manager"/>
    <s v="Training"/>
    <d v="2026-06-27T00:00:00"/>
    <d v="2026-07-20T00:00:00"/>
    <d v="2026-07-24T00:00:00"/>
    <x v="1"/>
    <s v="Manchester"/>
    <x v="1"/>
    <x v="1"/>
    <x v="1"/>
    <s v="Economy"/>
    <n v="1220"/>
    <n v="23"/>
    <x v="3"/>
    <x v="0"/>
    <s v="A04"/>
    <s v="H04"/>
    <n v="253.99"/>
    <n v="0"/>
    <x v="1"/>
    <n v="159.65333333333334"/>
    <n v="478.96"/>
    <n v="55.52"/>
    <n v="788.47"/>
    <x v="1"/>
    <x v="0"/>
    <n v="40.08"/>
    <n v="0"/>
    <n v="0"/>
    <n v="828.55000000000007"/>
    <x v="0"/>
    <x v="0"/>
    <x v="1"/>
    <x v="0"/>
    <x v="0"/>
    <s v="Yes"/>
    <x v="0"/>
    <x v="0"/>
    <n v="4"/>
    <n v="183"/>
    <x v="3"/>
    <x v="3"/>
  </r>
  <r>
    <s v="T00572"/>
    <s v="E0157"/>
    <s v="Manchester"/>
    <x v="5"/>
    <s v="Manager"/>
    <s v="Project work"/>
    <d v="2026-07-20T00:00:00"/>
    <d v="2026-07-21T00:00:00"/>
    <d v="2026-07-26T00:00:00"/>
    <x v="1"/>
    <s v="Manchester"/>
    <x v="19"/>
    <x v="1"/>
    <x v="1"/>
    <s v="Economy"/>
    <n v="1268"/>
    <n v="1"/>
    <x v="1"/>
    <x v="0"/>
    <s v="A05"/>
    <s v="H05"/>
    <n v="328.74"/>
    <n v="0"/>
    <x v="3"/>
    <n v="149.11750000000001"/>
    <n v="596.47"/>
    <n v="63.38"/>
    <n v="988.59"/>
    <x v="0"/>
    <x v="0"/>
    <n v="0"/>
    <n v="0"/>
    <n v="0"/>
    <n v="988.59"/>
    <x v="0"/>
    <x v="1"/>
    <x v="1"/>
    <x v="0"/>
    <x v="0"/>
    <s v="No"/>
    <x v="0"/>
    <x v="1"/>
    <n v="4"/>
    <n v="190.2"/>
    <x v="2"/>
    <x v="5"/>
  </r>
  <r>
    <s v="T00573"/>
    <s v="E0158"/>
    <s v="London"/>
    <x v="1"/>
    <s v="Consultant"/>
    <s v="Project work"/>
    <d v="2026-06-10T00:00:00"/>
    <d v="2026-06-20T00:00:00"/>
    <d v="2026-06-24T00:00:00"/>
    <x v="0"/>
    <s v="London"/>
    <x v="9"/>
    <x v="1"/>
    <x v="1"/>
    <s v="Economy"/>
    <n v="3482"/>
    <n v="10"/>
    <x v="0"/>
    <x v="1"/>
    <s v="A10"/>
    <s v="H02"/>
    <n v="510.18"/>
    <n v="0"/>
    <x v="1"/>
    <n v="161.46"/>
    <n v="484.38"/>
    <n v="114.37"/>
    <n v="1108.93"/>
    <x v="0"/>
    <x v="1"/>
    <n v="0"/>
    <n v="82.8"/>
    <n v="745.92"/>
    <n v="445.81000000000006"/>
    <x v="0"/>
    <x v="0"/>
    <x v="1"/>
    <x v="0"/>
    <x v="0"/>
    <s v="Yes"/>
    <x v="0"/>
    <x v="0"/>
    <n v="4"/>
    <n v="522.29999999999995"/>
    <x v="6"/>
    <x v="1"/>
  </r>
  <r>
    <s v="T00574"/>
    <s v="E0158"/>
    <s v="London"/>
    <x v="1"/>
    <s v="Consultant"/>
    <s v="Client meeting"/>
    <d v="2026-06-03T00:00:00"/>
    <d v="2026-07-02T00:00:00"/>
    <d v="2026-07-06T00:00:00"/>
    <x v="1"/>
    <s v="London"/>
    <x v="11"/>
    <x v="1"/>
    <x v="1"/>
    <s v="Economy"/>
    <n v="1324"/>
    <n v="29"/>
    <x v="3"/>
    <x v="0"/>
    <s v="A04"/>
    <s v="H03"/>
    <n v="485.32"/>
    <n v="0"/>
    <x v="1"/>
    <n v="148.42333333333332"/>
    <n v="445.27"/>
    <n v="65.27"/>
    <n v="995.86"/>
    <x v="0"/>
    <x v="0"/>
    <n v="0"/>
    <n v="0"/>
    <n v="0"/>
    <n v="995.86"/>
    <x v="0"/>
    <x v="0"/>
    <x v="1"/>
    <x v="0"/>
    <x v="0"/>
    <s v="Yes"/>
    <x v="0"/>
    <x v="0"/>
    <n v="4"/>
    <n v="198.6"/>
    <x v="3"/>
    <x v="4"/>
  </r>
  <r>
    <s v="T00575"/>
    <s v="E0159"/>
    <s v="London"/>
    <x v="4"/>
    <s v="Senior Manager"/>
    <s v="Client meeting"/>
    <d v="2026-06-19T00:00:00"/>
    <d v="2026-06-20T00:00:00"/>
    <d v="2026-06-25T00:00:00"/>
    <x v="0"/>
    <s v="London"/>
    <x v="11"/>
    <x v="1"/>
    <x v="1"/>
    <s v="Economy"/>
    <n v="1130"/>
    <n v="1"/>
    <x v="1"/>
    <x v="0"/>
    <s v="A01"/>
    <s v="H05"/>
    <n v="189.56"/>
    <n v="0"/>
    <x v="3"/>
    <n v="87.777500000000003"/>
    <n v="351.11"/>
    <n v="81.61"/>
    <n v="622.28"/>
    <x v="0"/>
    <x v="0"/>
    <n v="0"/>
    <n v="0"/>
    <n v="0"/>
    <n v="622.28"/>
    <x v="0"/>
    <x v="1"/>
    <x v="1"/>
    <x v="0"/>
    <x v="0"/>
    <s v="No"/>
    <x v="0"/>
    <x v="1"/>
    <n v="4"/>
    <n v="169.5"/>
    <x v="1"/>
    <x v="5"/>
  </r>
  <r>
    <s v="T00576"/>
    <s v="E0160"/>
    <s v="London"/>
    <x v="1"/>
    <s v="Senior Manager"/>
    <s v="Client meeting"/>
    <d v="2026-06-30T00:00:00"/>
    <d v="2026-07-05T00:00:00"/>
    <d v="2026-07-07T00:00:00"/>
    <x v="1"/>
    <s v="London"/>
    <x v="20"/>
    <x v="1"/>
    <x v="1"/>
    <s v="Economy"/>
    <n v="12472"/>
    <n v="5"/>
    <x v="4"/>
    <x v="0"/>
    <s v="A07"/>
    <s v="H04"/>
    <n v="963.64"/>
    <n v="0"/>
    <x v="2"/>
    <n v="116.89"/>
    <n v="116.89"/>
    <n v="78.73"/>
    <n v="1159.26"/>
    <x v="0"/>
    <x v="0"/>
    <n v="0"/>
    <n v="0"/>
    <n v="0"/>
    <n v="1159.26"/>
    <x v="0"/>
    <x v="0"/>
    <x v="1"/>
    <x v="0"/>
    <x v="0"/>
    <s v="Yes"/>
    <x v="1"/>
    <x v="0"/>
    <n v="4"/>
    <n v="1870.8"/>
    <x v="5"/>
    <x v="3"/>
  </r>
  <r>
    <s v="T00577"/>
    <s v="E0160"/>
    <s v="London"/>
    <x v="1"/>
    <s v="Senior Manager"/>
    <s v="Project work"/>
    <d v="2026-05-27T00:00:00"/>
    <d v="2026-06-08T00:00:00"/>
    <d v="2026-06-13T00:00:00"/>
    <x v="0"/>
    <s v="London"/>
    <x v="11"/>
    <x v="1"/>
    <x v="1"/>
    <s v="Economy"/>
    <n v="3324"/>
    <n v="12"/>
    <x v="0"/>
    <x v="1"/>
    <s v="A04"/>
    <s v="H02"/>
    <n v="530.04999999999995"/>
    <n v="0"/>
    <x v="3"/>
    <n v="205.88249999999999"/>
    <n v="823.53"/>
    <n v="89.75"/>
    <n v="1443.33"/>
    <x v="0"/>
    <x v="0"/>
    <n v="0"/>
    <n v="0"/>
    <n v="0"/>
    <n v="1443.33"/>
    <x v="1"/>
    <x v="0"/>
    <x v="1"/>
    <x v="0"/>
    <x v="0"/>
    <s v="Yes"/>
    <x v="0"/>
    <x v="1"/>
    <n v="4"/>
    <n v="498.6"/>
    <x v="3"/>
    <x v="1"/>
  </r>
  <r>
    <s v="T00578"/>
    <s v="E0160"/>
    <s v="London"/>
    <x v="1"/>
    <s v="Senior Manager"/>
    <s v="Training"/>
    <d v="2026-07-07T00:00:00"/>
    <d v="2026-07-22T00:00:00"/>
    <d v="2026-07-24T00:00:00"/>
    <x v="1"/>
    <s v="London"/>
    <x v="14"/>
    <x v="1"/>
    <x v="1"/>
    <s v="Economy"/>
    <n v="2570"/>
    <n v="15"/>
    <x v="3"/>
    <x v="0"/>
    <s v="A03"/>
    <s v="H03"/>
    <n v="321.86"/>
    <n v="0"/>
    <x v="2"/>
    <n v="150.78"/>
    <n v="150.78"/>
    <n v="78.38"/>
    <n v="551.02"/>
    <x v="0"/>
    <x v="1"/>
    <n v="0"/>
    <n v="47.72"/>
    <n v="236.32"/>
    <n v="362.42"/>
    <x v="0"/>
    <x v="0"/>
    <x v="1"/>
    <x v="0"/>
    <x v="0"/>
    <s v="Yes"/>
    <x v="1"/>
    <x v="0"/>
    <n v="3"/>
    <n v="385.5"/>
    <x v="7"/>
    <x v="4"/>
  </r>
  <r>
    <s v="T00579"/>
    <s v="E0160"/>
    <s v="London"/>
    <x v="1"/>
    <s v="Senior Manager"/>
    <s v="Client meeting"/>
    <d v="2026-05-20T00:00:00"/>
    <d v="2026-05-21T00:00:00"/>
    <d v="2026-05-25T00:00:00"/>
    <x v="2"/>
    <s v="London"/>
    <x v="16"/>
    <x v="1"/>
    <x v="1"/>
    <s v="Economy"/>
    <n v="2566"/>
    <n v="1"/>
    <x v="1"/>
    <x v="1"/>
    <s v="A05"/>
    <s v="H04"/>
    <n v="641.99"/>
    <n v="0"/>
    <x v="1"/>
    <n v="202.11666666666667"/>
    <n v="606.35"/>
    <n v="71.48"/>
    <n v="1319.82"/>
    <x v="0"/>
    <x v="0"/>
    <n v="0"/>
    <n v="0"/>
    <n v="0"/>
    <n v="1319.82"/>
    <x v="1"/>
    <x v="0"/>
    <x v="1"/>
    <x v="0"/>
    <x v="0"/>
    <s v="Yes"/>
    <x v="0"/>
    <x v="1"/>
    <n v="5"/>
    <n v="384.9"/>
    <x v="2"/>
    <x v="3"/>
  </r>
  <r>
    <s v="T00580"/>
    <s v="E0160"/>
    <s v="London"/>
    <x v="1"/>
    <s v="Senior Manager"/>
    <s v="Recruitment / Interview"/>
    <d v="2026-05-23T00:00:00"/>
    <d v="2026-06-04T00:00:00"/>
    <d v="2026-06-09T00:00:00"/>
    <x v="0"/>
    <s v="London"/>
    <x v="4"/>
    <x v="1"/>
    <x v="1"/>
    <s v="Economy"/>
    <n v="2124"/>
    <n v="12"/>
    <x v="0"/>
    <x v="2"/>
    <s v="A05"/>
    <s v="H05"/>
    <n v="468.49"/>
    <n v="0"/>
    <x v="3"/>
    <n v="171.32749999999999"/>
    <n v="685.31"/>
    <n v="86.88"/>
    <n v="1240.68"/>
    <x v="0"/>
    <x v="0"/>
    <n v="0"/>
    <n v="0"/>
    <n v="0"/>
    <n v="1240.68"/>
    <x v="0"/>
    <x v="1"/>
    <x v="1"/>
    <x v="0"/>
    <x v="1"/>
    <s v="No"/>
    <x v="0"/>
    <x v="1"/>
    <n v="3"/>
    <n v="318.60000000000002"/>
    <x v="2"/>
    <x v="5"/>
  </r>
  <r>
    <s v="T00581"/>
    <s v="E0160"/>
    <s v="London"/>
    <x v="1"/>
    <s v="Senior Manager"/>
    <s v="Training"/>
    <d v="2026-05-14T00:00:00"/>
    <d v="2026-05-21T00:00:00"/>
    <d v="2026-05-25T00:00:00"/>
    <x v="2"/>
    <s v="London"/>
    <x v="15"/>
    <x v="1"/>
    <x v="1"/>
    <s v="Economy"/>
    <n v="3434"/>
    <n v="7"/>
    <x v="4"/>
    <x v="0"/>
    <s v="A05"/>
    <s v="H02"/>
    <n v="351.59"/>
    <n v="0"/>
    <x v="1"/>
    <n v="193.99"/>
    <n v="581.97"/>
    <n v="36.159999999999997"/>
    <n v="969.72"/>
    <x v="0"/>
    <x v="0"/>
    <n v="0"/>
    <n v="0"/>
    <n v="0"/>
    <n v="969.72"/>
    <x v="1"/>
    <x v="0"/>
    <x v="1"/>
    <x v="0"/>
    <x v="0"/>
    <s v="Yes"/>
    <x v="0"/>
    <x v="1"/>
    <n v="5"/>
    <n v="515.1"/>
    <x v="2"/>
    <x v="1"/>
  </r>
  <r>
    <s v="T00582"/>
    <s v="E0160"/>
    <s v="London"/>
    <x v="1"/>
    <s v="Senior Manager"/>
    <s v="Training"/>
    <d v="2026-06-05T00:00:00"/>
    <d v="2026-06-20T00:00:00"/>
    <d v="2026-06-23T00:00:00"/>
    <x v="0"/>
    <s v="London"/>
    <x v="16"/>
    <x v="1"/>
    <x v="1"/>
    <s v="Economy"/>
    <n v="1032"/>
    <n v="15"/>
    <x v="3"/>
    <x v="0"/>
    <s v="A01"/>
    <s v="H05"/>
    <n v="314.35000000000002"/>
    <n v="0"/>
    <x v="0"/>
    <n v="192.92"/>
    <n v="385.84"/>
    <n v="44.13"/>
    <n v="744.32"/>
    <x v="0"/>
    <x v="0"/>
    <n v="0"/>
    <n v="0"/>
    <n v="0"/>
    <n v="744.32"/>
    <x v="1"/>
    <x v="1"/>
    <x v="1"/>
    <x v="0"/>
    <x v="0"/>
    <s v="No"/>
    <x v="0"/>
    <x v="1"/>
    <n v="4"/>
    <n v="154.80000000000001"/>
    <x v="1"/>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H00001"/>
    <s v="T00016"/>
    <d v="2026-04-28T00:00:00"/>
    <x v="0"/>
    <n v="179.72"/>
    <x v="0"/>
  </r>
  <r>
    <s v="CH00002"/>
    <s v="T00016"/>
    <d v="2026-04-22T00:00:00"/>
    <x v="0"/>
    <n v="143.68"/>
    <x v="1"/>
  </r>
  <r>
    <s v="CH00003"/>
    <s v="T00022"/>
    <d v="2026-07-24T00:00:00"/>
    <x v="1"/>
    <n v="70.28"/>
    <x v="2"/>
  </r>
  <r>
    <s v="CH00004"/>
    <s v="T00023"/>
    <d v="2026-04-26T00:00:00"/>
    <x v="2"/>
    <n v="147.88"/>
    <x v="3"/>
  </r>
  <r>
    <s v="CH00005"/>
    <s v="T00033"/>
    <d v="2026-05-25T00:00:00"/>
    <x v="3"/>
    <n v="68.12"/>
    <x v="0"/>
  </r>
  <r>
    <s v="CH00006"/>
    <s v="T00034"/>
    <d v="2026-07-02T00:00:00"/>
    <x v="0"/>
    <n v="173.75"/>
    <x v="4"/>
  </r>
  <r>
    <s v="CH00007"/>
    <s v="T00039"/>
    <d v="2026-07-02T00:00:00"/>
    <x v="0"/>
    <n v="31.77"/>
    <x v="1"/>
  </r>
  <r>
    <s v="CH00008"/>
    <s v="T00057"/>
    <d v="2026-04-26T00:00:00"/>
    <x v="0"/>
    <n v="90.11"/>
    <x v="2"/>
  </r>
  <r>
    <s v="CH00009"/>
    <s v="T00060"/>
    <d v="2026-06-05T00:00:00"/>
    <x v="0"/>
    <n v="108.7"/>
    <x v="4"/>
  </r>
  <r>
    <s v="CH00010"/>
    <s v="T00067"/>
    <d v="2026-06-06T00:00:00"/>
    <x v="1"/>
    <n v="83.31"/>
    <x v="3"/>
  </r>
  <r>
    <s v="CH00011"/>
    <s v="T00078"/>
    <d v="2026-05-26T00:00:00"/>
    <x v="3"/>
    <n v="82.26"/>
    <x v="3"/>
  </r>
  <r>
    <s v="CH00012"/>
    <s v="T00113"/>
    <d v="2026-04-30T00:00:00"/>
    <x v="1"/>
    <n v="50.45"/>
    <x v="4"/>
  </r>
  <r>
    <s v="CH00013"/>
    <s v="T00114"/>
    <d v="2026-05-06T00:00:00"/>
    <x v="2"/>
    <n v="89.48"/>
    <x v="0"/>
  </r>
  <r>
    <s v="CH00014"/>
    <s v="T00122"/>
    <d v="2026-05-07T00:00:00"/>
    <x v="0"/>
    <n v="146.38999999999999"/>
    <x v="0"/>
  </r>
  <r>
    <s v="CH00015"/>
    <s v="T00126"/>
    <d v="2026-06-09T00:00:00"/>
    <x v="3"/>
    <n v="99.3"/>
    <x v="4"/>
  </r>
  <r>
    <s v="CH00016"/>
    <s v="T00130"/>
    <d v="2026-05-31T00:00:00"/>
    <x v="0"/>
    <n v="26.56"/>
    <x v="3"/>
  </r>
  <r>
    <s v="CH00017"/>
    <s v="T00131"/>
    <d v="2026-06-10T00:00:00"/>
    <x v="0"/>
    <n v="101.1"/>
    <x v="4"/>
  </r>
  <r>
    <s v="CH00018"/>
    <s v="T00141"/>
    <d v="2026-07-30T00:00:00"/>
    <x v="0"/>
    <n v="142.97999999999999"/>
    <x v="2"/>
  </r>
  <r>
    <s v="CH00019"/>
    <s v="T00150"/>
    <d v="2026-07-27T00:00:00"/>
    <x v="4"/>
    <n v="36.72"/>
    <x v="4"/>
  </r>
  <r>
    <s v="CH00020"/>
    <s v="T00156"/>
    <d v="2026-05-04T00:00:00"/>
    <x v="2"/>
    <n v="58.23"/>
    <x v="3"/>
  </r>
  <r>
    <s v="CH00021"/>
    <s v="T00157"/>
    <d v="2026-06-08T00:00:00"/>
    <x v="1"/>
    <n v="148.11000000000001"/>
    <x v="1"/>
  </r>
  <r>
    <s v="CH00022"/>
    <s v="T00167"/>
    <d v="2026-07-29T00:00:00"/>
    <x v="1"/>
    <n v="113.53"/>
    <x v="2"/>
  </r>
  <r>
    <s v="CH00023"/>
    <s v="T00174"/>
    <d v="2026-07-09T00:00:00"/>
    <x v="3"/>
    <n v="126.62"/>
    <x v="0"/>
  </r>
  <r>
    <s v="CH00024"/>
    <s v="T00192"/>
    <d v="2026-07-25T00:00:00"/>
    <x v="1"/>
    <n v="15"/>
    <x v="2"/>
  </r>
  <r>
    <s v="CH00025"/>
    <s v="T00203"/>
    <d v="2026-05-14T00:00:00"/>
    <x v="0"/>
    <n v="98.46"/>
    <x v="1"/>
  </r>
  <r>
    <s v="CH00026"/>
    <s v="T00203"/>
    <d v="2026-05-14T00:00:00"/>
    <x v="1"/>
    <n v="56.19"/>
    <x v="2"/>
  </r>
  <r>
    <s v="CH00027"/>
    <s v="T00209"/>
    <d v="2026-05-07T00:00:00"/>
    <x v="1"/>
    <n v="82.21"/>
    <x v="4"/>
  </r>
  <r>
    <s v="CH00028"/>
    <s v="T00218"/>
    <d v="2026-06-24T00:00:00"/>
    <x v="0"/>
    <n v="172.33"/>
    <x v="2"/>
  </r>
  <r>
    <s v="CH00029"/>
    <s v="T00245"/>
    <d v="2026-05-11T00:00:00"/>
    <x v="1"/>
    <n v="121.72"/>
    <x v="1"/>
  </r>
  <r>
    <s v="CH00030"/>
    <s v="T00245"/>
    <d v="2026-05-11T00:00:00"/>
    <x v="0"/>
    <n v="201.99"/>
    <x v="1"/>
  </r>
  <r>
    <s v="CH00031"/>
    <s v="T00248"/>
    <d v="2026-07-15T00:00:00"/>
    <x v="1"/>
    <n v="15"/>
    <x v="0"/>
  </r>
  <r>
    <s v="CH00032"/>
    <s v="T00255"/>
    <d v="2026-06-02T00:00:00"/>
    <x v="3"/>
    <n v="55.11"/>
    <x v="2"/>
  </r>
  <r>
    <s v="CH00033"/>
    <s v="T00257"/>
    <d v="2026-07-01T00:00:00"/>
    <x v="3"/>
    <n v="139.12"/>
    <x v="3"/>
  </r>
  <r>
    <s v="CH00034"/>
    <s v="T00258"/>
    <d v="2026-07-15T00:00:00"/>
    <x v="0"/>
    <n v="186.98"/>
    <x v="2"/>
  </r>
  <r>
    <s v="CH00035"/>
    <s v="T00258"/>
    <d v="2026-07-15T00:00:00"/>
    <x v="0"/>
    <n v="130.33000000000001"/>
    <x v="4"/>
  </r>
  <r>
    <s v="CH00036"/>
    <s v="T00264"/>
    <d v="2026-07-24T00:00:00"/>
    <x v="1"/>
    <n v="63.44"/>
    <x v="1"/>
  </r>
  <r>
    <s v="CH00037"/>
    <s v="T00292"/>
    <d v="2026-06-09T00:00:00"/>
    <x v="2"/>
    <n v="25.72"/>
    <x v="0"/>
  </r>
  <r>
    <s v="CH00038"/>
    <s v="T00296"/>
    <d v="2026-06-16T00:00:00"/>
    <x v="1"/>
    <n v="47.39"/>
    <x v="2"/>
  </r>
  <r>
    <s v="CH00039"/>
    <s v="T00296"/>
    <d v="2026-06-02T00:00:00"/>
    <x v="0"/>
    <n v="58.64"/>
    <x v="4"/>
  </r>
  <r>
    <s v="CH00040"/>
    <s v="T00297"/>
    <d v="2026-05-27T00:00:00"/>
    <x v="1"/>
    <n v="73.06"/>
    <x v="1"/>
  </r>
  <r>
    <s v="CH00041"/>
    <s v="T00310"/>
    <d v="2026-07-14T00:00:00"/>
    <x v="3"/>
    <n v="40.32"/>
    <x v="2"/>
  </r>
  <r>
    <s v="CH00042"/>
    <s v="T00313"/>
    <d v="2026-04-19T00:00:00"/>
    <x v="3"/>
    <n v="58.28"/>
    <x v="1"/>
  </r>
  <r>
    <s v="CH00043"/>
    <s v="T00313"/>
    <d v="2026-04-22T00:00:00"/>
    <x v="3"/>
    <n v="127.4"/>
    <x v="3"/>
  </r>
  <r>
    <s v="CH00044"/>
    <s v="T00317"/>
    <d v="2026-07-08T00:00:00"/>
    <x v="2"/>
    <n v="54.8"/>
    <x v="1"/>
  </r>
  <r>
    <s v="CH00045"/>
    <s v="T00325"/>
    <d v="2026-07-07T00:00:00"/>
    <x v="3"/>
    <n v="102.33"/>
    <x v="2"/>
  </r>
  <r>
    <s v="CH00046"/>
    <s v="T00325"/>
    <d v="2026-06-29T00:00:00"/>
    <x v="2"/>
    <n v="118.89"/>
    <x v="4"/>
  </r>
  <r>
    <s v="CH00047"/>
    <s v="T00330"/>
    <d v="2026-05-20T00:00:00"/>
    <x v="0"/>
    <n v="191.94"/>
    <x v="4"/>
  </r>
  <r>
    <s v="CH00048"/>
    <s v="T00337"/>
    <d v="2026-06-19T00:00:00"/>
    <x v="0"/>
    <n v="149.43"/>
    <x v="4"/>
  </r>
  <r>
    <s v="CH00049"/>
    <s v="T00340"/>
    <d v="2026-07-17T00:00:00"/>
    <x v="3"/>
    <n v="175.55"/>
    <x v="4"/>
  </r>
  <r>
    <s v="CH00050"/>
    <s v="T00343"/>
    <d v="2026-06-20T00:00:00"/>
    <x v="0"/>
    <n v="217.03"/>
    <x v="0"/>
  </r>
  <r>
    <s v="CH00051"/>
    <s v="T00344"/>
    <d v="2026-06-19T00:00:00"/>
    <x v="1"/>
    <n v="15"/>
    <x v="0"/>
  </r>
  <r>
    <s v="CH00052"/>
    <s v="T00359"/>
    <d v="2026-04-25T00:00:00"/>
    <x v="4"/>
    <n v="21.58"/>
    <x v="1"/>
  </r>
  <r>
    <s v="CH00053"/>
    <s v="T00367"/>
    <d v="2026-06-18T00:00:00"/>
    <x v="0"/>
    <n v="97.84"/>
    <x v="2"/>
  </r>
  <r>
    <s v="CH00054"/>
    <s v="T00373"/>
    <d v="2026-05-16T00:00:00"/>
    <x v="0"/>
    <n v="55.17"/>
    <x v="2"/>
  </r>
  <r>
    <s v="CH00055"/>
    <s v="T00374"/>
    <d v="2026-07-19T00:00:00"/>
    <x v="0"/>
    <n v="115.66"/>
    <x v="1"/>
  </r>
  <r>
    <s v="CH00056"/>
    <s v="T00382"/>
    <d v="2026-06-20T00:00:00"/>
    <x v="3"/>
    <n v="21.01"/>
    <x v="0"/>
  </r>
  <r>
    <s v="CH00057"/>
    <s v="T00389"/>
    <d v="2026-07-08T00:00:00"/>
    <x v="1"/>
    <n v="67.010000000000005"/>
    <x v="4"/>
  </r>
  <r>
    <s v="CH00058"/>
    <s v="T00389"/>
    <d v="2026-07-07T00:00:00"/>
    <x v="2"/>
    <n v="16.579999999999998"/>
    <x v="4"/>
  </r>
  <r>
    <s v="CH00059"/>
    <s v="T00394"/>
    <d v="2026-07-05T00:00:00"/>
    <x v="2"/>
    <n v="209.16"/>
    <x v="3"/>
  </r>
  <r>
    <s v="CH00060"/>
    <s v="T00394"/>
    <d v="2026-07-05T00:00:00"/>
    <x v="0"/>
    <n v="154.69"/>
    <x v="1"/>
  </r>
  <r>
    <s v="CH00061"/>
    <s v="T00399"/>
    <d v="2026-07-09T00:00:00"/>
    <x v="2"/>
    <n v="136.35"/>
    <x v="4"/>
  </r>
  <r>
    <s v="CH00062"/>
    <s v="T00399"/>
    <d v="2026-07-05T00:00:00"/>
    <x v="0"/>
    <n v="142.69999999999999"/>
    <x v="1"/>
  </r>
  <r>
    <s v="CH00063"/>
    <s v="T00401"/>
    <d v="2026-05-15T00:00:00"/>
    <x v="1"/>
    <n v="18.86"/>
    <x v="0"/>
  </r>
  <r>
    <s v="CH00064"/>
    <s v="T00404"/>
    <d v="2026-07-09T00:00:00"/>
    <x v="0"/>
    <n v="140.99"/>
    <x v="0"/>
  </r>
  <r>
    <s v="CH00065"/>
    <s v="T00405"/>
    <d v="2026-05-16T00:00:00"/>
    <x v="4"/>
    <n v="25.23"/>
    <x v="0"/>
  </r>
  <r>
    <s v="CH00066"/>
    <s v="T00407"/>
    <d v="2026-06-21T00:00:00"/>
    <x v="2"/>
    <n v="120.33"/>
    <x v="4"/>
  </r>
  <r>
    <s v="CH00067"/>
    <s v="T00417"/>
    <d v="2026-05-22T00:00:00"/>
    <x v="1"/>
    <n v="120.74"/>
    <x v="4"/>
  </r>
  <r>
    <s v="CH00068"/>
    <s v="T00424"/>
    <d v="2026-05-12T00:00:00"/>
    <x v="0"/>
    <n v="15"/>
    <x v="0"/>
  </r>
  <r>
    <s v="CH00069"/>
    <s v="T00435"/>
    <d v="2026-06-05T00:00:00"/>
    <x v="3"/>
    <n v="74.599999999999994"/>
    <x v="4"/>
  </r>
  <r>
    <s v="CH00070"/>
    <s v="T00436"/>
    <d v="2026-05-12T00:00:00"/>
    <x v="0"/>
    <n v="120.94"/>
    <x v="2"/>
  </r>
  <r>
    <s v="CH00071"/>
    <s v="T00445"/>
    <d v="2026-05-14T00:00:00"/>
    <x v="2"/>
    <n v="175.92"/>
    <x v="1"/>
  </r>
  <r>
    <s v="CH00072"/>
    <s v="T00449"/>
    <d v="2026-07-08T00:00:00"/>
    <x v="0"/>
    <n v="236.28"/>
    <x v="3"/>
  </r>
  <r>
    <s v="CH00073"/>
    <s v="T00455"/>
    <d v="2026-07-08T00:00:00"/>
    <x v="3"/>
    <n v="134.74"/>
    <x v="2"/>
  </r>
  <r>
    <s v="CH00074"/>
    <s v="T00458"/>
    <d v="2026-07-18T00:00:00"/>
    <x v="0"/>
    <n v="56.34"/>
    <x v="2"/>
  </r>
  <r>
    <s v="CH00075"/>
    <s v="T00467"/>
    <d v="2026-05-24T00:00:00"/>
    <x v="2"/>
    <n v="18.170000000000002"/>
    <x v="1"/>
  </r>
  <r>
    <s v="CH00076"/>
    <s v="T00473"/>
    <d v="2026-06-29T00:00:00"/>
    <x v="3"/>
    <n v="15"/>
    <x v="3"/>
  </r>
  <r>
    <s v="CH00077"/>
    <s v="T00474"/>
    <d v="2026-05-25T00:00:00"/>
    <x v="1"/>
    <n v="15"/>
    <x v="4"/>
  </r>
  <r>
    <s v="CH00078"/>
    <s v="T00474"/>
    <d v="2026-05-31T00:00:00"/>
    <x v="1"/>
    <n v="23.17"/>
    <x v="3"/>
  </r>
  <r>
    <s v="CH00079"/>
    <s v="T00478"/>
    <d v="2026-06-14T00:00:00"/>
    <x v="1"/>
    <n v="15"/>
    <x v="1"/>
  </r>
  <r>
    <s v="CH00080"/>
    <s v="T00481"/>
    <d v="2026-06-11T00:00:00"/>
    <x v="0"/>
    <n v="81.96"/>
    <x v="3"/>
  </r>
  <r>
    <s v="CH00081"/>
    <s v="T00485"/>
    <d v="2026-07-04T00:00:00"/>
    <x v="0"/>
    <n v="100.62"/>
    <x v="3"/>
  </r>
  <r>
    <s v="CH00082"/>
    <s v="T00487"/>
    <d v="2026-07-12T00:00:00"/>
    <x v="1"/>
    <n v="37.32"/>
    <x v="1"/>
  </r>
  <r>
    <s v="CH00083"/>
    <s v="T00487"/>
    <d v="2026-07-11T00:00:00"/>
    <x v="0"/>
    <n v="137.63999999999999"/>
    <x v="2"/>
  </r>
  <r>
    <s v="CH00084"/>
    <s v="T00491"/>
    <d v="2026-05-12T00:00:00"/>
    <x v="0"/>
    <n v="166.52"/>
    <x v="2"/>
  </r>
  <r>
    <s v="CH00085"/>
    <s v="T00496"/>
    <d v="2026-05-28T00:00:00"/>
    <x v="0"/>
    <n v="92.66"/>
    <x v="4"/>
  </r>
  <r>
    <s v="CH00086"/>
    <s v="T00506"/>
    <d v="2026-05-31T00:00:00"/>
    <x v="1"/>
    <n v="67.33"/>
    <x v="3"/>
  </r>
  <r>
    <s v="CH00087"/>
    <s v="T00515"/>
    <d v="2026-05-09T00:00:00"/>
    <x v="3"/>
    <n v="163.05000000000001"/>
    <x v="1"/>
  </r>
  <r>
    <s v="CH00088"/>
    <s v="T00515"/>
    <d v="2026-05-22T00:00:00"/>
    <x v="0"/>
    <n v="123.17"/>
    <x v="2"/>
  </r>
  <r>
    <s v="CH00089"/>
    <s v="T00530"/>
    <d v="2026-05-11T00:00:00"/>
    <x v="0"/>
    <n v="62.47"/>
    <x v="4"/>
  </r>
  <r>
    <s v="CH00090"/>
    <s v="T00530"/>
    <d v="2026-04-30T00:00:00"/>
    <x v="0"/>
    <n v="170.2"/>
    <x v="0"/>
  </r>
  <r>
    <s v="CH00091"/>
    <s v="T00533"/>
    <d v="2026-06-20T00:00:00"/>
    <x v="0"/>
    <n v="62.3"/>
    <x v="0"/>
  </r>
  <r>
    <s v="CH00092"/>
    <s v="T00533"/>
    <d v="2026-06-22T00:00:00"/>
    <x v="0"/>
    <n v="110.94"/>
    <x v="3"/>
  </r>
  <r>
    <s v="CH00093"/>
    <s v="T00535"/>
    <d v="2026-05-03T00:00:00"/>
    <x v="2"/>
    <n v="79.78"/>
    <x v="1"/>
  </r>
  <r>
    <s v="CH00094"/>
    <s v="T00537"/>
    <d v="2026-06-05T00:00:00"/>
    <x v="0"/>
    <n v="43.39"/>
    <x v="0"/>
  </r>
  <r>
    <s v="CH00095"/>
    <s v="T00539"/>
    <d v="2026-07-16T00:00:00"/>
    <x v="0"/>
    <n v="49.62"/>
    <x v="3"/>
  </r>
  <r>
    <s v="CH00096"/>
    <s v="T00543"/>
    <d v="2026-06-07T00:00:00"/>
    <x v="1"/>
    <n v="121.43"/>
    <x v="1"/>
  </r>
  <r>
    <s v="CH00097"/>
    <s v="T00543"/>
    <d v="2026-06-07T00:00:00"/>
    <x v="1"/>
    <n v="164.19"/>
    <x v="0"/>
  </r>
  <r>
    <s v="CH00098"/>
    <s v="T00550"/>
    <d v="2026-06-01T00:00:00"/>
    <x v="0"/>
    <n v="40.14"/>
    <x v="1"/>
  </r>
  <r>
    <s v="CH00099"/>
    <s v="T00558"/>
    <d v="2026-04-18T00:00:00"/>
    <x v="0"/>
    <n v="15"/>
    <x v="2"/>
  </r>
  <r>
    <s v="CH00100"/>
    <s v="T00571"/>
    <d v="2026-07-19T00:00:00"/>
    <x v="0"/>
    <n v="40.08"/>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s v="CN00001"/>
    <s v="T00010"/>
    <d v="2026-07-18T00:00:00"/>
    <x v="0"/>
    <n v="176.35"/>
    <n v="1086.74"/>
  </r>
  <r>
    <s v="CN00002"/>
    <s v="T00015"/>
    <d v="2026-04-24T00:00:00"/>
    <x v="1"/>
    <n v="56.37"/>
    <n v="166.41"/>
  </r>
  <r>
    <s v="CN00003"/>
    <s v="T00026"/>
    <d v="2026-06-21T00:00:00"/>
    <x v="0"/>
    <n v="87.4"/>
    <n v="783.33"/>
  </r>
  <r>
    <s v="CN00004"/>
    <s v="T00038"/>
    <d v="2026-06-22T00:00:00"/>
    <x v="0"/>
    <n v="58.97"/>
    <n v="312.54000000000002"/>
  </r>
  <r>
    <s v="CN00005"/>
    <s v="T00057"/>
    <d v="2026-04-23T00:00:00"/>
    <x v="1"/>
    <n v="120.25"/>
    <n v="1080.57"/>
  </r>
  <r>
    <s v="CN00006"/>
    <s v="T00066"/>
    <d v="2026-05-12T00:00:00"/>
    <x v="2"/>
    <n v="66"/>
    <n v="951.32"/>
  </r>
  <r>
    <s v="CN00007"/>
    <s v="T00068"/>
    <d v="2026-05-31T00:00:00"/>
    <x v="2"/>
    <n v="164.93"/>
    <n v="949.12"/>
  </r>
  <r>
    <s v="CN00008"/>
    <s v="T00069"/>
    <d v="2026-06-08T00:00:00"/>
    <x v="3"/>
    <n v="88.51"/>
    <n v="555.62"/>
  </r>
  <r>
    <s v="CN00009"/>
    <s v="T00071"/>
    <d v="2026-05-15T00:00:00"/>
    <x v="4"/>
    <n v="102.19"/>
    <n v="52.07"/>
  </r>
  <r>
    <s v="CN00010"/>
    <s v="T00072"/>
    <d v="2026-06-05T00:00:00"/>
    <x v="0"/>
    <n v="78.010000000000005"/>
    <n v="1804.7"/>
  </r>
  <r>
    <s v="CN00011"/>
    <s v="T00111"/>
    <d v="2026-05-08T00:00:00"/>
    <x v="2"/>
    <n v="4.41"/>
    <n v="937.58"/>
  </r>
  <r>
    <s v="CN00012"/>
    <s v="T00156"/>
    <d v="2026-05-05T00:00:00"/>
    <x v="4"/>
    <n v="81.45"/>
    <n v="1290.49"/>
  </r>
  <r>
    <s v="CN00013"/>
    <s v="T00172"/>
    <d v="2026-05-07T00:00:00"/>
    <x v="1"/>
    <n v="146"/>
    <n v="2104.83"/>
  </r>
  <r>
    <s v="CN00014"/>
    <s v="T00192"/>
    <d v="2026-07-14T00:00:00"/>
    <x v="2"/>
    <n v="93.69"/>
    <n v="806.16"/>
  </r>
  <r>
    <s v="CN00015"/>
    <s v="T00203"/>
    <d v="2026-05-09T00:00:00"/>
    <x v="5"/>
    <n v="74.67"/>
    <n v="585.49"/>
  </r>
  <r>
    <s v="CN00016"/>
    <s v="T00232"/>
    <d v="2026-05-02T00:00:00"/>
    <x v="5"/>
    <n v="117.97"/>
    <n v="350"/>
  </r>
  <r>
    <s v="CN00017"/>
    <s v="T00234"/>
    <d v="2026-06-16T00:00:00"/>
    <x v="1"/>
    <n v="136.11000000000001"/>
    <n v="930.93"/>
  </r>
  <r>
    <s v="CN00018"/>
    <s v="T00238"/>
    <d v="2026-05-20T00:00:00"/>
    <x v="3"/>
    <n v="52.31"/>
    <n v="1101.51"/>
  </r>
  <r>
    <s v="CN00019"/>
    <s v="T00254"/>
    <d v="2026-07-23T00:00:00"/>
    <x v="1"/>
    <n v="120.12"/>
    <n v="645.30999999999995"/>
  </r>
  <r>
    <s v="CN00020"/>
    <s v="T00286"/>
    <d v="2026-05-18T00:00:00"/>
    <x v="2"/>
    <n v="38.340000000000003"/>
    <n v="0"/>
  </r>
  <r>
    <s v="CN00021"/>
    <s v="T00298"/>
    <d v="2026-06-03T00:00:00"/>
    <x v="0"/>
    <n v="84.92"/>
    <n v="567.99"/>
  </r>
  <r>
    <s v="CN00022"/>
    <s v="T00334"/>
    <d v="2026-05-31T00:00:00"/>
    <x v="2"/>
    <n v="108.98"/>
    <n v="699.07"/>
  </r>
  <r>
    <s v="CN00023"/>
    <s v="T00388"/>
    <d v="2026-06-27T00:00:00"/>
    <x v="5"/>
    <n v="77"/>
    <n v="415.56"/>
  </r>
  <r>
    <s v="CN00024"/>
    <s v="T00395"/>
    <d v="2026-05-23T00:00:00"/>
    <x v="5"/>
    <n v="76.27"/>
    <n v="766.94"/>
  </r>
  <r>
    <s v="CN00025"/>
    <s v="T00425"/>
    <d v="2026-06-24T00:00:00"/>
    <x v="1"/>
    <n v="53.48"/>
    <n v="244.1"/>
  </r>
  <r>
    <s v="CN00026"/>
    <s v="T00428"/>
    <d v="2026-05-13T00:00:00"/>
    <x v="3"/>
    <n v="88.43"/>
    <n v="847.07"/>
  </r>
  <r>
    <s v="CN00027"/>
    <s v="T00430"/>
    <d v="2026-05-13T00:00:00"/>
    <x v="5"/>
    <n v="133.41999999999999"/>
    <n v="324.14"/>
  </r>
  <r>
    <s v="CN00028"/>
    <s v="T00439"/>
    <d v="2026-06-27T00:00:00"/>
    <x v="5"/>
    <n v="40.58"/>
    <n v="1910.03"/>
  </r>
  <r>
    <s v="CN00029"/>
    <s v="T00461"/>
    <d v="2026-05-28T00:00:00"/>
    <x v="4"/>
    <n v="22.27"/>
    <n v="0"/>
  </r>
  <r>
    <s v="CN00030"/>
    <s v="T00463"/>
    <d v="2026-07-06T00:00:00"/>
    <x v="4"/>
    <n v="104.04"/>
    <n v="445.51"/>
  </r>
  <r>
    <s v="CN00031"/>
    <s v="T00518"/>
    <d v="2026-05-17T00:00:00"/>
    <x v="4"/>
    <n v="32.36"/>
    <n v="236.09"/>
  </r>
  <r>
    <s v="CN00032"/>
    <s v="T00526"/>
    <d v="2026-05-14T00:00:00"/>
    <x v="5"/>
    <n v="122.22"/>
    <n v="872.27"/>
  </r>
  <r>
    <s v="CN00033"/>
    <s v="T00536"/>
    <d v="2026-05-05T00:00:00"/>
    <x v="4"/>
    <n v="82.75"/>
    <n v="1039.6300000000001"/>
  </r>
  <r>
    <s v="CN00034"/>
    <s v="T00546"/>
    <d v="2026-06-30T00:00:00"/>
    <x v="1"/>
    <n v="6.71"/>
    <n v="350.3"/>
  </r>
  <r>
    <s v="CN00035"/>
    <s v="T00573"/>
    <d v="2026-06-13T00:00:00"/>
    <x v="5"/>
    <n v="82.8"/>
    <n v="745.92"/>
  </r>
  <r>
    <s v="CN00036"/>
    <s v="T00578"/>
    <d v="2026-07-22T00:00:00"/>
    <x v="4"/>
    <n v="47.72"/>
    <n v="236.3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s v="FB00001"/>
    <s v="T00192"/>
    <s v="E0050"/>
    <x v="0"/>
    <x v="0"/>
    <n v="2"/>
    <n v="2"/>
    <n v="1"/>
    <m/>
  </r>
  <r>
    <s v="FB00002"/>
    <s v="T00531"/>
    <s v="E0145"/>
    <x v="1"/>
    <x v="1"/>
    <n v="4"/>
    <n v="4"/>
    <n v="3"/>
    <m/>
  </r>
  <r>
    <s v="FB00003"/>
    <s v="T00445"/>
    <s v="E0120"/>
    <x v="2"/>
    <x v="1"/>
    <n v="3"/>
    <n v="3"/>
    <n v="5"/>
    <m/>
  </r>
  <r>
    <s v="FB00004"/>
    <s v="T00044"/>
    <s v="E0013"/>
    <x v="3"/>
    <x v="2"/>
    <n v="5"/>
    <n v="4"/>
    <n v="5"/>
    <m/>
  </r>
  <r>
    <s v="FB00005"/>
    <s v="T00469"/>
    <s v="E0128"/>
    <x v="4"/>
    <x v="2"/>
    <n v="5"/>
    <n v="5"/>
    <n v="5"/>
    <s v="Travel support was helpful and responsive."/>
  </r>
  <r>
    <s v="FB00006"/>
    <s v="T00003"/>
    <s v="E0001"/>
    <x v="5"/>
    <x v="2"/>
    <n v="5"/>
    <n v="5"/>
    <n v="5"/>
    <m/>
  </r>
  <r>
    <s v="FB00007"/>
    <s v="T00097"/>
    <s v="E0027"/>
    <x v="6"/>
    <x v="2"/>
    <n v="5"/>
    <n v="4"/>
    <n v="5"/>
    <s v="Travel support was helpful and responsive."/>
  </r>
  <r>
    <s v="FB00008"/>
    <s v="T00013"/>
    <s v="E0004"/>
    <x v="7"/>
    <x v="1"/>
    <n v="3"/>
    <n v="4"/>
    <n v="3"/>
    <m/>
  </r>
  <r>
    <s v="FB00009"/>
    <s v="T00236"/>
    <s v="E0060"/>
    <x v="7"/>
    <x v="1"/>
    <n v="4"/>
    <n v="4"/>
    <n v="4"/>
    <s v="No major issues, but communication could be clearer."/>
  </r>
  <r>
    <s v="FB00010"/>
    <s v="T00001"/>
    <s v="E0001"/>
    <x v="8"/>
    <x v="2"/>
    <n v="5"/>
    <n v="5"/>
    <n v="5"/>
    <m/>
  </r>
  <r>
    <s v="FB00011"/>
    <s v="T00391"/>
    <s v="E0106"/>
    <x v="9"/>
    <x v="2"/>
    <n v="5"/>
    <n v="4"/>
    <n v="5"/>
    <s v="Booking was quick and straightforward."/>
  </r>
  <r>
    <s v="FB00012"/>
    <s v="T00308"/>
    <s v="E0080"/>
    <x v="10"/>
    <x v="2"/>
    <n v="4"/>
    <n v="5"/>
    <n v="5"/>
    <m/>
  </r>
  <r>
    <s v="FB00013"/>
    <s v="T00550"/>
    <s v="E0151"/>
    <x v="11"/>
    <x v="1"/>
    <n v="4"/>
    <n v="3"/>
    <n v="5"/>
    <s v="Overall fine, but there is room for improvement."/>
  </r>
  <r>
    <s v="FB00014"/>
    <s v="T00180"/>
    <s v="E0046"/>
    <x v="12"/>
    <x v="2"/>
    <n v="5"/>
    <n v="5"/>
    <n v="5"/>
    <m/>
  </r>
  <r>
    <s v="FB00015"/>
    <s v="T00497"/>
    <s v="E0136"/>
    <x v="13"/>
    <x v="2"/>
    <n v="5"/>
    <n v="4"/>
    <n v="5"/>
    <m/>
  </r>
  <r>
    <s v="FB00016"/>
    <s v="T00129"/>
    <s v="E0034"/>
    <x v="14"/>
    <x v="2"/>
    <n v="5"/>
    <n v="5"/>
    <n v="4"/>
    <s v="Travel support was helpful and responsive."/>
  </r>
  <r>
    <s v="FB00017"/>
    <s v="T00358"/>
    <s v="E0096"/>
    <x v="15"/>
    <x v="2"/>
    <n v="5"/>
    <n v="5"/>
    <n v="4"/>
    <m/>
  </r>
  <r>
    <s v="FB00018"/>
    <s v="T00082"/>
    <s v="E0023"/>
    <x v="16"/>
    <x v="2"/>
    <n v="5"/>
    <n v="4"/>
    <n v="5"/>
    <s v="Booking was quick and straightforward."/>
  </r>
  <r>
    <s v="FB00019"/>
    <s v="T00333"/>
    <s v="E0086"/>
    <x v="17"/>
    <x v="2"/>
    <n v="4"/>
    <n v="5"/>
    <n v="4"/>
    <m/>
  </r>
  <r>
    <s v="FB00020"/>
    <s v="T00301"/>
    <s v="E0078"/>
    <x v="4"/>
    <x v="2"/>
    <n v="3"/>
    <n v="5"/>
    <n v="5"/>
    <m/>
  </r>
  <r>
    <s v="FB00021"/>
    <s v="T00353"/>
    <s v="E0094"/>
    <x v="18"/>
    <x v="2"/>
    <n v="5"/>
    <n v="5"/>
    <n v="5"/>
    <s v="The trip was well organised."/>
  </r>
  <r>
    <s v="FB00022"/>
    <s v="T00026"/>
    <s v="E0007"/>
    <x v="19"/>
    <x v="3"/>
    <n v="4"/>
    <n v="4"/>
    <n v="4"/>
    <s v="Overall fine, but there is room for improvement."/>
  </r>
  <r>
    <s v="FB00023"/>
    <s v="T00323"/>
    <s v="E0084"/>
    <x v="20"/>
    <x v="1"/>
    <n v="5"/>
    <n v="4"/>
    <n v="4"/>
    <s v="Travel support was helpful and responsive."/>
  </r>
  <r>
    <s v="FB00024"/>
    <s v="T00325"/>
    <s v="E0085"/>
    <x v="21"/>
    <x v="2"/>
    <n v="5"/>
    <n v="3"/>
    <n v="5"/>
    <s v="The booking process was easy to use."/>
  </r>
  <r>
    <s v="FB00025"/>
    <s v="T00247"/>
    <s v="E0063"/>
    <x v="22"/>
    <x v="2"/>
    <n v="5"/>
    <n v="5"/>
    <n v="4"/>
    <s v="Booking was quick and straightforward."/>
  </r>
  <r>
    <s v="FB00026"/>
    <s v="T00434"/>
    <s v="E0117"/>
    <x v="23"/>
    <x v="2"/>
    <n v="5"/>
    <n v="4"/>
    <n v="5"/>
    <m/>
  </r>
  <r>
    <s v="FB00027"/>
    <s v="T00145"/>
    <s v="E0038"/>
    <x v="24"/>
    <x v="1"/>
    <n v="4"/>
    <n v="3"/>
    <n v="4"/>
    <m/>
  </r>
  <r>
    <s v="FB00028"/>
    <s v="T00576"/>
    <s v="E0160"/>
    <x v="25"/>
    <x v="1"/>
    <n v="4"/>
    <n v="4"/>
    <n v="4"/>
    <m/>
  </r>
  <r>
    <s v="FB00029"/>
    <s v="T00204"/>
    <s v="E0053"/>
    <x v="1"/>
    <x v="2"/>
    <n v="5"/>
    <n v="5"/>
    <n v="5"/>
    <m/>
  </r>
  <r>
    <s v="FB00030"/>
    <s v="T00196"/>
    <s v="E0051"/>
    <x v="26"/>
    <x v="2"/>
    <n v="5"/>
    <n v="4"/>
    <n v="4"/>
    <m/>
  </r>
  <r>
    <s v="FB00031"/>
    <s v="T00377"/>
    <s v="E0101"/>
    <x v="27"/>
    <x v="2"/>
    <n v="5"/>
    <n v="5"/>
    <n v="5"/>
    <m/>
  </r>
  <r>
    <s v="FB00032"/>
    <s v="T00467"/>
    <s v="E0128"/>
    <x v="17"/>
    <x v="3"/>
    <n v="3"/>
    <n v="2"/>
    <n v="4"/>
    <m/>
  </r>
  <r>
    <s v="FB00033"/>
    <s v="T00132"/>
    <s v="E0035"/>
    <x v="28"/>
    <x v="1"/>
    <n v="4"/>
    <n v="4"/>
    <n v="4"/>
    <m/>
  </r>
  <r>
    <s v="FB00034"/>
    <s v="T00446"/>
    <s v="E0121"/>
    <x v="29"/>
    <x v="1"/>
    <n v="5"/>
    <n v="4"/>
    <n v="5"/>
    <m/>
  </r>
  <r>
    <s v="FB00035"/>
    <s v="T00439"/>
    <s v="E0118"/>
    <x v="30"/>
    <x v="1"/>
    <n v="4"/>
    <n v="5"/>
    <n v="4"/>
    <s v="Good communication and clear travel information."/>
  </r>
  <r>
    <s v="FB00036"/>
    <s v="T00153"/>
    <s v="E0040"/>
    <x v="31"/>
    <x v="3"/>
    <n v="2"/>
    <n v="4"/>
    <n v="3"/>
    <m/>
  </r>
  <r>
    <s v="FB00037"/>
    <s v="T00516"/>
    <s v="E0140"/>
    <x v="3"/>
    <x v="3"/>
    <n v="2"/>
    <n v="3"/>
    <n v="2"/>
    <m/>
  </r>
  <r>
    <s v="FB00038"/>
    <s v="T00501"/>
    <s v="E0137"/>
    <x v="19"/>
    <x v="1"/>
    <n v="4"/>
    <n v="5"/>
    <n v="5"/>
    <s v="Good communication and clear travel information."/>
  </r>
  <r>
    <s v="FB00039"/>
    <s v="T00248"/>
    <s v="E0063"/>
    <x v="32"/>
    <x v="2"/>
    <n v="4"/>
    <n v="5"/>
    <n v="4"/>
    <m/>
  </r>
  <r>
    <s v="FB00040"/>
    <s v="T00395"/>
    <s v="E0107"/>
    <x v="15"/>
    <x v="4"/>
    <n v="2"/>
    <n v="2"/>
    <n v="2"/>
    <s v="The change process was frustrating and took too long."/>
  </r>
  <r>
    <s v="FB00041"/>
    <s v="T00292"/>
    <s v="E0076"/>
    <x v="7"/>
    <x v="2"/>
    <n v="4"/>
    <n v="4"/>
    <n v="5"/>
    <s v="The trip was well organised."/>
  </r>
  <r>
    <s v="FB00042"/>
    <s v="T00243"/>
    <s v="E0063"/>
    <x v="33"/>
    <x v="2"/>
    <n v="5"/>
    <n v="5"/>
    <n v="5"/>
    <s v="Good communication and clear travel information."/>
  </r>
  <r>
    <s v="FB00043"/>
    <s v="T00293"/>
    <s v="E0076"/>
    <x v="34"/>
    <x v="2"/>
    <n v="5"/>
    <n v="5"/>
    <n v="4"/>
    <m/>
  </r>
  <r>
    <s v="FB00044"/>
    <s v="T00365"/>
    <s v="E0098"/>
    <x v="35"/>
    <x v="2"/>
    <n v="5"/>
    <n v="4"/>
    <n v="5"/>
    <m/>
  </r>
  <r>
    <s v="FB00045"/>
    <s v="T00265"/>
    <s v="E0067"/>
    <x v="36"/>
    <x v="2"/>
    <n v="4"/>
    <n v="5"/>
    <n v="5"/>
    <m/>
  </r>
  <r>
    <s v="FB00046"/>
    <s v="T00514"/>
    <s v="E0140"/>
    <x v="37"/>
    <x v="1"/>
    <n v="2"/>
    <n v="5"/>
    <n v="3"/>
    <m/>
  </r>
  <r>
    <s v="FB00047"/>
    <s v="T00295"/>
    <s v="E0076"/>
    <x v="38"/>
    <x v="1"/>
    <n v="4"/>
    <n v="4"/>
    <n v="5"/>
    <s v="Good communication and clear travel information."/>
  </r>
  <r>
    <s v="FB00048"/>
    <s v="T00099"/>
    <s v="E0027"/>
    <x v="39"/>
    <x v="2"/>
    <n v="5"/>
    <n v="4"/>
    <n v="5"/>
    <s v="The booking process was easy to use."/>
  </r>
  <r>
    <s v="FB00049"/>
    <s v="T00482"/>
    <s v="E0131"/>
    <x v="10"/>
    <x v="1"/>
    <n v="4"/>
    <n v="3"/>
    <n v="5"/>
    <s v="No major issues, but communication could be clearer."/>
  </r>
  <r>
    <s v="FB00050"/>
    <s v="T00032"/>
    <s v="E0009"/>
    <x v="40"/>
    <x v="1"/>
    <n v="5"/>
    <n v="4"/>
    <n v="4"/>
    <m/>
  </r>
  <r>
    <s v="FB00051"/>
    <s v="T00515"/>
    <s v="E0140"/>
    <x v="38"/>
    <x v="3"/>
    <n v="4"/>
    <n v="2"/>
    <n v="3"/>
    <s v="Overall fine, but there is room for improvement."/>
  </r>
  <r>
    <s v="FB00052"/>
    <s v="T00567"/>
    <s v="E0156"/>
    <x v="41"/>
    <x v="2"/>
    <n v="5"/>
    <n v="5"/>
    <n v="4"/>
    <m/>
  </r>
  <r>
    <s v="FB00053"/>
    <s v="T00176"/>
    <s v="E0045"/>
    <x v="42"/>
    <x v="2"/>
    <n v="5"/>
    <n v="5"/>
    <n v="5"/>
    <m/>
  </r>
  <r>
    <s v="FB00054"/>
    <s v="T00112"/>
    <s v="E0030"/>
    <x v="43"/>
    <x v="2"/>
    <n v="5"/>
    <n v="5"/>
    <n v="4"/>
    <m/>
  </r>
  <r>
    <s v="FB00055"/>
    <s v="T00406"/>
    <s v="E0111"/>
    <x v="44"/>
    <x v="2"/>
    <n v="5"/>
    <n v="5"/>
    <n v="5"/>
    <s v="The booking process was easy to use."/>
  </r>
  <r>
    <s v="FB00056"/>
    <s v="T00551"/>
    <s v="E0152"/>
    <x v="45"/>
    <x v="2"/>
    <n v="5"/>
    <n v="5"/>
    <n v="5"/>
    <s v="The hotel was convenient and comfortable."/>
  </r>
  <r>
    <s v="FB00057"/>
    <s v="T00422"/>
    <s v="E0115"/>
    <x v="46"/>
    <x v="4"/>
    <n v="3"/>
    <n v="2"/>
    <n v="2"/>
    <s v="Communication during the disruption could have been better."/>
  </r>
  <r>
    <s v="FB00058"/>
    <s v="T00561"/>
    <s v="E0155"/>
    <x v="24"/>
    <x v="2"/>
    <n v="5"/>
    <n v="5"/>
    <n v="4"/>
    <m/>
  </r>
  <r>
    <s v="FB00059"/>
    <s v="T00523"/>
    <s v="E0142"/>
    <x v="47"/>
    <x v="3"/>
    <n v="2"/>
    <n v="4"/>
    <n v="3"/>
    <m/>
  </r>
  <r>
    <s v="FB00060"/>
    <s v="T00096"/>
    <s v="E0027"/>
    <x v="21"/>
    <x v="3"/>
    <n v="3"/>
    <n v="3"/>
    <n v="3"/>
    <m/>
  </r>
  <r>
    <s v="FB00061"/>
    <s v="T00385"/>
    <s v="E0104"/>
    <x v="40"/>
    <x v="2"/>
    <n v="5"/>
    <n v="4"/>
    <n v="5"/>
    <s v="Booking was quick and straightforward."/>
  </r>
  <r>
    <s v="FB00062"/>
    <s v="T00141"/>
    <s v="E0037"/>
    <x v="48"/>
    <x v="2"/>
    <n v="5"/>
    <n v="4"/>
    <n v="5"/>
    <m/>
  </r>
  <r>
    <s v="FB00063"/>
    <s v="T00521"/>
    <s v="E0141"/>
    <x v="49"/>
    <x v="3"/>
    <n v="3"/>
    <n v="2"/>
    <n v="4"/>
    <s v="The trip was okay, although the booking process took longer than expected."/>
  </r>
  <r>
    <s v="FB00064"/>
    <s v="T00143"/>
    <s v="E0037"/>
    <x v="18"/>
    <x v="2"/>
    <n v="5"/>
    <n v="5"/>
    <n v="5"/>
    <m/>
  </r>
  <r>
    <s v="FB00065"/>
    <s v="T00018"/>
    <s v="E0005"/>
    <x v="43"/>
    <x v="1"/>
    <n v="4"/>
    <n v="4"/>
    <n v="5"/>
    <m/>
  </r>
  <r>
    <s v="FB00066"/>
    <s v="T00359"/>
    <s v="E0096"/>
    <x v="50"/>
    <x v="2"/>
    <n v="5"/>
    <n v="5"/>
    <n v="5"/>
    <m/>
  </r>
  <r>
    <s v="FB00067"/>
    <s v="T00449"/>
    <s v="E0122"/>
    <x v="16"/>
    <x v="2"/>
    <n v="5"/>
    <n v="4"/>
    <n v="4"/>
    <m/>
  </r>
  <r>
    <s v="FB00068"/>
    <s v="T00393"/>
    <s v="E0107"/>
    <x v="10"/>
    <x v="2"/>
    <n v="5"/>
    <n v="4"/>
    <n v="5"/>
    <m/>
  </r>
  <r>
    <s v="FB00069"/>
    <s v="T00039"/>
    <s v="E0011"/>
    <x v="12"/>
    <x v="1"/>
    <n v="5"/>
    <n v="4"/>
    <n v="5"/>
    <m/>
  </r>
  <r>
    <s v="FB00070"/>
    <s v="T00535"/>
    <s v="E0147"/>
    <x v="34"/>
    <x v="3"/>
    <n v="2"/>
    <n v="3"/>
    <n v="2"/>
    <m/>
  </r>
  <r>
    <s v="FB00071"/>
    <s v="T00466"/>
    <s v="E0127"/>
    <x v="51"/>
    <x v="2"/>
    <n v="5"/>
    <n v="5"/>
    <n v="5"/>
    <m/>
  </r>
  <r>
    <s v="FB00072"/>
    <s v="T00101"/>
    <s v="E0028"/>
    <x v="3"/>
    <x v="1"/>
    <n v="4"/>
    <n v="4"/>
    <n v="5"/>
    <s v="Booking was quick and straightforward."/>
  </r>
  <r>
    <s v="FB00073"/>
    <s v="T00582"/>
    <s v="E0160"/>
    <x v="52"/>
    <x v="1"/>
    <n v="3"/>
    <n v="5"/>
    <n v="3"/>
    <m/>
  </r>
  <r>
    <s v="FB00074"/>
    <s v="T00202"/>
    <s v="E0053"/>
    <x v="17"/>
    <x v="3"/>
    <n v="4"/>
    <n v="3"/>
    <n v="3"/>
    <m/>
  </r>
  <r>
    <s v="FB00075"/>
    <s v="T00329"/>
    <s v="E0085"/>
    <x v="53"/>
    <x v="1"/>
    <n v="4"/>
    <n v="4"/>
    <n v="4"/>
    <s v="The travel arrangements were acceptable."/>
  </r>
  <r>
    <s v="FB00076"/>
    <s v="T00286"/>
    <s v="E0073"/>
    <x v="54"/>
    <x v="3"/>
    <n v="5"/>
    <n v="4"/>
    <n v="4"/>
    <s v="No major issues, but communication could be clearer."/>
  </r>
  <r>
    <s v="FB00077"/>
    <s v="T00064"/>
    <s v="E0018"/>
    <x v="55"/>
    <x v="3"/>
    <n v="3"/>
    <n v="2"/>
    <n v="3"/>
    <m/>
  </r>
  <r>
    <s v="FB00078"/>
    <s v="T00150"/>
    <s v="E0039"/>
    <x v="3"/>
    <x v="1"/>
    <n v="4"/>
    <n v="3"/>
    <n v="4"/>
    <m/>
  </r>
  <r>
    <s v="FB00079"/>
    <s v="T00053"/>
    <s v="E0016"/>
    <x v="50"/>
    <x v="4"/>
    <n v="3"/>
    <n v="2"/>
    <n v="2"/>
    <m/>
  </r>
  <r>
    <s v="FB00080"/>
    <s v="T00034"/>
    <s v="E0010"/>
    <x v="56"/>
    <x v="2"/>
    <n v="5"/>
    <n v="4"/>
    <n v="5"/>
    <s v="Travel support was helpful and responsive."/>
  </r>
  <r>
    <s v="FB00081"/>
    <s v="T00356"/>
    <s v="E0095"/>
    <x v="57"/>
    <x v="2"/>
    <n v="4"/>
    <n v="5"/>
    <n v="5"/>
    <m/>
  </r>
  <r>
    <s v="FB00082"/>
    <s v="T00473"/>
    <s v="E0129"/>
    <x v="58"/>
    <x v="2"/>
    <n v="5"/>
    <n v="5"/>
    <n v="5"/>
    <m/>
  </r>
  <r>
    <s v="FB00083"/>
    <s v="T00038"/>
    <s v="E0011"/>
    <x v="59"/>
    <x v="0"/>
    <n v="1"/>
    <n v="2"/>
    <n v="1"/>
    <m/>
  </r>
  <r>
    <s v="FB00084"/>
    <s v="T00549"/>
    <s v="E0151"/>
    <x v="2"/>
    <x v="1"/>
    <n v="3"/>
    <n v="3"/>
    <n v="4"/>
    <s v="Overall fine, but there is room for improvement."/>
  </r>
  <r>
    <s v="FB00085"/>
    <s v="T00048"/>
    <s v="E0014"/>
    <x v="60"/>
    <x v="1"/>
    <n v="4"/>
    <n v="4"/>
    <n v="4"/>
    <m/>
  </r>
  <r>
    <s v="FB00086"/>
    <s v="T00570"/>
    <s v="E0157"/>
    <x v="45"/>
    <x v="1"/>
    <n v="4"/>
    <n v="4"/>
    <n v="5"/>
    <m/>
  </r>
  <r>
    <s v="FB00087"/>
    <s v="T00245"/>
    <s v="E0063"/>
    <x v="36"/>
    <x v="2"/>
    <n v="5"/>
    <n v="4"/>
    <n v="5"/>
    <m/>
  </r>
  <r>
    <s v="FB00088"/>
    <s v="T00571"/>
    <s v="E0157"/>
    <x v="35"/>
    <x v="2"/>
    <n v="5"/>
    <n v="3"/>
    <n v="4"/>
    <m/>
  </r>
  <r>
    <s v="FB00089"/>
    <s v="T00481"/>
    <s v="E0131"/>
    <x v="39"/>
    <x v="2"/>
    <n v="5"/>
    <n v="5"/>
    <n v="5"/>
    <m/>
  </r>
  <r>
    <s v="FB00090"/>
    <s v="T00075"/>
    <s v="E0021"/>
    <x v="61"/>
    <x v="2"/>
    <n v="4"/>
    <n v="5"/>
    <n v="5"/>
    <m/>
  </r>
  <r>
    <s v="FB00091"/>
    <s v="T00504"/>
    <s v="E0138"/>
    <x v="62"/>
    <x v="2"/>
    <n v="5"/>
    <n v="4"/>
    <n v="5"/>
    <m/>
  </r>
  <r>
    <s v="FB00092"/>
    <s v="T00170"/>
    <s v="E0044"/>
    <x v="63"/>
    <x v="2"/>
    <n v="4"/>
    <n v="5"/>
    <n v="5"/>
    <s v="Good communication and clear travel information."/>
  </r>
  <r>
    <s v="FB00093"/>
    <s v="T00224"/>
    <s v="E0057"/>
    <x v="60"/>
    <x v="1"/>
    <n v="5"/>
    <n v="4"/>
    <n v="5"/>
    <m/>
  </r>
  <r>
    <s v="FB00094"/>
    <s v="T00221"/>
    <s v="E0056"/>
    <x v="8"/>
    <x v="2"/>
    <n v="4"/>
    <n v="4"/>
    <n v="5"/>
    <m/>
  </r>
  <r>
    <s v="FB00095"/>
    <s v="T00441"/>
    <s v="E0119"/>
    <x v="26"/>
    <x v="1"/>
    <n v="4"/>
    <n v="4"/>
    <n v="4"/>
    <s v="No major issues, but communication could be clearer."/>
  </r>
  <r>
    <s v="FB00096"/>
    <s v="T00512"/>
    <s v="E0140"/>
    <x v="30"/>
    <x v="3"/>
    <n v="3"/>
    <n v="2"/>
    <n v="3"/>
    <s v="I had to follow up several times for help."/>
  </r>
  <r>
    <s v="FB00097"/>
    <s v="T00372"/>
    <s v="E0100"/>
    <x v="32"/>
    <x v="2"/>
    <n v="5"/>
    <n v="5"/>
    <n v="5"/>
    <s v="The hotel was convenient and comfortable."/>
  </r>
  <r>
    <s v="FB00098"/>
    <s v="T00021"/>
    <s v="E0006"/>
    <x v="64"/>
    <x v="2"/>
    <n v="4"/>
    <n v="5"/>
    <n v="5"/>
    <m/>
  </r>
  <r>
    <s v="FB00099"/>
    <s v="T00510"/>
    <s v="E0139"/>
    <x v="64"/>
    <x v="2"/>
    <n v="5"/>
    <n v="5"/>
    <n v="5"/>
    <m/>
  </r>
  <r>
    <s v="FB00100"/>
    <s v="T00530"/>
    <s v="E0144"/>
    <x v="17"/>
    <x v="3"/>
    <n v="3"/>
    <n v="1"/>
    <n v="3"/>
    <m/>
  </r>
  <r>
    <s v="FB00101"/>
    <s v="T00109"/>
    <s v="E0030"/>
    <x v="15"/>
    <x v="1"/>
    <n v="4"/>
    <n v="5"/>
    <n v="5"/>
    <m/>
  </r>
  <r>
    <s v="FB00102"/>
    <s v="T00346"/>
    <s v="E0092"/>
    <x v="1"/>
    <x v="1"/>
    <n v="4"/>
    <n v="4"/>
    <n v="4"/>
    <s v="No major issues, but communication could be clearer."/>
  </r>
  <r>
    <s v="FB00103"/>
    <s v="T00016"/>
    <s v="E0005"/>
    <x v="65"/>
    <x v="1"/>
    <n v="4"/>
    <n v="2"/>
    <n v="5"/>
    <m/>
  </r>
  <r>
    <s v="FB00104"/>
    <s v="T00184"/>
    <s v="E0048"/>
    <x v="66"/>
    <x v="1"/>
    <n v="4"/>
    <n v="3"/>
    <n v="5"/>
    <s v="The travel arrangements were acceptable."/>
  </r>
  <r>
    <s v="FB00105"/>
    <s v="T00137"/>
    <s v="E0036"/>
    <x v="66"/>
    <x v="2"/>
    <n v="5"/>
    <n v="5"/>
    <n v="5"/>
    <s v="The trip was well organised."/>
  </r>
  <r>
    <s v="FB00106"/>
    <s v="T00447"/>
    <s v="E0121"/>
    <x v="38"/>
    <x v="1"/>
    <n v="4"/>
    <n v="5"/>
    <n v="3"/>
    <s v="The trip was okay, although the booking process took longer than expected."/>
  </r>
  <r>
    <s v="FB00107"/>
    <s v="T00058"/>
    <s v="E0016"/>
    <x v="2"/>
    <x v="1"/>
    <n v="5"/>
    <n v="4"/>
    <n v="4"/>
    <m/>
  </r>
  <r>
    <s v="FB00108"/>
    <s v="T00390"/>
    <s v="E0106"/>
    <x v="44"/>
    <x v="2"/>
    <n v="5"/>
    <n v="5"/>
    <n v="5"/>
    <m/>
  </r>
  <r>
    <s v="FB00109"/>
    <s v="T00349"/>
    <s v="E0093"/>
    <x v="12"/>
    <x v="2"/>
    <n v="3"/>
    <n v="5"/>
    <n v="5"/>
    <m/>
  </r>
  <r>
    <s v="FB00110"/>
    <s v="T00456"/>
    <s v="E0124"/>
    <x v="10"/>
    <x v="2"/>
    <n v="4"/>
    <n v="5"/>
    <n v="4"/>
    <m/>
  </r>
  <r>
    <s v="FB00111"/>
    <s v="T00110"/>
    <s v="E0030"/>
    <x v="15"/>
    <x v="2"/>
    <n v="5"/>
    <n v="5"/>
    <n v="4"/>
    <m/>
  </r>
  <r>
    <s v="FB00112"/>
    <s v="T00555"/>
    <s v="E0154"/>
    <x v="18"/>
    <x v="3"/>
    <n v="3"/>
    <n v="3"/>
    <n v="2"/>
    <m/>
  </r>
  <r>
    <s v="FB00113"/>
    <s v="T00436"/>
    <s v="E0118"/>
    <x v="67"/>
    <x v="2"/>
    <n v="5"/>
    <n v="4"/>
    <n v="5"/>
    <m/>
  </r>
  <r>
    <s v="FB00114"/>
    <s v="T00246"/>
    <s v="E0063"/>
    <x v="19"/>
    <x v="3"/>
    <n v="4"/>
    <n v="3"/>
    <n v="4"/>
    <m/>
  </r>
  <r>
    <s v="FB00115"/>
    <s v="T00423"/>
    <s v="E0115"/>
    <x v="68"/>
    <x v="1"/>
    <n v="2"/>
    <n v="5"/>
    <n v="4"/>
    <s v="No major issues, but communication could be clearer."/>
  </r>
  <r>
    <s v="FB00116"/>
    <s v="T00336"/>
    <s v="E0088"/>
    <x v="69"/>
    <x v="3"/>
    <n v="3"/>
    <n v="2"/>
    <n v="2"/>
    <s v="The booking experience was more complicated than expected."/>
  </r>
  <r>
    <s v="FB00117"/>
    <s v="T00524"/>
    <s v="E0143"/>
    <x v="70"/>
    <x v="2"/>
    <n v="5"/>
    <n v="5"/>
    <n v="5"/>
    <m/>
  </r>
  <r>
    <s v="FB00118"/>
    <s v="T00073"/>
    <s v="E0020"/>
    <x v="52"/>
    <x v="2"/>
    <n v="5"/>
    <n v="4"/>
    <n v="4"/>
    <m/>
  </r>
  <r>
    <s v="FB00119"/>
    <s v="T00269"/>
    <s v="E0067"/>
    <x v="71"/>
    <x v="2"/>
    <n v="5"/>
    <n v="5"/>
    <n v="5"/>
    <m/>
  </r>
  <r>
    <s v="FB00120"/>
    <s v="T00167"/>
    <s v="E0043"/>
    <x v="48"/>
    <x v="3"/>
    <n v="2"/>
    <n v="4"/>
    <n v="3"/>
    <s v="No major issues, but communication could be clearer."/>
  </r>
  <r>
    <s v="FB00121"/>
    <s v="T00418"/>
    <s v="E0113"/>
    <x v="47"/>
    <x v="2"/>
    <n v="5"/>
    <n v="5"/>
    <n v="4"/>
    <m/>
  </r>
  <r>
    <s v="FB00122"/>
    <s v="T00291"/>
    <s v="E0075"/>
    <x v="72"/>
    <x v="2"/>
    <n v="4"/>
    <n v="5"/>
    <n v="5"/>
    <m/>
  </r>
  <r>
    <s v="FB00123"/>
    <s v="T00159"/>
    <s v="E0041"/>
    <x v="73"/>
    <x v="2"/>
    <n v="5"/>
    <n v="5"/>
    <n v="5"/>
    <s v="The booking process was easy to use."/>
  </r>
  <r>
    <s v="FB00124"/>
    <s v="T00027"/>
    <s v="E0008"/>
    <x v="39"/>
    <x v="3"/>
    <n v="3"/>
    <n v="3"/>
    <n v="3"/>
    <s v="The travel arrangements were acceptable."/>
  </r>
  <r>
    <s v="FB00125"/>
    <s v="T00134"/>
    <s v="E0036"/>
    <x v="57"/>
    <x v="2"/>
    <n v="4"/>
    <n v="5"/>
    <n v="5"/>
    <s v="Good communication and clear travel information."/>
  </r>
  <r>
    <s v="FB00126"/>
    <s v="T00222"/>
    <s v="E0056"/>
    <x v="74"/>
    <x v="1"/>
    <n v="3"/>
    <n v="4"/>
    <n v="3"/>
    <m/>
  </r>
  <r>
    <s v="FB00127"/>
    <s v="T00425"/>
    <s v="E0115"/>
    <x v="58"/>
    <x v="3"/>
    <n v="5"/>
    <n v="4"/>
    <n v="5"/>
    <s v="Good communication and clear travel information."/>
  </r>
  <r>
    <s v="FB00128"/>
    <s v="T00174"/>
    <s v="E0045"/>
    <x v="75"/>
    <x v="2"/>
    <n v="5"/>
    <n v="5"/>
    <n v="4"/>
    <m/>
  </r>
  <r>
    <s v="FB00129"/>
    <s v="T00468"/>
    <s v="E0128"/>
    <x v="57"/>
    <x v="1"/>
    <n v="4"/>
    <n v="4"/>
    <n v="4"/>
    <m/>
  </r>
  <r>
    <s v="FB00130"/>
    <s v="T00047"/>
    <s v="E0014"/>
    <x v="0"/>
    <x v="2"/>
    <n v="5"/>
    <n v="5"/>
    <n v="5"/>
    <m/>
  </r>
  <r>
    <s v="FB00131"/>
    <s v="T00273"/>
    <s v="E0068"/>
    <x v="68"/>
    <x v="1"/>
    <n v="4"/>
    <n v="3"/>
    <n v="5"/>
    <s v="No major issues, but communication could be clearer."/>
  </r>
  <r>
    <s v="FB00132"/>
    <s v="T00324"/>
    <s v="E0085"/>
    <x v="5"/>
    <x v="2"/>
    <n v="5"/>
    <n v="5"/>
    <n v="5"/>
    <m/>
  </r>
  <r>
    <s v="FB00133"/>
    <s v="T00068"/>
    <s v="E0019"/>
    <x v="37"/>
    <x v="4"/>
    <n v="2"/>
    <n v="2"/>
    <n v="3"/>
    <m/>
  </r>
  <r>
    <s v="FB00134"/>
    <s v="T00095"/>
    <s v="E0026"/>
    <x v="47"/>
    <x v="1"/>
    <n v="4"/>
    <n v="3"/>
    <n v="5"/>
    <s v="The travel arrangements were acceptable."/>
  </r>
  <r>
    <s v="FB00135"/>
    <s v="T00545"/>
    <s v="E0151"/>
    <x v="76"/>
    <x v="1"/>
    <n v="4"/>
    <n v="4"/>
    <n v="4"/>
    <s v="Overall fine, but there is room for improvement."/>
  </r>
  <r>
    <s v="FB00136"/>
    <s v="T00105"/>
    <s v="E0029"/>
    <x v="55"/>
    <x v="1"/>
    <n v="3"/>
    <n v="4"/>
    <n v="4"/>
    <m/>
  </r>
  <r>
    <s v="FB00137"/>
    <s v="T00182"/>
    <s v="E0047"/>
    <x v="39"/>
    <x v="1"/>
    <n v="4"/>
    <n v="4"/>
    <n v="4"/>
    <m/>
  </r>
  <r>
    <s v="FB00138"/>
    <s v="T00171"/>
    <s v="E0044"/>
    <x v="33"/>
    <x v="3"/>
    <n v="1"/>
    <n v="4"/>
    <n v="3"/>
    <m/>
  </r>
  <r>
    <s v="FB00139"/>
    <s v="T00154"/>
    <s v="E0040"/>
    <x v="77"/>
    <x v="1"/>
    <n v="3"/>
    <n v="3"/>
    <n v="4"/>
    <m/>
  </r>
  <r>
    <s v="FB00140"/>
    <s v="T00294"/>
    <s v="E0076"/>
    <x v="41"/>
    <x v="2"/>
    <n v="5"/>
    <n v="4"/>
    <n v="4"/>
    <s v="Good communication and clear travel information."/>
  </r>
  <r>
    <s v="FB00141"/>
    <s v="T00548"/>
    <s v="E0151"/>
    <x v="28"/>
    <x v="3"/>
    <n v="4"/>
    <n v="4"/>
    <n v="3"/>
    <m/>
  </r>
  <r>
    <s v="FB00142"/>
    <s v="T00279"/>
    <s v="E0071"/>
    <x v="78"/>
    <x v="1"/>
    <n v="4"/>
    <n v="4"/>
    <n v="4"/>
    <m/>
  </r>
  <r>
    <s v="FB00143"/>
    <s v="T00138"/>
    <s v="E0037"/>
    <x v="44"/>
    <x v="1"/>
    <n v="4"/>
    <n v="5"/>
    <n v="4"/>
    <s v="The hotel was convenient and comfortable."/>
  </r>
  <r>
    <s v="FB00144"/>
    <s v="T00210"/>
    <s v="E0054"/>
    <x v="10"/>
    <x v="2"/>
    <n v="5"/>
    <n v="5"/>
    <n v="5"/>
    <m/>
  </r>
  <r>
    <s v="FB00145"/>
    <s v="T00424"/>
    <s v="E0115"/>
    <x v="36"/>
    <x v="1"/>
    <n v="5"/>
    <n v="2"/>
    <n v="4"/>
    <m/>
  </r>
  <r>
    <s v="FB00146"/>
    <s v="T00577"/>
    <s v="E0160"/>
    <x v="37"/>
    <x v="1"/>
    <n v="4"/>
    <n v="3"/>
    <n v="4"/>
    <m/>
  </r>
  <r>
    <s v="FB00147"/>
    <s v="T00139"/>
    <s v="E0037"/>
    <x v="12"/>
    <x v="1"/>
    <n v="4"/>
    <n v="5"/>
    <n v="3"/>
    <m/>
  </r>
  <r>
    <s v="FB00148"/>
    <s v="T00181"/>
    <s v="E0046"/>
    <x v="15"/>
    <x v="3"/>
    <n v="3"/>
    <n v="3"/>
    <n v="2"/>
    <s v="The change process was frustrating and took too long."/>
  </r>
  <r>
    <s v="FB00149"/>
    <s v="T00314"/>
    <s v="E0082"/>
    <x v="43"/>
    <x v="1"/>
    <n v="5"/>
    <n v="4"/>
    <n v="4"/>
    <s v="Everything worked as expected."/>
  </r>
  <r>
    <s v="FB00150"/>
    <s v="T00010"/>
    <s v="E0003"/>
    <x v="79"/>
    <x v="4"/>
    <n v="3"/>
    <n v="4"/>
    <n v="2"/>
    <m/>
  </r>
  <r>
    <s v="FB00151"/>
    <s v="T00340"/>
    <s v="E0090"/>
    <x v="47"/>
    <x v="2"/>
    <n v="5"/>
    <n v="4"/>
    <n v="5"/>
    <m/>
  </r>
  <r>
    <s v="FB00152"/>
    <s v="T00284"/>
    <s v="E0073"/>
    <x v="80"/>
    <x v="1"/>
    <n v="4"/>
    <n v="4"/>
    <n v="4"/>
    <m/>
  </r>
  <r>
    <s v="FB00153"/>
    <s v="T00104"/>
    <s v="E0029"/>
    <x v="40"/>
    <x v="2"/>
    <n v="5"/>
    <n v="4"/>
    <n v="5"/>
    <s v="Travel support was helpful and responsive."/>
  </r>
  <r>
    <s v="FB00154"/>
    <s v="T00578"/>
    <s v="E0160"/>
    <x v="32"/>
    <x v="3"/>
    <n v="4"/>
    <n v="4"/>
    <n v="3"/>
    <m/>
  </r>
  <r>
    <s v="FB00155"/>
    <s v="T00140"/>
    <s v="E0037"/>
    <x v="74"/>
    <x v="2"/>
    <n v="5"/>
    <n v="5"/>
    <n v="4"/>
    <m/>
  </r>
  <r>
    <s v="FB00156"/>
    <s v="T00429"/>
    <s v="E0116"/>
    <x v="67"/>
    <x v="1"/>
    <n v="5"/>
    <n v="4"/>
    <n v="4"/>
    <s v="The hotel was convenient and comfortable."/>
  </r>
  <r>
    <s v="FB00157"/>
    <s v="T00410"/>
    <s v="E0112"/>
    <x v="78"/>
    <x v="2"/>
    <n v="5"/>
    <n v="4"/>
    <n v="4"/>
    <m/>
  </r>
  <r>
    <s v="FB00158"/>
    <s v="T00444"/>
    <s v="E0120"/>
    <x v="3"/>
    <x v="2"/>
    <n v="5"/>
    <n v="5"/>
    <n v="5"/>
    <m/>
  </r>
  <r>
    <s v="FB00159"/>
    <s v="T00012"/>
    <s v="E0004"/>
    <x v="59"/>
    <x v="4"/>
    <n v="1"/>
    <n v="3"/>
    <n v="2"/>
    <m/>
  </r>
  <r>
    <s v="FB00160"/>
    <s v="T00334"/>
    <s v="E0087"/>
    <x v="81"/>
    <x v="3"/>
    <n v="4"/>
    <n v="3"/>
    <n v="3"/>
    <m/>
  </r>
  <r>
    <s v="FB00161"/>
    <s v="T00107"/>
    <s v="E0029"/>
    <x v="29"/>
    <x v="2"/>
    <n v="4"/>
    <n v="5"/>
    <n v="4"/>
    <s v="Everything worked as expected."/>
  </r>
  <r>
    <s v="FB00162"/>
    <s v="T00232"/>
    <s v="E0058"/>
    <x v="82"/>
    <x v="3"/>
    <n v="3"/>
    <n v="4"/>
    <n v="4"/>
    <m/>
  </r>
  <r>
    <s v="FB00163"/>
    <s v="T00387"/>
    <s v="E0105"/>
    <x v="82"/>
    <x v="2"/>
    <n v="5"/>
    <n v="5"/>
    <n v="5"/>
    <m/>
  </r>
  <r>
    <s v="FB00164"/>
    <s v="T00175"/>
    <s v="E0045"/>
    <x v="51"/>
    <x v="2"/>
    <n v="4"/>
    <n v="5"/>
    <n v="5"/>
    <m/>
  </r>
  <r>
    <s v="FB00165"/>
    <s v="T00070"/>
    <s v="E0019"/>
    <x v="4"/>
    <x v="1"/>
    <n v="4"/>
    <n v="3"/>
    <n v="4"/>
    <s v="No major issues, but communication could be clearer."/>
  </r>
  <r>
    <s v="FB00166"/>
    <s v="T00382"/>
    <s v="E0103"/>
    <x v="19"/>
    <x v="2"/>
    <n v="5"/>
    <n v="5"/>
    <n v="4"/>
    <m/>
  </r>
  <r>
    <s v="FB00167"/>
    <s v="T00271"/>
    <s v="E0068"/>
    <x v="40"/>
    <x v="2"/>
    <n v="4"/>
    <n v="5"/>
    <n v="5"/>
    <s v="The hotel was convenient and comfortable."/>
  </r>
  <r>
    <s v="FB00168"/>
    <s v="T00172"/>
    <s v="E0044"/>
    <x v="83"/>
    <x v="3"/>
    <n v="4"/>
    <n v="3"/>
    <n v="5"/>
    <s v="Overall fine, but there is room for improvement."/>
  </r>
  <r>
    <s v="FB00169"/>
    <s v="T00156"/>
    <s v="E0040"/>
    <x v="84"/>
    <x v="4"/>
    <n v="4"/>
    <n v="4"/>
    <n v="3"/>
    <s v="The trip was okay, although the booking process took longer than expected."/>
  </r>
  <r>
    <s v="FB00170"/>
    <s v="T00322"/>
    <s v="E0084"/>
    <x v="59"/>
    <x v="1"/>
    <n v="4"/>
    <n v="4"/>
    <n v="4"/>
    <m/>
  </r>
  <r>
    <s v="FB00171"/>
    <s v="T00023"/>
    <s v="E0007"/>
    <x v="62"/>
    <x v="2"/>
    <n v="5"/>
    <n v="3"/>
    <n v="4"/>
    <m/>
  </r>
  <r>
    <s v="FB00172"/>
    <s v="T00052"/>
    <s v="E0015"/>
    <x v="28"/>
    <x v="1"/>
    <n v="4"/>
    <n v="4"/>
    <n v="5"/>
    <m/>
  </r>
  <r>
    <s v="FB00173"/>
    <s v="T00065"/>
    <s v="E0018"/>
    <x v="80"/>
    <x v="1"/>
    <n v="5"/>
    <n v="5"/>
    <n v="5"/>
    <s v="Everything worked as expected."/>
  </r>
  <r>
    <s v="FB00174"/>
    <s v="T00049"/>
    <s v="E0015"/>
    <x v="80"/>
    <x v="1"/>
    <n v="4"/>
    <n v="3"/>
    <n v="4"/>
    <s v="No major issues, but communication could be clearer."/>
  </r>
  <r>
    <s v="FB00175"/>
    <s v="T00404"/>
    <s v="E0110"/>
    <x v="85"/>
    <x v="2"/>
    <n v="4"/>
    <n v="4"/>
    <n v="4"/>
    <m/>
  </r>
  <r>
    <s v="FB00176"/>
    <s v="T00201"/>
    <s v="E0053"/>
    <x v="11"/>
    <x v="2"/>
    <n v="4"/>
    <n v="5"/>
    <n v="5"/>
    <s v="Everything worked as expected."/>
  </r>
  <r>
    <s v="FB00177"/>
    <s v="T00251"/>
    <s v="E0064"/>
    <x v="76"/>
    <x v="2"/>
    <n v="3"/>
    <n v="5"/>
    <n v="5"/>
    <s v="The hotel was convenient and comfortable."/>
  </r>
  <r>
    <s v="FB00178"/>
    <s v="T00450"/>
    <s v="E0122"/>
    <x v="6"/>
    <x v="2"/>
    <n v="5"/>
    <n v="5"/>
    <n v="5"/>
    <m/>
  </r>
  <r>
    <s v="FB00179"/>
    <s v="T00274"/>
    <s v="E0068"/>
    <x v="17"/>
    <x v="1"/>
    <n v="4"/>
    <n v="4"/>
    <n v="4"/>
    <m/>
  </r>
  <r>
    <s v="FB00180"/>
    <s v="T00124"/>
    <s v="E0033"/>
    <x v="49"/>
    <x v="2"/>
    <n v="5"/>
    <n v="4"/>
    <n v="5"/>
    <s v="Travel support was helpful and responsive."/>
  </r>
  <r>
    <s v="FB00181"/>
    <s v="T00158"/>
    <s v="E0041"/>
    <x v="79"/>
    <x v="2"/>
    <n v="5"/>
    <n v="5"/>
    <n v="5"/>
    <m/>
  </r>
  <r>
    <s v="FB00182"/>
    <s v="T00179"/>
    <s v="E0046"/>
    <x v="48"/>
    <x v="1"/>
    <n v="5"/>
    <n v="5"/>
    <n v="4"/>
    <m/>
  </r>
  <r>
    <s v="FB00183"/>
    <s v="T00421"/>
    <s v="E0114"/>
    <x v="62"/>
    <x v="2"/>
    <n v="5"/>
    <n v="5"/>
    <n v="5"/>
    <m/>
  </r>
  <r>
    <s v="FB00184"/>
    <s v="T00244"/>
    <s v="E0063"/>
    <x v="47"/>
    <x v="2"/>
    <n v="5"/>
    <n v="4"/>
    <n v="5"/>
    <m/>
  </r>
  <r>
    <s v="FB00185"/>
    <s v="T00169"/>
    <s v="E0044"/>
    <x v="65"/>
    <x v="1"/>
    <n v="5"/>
    <n v="4"/>
    <n v="3"/>
    <m/>
  </r>
  <r>
    <s v="FB00186"/>
    <s v="T00505"/>
    <s v="E0138"/>
    <x v="10"/>
    <x v="2"/>
    <n v="5"/>
    <n v="5"/>
    <n v="5"/>
    <m/>
  </r>
  <r>
    <s v="FB00187"/>
    <s v="T00207"/>
    <s v="E0053"/>
    <x v="7"/>
    <x v="1"/>
    <n v="4"/>
    <n v="4"/>
    <n v="5"/>
    <m/>
  </r>
  <r>
    <s v="FB00188"/>
    <s v="T00380"/>
    <s v="E0102"/>
    <x v="12"/>
    <x v="2"/>
    <n v="4"/>
    <n v="5"/>
    <n v="4"/>
    <m/>
  </r>
  <r>
    <s v="FB00189"/>
    <s v="T00399"/>
    <s v="E0109"/>
    <x v="29"/>
    <x v="1"/>
    <n v="5"/>
    <n v="5"/>
    <n v="4"/>
    <s v="The trip was well organised."/>
  </r>
  <r>
    <s v="FB00190"/>
    <s v="T00540"/>
    <s v="E0149"/>
    <x v="86"/>
    <x v="1"/>
    <n v="5"/>
    <n v="5"/>
    <n v="4"/>
    <s v="The hotel was convenient and comfortable."/>
  </r>
  <r>
    <s v="FB00191"/>
    <s v="T00307"/>
    <s v="E0079"/>
    <x v="36"/>
    <x v="1"/>
    <n v="4"/>
    <n v="4"/>
    <n v="3"/>
    <m/>
  </r>
  <r>
    <s v="FB00192"/>
    <s v="T00364"/>
    <s v="E0098"/>
    <x v="87"/>
    <x v="2"/>
    <n v="4"/>
    <n v="4"/>
    <n v="4"/>
    <m/>
  </r>
  <r>
    <s v="FB00193"/>
    <s v="T00050"/>
    <s v="E0015"/>
    <x v="29"/>
    <x v="2"/>
    <n v="5"/>
    <n v="5"/>
    <n v="5"/>
    <s v="Everything worked as expected."/>
  </r>
  <r>
    <s v="FB00194"/>
    <s v="T00200"/>
    <s v="E0052"/>
    <x v="88"/>
    <x v="2"/>
    <n v="4"/>
    <n v="4"/>
    <n v="5"/>
    <m/>
  </r>
  <r>
    <s v="FB00195"/>
    <s v="T00343"/>
    <s v="E0091"/>
    <x v="66"/>
    <x v="1"/>
    <n v="4"/>
    <n v="5"/>
    <n v="4"/>
    <m/>
  </r>
  <r>
    <s v="FB00196"/>
    <s v="T00237"/>
    <s v="E0060"/>
    <x v="72"/>
    <x v="1"/>
    <n v="5"/>
    <n v="3"/>
    <n v="5"/>
    <m/>
  </r>
  <r>
    <s v="FB00197"/>
    <s v="T00386"/>
    <s v="E0104"/>
    <x v="11"/>
    <x v="2"/>
    <n v="5"/>
    <n v="5"/>
    <n v="5"/>
    <m/>
  </r>
  <r>
    <s v="FB00198"/>
    <s v="T00056"/>
    <s v="E0016"/>
    <x v="89"/>
    <x v="1"/>
    <n v="3"/>
    <n v="4"/>
    <n v="3"/>
    <m/>
  </r>
  <r>
    <s v="FB00199"/>
    <s v="T00560"/>
    <s v="E0155"/>
    <x v="41"/>
    <x v="2"/>
    <n v="4"/>
    <n v="5"/>
    <n v="5"/>
    <s v="Good communication and clear travel information."/>
  </r>
  <r>
    <s v="FB00200"/>
    <s v="T00166"/>
    <s v="E0043"/>
    <x v="68"/>
    <x v="2"/>
    <n v="5"/>
    <n v="5"/>
    <n v="4"/>
    <m/>
  </r>
  <r>
    <s v="FB00201"/>
    <s v="T00388"/>
    <s v="E0105"/>
    <x v="59"/>
    <x v="4"/>
    <n v="2"/>
    <n v="4"/>
    <n v="4"/>
    <m/>
  </r>
  <r>
    <s v="FB00202"/>
    <s v="T00318"/>
    <s v="E0083"/>
    <x v="10"/>
    <x v="2"/>
    <n v="4"/>
    <n v="5"/>
    <n v="5"/>
    <s v="Everything worked as expected."/>
  </r>
  <r>
    <s v="FB00203"/>
    <s v="T00520"/>
    <s v="E0141"/>
    <x v="71"/>
    <x v="2"/>
    <n v="5"/>
    <n v="5"/>
    <n v="5"/>
    <m/>
  </r>
  <r>
    <s v="FB00204"/>
    <s v="T00394"/>
    <s v="E0107"/>
    <x v="85"/>
    <x v="1"/>
    <n v="5"/>
    <n v="4"/>
    <n v="4"/>
    <s v="The trip was well organised."/>
  </r>
  <r>
    <s v="FB00205"/>
    <s v="T00103"/>
    <s v="E0028"/>
    <x v="28"/>
    <x v="1"/>
    <n v="4"/>
    <n v="5"/>
    <n v="3"/>
    <m/>
  </r>
  <r>
    <s v="FB00206"/>
    <s v="T00191"/>
    <s v="E0050"/>
    <x v="42"/>
    <x v="2"/>
    <n v="5"/>
    <n v="5"/>
    <n v="5"/>
    <s v="The booking process was easy to use."/>
  </r>
  <r>
    <s v="FB00207"/>
    <s v="T00215"/>
    <s v="E0055"/>
    <x v="42"/>
    <x v="2"/>
    <n v="5"/>
    <n v="4"/>
    <n v="5"/>
    <m/>
  </r>
  <r>
    <s v="FB00208"/>
    <s v="T00177"/>
    <s v="E0045"/>
    <x v="47"/>
    <x v="3"/>
    <n v="2"/>
    <n v="3"/>
    <n v="3"/>
    <m/>
  </r>
  <r>
    <s v="FB00209"/>
    <s v="T00564"/>
    <s v="E0156"/>
    <x v="27"/>
    <x v="3"/>
    <n v="4"/>
    <n v="3"/>
    <n v="2"/>
    <m/>
  </r>
  <r>
    <s v="FB00210"/>
    <s v="T00552"/>
    <s v="E0152"/>
    <x v="81"/>
    <x v="2"/>
    <n v="4"/>
    <n v="5"/>
    <n v="4"/>
    <m/>
  </r>
  <r>
    <s v="FB00211"/>
    <s v="T00542"/>
    <s v="E0150"/>
    <x v="87"/>
    <x v="1"/>
    <n v="4"/>
    <n v="3"/>
    <n v="3"/>
    <m/>
  </r>
  <r>
    <s v="FB00212"/>
    <s v="T00091"/>
    <s v="E0025"/>
    <x v="64"/>
    <x v="1"/>
    <n v="3"/>
    <n v="4"/>
    <n v="4"/>
    <m/>
  </r>
  <r>
    <s v="FB00213"/>
    <s v="T00189"/>
    <s v="E0049"/>
    <x v="70"/>
    <x v="3"/>
    <n v="3"/>
    <n v="3"/>
    <n v="3"/>
    <m/>
  </r>
  <r>
    <s v="FB00214"/>
    <s v="T00071"/>
    <s v="E0019"/>
    <x v="33"/>
    <x v="3"/>
    <n v="4"/>
    <n v="4"/>
    <n v="2"/>
    <m/>
  </r>
  <r>
    <s v="FB00215"/>
    <s v="T00228"/>
    <s v="E0057"/>
    <x v="10"/>
    <x v="1"/>
    <n v="4"/>
    <n v="4"/>
    <n v="5"/>
    <m/>
  </r>
  <r>
    <s v="FB00216"/>
    <s v="T00045"/>
    <s v="E0013"/>
    <x v="7"/>
    <x v="1"/>
    <n v="3"/>
    <n v="3"/>
    <n v="3"/>
    <m/>
  </r>
  <r>
    <s v="FB00217"/>
    <s v="T00059"/>
    <s v="E0017"/>
    <x v="49"/>
    <x v="2"/>
    <n v="3"/>
    <n v="5"/>
    <n v="5"/>
    <m/>
  </r>
  <r>
    <s v="FB00218"/>
    <s v="T00335"/>
    <s v="E0087"/>
    <x v="45"/>
    <x v="2"/>
    <n v="5"/>
    <n v="4"/>
    <n v="5"/>
    <m/>
  </r>
  <r>
    <s v="FB00219"/>
    <s v="T00319"/>
    <s v="E0084"/>
    <x v="47"/>
    <x v="3"/>
    <n v="3"/>
    <n v="3"/>
    <n v="3"/>
    <m/>
  </r>
  <r>
    <s v="FB00220"/>
    <s v="T00088"/>
    <s v="E0025"/>
    <x v="39"/>
    <x v="2"/>
    <n v="5"/>
    <n v="5"/>
    <n v="5"/>
    <s v="The booking process was easy to use."/>
  </r>
  <r>
    <s v="FB00221"/>
    <s v="T00432"/>
    <s v="E0117"/>
    <x v="33"/>
    <x v="2"/>
    <n v="5"/>
    <n v="5"/>
    <n v="5"/>
    <m/>
  </r>
  <r>
    <s v="FB00222"/>
    <s v="T00337"/>
    <s v="E0088"/>
    <x v="18"/>
    <x v="1"/>
    <n v="4"/>
    <n v="5"/>
    <n v="4"/>
    <s v="Travel support was helpful and responsive."/>
  </r>
  <r>
    <s v="FB00223"/>
    <s v="T00060"/>
    <s v="E0017"/>
    <x v="41"/>
    <x v="3"/>
    <n v="3"/>
    <n v="2"/>
    <n v="3"/>
    <m/>
  </r>
  <r>
    <s v="FB00224"/>
    <s v="T00384"/>
    <s v="E0103"/>
    <x v="90"/>
    <x v="1"/>
    <n v="4"/>
    <n v="4"/>
    <n v="4"/>
    <s v="Overall fine, but there is room for improvement."/>
  </r>
  <r>
    <s v="FB00225"/>
    <s v="T00500"/>
    <s v="E0137"/>
    <x v="86"/>
    <x v="1"/>
    <n v="4"/>
    <n v="3"/>
    <n v="4"/>
    <m/>
  </r>
  <r>
    <s v="FB00226"/>
    <s v="T00125"/>
    <s v="E0033"/>
    <x v="53"/>
    <x v="1"/>
    <n v="4"/>
    <n v="3"/>
    <n v="3"/>
    <m/>
  </r>
  <r>
    <s v="FB00227"/>
    <s v="T00522"/>
    <s v="E0142"/>
    <x v="16"/>
    <x v="2"/>
    <n v="5"/>
    <n v="4"/>
    <n v="5"/>
    <m/>
  </r>
  <r>
    <s v="FB00228"/>
    <s v="T00085"/>
    <s v="E0023"/>
    <x v="80"/>
    <x v="1"/>
    <n v="4"/>
    <n v="4"/>
    <n v="4"/>
    <m/>
  </r>
  <r>
    <s v="FB00229"/>
    <s v="T00490"/>
    <s v="E0134"/>
    <x v="91"/>
    <x v="1"/>
    <n v="3"/>
    <n v="4"/>
    <n v="5"/>
    <s v="The trip was okay, although the booking process took longer than expected."/>
  </r>
  <r>
    <s v="FB00230"/>
    <s v="T00366"/>
    <s v="E0098"/>
    <x v="57"/>
    <x v="2"/>
    <n v="5"/>
    <n v="5"/>
    <n v="5"/>
    <m/>
  </r>
  <r>
    <s v="FB00231"/>
    <s v="T00203"/>
    <s v="E0053"/>
    <x v="51"/>
    <x v="0"/>
    <n v="2"/>
    <n v="1"/>
    <n v="3"/>
    <m/>
  </r>
  <r>
    <s v="FB00232"/>
    <s v="T00460"/>
    <s v="E0125"/>
    <x v="33"/>
    <x v="2"/>
    <n v="5"/>
    <n v="5"/>
    <n v="5"/>
    <m/>
  </r>
  <r>
    <s v="FB00233"/>
    <s v="T00332"/>
    <s v="E0086"/>
    <x v="33"/>
    <x v="1"/>
    <n v="4"/>
    <n v="4"/>
    <n v="5"/>
    <s v="Travel support was helpful and responsive."/>
  </r>
  <r>
    <s v="FB00234"/>
    <s v="T00187"/>
    <s v="E0049"/>
    <x v="47"/>
    <x v="1"/>
    <n v="4"/>
    <n v="4"/>
    <n v="3"/>
    <s v="The trip was okay, although the booking process took longer than expected."/>
  </r>
  <r>
    <s v="FB00235"/>
    <s v="T00298"/>
    <s v="E0077"/>
    <x v="76"/>
    <x v="4"/>
    <n v="2"/>
    <n v="2"/>
    <n v="2"/>
    <s v="The supplier experience did not meet expectations."/>
  </r>
  <r>
    <s v="FB00236"/>
    <s v="T00041"/>
    <s v="E0012"/>
    <x v="60"/>
    <x v="2"/>
    <n v="5"/>
    <n v="4"/>
    <n v="5"/>
    <s v="Good communication and clear travel information."/>
  </r>
  <r>
    <s v="FB00237"/>
    <s v="T00254"/>
    <s v="E0065"/>
    <x v="42"/>
    <x v="4"/>
    <n v="2"/>
    <n v="3"/>
    <n v="4"/>
    <s v="I had to follow up several times for help."/>
  </r>
  <r>
    <s v="FB00238"/>
    <s v="T00302"/>
    <s v="E0078"/>
    <x v="77"/>
    <x v="2"/>
    <n v="5"/>
    <n v="5"/>
    <n v="5"/>
    <m/>
  </r>
  <r>
    <s v="FB00239"/>
    <s v="T00375"/>
    <s v="E0101"/>
    <x v="19"/>
    <x v="3"/>
    <n v="2"/>
    <n v="3"/>
    <n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8A0551-157F-3949-ACD0-FE0774F586DD}" name="PivotTable11"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Booking lead time">
  <location ref="A119:C125" firstHeaderRow="0" firstDataRow="1" firstDataCol="1" rowPageCount="1" colPageCount="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name="Travel Type Filter" axis="axisPage" multipleItemSelectionAllowed="1" showAll="0">
      <items count="3">
        <item x="1"/>
        <item h="1" x="0"/>
        <item t="default"/>
      </items>
    </pivotField>
    <pivotField showAll="0"/>
    <pivotField numFmtId="168" showAll="0"/>
    <pivotField numFmtId="1" showAll="0"/>
    <pivotField axis="axisRow" showAll="0">
      <items count="6">
        <item x="1"/>
        <item x="4"/>
        <item x="0"/>
        <item x="3"/>
        <item x="2"/>
        <item t="default"/>
      </items>
    </pivotField>
    <pivotField showAll="0"/>
    <pivotField showAll="0"/>
    <pivotField showAll="0"/>
    <pivotField dataField="1"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17"/>
  </rowFields>
  <rowItems count="6">
    <i>
      <x/>
    </i>
    <i>
      <x v="1"/>
    </i>
    <i>
      <x v="2"/>
    </i>
    <i>
      <x v="3"/>
    </i>
    <i>
      <x v="4"/>
    </i>
    <i t="grand">
      <x/>
    </i>
  </rowItems>
  <colFields count="1">
    <field x="-2"/>
  </colFields>
  <colItems count="2">
    <i>
      <x/>
    </i>
    <i i="1">
      <x v="1"/>
    </i>
  </colItems>
  <pageFields count="1">
    <pageField fld="13" hier="-1"/>
  </pageFields>
  <dataFields count="2">
    <dataField name="Number of Air Trips" fld="0" subtotal="count" baseField="0" baseItem="0"/>
    <dataField name="Average Airfare" fld="21" subtotal="average"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4EE238-AB88-3448-96D9-6ED02BE35D26}" name="PivotTable12"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Booking lead time">
  <location ref="A129:C135" firstHeaderRow="0" firstDataRow="1"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numFmtId="168" showAll="0"/>
    <pivotField numFmtId="1" showAll="0"/>
    <pivotField axis="axisRow" showAll="0">
      <items count="6">
        <item x="1"/>
        <item x="4"/>
        <item x="0"/>
        <item x="3"/>
        <item x="2"/>
        <item t="default"/>
      </items>
    </pivotField>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dataField="1"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17"/>
  </rowFields>
  <rowItems count="6">
    <i>
      <x/>
    </i>
    <i>
      <x v="1"/>
    </i>
    <i>
      <x v="2"/>
    </i>
    <i>
      <x v="3"/>
    </i>
    <i>
      <x v="4"/>
    </i>
    <i t="grand">
      <x/>
    </i>
  </rowItems>
  <colFields count="1">
    <field x="-2"/>
  </colFields>
  <colItems count="2">
    <i>
      <x/>
    </i>
    <i i="1">
      <x v="1"/>
    </i>
  </colItems>
  <dataFields count="2">
    <dataField name="Number of Trips" fld="0" subtotal="count" baseField="0" baseItem="0"/>
    <dataField name="Average Trip Cost" fld="33" subtotal="average"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D425DC-1586-944F-83E0-F23BBAAAEF41}" name="PivotTable4"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Month">
  <location ref="A41:B45" firstHeaderRow="1" firstDataRow="1" firstDataCol="1" rowPageCount="1" colPageCount="1"/>
  <pivotFields count="46">
    <pivotField showAll="0"/>
    <pivotField showAll="0"/>
    <pivotField showAll="0"/>
    <pivotField showAll="0"/>
    <pivotField showAll="0"/>
    <pivotField showAll="0"/>
    <pivotField numFmtId="14" showAll="0"/>
    <pivotField numFmtId="14" showAll="0"/>
    <pivotField numFmtId="14" showAll="0"/>
    <pivotField axis="axisRow" showAll="0">
      <items count="4">
        <item n="May 2026" x="2"/>
        <item n="June 2026" x="0"/>
        <item n="July 2026" x="1"/>
        <item t="default"/>
      </items>
    </pivotField>
    <pivotField showAll="0"/>
    <pivotField showAll="0"/>
    <pivotField showAll="0"/>
    <pivotField axis="axisPage" multipleItemSelectionAllowed="1" showAll="0">
      <items count="3">
        <item x="1"/>
        <item h="1" x="0"/>
        <item t="default"/>
      </items>
    </pivotField>
    <pivotField showAll="0"/>
    <pivotField numFmtId="168" showAll="0"/>
    <pivotField numFmtId="1" showAll="0"/>
    <pivotField showAll="0"/>
    <pivotField showAll="0"/>
    <pivotField showAll="0"/>
    <pivotField showAll="0"/>
    <pivotField dataField="1"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9"/>
  </rowFields>
  <rowItems count="4">
    <i>
      <x/>
    </i>
    <i>
      <x v="1"/>
    </i>
    <i>
      <x v="2"/>
    </i>
    <i t="grand">
      <x/>
    </i>
  </rowItems>
  <colItems count="1">
    <i/>
  </colItems>
  <pageFields count="1">
    <pageField fld="13" hier="-1"/>
  </pageFields>
  <dataFields count="1">
    <dataField name="Average airfare" fld="21" subtotal="average"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795318-79CB-614A-8999-914667AF3AC1}" name="PivotTable48"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Month">
  <location ref="A12:D16" firstHeaderRow="0" firstDataRow="1" firstDataCol="1"/>
  <pivotFields count="46">
    <pivotField dataField="1" showAll="0"/>
    <pivotField showAll="0"/>
    <pivotField showAll="0"/>
    <pivotField showAll="0"/>
    <pivotField showAll="0"/>
    <pivotField showAll="0"/>
    <pivotField numFmtId="14" showAll="0"/>
    <pivotField numFmtId="14" showAll="0"/>
    <pivotField numFmtId="14" showAll="0"/>
    <pivotField axis="axisRow" showAll="0">
      <items count="4">
        <item n="May 2026" x="2"/>
        <item n="June 2026" x="0"/>
        <item n="July 2026" x="1"/>
        <item t="default"/>
      </items>
    </pivotField>
    <pivotField showAll="0"/>
    <pivotField showAll="0"/>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dataField="1"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9"/>
  </rowFields>
  <rowItems count="4">
    <i>
      <x/>
    </i>
    <i>
      <x v="1"/>
    </i>
    <i>
      <x v="2"/>
    </i>
    <i t="grand">
      <x/>
    </i>
  </rowItems>
  <colFields count="1">
    <field x="-2"/>
  </colFields>
  <colItems count="3">
    <i>
      <x/>
    </i>
    <i i="1">
      <x v="1"/>
    </i>
    <i i="2">
      <x v="2"/>
    </i>
  </colItems>
  <dataFields count="3">
    <dataField name="Number of Trips" fld="0" subtotal="count" baseField="0" baseItem="0"/>
    <dataField name="Total spend" fld="33" baseField="0" baseItem="0" numFmtId="169"/>
    <dataField name="Average Trip Cost" fld="33" subtotal="average"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9C924E-CDF6-6D43-A02E-3A142EE5F2D3}" name="PivotTable49"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Trip Type">
  <location ref="A31:D34" firstHeaderRow="0" firstDataRow="1"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axis="axisRow" showAll="0">
      <items count="3">
        <item x="0"/>
        <item x="1"/>
        <item t="default"/>
      </items>
    </pivotField>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dataField="1"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12"/>
  </rowFields>
  <rowItems count="3">
    <i>
      <x/>
    </i>
    <i>
      <x v="1"/>
    </i>
    <i t="grand">
      <x/>
    </i>
  </rowItems>
  <colFields count="1">
    <field x="-2"/>
  </colFields>
  <colItems count="3">
    <i>
      <x/>
    </i>
    <i i="1">
      <x v="1"/>
    </i>
    <i i="2">
      <x v="2"/>
    </i>
  </colItems>
  <dataFields count="3">
    <dataField name="Number of Trips" fld="0" subtotal="count" baseField="0" baseItem="0"/>
    <dataField name="Total Spend" fld="33" baseField="0" baseItem="0" numFmtId="169"/>
    <dataField name="Average Trip Cost" fld="33" subtotal="average"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0683EB-B0F4-4C43-8A2A-6D7BFE5BC707}" name="PivotTable10"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Destination">
  <location ref="A84:C109" firstHeaderRow="0" firstDataRow="1"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axis="axisRow" showAll="0" sortType="descending">
      <items count="25">
        <item x="14"/>
        <item x="3"/>
        <item x="10"/>
        <item x="20"/>
        <item x="15"/>
        <item x="8"/>
        <item x="12"/>
        <item x="5"/>
        <item x="9"/>
        <item x="22"/>
        <item x="1"/>
        <item x="17"/>
        <item x="13"/>
        <item x="6"/>
        <item x="19"/>
        <item x="0"/>
        <item x="2"/>
        <item x="11"/>
        <item x="7"/>
        <item x="16"/>
        <item x="18"/>
        <item x="23"/>
        <item x="2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dataField="1"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11"/>
  </rowFields>
  <rowItems count="25">
    <i>
      <x v="7"/>
    </i>
    <i>
      <x v="20"/>
    </i>
    <i>
      <x v="12"/>
    </i>
    <i>
      <x v="5"/>
    </i>
    <i>
      <x v="22"/>
    </i>
    <i>
      <x v="18"/>
    </i>
    <i>
      <x v="3"/>
    </i>
    <i>
      <x v="16"/>
    </i>
    <i>
      <x v="8"/>
    </i>
    <i>
      <x v="23"/>
    </i>
    <i>
      <x v="17"/>
    </i>
    <i>
      <x v="19"/>
    </i>
    <i>
      <x v="1"/>
    </i>
    <i>
      <x v="10"/>
    </i>
    <i>
      <x v="14"/>
    </i>
    <i>
      <x v="6"/>
    </i>
    <i>
      <x v="4"/>
    </i>
    <i>
      <x/>
    </i>
    <i>
      <x v="21"/>
    </i>
    <i>
      <x v="9"/>
    </i>
    <i>
      <x v="15"/>
    </i>
    <i>
      <x v="2"/>
    </i>
    <i>
      <x v="11"/>
    </i>
    <i>
      <x v="13"/>
    </i>
    <i t="grand">
      <x/>
    </i>
  </rowItems>
  <colFields count="1">
    <field x="-2"/>
  </colFields>
  <colItems count="2">
    <i>
      <x/>
    </i>
    <i i="1">
      <x v="1"/>
    </i>
  </colItems>
  <dataFields count="2">
    <dataField name="Average Trip Cost" fld="33" subtotal="average" baseField="0" baseItem="0" numFmtId="167"/>
    <dataField name="Number of Trip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6352B4-986D-2E49-A205-A69934695BD2}" name="PivotTable3" cacheId="4" applyNumberFormats="0" applyBorderFormats="0" applyFontFormats="0" applyPatternFormats="0" applyAlignmentFormats="0" applyWidthHeightFormats="1" dataCaption="Values" grandTotalCaption="Total" updatedVersion="8" minRefreshableVersion="3" useAutoFormatting="1" rowGrandTotals="0" colGrandTotals="0" itemPrintTitles="1" createdVersion="8" indent="0" outline="1" outlineData="1" multipleFieldFilters="0" rowHeaderCaption="Month" colHeaderCaption="Trip Type">
  <location ref="A22:C26" firstHeaderRow="1" firstDataRow="2" firstDataCol="1"/>
  <pivotFields count="46">
    <pivotField showAll="0"/>
    <pivotField showAll="0"/>
    <pivotField showAll="0"/>
    <pivotField showAll="0"/>
    <pivotField showAll="0"/>
    <pivotField showAll="0"/>
    <pivotField numFmtId="14" showAll="0"/>
    <pivotField numFmtId="14" showAll="0"/>
    <pivotField numFmtId="14" showAll="0"/>
    <pivotField axis="axisRow" showAll="0">
      <items count="4">
        <item n="May 2026" x="2"/>
        <item n="June 2026" x="0"/>
        <item n="July 2026" x="1"/>
        <item t="default"/>
      </items>
    </pivotField>
    <pivotField showAll="0"/>
    <pivotField showAll="0"/>
    <pivotField axis="axisCol" showAll="0">
      <items count="3">
        <item x="0"/>
        <item x="1"/>
        <item t="default"/>
      </items>
    </pivotField>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dataField="1"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9"/>
  </rowFields>
  <rowItems count="3">
    <i>
      <x/>
    </i>
    <i>
      <x v="1"/>
    </i>
    <i>
      <x v="2"/>
    </i>
  </rowItems>
  <colFields count="1">
    <field x="12"/>
  </colFields>
  <colItems count="2">
    <i>
      <x/>
    </i>
    <i>
      <x v="1"/>
    </i>
  </colItems>
  <dataFields count="1">
    <dataField name="Average Trip Cost by Month and Trip Type" fld="33" subtotal="average"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E191C9-8832-C44D-9194-3005F63B56E0}" name="PivotTable50"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Month">
  <location ref="D41:E45" firstHeaderRow="1" firstDataRow="1" firstDataCol="1" rowPageCount="1" colPageCount="1"/>
  <pivotFields count="46">
    <pivotField showAll="0"/>
    <pivotField showAll="0"/>
    <pivotField showAll="0"/>
    <pivotField showAll="0"/>
    <pivotField showAll="0"/>
    <pivotField showAll="0"/>
    <pivotField numFmtId="14" showAll="0"/>
    <pivotField numFmtId="14" showAll="0"/>
    <pivotField numFmtId="14" showAll="0"/>
    <pivotField axis="axisRow" showAll="0">
      <items count="4">
        <item n="May 2026" x="2"/>
        <item n="June 2026" x="0"/>
        <item n="July 2026" x="1"/>
        <item t="default"/>
      </items>
    </pivotField>
    <pivotField showAll="0"/>
    <pivotField showAll="0"/>
    <pivotField showAll="0"/>
    <pivotField showAll="0"/>
    <pivotField showAll="0"/>
    <pivotField numFmtId="168" showAll="0"/>
    <pivotField numFmtId="1" showAll="0"/>
    <pivotField showAll="0"/>
    <pivotField showAll="0"/>
    <pivotField showAll="0"/>
    <pivotField showAll="0"/>
    <pivotField numFmtId="167" showAll="0"/>
    <pivotField numFmtId="167" showAll="0"/>
    <pivotField axis="axisPage" numFmtId="1" multipleItemSelectionAllowed="1" showAll="0">
      <items count="10">
        <item h="1" x="5"/>
        <item x="2"/>
        <item x="0"/>
        <item x="1"/>
        <item x="3"/>
        <item x="4"/>
        <item x="7"/>
        <item x="8"/>
        <item x="6"/>
        <item t="default"/>
      </items>
    </pivotField>
    <pivotField dataField="1"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9"/>
  </rowFields>
  <rowItems count="4">
    <i>
      <x/>
    </i>
    <i>
      <x v="1"/>
    </i>
    <i>
      <x v="2"/>
    </i>
    <i t="grand">
      <x/>
    </i>
  </rowItems>
  <colItems count="1">
    <i/>
  </colItems>
  <pageFields count="1">
    <pageField fld="23" hier="-1"/>
  </pageFields>
  <dataFields count="1">
    <dataField name="Average hotel cost per night" fld="24" subtotal="average"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E48B16-6F6B-B94F-A2B5-FEB42CFD7D5F}" name="PivotTable9"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Destination" colHeaderCaption="Travel Month">
  <location ref="A53:E79" firstHeaderRow="1" firstDataRow="2" firstDataCol="1"/>
  <pivotFields count="46">
    <pivotField dataField="1" showAll="0"/>
    <pivotField showAll="0"/>
    <pivotField showAll="0"/>
    <pivotField showAll="0"/>
    <pivotField showAll="0"/>
    <pivotField showAll="0"/>
    <pivotField numFmtId="14" showAll="0"/>
    <pivotField numFmtId="14" showAll="0"/>
    <pivotField numFmtId="14" showAll="0"/>
    <pivotField axis="axisCol" showAll="0">
      <items count="4">
        <item n="May 2026" x="2"/>
        <item n="June 2026" x="0"/>
        <item n="July 2026" x="1"/>
        <item t="default"/>
      </items>
    </pivotField>
    <pivotField showAll="0"/>
    <pivotField axis="axisRow" showAll="0" sortType="descending">
      <items count="25">
        <item x="14"/>
        <item x="3"/>
        <item x="10"/>
        <item x="20"/>
        <item x="15"/>
        <item x="8"/>
        <item x="12"/>
        <item x="5"/>
        <item x="9"/>
        <item x="22"/>
        <item x="1"/>
        <item x="17"/>
        <item x="13"/>
        <item x="6"/>
        <item x="19"/>
        <item x="0"/>
        <item x="2"/>
        <item x="11"/>
        <item x="7"/>
        <item x="16"/>
        <item x="18"/>
        <item x="23"/>
        <item x="2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11"/>
  </rowFields>
  <rowItems count="25">
    <i>
      <x v="8"/>
    </i>
    <i>
      <x/>
    </i>
    <i>
      <x v="19"/>
    </i>
    <i>
      <x v="10"/>
    </i>
    <i>
      <x v="13"/>
    </i>
    <i>
      <x v="18"/>
    </i>
    <i>
      <x v="4"/>
    </i>
    <i>
      <x v="23"/>
    </i>
    <i>
      <x v="15"/>
    </i>
    <i>
      <x v="3"/>
    </i>
    <i>
      <x v="14"/>
    </i>
    <i>
      <x v="1"/>
    </i>
    <i>
      <x v="7"/>
    </i>
    <i>
      <x v="2"/>
    </i>
    <i>
      <x v="17"/>
    </i>
    <i>
      <x v="22"/>
    </i>
    <i>
      <x v="9"/>
    </i>
    <i>
      <x v="16"/>
    </i>
    <i>
      <x v="11"/>
    </i>
    <i>
      <x v="20"/>
    </i>
    <i>
      <x v="6"/>
    </i>
    <i>
      <x v="5"/>
    </i>
    <i>
      <x v="12"/>
    </i>
    <i>
      <x v="21"/>
    </i>
    <i t="grand">
      <x/>
    </i>
  </rowItems>
  <colFields count="1">
    <field x="9"/>
  </colFields>
  <colItems count="4">
    <i>
      <x/>
    </i>
    <i>
      <x v="1"/>
    </i>
    <i>
      <x v="2"/>
    </i>
    <i t="grand">
      <x/>
    </i>
  </colItems>
  <dataFields count="1">
    <dataField name="Number of Trip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7B97D4-3C23-F443-BD2A-C61554B769C8}" name="PivotTable11"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Booking Channel">
  <location ref="A39:D45" firstHeaderRow="1" firstDataRow="2"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numFmtId="168" showAll="0"/>
    <pivotField numFmtId="1" showAll="0"/>
    <pivotField showAll="0"/>
    <pivotField axis="axisRow" showAll="0">
      <items count="5">
        <item x="3"/>
        <item x="0"/>
        <item x="2"/>
        <item x="1"/>
        <item t="default"/>
      </items>
    </pivotField>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showAll="0"/>
    <pivotField showAll="0"/>
    <pivotField axis="axisCol" showAll="0">
      <items count="3">
        <item n="Non-Compliant" x="1"/>
        <item n="Compliant" x="0"/>
        <item t="default"/>
      </items>
    </pivotField>
    <pivotField showAll="0"/>
    <pivotField showAll="0"/>
    <pivotField showAll="0"/>
    <pivotField numFmtId="1" showAll="0"/>
    <pivotField numFmtId="166" showAll="0"/>
    <pivotField showAll="0"/>
    <pivotField showAll="0"/>
  </pivotFields>
  <rowFields count="1">
    <field x="18"/>
  </rowFields>
  <rowItems count="5">
    <i>
      <x/>
    </i>
    <i>
      <x v="1"/>
    </i>
    <i>
      <x v="2"/>
    </i>
    <i>
      <x v="3"/>
    </i>
    <i t="grand">
      <x/>
    </i>
  </rowItems>
  <colFields count="1">
    <field x="38"/>
  </colFields>
  <colItems count="3">
    <i>
      <x/>
    </i>
    <i>
      <x v="1"/>
    </i>
    <i t="grand">
      <x/>
    </i>
  </colItems>
  <dataFields count="1">
    <dataField name="Trip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902FE4-29E5-CB4F-840D-4A1651A00E95}" name="PivotTable14"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Destination">
  <location ref="A94:C119" firstHeaderRow="0" firstDataRow="1" firstDataCol="1" rowPageCount="1" colPageCount="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axis="axisRow" showAll="0" sortType="descending">
      <items count="25">
        <item x="14"/>
        <item x="3"/>
        <item x="10"/>
        <item x="20"/>
        <item x="15"/>
        <item x="8"/>
        <item x="12"/>
        <item x="5"/>
        <item x="9"/>
        <item x="22"/>
        <item x="1"/>
        <item x="17"/>
        <item x="13"/>
        <item x="6"/>
        <item x="19"/>
        <item x="0"/>
        <item x="2"/>
        <item x="11"/>
        <item x="7"/>
        <item x="16"/>
        <item x="18"/>
        <item x="23"/>
        <item x="2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8" showAll="0"/>
    <pivotField numFmtId="1" showAll="0"/>
    <pivotField showAll="0"/>
    <pivotField showAll="0"/>
    <pivotField showAll="0"/>
    <pivotField showAll="0"/>
    <pivotField numFmtId="167" showAll="0"/>
    <pivotField numFmtId="167" showAll="0"/>
    <pivotField axis="axisPage" numFmtId="1" multipleItemSelectionAllowed="1" showAll="0">
      <items count="10">
        <item h="1" x="5"/>
        <item x="2"/>
        <item x="0"/>
        <item x="1"/>
        <item x="3"/>
        <item x="4"/>
        <item x="7"/>
        <item x="8"/>
        <item x="6"/>
        <item t="default"/>
      </items>
    </pivotField>
    <pivotField dataField="1"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11"/>
  </rowFields>
  <rowItems count="25">
    <i>
      <x v="5"/>
    </i>
    <i>
      <x v="21"/>
    </i>
    <i>
      <x v="7"/>
    </i>
    <i>
      <x v="16"/>
    </i>
    <i>
      <x v="4"/>
    </i>
    <i>
      <x v="22"/>
    </i>
    <i>
      <x/>
    </i>
    <i>
      <x v="10"/>
    </i>
    <i>
      <x v="14"/>
    </i>
    <i>
      <x v="18"/>
    </i>
    <i>
      <x v="1"/>
    </i>
    <i>
      <x v="8"/>
    </i>
    <i>
      <x v="6"/>
    </i>
    <i>
      <x v="3"/>
    </i>
    <i>
      <x v="19"/>
    </i>
    <i>
      <x v="20"/>
    </i>
    <i>
      <x v="17"/>
    </i>
    <i>
      <x v="11"/>
    </i>
    <i>
      <x v="23"/>
    </i>
    <i>
      <x v="12"/>
    </i>
    <i>
      <x v="9"/>
    </i>
    <i>
      <x v="15"/>
    </i>
    <i>
      <x v="2"/>
    </i>
    <i>
      <x v="13"/>
    </i>
    <i t="grand">
      <x/>
    </i>
  </rowItems>
  <colFields count="1">
    <field x="-2"/>
  </colFields>
  <colItems count="2">
    <i>
      <x/>
    </i>
    <i i="1">
      <x v="1"/>
    </i>
  </colItems>
  <pageFields count="1">
    <pageField fld="23" hier="-1"/>
  </pageFields>
  <dataFields count="2">
    <dataField name="Average Nightly Rate" fld="24" subtotal="average" baseField="0" baseItem="0" numFmtId="167"/>
    <dataField name="Hotel Stay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04637B-1E05-AC48-B79A-C5BA2AB06BAE}" name="PivotTable9"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Status">
  <location ref="D22:E26" firstHeaderRow="1" firstDataRow="1"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axis="axisRow" showAll="0">
      <items count="4">
        <item x="2"/>
        <item n="Non-Compliant" x="1"/>
        <item n="Compliant" x="0"/>
        <item t="default"/>
      </items>
    </pivotField>
    <pivotField showAll="0"/>
    <pivotField showAll="0"/>
    <pivotField showAll="0"/>
    <pivotField showAll="0"/>
    <pivotField showAll="0"/>
    <pivotField showAll="0"/>
    <pivotField numFmtId="1" showAll="0"/>
    <pivotField numFmtId="166" showAll="0"/>
    <pivotField showAll="0"/>
    <pivotField showAll="0"/>
  </pivotFields>
  <rowFields count="1">
    <field x="35"/>
  </rowFields>
  <rowItems count="4">
    <i>
      <x/>
    </i>
    <i>
      <x v="1"/>
    </i>
    <i>
      <x v="2"/>
    </i>
    <i t="grand">
      <x/>
    </i>
  </rowItems>
  <colItems count="1">
    <i/>
  </colItems>
  <dataFields count="1">
    <dataField name="Number of Trip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71CF433-14B3-DC41-BD2D-E2124898F715}" name="PivotTable17"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irline">
  <location ref="A155:D167" firstHeaderRow="1" firstDataRow="2"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multipleItemSelectionAllowed="1" showAll="0">
      <items count="3">
        <item x="1"/>
        <item h="1" x="0"/>
        <item t="default"/>
      </items>
    </pivotField>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axis="axisCol" showAll="0">
      <items count="4">
        <item x="0"/>
        <item n="Non-Preferred Trips" x="2"/>
        <item n="Preferred Trips" x="1"/>
        <item t="default"/>
      </items>
    </pivotField>
    <pivotField showAll="0"/>
    <pivotField showAll="0"/>
    <pivotField showAll="0"/>
    <pivotField showAll="0"/>
    <pivotField showAll="0"/>
    <pivotField numFmtId="1" showAll="0"/>
    <pivotField numFmtId="166" showAll="0"/>
    <pivotField axis="axisRow" showAll="0">
      <items count="12">
        <item h="1" x="0"/>
        <item x="6"/>
        <item x="2"/>
        <item x="1"/>
        <item x="4"/>
        <item x="10"/>
        <item x="7"/>
        <item x="3"/>
        <item x="9"/>
        <item x="8"/>
        <item x="5"/>
        <item t="default"/>
      </items>
    </pivotField>
    <pivotField showAll="0"/>
  </pivotFields>
  <rowFields count="1">
    <field x="44"/>
  </rowFields>
  <rowItems count="11">
    <i>
      <x v="1"/>
    </i>
    <i>
      <x v="2"/>
    </i>
    <i>
      <x v="3"/>
    </i>
    <i>
      <x v="4"/>
    </i>
    <i>
      <x v="5"/>
    </i>
    <i>
      <x v="6"/>
    </i>
    <i>
      <x v="7"/>
    </i>
    <i>
      <x v="8"/>
    </i>
    <i>
      <x v="9"/>
    </i>
    <i>
      <x v="10"/>
    </i>
    <i t="grand">
      <x/>
    </i>
  </rowItems>
  <colFields count="1">
    <field x="36"/>
  </colFields>
  <colItems count="3">
    <i>
      <x v="1"/>
    </i>
    <i>
      <x v="2"/>
    </i>
    <i t="grand">
      <x/>
    </i>
  </colItems>
  <dataFields count="1">
    <dataField name="Count of trip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D190A42-C939-CD4C-9681-A45E401699AF}" name="PivotTable2"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Compliance Status">
  <location ref="A12:C15" firstHeaderRow="0" firstDataRow="1"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showAll="0"/>
    <pivotField showAll="0"/>
    <pivotField showAll="0"/>
    <pivotField showAll="0"/>
    <pivotField showAll="0"/>
    <pivotField axis="axisRow" showAll="0">
      <items count="3">
        <item n="Non-Compliant" x="1"/>
        <item n="Compliant" x="0"/>
        <item t="default"/>
      </items>
    </pivotField>
    <pivotField numFmtId="1" showAll="0"/>
    <pivotField numFmtId="166" showAll="0"/>
    <pivotField showAll="0"/>
    <pivotField showAll="0"/>
  </pivotFields>
  <rowFields count="1">
    <field x="41"/>
  </rowFields>
  <rowItems count="3">
    <i>
      <x/>
    </i>
    <i>
      <x v="1"/>
    </i>
    <i t="grand">
      <x/>
    </i>
  </rowItems>
  <colFields count="1">
    <field x="-2"/>
  </colFields>
  <colItems count="2">
    <i>
      <x/>
    </i>
    <i i="1">
      <x v="1"/>
    </i>
  </colItems>
  <dataFields count="2">
    <dataField name="Number of Trips" fld="0" subtotal="count" baseField="0" baseItem="0"/>
    <dataField name="% of Trips"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063E9EE-D77A-9A41-A6D8-0FD108FB18D7}" name="PivotTable4"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 Status">
  <location ref="A22:B26" firstHeaderRow="1" firstDataRow="1"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axis="axisRow" showAll="0">
      <items count="4">
        <item x="2"/>
        <item n="Non-Compliant" x="1"/>
        <item n="Compliant" x="0"/>
        <item t="default"/>
      </items>
    </pivotField>
    <pivotField showAll="0"/>
    <pivotField showAll="0"/>
    <pivotField showAll="0"/>
    <pivotField showAll="0"/>
    <pivotField showAll="0"/>
    <pivotField showAll="0"/>
    <pivotField showAll="0"/>
    <pivotField numFmtId="1" showAll="0"/>
    <pivotField numFmtId="166" showAll="0"/>
    <pivotField showAll="0"/>
    <pivotField showAll="0"/>
  </pivotFields>
  <rowFields count="1">
    <field x="34"/>
  </rowFields>
  <rowItems count="4">
    <i>
      <x/>
    </i>
    <i>
      <x v="1"/>
    </i>
    <i>
      <x v="2"/>
    </i>
    <i t="grand">
      <x/>
    </i>
  </rowItems>
  <colItems count="1">
    <i/>
  </colItems>
  <dataFields count="1">
    <dataField name="Number of Trip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3D886F6-FFEC-E049-AC4D-B4E679CEEF7C}" name="PivotTable1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estination">
  <location ref="A127:B147" firstHeaderRow="1" firstDataRow="1" firstDataCol="1" rowPageCount="1" colPageCount="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axis="axisRow" showAll="0" sortType="descending">
      <items count="25">
        <item x="14"/>
        <item x="3"/>
        <item x="10"/>
        <item x="20"/>
        <item x="15"/>
        <item x="8"/>
        <item x="12"/>
        <item x="5"/>
        <item x="9"/>
        <item x="22"/>
        <item x="1"/>
        <item x="17"/>
        <item x="13"/>
        <item x="6"/>
        <item x="19"/>
        <item x="0"/>
        <item x="2"/>
        <item x="11"/>
        <item x="7"/>
        <item x="16"/>
        <item x="18"/>
        <item x="23"/>
        <item x="2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axis="axisPage" multipleItemSelectionAllowed="1" showAll="0">
      <items count="4">
        <item h="1" x="2"/>
        <item x="1"/>
        <item h="1" x="0"/>
        <item t="default"/>
      </items>
    </pivotField>
    <pivotField showAll="0"/>
    <pivotField showAll="0"/>
    <pivotField showAll="0"/>
    <pivotField showAll="0"/>
    <pivotField showAll="0"/>
    <pivotField showAll="0"/>
    <pivotField showAll="0"/>
    <pivotField numFmtId="1" showAll="0"/>
    <pivotField numFmtId="166" showAll="0"/>
    <pivotField showAll="0"/>
    <pivotField showAll="0"/>
  </pivotFields>
  <rowFields count="1">
    <field x="11"/>
  </rowFields>
  <rowItems count="20">
    <i>
      <x v="8"/>
    </i>
    <i>
      <x/>
    </i>
    <i>
      <x v="10"/>
    </i>
    <i>
      <x v="19"/>
    </i>
    <i>
      <x v="4"/>
    </i>
    <i>
      <x v="14"/>
    </i>
    <i>
      <x v="16"/>
    </i>
    <i>
      <x v="1"/>
    </i>
    <i>
      <x v="22"/>
    </i>
    <i>
      <x v="18"/>
    </i>
    <i>
      <x v="17"/>
    </i>
    <i>
      <x v="7"/>
    </i>
    <i>
      <x v="6"/>
    </i>
    <i>
      <x v="5"/>
    </i>
    <i>
      <x v="21"/>
    </i>
    <i>
      <x v="3"/>
    </i>
    <i>
      <x v="9"/>
    </i>
    <i>
      <x v="23"/>
    </i>
    <i>
      <x v="11"/>
    </i>
    <i>
      <x v="13"/>
    </i>
  </rowItems>
  <colItems count="1">
    <i/>
  </colItems>
  <pageFields count="1">
    <pageField fld="34" hier="-1"/>
  </pageFields>
  <dataFields count="1">
    <dataField name="Violatio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988EAD8-43BB-3342-98E7-BE85282D8A60}" name="PivotTable24" cacheId="4" applyNumberFormats="0" applyBorderFormats="0" applyFontFormats="0" applyPatternFormats="0" applyAlignmentFormats="0" applyWidthHeightFormats="1" dataCaption="Values" grandTotalCaption="TOTAL" updatedVersion="8" minRefreshableVersion="3" useAutoFormatting="1" colGrandTotals="0" itemPrintTitles="1" createdVersion="8" indent="0" outline="1" outlineData="1" multipleFieldFilters="0" rowHeaderCaption="Department">
  <location ref="A189:E198" firstHeaderRow="1" firstDataRow="3" firstDataCol="1"/>
  <pivotFields count="46">
    <pivotField dataField="1" showAll="0"/>
    <pivotField showAll="0"/>
    <pivotField showAll="0"/>
    <pivotField axis="axisRow" showAll="0">
      <items count="7">
        <item x="1"/>
        <item x="5"/>
        <item x="2"/>
        <item x="3"/>
        <item x="4"/>
        <item x="0"/>
        <item t="default"/>
      </items>
    </pivotField>
    <pivotField showAll="0"/>
    <pivotField showAll="0"/>
    <pivotField numFmtId="14" showAll="0"/>
    <pivotField numFmtId="14" showAll="0"/>
    <pivotField numFmtId="14" showAll="0"/>
    <pivotField showAll="0"/>
    <pivotField showAll="0"/>
    <pivotField showAll="0"/>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showAll="0"/>
    <pivotField showAll="0"/>
    <pivotField showAll="0"/>
    <pivotField showAll="0"/>
    <pivotField showAll="0"/>
    <pivotField axis="axisCol" showAll="0">
      <items count="3">
        <item n="Non-Compliant" x="1"/>
        <item n="Compliant" x="0"/>
        <item t="default"/>
      </items>
    </pivotField>
    <pivotField numFmtId="1" showAll="0"/>
    <pivotField numFmtId="166" showAll="0"/>
    <pivotField showAll="0"/>
    <pivotField showAll="0"/>
  </pivotFields>
  <rowFields count="1">
    <field x="3"/>
  </rowFields>
  <rowItems count="7">
    <i>
      <x/>
    </i>
    <i>
      <x v="1"/>
    </i>
    <i>
      <x v="2"/>
    </i>
    <i>
      <x v="3"/>
    </i>
    <i>
      <x v="4"/>
    </i>
    <i>
      <x v="5"/>
    </i>
    <i t="grand">
      <x/>
    </i>
  </rowItems>
  <colFields count="2">
    <field x="41"/>
    <field x="-2"/>
  </colFields>
  <colItems count="4">
    <i>
      <x/>
      <x/>
    </i>
    <i r="1" i="1">
      <x v="1"/>
    </i>
    <i>
      <x v="1"/>
      <x/>
    </i>
    <i r="1" i="1">
      <x v="1"/>
    </i>
  </colItems>
  <dataFields count="2">
    <dataField name="Trips" fld="0" subtotal="count" baseField="0" baseItem="0"/>
    <dataField name="Rate"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0A49577-A808-284B-80FB-CC8F5AD5093F}" name="PivotTable23"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Hotel Supplier">
  <location ref="A172:D181" firstHeaderRow="1" firstDataRow="2"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items count="4">
        <item x="2"/>
        <item x="1"/>
        <item x="0"/>
        <item t="default"/>
      </items>
    </pivotField>
    <pivotField axis="axisCol" showAll="0">
      <items count="4">
        <item x="2"/>
        <item n="Non-Preferred Stays" x="1"/>
        <item n="Preferred Stays" x="0"/>
        <item t="default"/>
      </items>
    </pivotField>
    <pivotField showAll="0"/>
    <pivotField showAll="0"/>
    <pivotField showAll="0"/>
    <pivotField showAll="0"/>
    <pivotField showAll="0"/>
    <pivotField showAll="0"/>
    <pivotField numFmtId="1" showAll="0"/>
    <pivotField numFmtId="166" showAll="0"/>
    <pivotField showAll="0"/>
    <pivotField axis="axisRow" showAll="0">
      <items count="9">
        <item h="1" x="7"/>
        <item x="3"/>
        <item x="1"/>
        <item x="4"/>
        <item x="2"/>
        <item x="0"/>
        <item x="5"/>
        <item x="6"/>
        <item t="default"/>
      </items>
    </pivotField>
  </pivotFields>
  <rowFields count="1">
    <field x="45"/>
  </rowFields>
  <rowItems count="8">
    <i>
      <x v="1"/>
    </i>
    <i>
      <x v="2"/>
    </i>
    <i>
      <x v="3"/>
    </i>
    <i>
      <x v="4"/>
    </i>
    <i>
      <x v="5"/>
    </i>
    <i>
      <x v="6"/>
    </i>
    <i>
      <x v="7"/>
    </i>
    <i t="grand">
      <x/>
    </i>
  </rowItems>
  <colFields count="1">
    <field x="35"/>
  </colFields>
  <colItems count="3">
    <i>
      <x v="1"/>
    </i>
    <i>
      <x v="2"/>
    </i>
    <i t="grand">
      <x/>
    </i>
  </colItems>
  <dataFields count="1">
    <dataField name="Count of trip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160FC3E-0993-C242-85A3-415DE0371476}" name="PivotTable10"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Status">
  <location ref="D31:E35" firstHeaderRow="1" firstDataRow="1"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axis="axisRow" showAll="0">
      <items count="4">
        <item x="0"/>
        <item n="Non-Compliant" x="2"/>
        <item n="Compliant" x="1"/>
        <item t="default"/>
      </items>
    </pivotField>
    <pivotField showAll="0"/>
    <pivotField showAll="0"/>
    <pivotField showAll="0"/>
    <pivotField showAll="0"/>
    <pivotField showAll="0"/>
    <pivotField numFmtId="1" showAll="0"/>
    <pivotField numFmtId="166" showAll="0"/>
    <pivotField showAll="0"/>
    <pivotField showAll="0"/>
  </pivotFields>
  <rowFields count="1">
    <field x="36"/>
  </rowFields>
  <rowItems count="4">
    <i>
      <x/>
    </i>
    <i>
      <x v="1"/>
    </i>
    <i>
      <x v="2"/>
    </i>
    <i t="grand">
      <x/>
    </i>
  </rowItems>
  <colItems count="1">
    <i/>
  </colItems>
  <dataFields count="1">
    <dataField name="Number of Trip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97AC3BF-4CCE-F844-9B39-7000811C6945}" name="PivotTable6"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 Status">
  <location ref="A31:B34" firstHeaderRow="1" firstDataRow="1"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showAll="0"/>
    <pivotField axis="axisRow" showAll="0">
      <items count="3">
        <item n="Non-Compliant" x="1"/>
        <item n="Compliant" x="0"/>
        <item t="default"/>
      </items>
    </pivotField>
    <pivotField showAll="0"/>
    <pivotField showAll="0"/>
    <pivotField showAll="0"/>
    <pivotField showAll="0"/>
    <pivotField numFmtId="1" showAll="0"/>
    <pivotField numFmtId="166" showAll="0"/>
    <pivotField showAll="0"/>
    <pivotField showAll="0"/>
  </pivotFields>
  <rowFields count="1">
    <field x="37"/>
  </rowFields>
  <rowItems count="3">
    <i>
      <x/>
    </i>
    <i>
      <x v="1"/>
    </i>
    <i t="grand">
      <x/>
    </i>
  </rowItems>
  <colItems count="1">
    <i/>
  </colItems>
  <dataFields count="1">
    <dataField name="Number of Trip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ACBE151-D92E-F44E-ACCB-006975FC0366}" name="PivotTable1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estination">
  <location ref="A58:E84" firstHeaderRow="1" firstDataRow="3" firstDataCol="1" rowPageCount="1" colPageCount="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axis="axisRow" showAll="0" sortType="descending">
      <items count="25">
        <item x="14"/>
        <item x="3"/>
        <item x="10"/>
        <item x="20"/>
        <item x="15"/>
        <item x="8"/>
        <item x="12"/>
        <item x="5"/>
        <item x="9"/>
        <item x="22"/>
        <item x="1"/>
        <item x="17"/>
        <item x="13"/>
        <item x="6"/>
        <item x="19"/>
        <item x="0"/>
        <item x="2"/>
        <item x="11"/>
        <item x="7"/>
        <item x="16"/>
        <item x="18"/>
        <item x="23"/>
        <item x="21"/>
        <item x="4"/>
        <item t="default"/>
      </items>
      <autoSortScope>
        <pivotArea dataOnly="0" outline="0" fieldPosition="0">
          <references count="2">
            <reference field="4294967294" count="1" selected="0">
              <x v="1"/>
            </reference>
            <reference field="34" count="1" selected="0">
              <x v="1"/>
            </reference>
          </references>
        </pivotArea>
      </autoSortScope>
    </pivotField>
    <pivotField showAll="0"/>
    <pivotField showAll="0"/>
    <pivotField showAll="0"/>
    <pivotField numFmtId="168" showAll="0"/>
    <pivotField numFmtId="1" showAll="0"/>
    <pivotField showAll="0"/>
    <pivotField showAll="0"/>
    <pivotField showAll="0"/>
    <pivotField showAll="0"/>
    <pivotField numFmtId="167" showAll="0"/>
    <pivotField numFmtId="167" showAll="0"/>
    <pivotField axis="axisPage" numFmtId="1" multipleItemSelectionAllowed="1" showAll="0">
      <items count="10">
        <item h="1" x="5"/>
        <item x="2"/>
        <item x="0"/>
        <item x="1"/>
        <item x="3"/>
        <item x="4"/>
        <item x="7"/>
        <item x="8"/>
        <item x="6"/>
        <item t="default"/>
      </items>
    </pivotField>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axis="axisCol" showAll="0">
      <items count="4">
        <item x="2"/>
        <item n="Non-Compliant" x="1"/>
        <item n="Compliant" x="0"/>
        <item t="default"/>
      </items>
    </pivotField>
    <pivotField showAll="0"/>
    <pivotField showAll="0"/>
    <pivotField showAll="0"/>
    <pivotField showAll="0"/>
    <pivotField showAll="0"/>
    <pivotField showAll="0"/>
    <pivotField showAll="0"/>
    <pivotField numFmtId="1" showAll="0"/>
    <pivotField numFmtId="166" showAll="0"/>
    <pivotField showAll="0"/>
    <pivotField showAll="0"/>
  </pivotFields>
  <rowFields count="1">
    <field x="11"/>
  </rowFields>
  <rowItems count="24">
    <i>
      <x v="8"/>
    </i>
    <i>
      <x/>
    </i>
    <i>
      <x v="10"/>
    </i>
    <i>
      <x v="19"/>
    </i>
    <i>
      <x v="4"/>
    </i>
    <i>
      <x v="14"/>
    </i>
    <i>
      <x v="1"/>
    </i>
    <i>
      <x v="16"/>
    </i>
    <i>
      <x v="22"/>
    </i>
    <i>
      <x v="18"/>
    </i>
    <i>
      <x v="17"/>
    </i>
    <i>
      <x v="7"/>
    </i>
    <i>
      <x v="6"/>
    </i>
    <i>
      <x v="21"/>
    </i>
    <i>
      <x v="5"/>
    </i>
    <i>
      <x v="3"/>
    </i>
    <i>
      <x v="9"/>
    </i>
    <i>
      <x v="23"/>
    </i>
    <i>
      <x v="13"/>
    </i>
    <i>
      <x v="11"/>
    </i>
    <i>
      <x v="2"/>
    </i>
    <i>
      <x v="15"/>
    </i>
    <i>
      <x v="20"/>
    </i>
    <i>
      <x v="12"/>
    </i>
  </rowItems>
  <colFields count="2">
    <field x="34"/>
    <field x="-2"/>
  </colFields>
  <colItems count="4">
    <i>
      <x v="1"/>
      <x/>
    </i>
    <i r="1" i="1">
      <x v="1"/>
    </i>
    <i>
      <x v="2"/>
      <x/>
    </i>
    <i r="1" i="1">
      <x v="1"/>
    </i>
  </colItems>
  <pageFields count="1">
    <pageField fld="23" hier="-1"/>
  </pageFields>
  <dataFields count="2">
    <dataField name="Trips" fld="0" subtotal="count" baseField="0" baseItem="0"/>
    <dataField name="Rate"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26CF1A6-38B4-0143-A56D-EF257D8C7CFA}" name="PivotTable32" cacheId="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Change Reason">
  <location ref="A31:C37" firstHeaderRow="0" firstDataRow="1" firstDataCol="1"/>
  <pivotFields count="6">
    <pivotField dataField="1" showAll="0"/>
    <pivotField showAll="0"/>
    <pivotField numFmtId="164" showAll="0"/>
    <pivotField showAll="0"/>
    <pivotField dataField="1" numFmtId="165" showAll="0"/>
    <pivotField axis="axisRow" showAll="0" sortType="descending">
      <items count="6">
        <item x="3"/>
        <item x="0"/>
        <item x="2"/>
        <item x="4"/>
        <item x="1"/>
        <item t="default"/>
      </items>
      <autoSortScope>
        <pivotArea dataOnly="0" outline="0" fieldPosition="0">
          <references count="1">
            <reference field="4294967294" count="1" selected="0">
              <x v="0"/>
            </reference>
          </references>
        </pivotArea>
      </autoSortScope>
    </pivotField>
  </pivotFields>
  <rowFields count="1">
    <field x="5"/>
  </rowFields>
  <rowItems count="6">
    <i>
      <x v="3"/>
    </i>
    <i>
      <x v="4"/>
    </i>
    <i>
      <x v="2"/>
    </i>
    <i>
      <x v="1"/>
    </i>
    <i>
      <x/>
    </i>
    <i t="grand">
      <x/>
    </i>
  </rowItems>
  <colFields count="1">
    <field x="-2"/>
  </colFields>
  <colItems count="2">
    <i>
      <x/>
    </i>
    <i i="1">
      <x v="1"/>
    </i>
  </colItems>
  <dataFields count="2">
    <dataField name="Events" fld="0" subtotal="count" baseField="0" baseItem="0"/>
    <dataField name="Cost" fld="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03D7612-B409-C840-9F81-099B9ECAB4DB}" name="PivotTable30"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Changed">
  <location ref="A12:D15" firstHeaderRow="0" firstDataRow="1"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axis="axisRow" showAll="0">
      <items count="3">
        <item x="0"/>
        <item x="1"/>
        <item t="default"/>
      </items>
    </pivotField>
    <pivotField showAll="0"/>
    <pivotField dataField="1" numFmtId="167" showAll="0"/>
    <pivotField numFmtId="44" showAll="0"/>
    <pivotField numFmtId="167" showAll="0"/>
    <pivotField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28"/>
  </rowFields>
  <rowItems count="3">
    <i>
      <x/>
    </i>
    <i>
      <x v="1"/>
    </i>
    <i t="grand">
      <x/>
    </i>
  </rowItems>
  <colFields count="1">
    <field x="-2"/>
  </colFields>
  <colItems count="3">
    <i>
      <x/>
    </i>
    <i i="1">
      <x v="1"/>
    </i>
    <i i="2">
      <x v="2"/>
    </i>
  </colItems>
  <dataFields count="3">
    <dataField name="Trips" fld="0" subtotal="count" baseField="0" baseItem="0"/>
    <dataField name="% of Trips" fld="0" subtotal="count" showDataAs="percentOfTotal" baseField="0" baseItem="0" numFmtId="10"/>
    <dataField name="Change Cost" fld="30"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6EA6843-3004-6F42-8405-F29F5D11FEE7}" name="PivotTable31"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Month">
  <location ref="A21:D25" firstHeaderRow="0" firstDataRow="1" firstDataCol="1" rowPageCount="1" colPageCount="1"/>
  <pivotFields count="46">
    <pivotField dataField="1" showAll="0"/>
    <pivotField showAll="0"/>
    <pivotField showAll="0"/>
    <pivotField showAll="0"/>
    <pivotField showAll="0"/>
    <pivotField showAll="0"/>
    <pivotField numFmtId="14" showAll="0"/>
    <pivotField numFmtId="14" showAll="0"/>
    <pivotField numFmtId="14" showAll="0"/>
    <pivotField axis="axisRow" showAll="0">
      <items count="4">
        <item n="May 2026" x="2"/>
        <item n="June 2026" x="0"/>
        <item n="July 2026" x="1"/>
        <item t="default"/>
      </items>
    </pivotField>
    <pivotField showAll="0"/>
    <pivotField showAll="0"/>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axis="axisPage" multipleItemSelectionAllowed="1" showAll="0">
      <items count="3">
        <item h="1" x="0"/>
        <item x="1"/>
        <item t="default"/>
      </items>
    </pivotField>
    <pivotField showAll="0"/>
    <pivotField dataField="1" numFmtId="167" showAll="0"/>
    <pivotField numFmtId="44" showAll="0"/>
    <pivotField numFmtId="167" showAll="0"/>
    <pivotField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9"/>
  </rowFields>
  <rowItems count="4">
    <i>
      <x/>
    </i>
    <i>
      <x v="1"/>
    </i>
    <i>
      <x v="2"/>
    </i>
    <i t="grand">
      <x/>
    </i>
  </rowItems>
  <colFields count="1">
    <field x="-2"/>
  </colFields>
  <colItems count="3">
    <i>
      <x/>
    </i>
    <i i="1">
      <x v="1"/>
    </i>
    <i i="2">
      <x v="2"/>
    </i>
  </colItems>
  <pageFields count="1">
    <pageField fld="28" hier="-1"/>
  </pageFields>
  <dataFields count="3">
    <dataField name="Change Cost" fld="30" baseField="0" baseItem="0" numFmtId="167"/>
    <dataField name="Changed Trips" fld="0" subtotal="count" baseField="0" baseItem="0"/>
    <dataField name="Avg Change Cost" fld="30" subtotal="average"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D9DAEA8-13C2-4A4D-8085-00A24736FD8D}" name="PivotTable35"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Cancelled">
  <location ref="A68:E71" firstHeaderRow="0" firstDataRow="1"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axis="axisRow" showAll="0">
      <items count="3">
        <item x="0"/>
        <item x="1"/>
        <item t="default"/>
      </items>
    </pivotField>
    <pivotField numFmtId="167" showAll="0"/>
    <pivotField dataField="1" numFmtId="44" showAll="0"/>
    <pivotField dataField="1" numFmtId="167" showAll="0"/>
    <pivotField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29"/>
  </rowFields>
  <rowItems count="3">
    <i>
      <x/>
    </i>
    <i>
      <x v="1"/>
    </i>
    <i t="grand">
      <x/>
    </i>
  </rowItems>
  <colFields count="1">
    <field x="-2"/>
  </colFields>
  <colItems count="4">
    <i>
      <x/>
    </i>
    <i i="1">
      <x v="1"/>
    </i>
    <i i="2">
      <x v="2"/>
    </i>
    <i i="3">
      <x v="3"/>
    </i>
  </colItems>
  <dataFields count="4">
    <dataField name="Trips" fld="0" subtotal="count" baseField="0" baseItem="0"/>
    <dataField name="% of Trips" fld="0" subtotal="count" showDataAs="percentOfTotal" baseField="0" baseItem="0" numFmtId="10"/>
    <dataField name="Cancellation Fees" fld="31" baseField="0" baseItem="0" numFmtId="44"/>
    <dataField name="Refunds Recovered" fld="32"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EAFA81B-2C65-834C-B588-C44F6C5EF606}" name="PivotTable37" cacheId="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Cancellation Reason">
  <location ref="A77:D84" firstHeaderRow="0" firstDataRow="1" firstDataCol="1"/>
  <pivotFields count="6">
    <pivotField dataField="1" showAll="0"/>
    <pivotField showAll="0"/>
    <pivotField numFmtId="164" showAll="0"/>
    <pivotField axis="axisRow" showAll="0">
      <items count="7">
        <item x="2"/>
        <item x="1"/>
        <item x="3"/>
        <item x="0"/>
        <item x="4"/>
        <item x="5"/>
        <item t="default"/>
      </items>
    </pivotField>
    <pivotField dataField="1" numFmtId="165" showAll="0"/>
    <pivotField dataField="1" numFmtId="165" showAll="0"/>
  </pivotFields>
  <rowFields count="1">
    <field x="3"/>
  </rowFields>
  <rowItems count="7">
    <i>
      <x/>
    </i>
    <i>
      <x v="1"/>
    </i>
    <i>
      <x v="2"/>
    </i>
    <i>
      <x v="3"/>
    </i>
    <i>
      <x v="4"/>
    </i>
    <i>
      <x v="5"/>
    </i>
    <i t="grand">
      <x/>
    </i>
  </rowItems>
  <colFields count="1">
    <field x="-2"/>
  </colFields>
  <colItems count="3">
    <i>
      <x/>
    </i>
    <i i="1">
      <x v="1"/>
    </i>
    <i i="2">
      <x v="2"/>
    </i>
  </colItems>
  <dataFields count="3">
    <dataField name="Events" fld="0" subtotal="count" baseField="0" baseItem="0"/>
    <dataField name="Fees" fld="4" baseField="0" baseItem="0" numFmtId="165"/>
    <dataField name="Refunds"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1B49C56-EE0F-754C-B799-40A17F4DCDA0}" name="PivotTable1" cacheId="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Change Type">
  <location ref="A53:G60" firstHeaderRow="1" firstDataRow="2" firstDataCol="1"/>
  <pivotFields count="6">
    <pivotField dataField="1" showAll="0"/>
    <pivotField showAll="0"/>
    <pivotField numFmtId="164" showAll="0"/>
    <pivotField axis="axisRow" showAll="0">
      <items count="6">
        <item x="1"/>
        <item x="0"/>
        <item x="2"/>
        <item x="3"/>
        <item x="4"/>
        <item t="default"/>
      </items>
    </pivotField>
    <pivotField numFmtId="165" showAll="0"/>
    <pivotField axis="axisCol" showAll="0">
      <items count="6">
        <item x="3"/>
        <item x="0"/>
        <item x="2"/>
        <item x="4"/>
        <item x="1"/>
        <item t="default"/>
      </items>
    </pivotField>
  </pivotFields>
  <rowFields count="1">
    <field x="3"/>
  </rowFields>
  <rowItems count="6">
    <i>
      <x/>
    </i>
    <i>
      <x v="1"/>
    </i>
    <i>
      <x v="2"/>
    </i>
    <i>
      <x v="3"/>
    </i>
    <i>
      <x v="4"/>
    </i>
    <i t="grand">
      <x/>
    </i>
  </rowItems>
  <colFields count="1">
    <field x="5"/>
  </colFields>
  <colItems count="6">
    <i>
      <x/>
    </i>
    <i>
      <x v="1"/>
    </i>
    <i>
      <x v="2"/>
    </i>
    <i>
      <x v="3"/>
    </i>
    <i>
      <x v="4"/>
    </i>
    <i t="grand">
      <x/>
    </i>
  </colItems>
  <dataFields count="1">
    <dataField name="Count of chang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2DC3398-D38D-5D4B-A638-59AAE4C96D9C}" name="PivotTable38"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Month">
  <location ref="A91:D95" firstHeaderRow="0" firstDataRow="1" firstDataCol="1" rowPageCount="1" colPageCount="1"/>
  <pivotFields count="46">
    <pivotField dataField="1" showAll="0"/>
    <pivotField showAll="0"/>
    <pivotField showAll="0"/>
    <pivotField showAll="0"/>
    <pivotField showAll="0"/>
    <pivotField showAll="0"/>
    <pivotField numFmtId="14" showAll="0"/>
    <pivotField numFmtId="14" showAll="0"/>
    <pivotField numFmtId="14" showAll="0"/>
    <pivotField axis="axisRow" showAll="0">
      <items count="4">
        <item n="May 2026" x="2"/>
        <item n="June 2026" x="0"/>
        <item n="July 2026" x="1"/>
        <item t="default"/>
      </items>
    </pivotField>
    <pivotField showAll="0"/>
    <pivotField showAll="0"/>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axis="axisPage" multipleItemSelectionAllowed="1" showAll="0">
      <items count="3">
        <item h="1" x="0"/>
        <item x="1"/>
        <item t="default"/>
      </items>
    </pivotField>
    <pivotField numFmtId="167" showAll="0"/>
    <pivotField dataField="1" numFmtId="44" showAll="0"/>
    <pivotField dataField="1" numFmtId="167" showAll="0"/>
    <pivotField numFmtId="167" showAll="0"/>
    <pivotField showAll="0"/>
    <pivotField showAll="0"/>
    <pivotField showAll="0"/>
    <pivotField showAll="0"/>
    <pivotField showAll="0"/>
    <pivotField showAll="0"/>
    <pivotField showAll="0"/>
    <pivotField showAll="0"/>
    <pivotField numFmtId="1" showAll="0"/>
    <pivotField numFmtId="166" showAll="0"/>
    <pivotField showAll="0"/>
    <pivotField showAll="0"/>
  </pivotFields>
  <rowFields count="1">
    <field x="9"/>
  </rowFields>
  <rowItems count="4">
    <i>
      <x/>
    </i>
    <i>
      <x v="1"/>
    </i>
    <i>
      <x v="2"/>
    </i>
    <i t="grand">
      <x/>
    </i>
  </rowItems>
  <colFields count="1">
    <field x="-2"/>
  </colFields>
  <colItems count="3">
    <i>
      <x/>
    </i>
    <i i="1">
      <x v="1"/>
    </i>
    <i i="2">
      <x v="2"/>
    </i>
  </colItems>
  <pageFields count="1">
    <pageField fld="29" hier="-1"/>
  </pageFields>
  <dataFields count="3">
    <dataField name="Cancelled Trips" fld="0" subtotal="count" baseField="0" baseItem="0"/>
    <dataField name="Cancellation Fees" fld="31" baseField="0" baseItem="0" numFmtId="44"/>
    <dataField name="Refunds" fld="32"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051C67D-D42B-E24C-AF85-2E4C4DF97000}" name="PivotTable34" cacheId="5"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Change Type">
  <location ref="A42:D48" firstHeaderRow="0" firstDataRow="1" firstDataCol="1"/>
  <pivotFields count="6">
    <pivotField dataField="1" showAll="0"/>
    <pivotField showAll="0"/>
    <pivotField numFmtId="164" showAll="0"/>
    <pivotField axis="axisRow" showAll="0" sortType="descending">
      <items count="6">
        <item x="1"/>
        <item x="0"/>
        <item x="2"/>
        <item x="3"/>
        <item x="4"/>
        <item t="default"/>
      </items>
      <autoSortScope>
        <pivotArea dataOnly="0" outline="0" fieldPosition="0">
          <references count="1">
            <reference field="4294967294" count="1" selected="0">
              <x v="0"/>
            </reference>
          </references>
        </pivotArea>
      </autoSortScope>
    </pivotField>
    <pivotField dataField="1" numFmtId="165" showAll="0"/>
    <pivotField showAll="0"/>
  </pivotFields>
  <rowFields count="1">
    <field x="3"/>
  </rowFields>
  <rowItems count="6">
    <i>
      <x v="1"/>
    </i>
    <i>
      <x/>
    </i>
    <i>
      <x v="3"/>
    </i>
    <i>
      <x v="2"/>
    </i>
    <i>
      <x v="4"/>
    </i>
    <i t="grand">
      <x/>
    </i>
  </rowItems>
  <colFields count="1">
    <field x="-2"/>
  </colFields>
  <colItems count="3">
    <i>
      <x/>
    </i>
    <i i="1">
      <x v="1"/>
    </i>
    <i i="2">
      <x v="2"/>
    </i>
  </colItems>
  <dataFields count="3">
    <dataField name="Events" fld="0" subtotal="count" baseField="0" baseItem="0"/>
    <dataField name="Cost" fld="4" baseField="0" baseItem="0" numFmtId="165"/>
    <dataField name="% of Change Cos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28ECA86E-7E11-814A-B915-3EF6CD6A1C11}" name="PivotTable39" cacheId="7"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Month">
  <location ref="A13:E18" firstHeaderRow="0" firstDataRow="1" firstDataCol="1"/>
  <pivotFields count="11">
    <pivotField showAll="0"/>
    <pivotField showAll="0"/>
    <pivotField showAll="0"/>
    <pivotField axis="axisRow" numFmtId="164" showAll="0">
      <items count="93">
        <item x="13"/>
        <item x="9"/>
        <item x="65"/>
        <item x="24"/>
        <item x="28"/>
        <item x="62"/>
        <item x="50"/>
        <item x="84"/>
        <item x="86"/>
        <item x="82"/>
        <item x="67"/>
        <item x="72"/>
        <item x="36"/>
        <item x="90"/>
        <item x="83"/>
        <item x="34"/>
        <item x="77"/>
        <item x="10"/>
        <item x="73"/>
        <item x="60"/>
        <item x="78"/>
        <item x="71"/>
        <item x="33"/>
        <item x="51"/>
        <item x="38"/>
        <item x="54"/>
        <item x="74"/>
        <item x="27"/>
        <item x="14"/>
        <item x="89"/>
        <item x="2"/>
        <item x="17"/>
        <item x="4"/>
        <item x="5"/>
        <item x="41"/>
        <item x="63"/>
        <item x="69"/>
        <item x="49"/>
        <item x="81"/>
        <item x="37"/>
        <item x="45"/>
        <item x="7"/>
        <item x="55"/>
        <item x="39"/>
        <item x="11"/>
        <item x="57"/>
        <item x="76"/>
        <item x="15"/>
        <item x="8"/>
        <item x="64"/>
        <item x="18"/>
        <item x="19"/>
        <item x="68"/>
        <item x="52"/>
        <item x="66"/>
        <item x="31"/>
        <item x="59"/>
        <item x="43"/>
        <item x="70"/>
        <item x="22"/>
        <item x="88"/>
        <item x="58"/>
        <item x="56"/>
        <item x="40"/>
        <item x="1"/>
        <item x="25"/>
        <item x="87"/>
        <item x="12"/>
        <item x="75"/>
        <item x="85"/>
        <item x="46"/>
        <item x="80"/>
        <item x="26"/>
        <item x="16"/>
        <item x="29"/>
        <item x="53"/>
        <item x="6"/>
        <item x="21"/>
        <item x="91"/>
        <item x="47"/>
        <item x="30"/>
        <item x="20"/>
        <item x="35"/>
        <item x="32"/>
        <item x="79"/>
        <item x="3"/>
        <item x="42"/>
        <item x="23"/>
        <item x="0"/>
        <item x="61"/>
        <item x="44"/>
        <item x="48"/>
        <item t="default"/>
      </items>
    </pivotField>
    <pivotField dataField="1" showAll="0"/>
    <pivotField dataField="1" showAll="0"/>
    <pivotField dataField="1"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n="May 2026" sd="0" x="5"/>
        <item n="June 2026" sd="0" x="6"/>
        <item n="July 2026" sd="0" x="7"/>
        <item n="August 2026" sd="0" x="8"/>
        <item sd="0" x="9"/>
        <item sd="0" x="10"/>
        <item sd="0" x="11"/>
        <item sd="0" x="12"/>
        <item sd="0" x="13"/>
        <item t="default"/>
      </items>
    </pivotField>
  </pivotFields>
  <rowFields count="3">
    <field x="10"/>
    <field x="9"/>
    <field x="3"/>
  </rowFields>
  <rowItems count="5">
    <i>
      <x v="5"/>
    </i>
    <i>
      <x v="6"/>
    </i>
    <i>
      <x v="7"/>
    </i>
    <i>
      <x v="8"/>
    </i>
    <i t="grand">
      <x/>
    </i>
  </rowItems>
  <colFields count="1">
    <field x="-2"/>
  </colFields>
  <colItems count="4">
    <i>
      <x/>
    </i>
    <i i="1">
      <x v="1"/>
    </i>
    <i i="2">
      <x v="2"/>
    </i>
    <i i="3">
      <x v="3"/>
    </i>
  </colItems>
  <dataFields count="4">
    <dataField name="Overall Trip Rating" fld="4" subtotal="average" baseField="0" baseItem="0"/>
    <dataField name="Booking Experience" fld="5" subtotal="average" baseField="0" baseItem="0"/>
    <dataField name="Travel Support" fld="6" subtotal="average" baseField="0" baseItem="0"/>
    <dataField name="Supplier Rating" fld="7" subtotal="average"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99B4752-5892-9347-AD5F-D156E5A63C6D}" name="PivotTable40" cacheId="7"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ating">
  <location ref="A23:C29" firstHeaderRow="0" firstDataRow="1" firstDataCol="1"/>
  <pivotFields count="11">
    <pivotField dataField="1" showAll="0"/>
    <pivotField showAll="0"/>
    <pivotField showAll="0"/>
    <pivotField numFmtId="164" showAll="0">
      <items count="93">
        <item x="13"/>
        <item x="9"/>
        <item x="65"/>
        <item x="24"/>
        <item x="28"/>
        <item x="62"/>
        <item x="50"/>
        <item x="84"/>
        <item x="86"/>
        <item x="82"/>
        <item x="67"/>
        <item x="72"/>
        <item x="36"/>
        <item x="90"/>
        <item x="83"/>
        <item x="34"/>
        <item x="77"/>
        <item x="10"/>
        <item x="73"/>
        <item x="60"/>
        <item x="78"/>
        <item x="71"/>
        <item x="33"/>
        <item x="51"/>
        <item x="38"/>
        <item x="54"/>
        <item x="74"/>
        <item x="27"/>
        <item x="14"/>
        <item x="89"/>
        <item x="2"/>
        <item x="17"/>
        <item x="4"/>
        <item x="5"/>
        <item x="41"/>
        <item x="63"/>
        <item x="69"/>
        <item x="49"/>
        <item x="81"/>
        <item x="37"/>
        <item x="45"/>
        <item x="7"/>
        <item x="55"/>
        <item x="39"/>
        <item x="11"/>
        <item x="57"/>
        <item x="76"/>
        <item x="15"/>
        <item x="8"/>
        <item x="64"/>
        <item x="18"/>
        <item x="19"/>
        <item x="68"/>
        <item x="52"/>
        <item x="66"/>
        <item x="31"/>
        <item x="59"/>
        <item x="43"/>
        <item x="70"/>
        <item x="22"/>
        <item x="88"/>
        <item x="58"/>
        <item x="56"/>
        <item x="40"/>
        <item x="1"/>
        <item x="25"/>
        <item x="87"/>
        <item x="12"/>
        <item x="75"/>
        <item x="85"/>
        <item x="46"/>
        <item x="80"/>
        <item x="26"/>
        <item x="16"/>
        <item x="29"/>
        <item x="53"/>
        <item x="6"/>
        <item x="21"/>
        <item x="91"/>
        <item x="47"/>
        <item x="30"/>
        <item x="20"/>
        <item x="35"/>
        <item x="32"/>
        <item x="79"/>
        <item x="3"/>
        <item x="42"/>
        <item x="23"/>
        <item x="0"/>
        <item x="61"/>
        <item x="44"/>
        <item x="48"/>
        <item t="default"/>
      </items>
    </pivotField>
    <pivotField axis="axisRow" showAll="0">
      <items count="6">
        <item x="0"/>
        <item x="4"/>
        <item x="3"/>
        <item x="1"/>
        <item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Fields count="1">
    <field x="-2"/>
  </colFields>
  <colItems count="2">
    <i>
      <x/>
    </i>
    <i i="1">
      <x v="1"/>
    </i>
  </colItems>
  <dataFields count="2">
    <dataField name="Responses" fld="0" subtotal="count" baseField="0" baseItem="0"/>
    <dataField name="% of Responses"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96E58749-8182-F340-8EFE-9D6EFD2E953F}" name="PivotTable44"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Destination">
  <location ref="A30:C55" firstHeaderRow="0" firstDataRow="1"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axis="axisRow" showAll="0" sortType="descending">
      <items count="25">
        <item x="14"/>
        <item x="3"/>
        <item x="10"/>
        <item x="20"/>
        <item x="15"/>
        <item x="8"/>
        <item x="12"/>
        <item x="5"/>
        <item x="9"/>
        <item x="22"/>
        <item x="1"/>
        <item x="17"/>
        <item x="13"/>
        <item x="6"/>
        <item x="19"/>
        <item x="0"/>
        <item x="2"/>
        <item x="11"/>
        <item x="7"/>
        <item x="16"/>
        <item x="18"/>
        <item x="23"/>
        <item x="21"/>
        <item x="4"/>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showAll="0"/>
    <pivotField showAll="0"/>
    <pivotField showAll="0"/>
    <pivotField showAll="0"/>
    <pivotField showAll="0"/>
    <pivotField showAll="0"/>
    <pivotField numFmtId="1" showAll="0"/>
    <pivotField dataField="1" numFmtId="166" showAll="0"/>
    <pivotField showAll="0"/>
    <pivotField showAll="0"/>
  </pivotFields>
  <rowFields count="1">
    <field x="11"/>
  </rowFields>
  <rowItems count="25">
    <i>
      <x v="18"/>
    </i>
    <i>
      <x v="7"/>
    </i>
    <i>
      <x v="3"/>
    </i>
    <i>
      <x v="8"/>
    </i>
    <i>
      <x v="20"/>
    </i>
    <i>
      <x v="22"/>
    </i>
    <i>
      <x/>
    </i>
    <i>
      <x v="12"/>
    </i>
    <i>
      <x v="19"/>
    </i>
    <i>
      <x v="10"/>
    </i>
    <i>
      <x v="5"/>
    </i>
    <i>
      <x v="4"/>
    </i>
    <i>
      <x v="23"/>
    </i>
    <i>
      <x v="1"/>
    </i>
    <i>
      <x v="14"/>
    </i>
    <i>
      <x v="17"/>
    </i>
    <i>
      <x v="16"/>
    </i>
    <i>
      <x v="6"/>
    </i>
    <i>
      <x v="21"/>
    </i>
    <i>
      <x v="13"/>
    </i>
    <i>
      <x v="15"/>
    </i>
    <i>
      <x v="2"/>
    </i>
    <i>
      <x v="9"/>
    </i>
    <i>
      <x v="11"/>
    </i>
    <i t="grand">
      <x/>
    </i>
  </rowItems>
  <colFields count="1">
    <field x="-2"/>
  </colFields>
  <colItems count="2">
    <i>
      <x/>
    </i>
    <i i="1">
      <x v="1"/>
    </i>
  </colItems>
  <dataFields count="2">
    <dataField name="Trips" fld="0" subtotal="count" baseField="0" baseItem="0"/>
    <dataField name="CO2 Emissions (kg)" fld="4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E764FD0-6AC2-AC4D-88AD-C8932CC32DC1}" name="PivotTable43"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MONTH">
  <location ref="A20:D25" firstHeaderRow="1" firstDataRow="2" firstDataCol="1"/>
  <pivotFields count="46">
    <pivotField showAll="0"/>
    <pivotField showAll="0"/>
    <pivotField showAll="0"/>
    <pivotField showAll="0"/>
    <pivotField showAll="0"/>
    <pivotField showAll="0"/>
    <pivotField numFmtId="14" showAll="0"/>
    <pivotField numFmtId="14" showAll="0"/>
    <pivotField numFmtId="14" showAll="0"/>
    <pivotField axis="axisRow" showAll="0">
      <items count="4">
        <item n="May 2026" x="2"/>
        <item n="June 2026" x="0"/>
        <item n="July 2026" x="1"/>
        <item t="default"/>
      </items>
    </pivotField>
    <pivotField showAll="0"/>
    <pivotField showAll="0"/>
    <pivotField showAll="0"/>
    <pivotField axis="axisCol" showAll="0">
      <items count="3">
        <item n="Air CO₂ (kg)" x="1"/>
        <item x="0"/>
        <item t="default"/>
      </items>
    </pivotField>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showAll="0"/>
    <pivotField showAll="0"/>
    <pivotField showAll="0"/>
    <pivotField showAll="0"/>
    <pivotField showAll="0"/>
    <pivotField showAll="0"/>
    <pivotField numFmtId="1" showAll="0"/>
    <pivotField dataField="1" numFmtId="166" showAll="0"/>
    <pivotField showAll="0"/>
    <pivotField showAll="0"/>
  </pivotFields>
  <rowFields count="1">
    <field x="9"/>
  </rowFields>
  <rowItems count="4">
    <i>
      <x/>
    </i>
    <i>
      <x v="1"/>
    </i>
    <i>
      <x v="2"/>
    </i>
    <i t="grand">
      <x/>
    </i>
  </rowItems>
  <colFields count="1">
    <field x="13"/>
  </colFields>
  <colItems count="3">
    <i>
      <x/>
    </i>
    <i>
      <x v="1"/>
    </i>
    <i t="grand">
      <x/>
    </i>
  </colItems>
  <dataFields count="1">
    <dataField name="Sum of co2_kg" fld="4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82F716B-2A78-8043-B30A-50A195E127C2}" name="PivotTable42" cacheId="4"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Travel Mode">
  <location ref="A11:D14" firstHeaderRow="0" firstDataRow="1" firstDataCol="1"/>
  <pivotFields count="46">
    <pivotField dataField="1" showAll="0"/>
    <pivotField showAll="0"/>
    <pivotField showAll="0"/>
    <pivotField showAll="0"/>
    <pivotField showAll="0"/>
    <pivotField showAll="0"/>
    <pivotField numFmtId="14" showAll="0"/>
    <pivotField numFmtId="14" showAll="0"/>
    <pivotField numFmtId="14" showAll="0"/>
    <pivotField showAll="0"/>
    <pivotField showAll="0"/>
    <pivotField showAll="0"/>
    <pivotField showAll="0"/>
    <pivotField axis="axisRow" showAll="0">
      <items count="3">
        <item x="1"/>
        <item x="0"/>
        <item t="default"/>
      </items>
    </pivotField>
    <pivotField showAll="0"/>
    <pivotField numFmtId="168" showAll="0"/>
    <pivotField numFmtId="1" showAll="0"/>
    <pivotField showAll="0"/>
    <pivotField showAll="0"/>
    <pivotField showAll="0"/>
    <pivotField showAll="0"/>
    <pivotField numFmtId="167" showAll="0"/>
    <pivotField numFmtId="167" showAll="0"/>
    <pivotField numFmtId="1" showAll="0"/>
    <pivotField numFmtId="167" showAll="0"/>
    <pivotField numFmtId="167" showAll="0"/>
    <pivotField numFmtId="167" showAll="0"/>
    <pivotField numFmtId="167" showAll="0"/>
    <pivotField showAll="0"/>
    <pivotField showAll="0"/>
    <pivotField numFmtId="167" showAll="0"/>
    <pivotField numFmtId="44" showAll="0"/>
    <pivotField numFmtId="167" showAll="0"/>
    <pivotField numFmtId="167" showAll="0"/>
    <pivotField showAll="0"/>
    <pivotField showAll="0"/>
    <pivotField showAll="0"/>
    <pivotField showAll="0"/>
    <pivotField showAll="0"/>
    <pivotField showAll="0"/>
    <pivotField showAll="0"/>
    <pivotField showAll="0"/>
    <pivotField numFmtId="1" showAll="0"/>
    <pivotField dataField="1" numFmtId="166" showAll="0"/>
    <pivotField showAll="0"/>
    <pivotField showAll="0"/>
  </pivotFields>
  <rowFields count="1">
    <field x="13"/>
  </rowFields>
  <rowItems count="3">
    <i>
      <x/>
    </i>
    <i>
      <x v="1"/>
    </i>
    <i t="grand">
      <x/>
    </i>
  </rowItems>
  <colFields count="1">
    <field x="-2"/>
  </colFields>
  <colItems count="3">
    <i>
      <x/>
    </i>
    <i i="1">
      <x v="1"/>
    </i>
    <i i="2">
      <x v="2"/>
    </i>
  </colItems>
  <dataFields count="3">
    <dataField name="CO₂ Emissions (kg)" fld="43" baseField="0" baseItem="0" numFmtId="166"/>
    <dataField name="Trips" fld="0" subtotal="count" baseField="0" baseItem="0"/>
    <dataField name="% of Total CO₂" fld="43"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9AF16A2-3C07-344A-807E-9807C43B5C90}" name="Policy_Reference" displayName="Policy_Reference" ref="A1:C7" totalsRowShown="0" headerRowDxfId="55" dataDxfId="54">
  <autoFilter ref="A1:C7" xr:uid="{D9AF16A2-3C07-344A-807E-9807C43B5C90}"/>
  <tableColumns count="3">
    <tableColumn id="1" xr3:uid="{EF69AEC3-287C-AC47-A732-6C03CCC6B34F}" name="rule_area" dataDxfId="53"/>
    <tableColumn id="2" xr3:uid="{230009BA-DB86-1141-AC00-31FA2C073341}" name="condition" dataDxfId="52"/>
    <tableColumn id="3" xr3:uid="{DF96114E-8603-744D-97EB-E61B16E02278}" name="policy_rule" dataDxfId="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ipsTable" displayName="TripsTable" ref="A1:AH583" totalsRowShown="0">
  <tableColumns count="34">
    <tableColumn id="1" xr3:uid="{00000000-0010-0000-0000-000001000000}" name="trip_id"/>
    <tableColumn id="2" xr3:uid="{00000000-0010-0000-0000-000002000000}" name="employee_id"/>
    <tableColumn id="3" xr3:uid="{00000000-0010-0000-0000-000003000000}" name="home_office"/>
    <tableColumn id="4" xr3:uid="{00000000-0010-0000-0000-000004000000}" name="department"/>
    <tableColumn id="5" xr3:uid="{00000000-0010-0000-0000-000005000000}" name="grade"/>
    <tableColumn id="6" xr3:uid="{00000000-0010-0000-0000-000006000000}" name="trip_purpose"/>
    <tableColumn id="7" xr3:uid="{00000000-0010-0000-0000-000007000000}" name="booking_date"/>
    <tableColumn id="8" xr3:uid="{00000000-0010-0000-0000-000008000000}" name="departure_date"/>
    <tableColumn id="9" xr3:uid="{00000000-0010-0000-0000-000009000000}" name="return_date"/>
    <tableColumn id="10" xr3:uid="{00000000-0010-0000-0000-00000A000000}" name="travel_month"/>
    <tableColumn id="11" xr3:uid="{00000000-0010-0000-0000-00000B000000}" name="origin"/>
    <tableColumn id="12" xr3:uid="{00000000-0010-0000-0000-00000C000000}" name="destination"/>
    <tableColumn id="13" xr3:uid="{00000000-0010-0000-0000-00000D000000}" name="trip_type"/>
    <tableColumn id="14" xr3:uid="{00000000-0010-0000-0000-00000E000000}" name="travel_mode"/>
    <tableColumn id="15" xr3:uid="{00000000-0010-0000-0000-00000F000000}" name="distance_km"/>
    <tableColumn id="16" xr3:uid="{00000000-0010-0000-0000-000010000000}" name="booking_lead_days"/>
    <tableColumn id="17" xr3:uid="{00000000-0010-0000-0000-000011000000}" name="booking_channel"/>
    <tableColumn id="18" xr3:uid="{00000000-0010-0000-0000-000012000000}" name="airline_id"/>
    <tableColumn id="19" xr3:uid="{00000000-0010-0000-0000-000013000000}" name="hotel_id"/>
    <tableColumn id="20" xr3:uid="{00000000-0010-0000-0000-000014000000}" name="airfare_gbp"/>
    <tableColumn id="21" xr3:uid="{00000000-0010-0000-0000-000015000000}" name="rail_cost_gbp"/>
    <tableColumn id="22" xr3:uid="{00000000-0010-0000-0000-000016000000}" name="hotel_nights"/>
    <tableColumn id="23" xr3:uid="{00000000-0010-0000-0000-000017000000}" name="hotel_cost_gbp"/>
    <tableColumn id="24" xr3:uid="{00000000-0010-0000-0000-000018000000}" name="ground_transport_gbp"/>
    <tableColumn id="25" xr3:uid="{00000000-0010-0000-0000-000019000000}" name="original_trip_cost_gbp"/>
    <tableColumn id="26" xr3:uid="{00000000-0010-0000-0000-00001A000000}" name="changed"/>
    <tableColumn id="27" xr3:uid="{00000000-0010-0000-0000-00001B000000}" name="cancelled"/>
    <tableColumn id="28" xr3:uid="{00000000-0010-0000-0000-00001C000000}" name="total_change_cost_gbp"/>
    <tableColumn id="29" xr3:uid="{00000000-0010-0000-0000-00001D000000}" name="total_cancellation_fee_gbp"/>
    <tableColumn id="30" xr3:uid="{00000000-0010-0000-0000-00001E000000}" name="refund_received_gbp"/>
    <tableColumn id="31" xr3:uid="{00000000-0010-0000-0000-00001F000000}" name="final_trip_cost_gbp"/>
    <tableColumn id="32" xr3:uid="{00000000-0010-0000-0000-000020000000}" name="policy_compliant"/>
    <tableColumn id="33" xr3:uid="{00000000-0010-0000-0000-000021000000}" name="csat_score"/>
    <tableColumn id="34" xr3:uid="{00000000-0010-0000-0000-000022000000}" name="co2_k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DDBBDD6-985D-684B-8F28-093F2D0555F9}" name="Trips_Table" displayName="Trips_Table" ref="A1:AU583" totalsRowShown="0">
  <autoFilter ref="A1:AU583" xr:uid="{0DDBBDD6-985D-684B-8F28-093F2D0555F9}"/>
  <tableColumns count="47">
    <tableColumn id="1" xr3:uid="{E08F436A-AB02-784E-94E1-A5434A4C7F72}" name="trip_id" dataDxfId="50"/>
    <tableColumn id="2" xr3:uid="{4C3F944A-5782-524E-94CA-4F82645B8514}" name="employee_id" dataDxfId="49"/>
    <tableColumn id="3" xr3:uid="{01A5BCC3-8772-9445-B7A4-BE6AA338D17E}" name="home_office" dataDxfId="48"/>
    <tableColumn id="4" xr3:uid="{8EE38811-9BB5-5B46-A655-7B3931FB304D}" name="department" dataDxfId="47"/>
    <tableColumn id="5" xr3:uid="{1C947E36-10EA-DF49-8ACD-E7E650D697A2}" name="grade" dataDxfId="46"/>
    <tableColumn id="6" xr3:uid="{7EECA6CB-9304-8C4A-91C4-63653D617F3E}" name="trip_purpose" dataDxfId="45"/>
    <tableColumn id="7" xr3:uid="{A3FBF282-A23F-7C4E-BC5E-206ED5943039}" name="booking_date" dataDxfId="44"/>
    <tableColumn id="8" xr3:uid="{7F27D482-2D23-8045-9B8B-1B253179AAA2}" name="departure_date" dataDxfId="43"/>
    <tableColumn id="9" xr3:uid="{3FA72867-ECBC-9F4F-AC4F-A237ABF2C3D6}" name="return_date" dataDxfId="42"/>
    <tableColumn id="10" xr3:uid="{19A7084E-5A97-6E43-8456-D23819BDD199}" name="travel_month" dataDxfId="41"/>
    <tableColumn id="11" xr3:uid="{F368304D-593A-C44D-B1AE-3A0E70A712EE}" name="origin" dataDxfId="40"/>
    <tableColumn id="12" xr3:uid="{1FB7CBA2-7658-694E-89A5-26BDE5E557A8}" name="destination"/>
    <tableColumn id="13" xr3:uid="{55ED7D3A-0469-714E-B1B8-3BCA0F1D3A14}" name="trip_type" dataDxfId="39"/>
    <tableColumn id="14" xr3:uid="{BEFBACFC-F2D7-E14C-ACC7-FAD5CF33222E}" name="travel_mode" dataDxfId="38"/>
    <tableColumn id="43" xr3:uid="{A2A7C7A9-697C-684F-9291-96E06B9DEFA4}" name="travel_class" dataDxfId="37"/>
    <tableColumn id="15" xr3:uid="{158BFF8E-3D8C-FB4C-AA1A-7F961F97F760}" name="distance_km" dataDxfId="36" dataCellStyle="Comma"/>
    <tableColumn id="16" xr3:uid="{FC2E4E80-8561-294C-A7A1-78176B614E00}" name="booking_lead_days" dataDxfId="35"/>
    <tableColumn id="37" xr3:uid="{2227CDED-C79A-2247-809D-A83E80A873D4}" name="booking_lead_bucket" dataDxfId="34">
      <calculatedColumnFormula>IF(Q2&lt;=3,"0-3 days",IF(Q2&lt;=7,"4-7 days",IF(Q2&lt;=14,"8-14 days",IF(Q2&lt;=30,"15-30 days","31+ days"))))</calculatedColumnFormula>
    </tableColumn>
    <tableColumn id="17" xr3:uid="{3E482A87-1B6D-D84D-A459-395CFA40798B}" name="booking_channel" dataDxfId="33"/>
    <tableColumn id="18" xr3:uid="{CCE5CC3B-15BE-B349-8A82-1A6EF0F81DC0}" name="airline_id" dataDxfId="32"/>
    <tableColumn id="19" xr3:uid="{43B0D847-41CA-D54D-BB09-2D9BED37EF48}" name="hotel_id" dataDxfId="31"/>
    <tableColumn id="36" xr3:uid="{DBCC893A-013E-6846-B87D-3C9108461D14}" name="hotel_name" dataDxfId="30">
      <calculatedColumnFormula>IF(U2="","",IFERROR(VLOOKUP(U2,Hotels!A:B,2,FALSE),"Not Found"))</calculatedColumnFormula>
    </tableColumn>
    <tableColumn id="20" xr3:uid="{03013425-06C3-AF4B-B58B-91835CD41FA7}" name="airfare_gbp" dataDxfId="29"/>
    <tableColumn id="21" xr3:uid="{5FF96ECB-E404-2B4D-825E-6211ACE54DC4}" name="rail_cost_gbp" dataDxfId="28"/>
    <tableColumn id="22" xr3:uid="{CDE6626A-C728-1542-BC1A-1161EDBF3EEB}" name="hotel_nights" dataDxfId="27"/>
    <tableColumn id="35" xr3:uid="{3BDEE47D-8BB4-FB42-AED5-5C4099BA2AA3}" name="hotel_cost_per_night" dataDxfId="26" dataCellStyle="Comma">
      <calculatedColumnFormula>IF(Y2&gt;0,AA2/Y2,0)</calculatedColumnFormula>
    </tableColumn>
    <tableColumn id="23" xr3:uid="{E72E9C39-B013-3147-A3EF-0D470CC418E0}" name="hotel_cost_gbp" dataDxfId="25"/>
    <tableColumn id="24" xr3:uid="{5807D7E3-A30E-3241-99FF-51174ACFD5F6}" name="ground_transport_gbp" dataDxfId="24"/>
    <tableColumn id="25" xr3:uid="{F92A7344-824B-0E4B-9695-FB3515FF1A10}" name="original_trip_cost_gbp" dataDxfId="23"/>
    <tableColumn id="26" xr3:uid="{9FA983F9-7028-8D4A-9EFF-013345138F3F}" name="changed_value_check" dataDxfId="22"/>
    <tableColumn id="27" xr3:uid="{3B4578A8-6EB2-304A-AAA4-669361E13C8F}" name="cancelled_value_check" dataDxfId="21"/>
    <tableColumn id="28" xr3:uid="{5DBD9FCC-D05A-1E40-9ECF-CE63B72BF574}" name="total_change_cost_gbp" dataDxfId="20">
      <calculatedColumnFormula>SUMIF('Trip Changes'!$B:$B,A2,'Trip Changes'!$E:$E)</calculatedColumnFormula>
    </tableColumn>
    <tableColumn id="29" xr3:uid="{85185C5D-DABC-5A49-A6BB-84D1FF72DF63}" name="total_cancellation_fee_gbp" dataDxfId="19">
      <calculatedColumnFormula>SUMIF('Trip Cancellations'!$B:$B,A2,'Trip Cancellations'!$E:$E)</calculatedColumnFormula>
    </tableColumn>
    <tableColumn id="30" xr3:uid="{6E3B3C5C-8143-FE43-879B-ADBFB2823E53}" name="refund_received_gbp" dataDxfId="18">
      <calculatedColumnFormula>SUMIF('Trip Cancellations'!$B:$B,A2,'Trip Cancellations'!$F:$F)</calculatedColumnFormula>
    </tableColumn>
    <tableColumn id="31" xr3:uid="{B3C9B11F-2ADB-3240-ADA5-D9550460409C}" name="final_trip_cost_gbp" dataDxfId="17">
      <calculatedColumnFormula>AC2+AF2+AG2-AH2</calculatedColumnFormula>
    </tableColumn>
    <tableColumn id="39" xr3:uid="{10D2B0E0-C05E-7546-8640-54ABBBA348D2}" name="hotel_rate_compliant_calc" dataDxfId="16">
      <calculatedColumnFormula>IF(Y2=0,"N/A",
IF(OR(L2="London",L2="Manchester",L2="Birmingham",L2="Edinburgh",L2="Glasgow",
L2="New York",L2="Boston",L2="Chicago",L2="Zurich",L2="Singapore",L2="Hong Kong",L2="Dubai"),
IF(Z2&lt;=220,"Yes","No"),
IF(Z2&lt;=180,"Yes","No")))</calculatedColumnFormula>
    </tableColumn>
    <tableColumn id="42" xr3:uid="{58B63852-02CF-5545-8E1B-22FA516B007F}" name="hotel_supplier_compliant_calc" dataDxfId="15">
      <calculatedColumnFormula>IF(Y2=0,"N/A",
IF(_xlfn.XLOOKUP(U2,Hotels!A:A,Hotels!C:C)=TRUE,"Yes","No"))</calculatedColumnFormula>
    </tableColumn>
    <tableColumn id="41" xr3:uid="{2C30546D-BDFD-684E-B1F1-5684F2D6CF24}" name="airline_compliant_calc" dataDxfId="14">
      <calculatedColumnFormula>IF(N2="Rail","N/A",IF(_xlfn.XLOOKUP(T2,Airlines!A:A,Airlines!C:C)=TRUE,"Yes","No"))</calculatedColumnFormula>
    </tableColumn>
    <tableColumn id="44" xr3:uid="{BB59B003-755F-994A-B15D-6C8A0E50C142}" name="class_compliant_calc" dataDxfId="13">
      <calculatedColumnFormula>IF(OR(
AND(N2="Air",O2="Economy"),
AND(N2="Rail",O2="Standard / 2nd Class")
),"Yes","No")</calculatedColumnFormula>
    </tableColumn>
    <tableColumn id="38" xr3:uid="{E66213E9-6F00-F340-9CBC-9D2C513E43D4}" name="channel_compliant_calc" dataDxfId="12">
      <calculatedColumnFormula>IF(OR(S2="Online Booking Tool",S2="TMC Assisted"),"Yes","No")</calculatedColumnFormula>
    </tableColumn>
    <tableColumn id="40" xr3:uid="{3754EDC2-061F-FC40-9416-47F10DBB8AFD}" name="supplier_compliant_calc" dataDxfId="11">
      <calculatedColumnFormula>IF(AND(OR(AK2="Yes",AK2="N/A"),OR(AL2="Yes",AL2="N/A")),"Yes","No")</calculatedColumnFormula>
    </tableColumn>
    <tableColumn id="32" xr3:uid="{E0F69B64-8F48-D541-A778-5EBEE62D5D49}" name="policy_compliant_value_check" dataDxfId="10"/>
    <tableColumn id="45" xr3:uid="{4EF9DF43-4520-FF4C-898B-8935EDCA585E}" name="policy_compliant_calc" dataDxfId="9">
      <calculatedColumnFormula>IF(AND(OR(AJ2="Yes",AJ2="N/A"),OR(AK2="Yes",AK2="N/A"),OR(AL2="Yes",AL2="N/A"),AM2="Yes",AN2="Yes"),"Yes","No")</calculatedColumnFormula>
    </tableColumn>
    <tableColumn id="33" xr3:uid="{D3376B8F-0A82-BA4F-8D95-013A3AF6943F}" name="csat_score_check" dataDxfId="8"/>
    <tableColumn id="34" xr3:uid="{02F598E7-F4CE-1242-99F9-CB4FD3974F73}" name="co2_kg" dataDxfId="7"/>
    <tableColumn id="46" xr3:uid="{305B1731-0C83-EF4E-9E72-D8A2E5C45DB9}" name="airline_name" dataDxfId="6">
      <calculatedColumnFormula>IF(T2="","",_xlfn.XLOOKUP(T2,Airlines!A:A,Airlines!B:B,"Not Found"))</calculatedColumnFormula>
    </tableColumn>
    <tableColumn id="47" xr3:uid="{7558DC38-EFA1-BD4F-92FD-D563670DC81A}" name="hotel_name2" dataDxfId="5">
      <calculatedColumnFormula>IF(U2="","",_xlfn.XLOOKUP(U2,Hotels!A:A,Hotels!B:B,"Not found"))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1538976-A8FD-4D46-9924-08684A5EEDA4}" name="Table10" displayName="Table10" ref="A1:E7" totalsRowShown="0">
  <autoFilter ref="A1:E7" xr:uid="{C1538976-A8FD-4D46-9924-08684A5EEDA4}"/>
  <tableColumns count="5">
    <tableColumn id="1" xr3:uid="{74E20B97-E55E-4A4E-B20E-2B977BB0E43A}" name="Business Question" dataDxfId="4"/>
    <tableColumn id="2" xr3:uid="{7823D159-77C3-0C47-B37D-EBFA35AE4746}" name="Function"/>
    <tableColumn id="3" xr3:uid="{8C7EA10F-B8DE-0949-A102-F550459A0FF6}" name="Formula"/>
    <tableColumn id="4" xr3:uid="{73A1867F-F0DA-A643-AB96-912B3258F67C}" name="Result"/>
    <tableColumn id="5" xr3:uid="{FB2A2C62-7692-3E42-89D1-34203864E3C7}" name="Explanation" dataDxf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erformanceTable" displayName="PerformanceTable" ref="A5:H17" totalsRowShown="0">
  <tableColumns count="8">
    <tableColumn id="1" xr3:uid="{00000000-0010-0000-0600-000001000000}" name="Month"/>
    <tableColumn id="2" xr3:uid="{00000000-0010-0000-0600-000002000000}" name="Service"/>
    <tableColumn id="3" xr3:uid="{00000000-0010-0000-0600-000003000000}" name="Metric"/>
    <tableColumn id="4" xr3:uid="{00000000-0010-0000-0600-000004000000}" name="Target"/>
    <tableColumn id="5" xr3:uid="{00000000-0010-0000-0600-000005000000}" name="Actual"/>
    <tableColumn id="6" xr3:uid="{00000000-0010-0000-0600-000006000000}" name="Unit"/>
    <tableColumn id="7" xr3:uid="{00000000-0010-0000-0600-000007000000}" name="Notes"/>
    <tableColumn id="8" xr3:uid="{C1B94F44-A185-8D42-9572-05D6EAA57240}" name="Target Met?" dataDxfId="1">
      <calculatedColumnFormula>IF(E6&gt;=D6,"Yes","No")</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vellersTable" displayName="TravellersTable" ref="A1:E161" totalsRowShown="0">
  <tableColumns count="5">
    <tableColumn id="1" xr3:uid="{00000000-0010-0000-0100-000001000000}" name="employee_id"/>
    <tableColumn id="2" xr3:uid="{00000000-0010-0000-0100-000002000000}" name="traveller_label"/>
    <tableColumn id="3" xr3:uid="{00000000-0010-0000-0100-000003000000}" name="home_office"/>
    <tableColumn id="4" xr3:uid="{00000000-0010-0000-0100-000004000000}" name="department"/>
    <tableColumn id="5" xr3:uid="{00000000-0010-0000-0100-000005000000}" name="grad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irlinesTable" displayName="AirlinesTable" ref="A1:D11" totalsRowShown="0">
  <tableColumns count="4">
    <tableColumn id="1" xr3:uid="{00000000-0010-0000-0200-000001000000}" name="airline_id"/>
    <tableColumn id="2" xr3:uid="{00000000-0010-0000-0200-000002000000}" name="airline_name"/>
    <tableColumn id="3" xr3:uid="{00000000-0010-0000-0200-000003000000}" name="preferred_supplier"/>
    <tableColumn id="4" xr3:uid="{00000000-0010-0000-0200-000004000000}" name="supplier_typ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otelsTable" displayName="HotelsTable" ref="A1:C8" totalsRowShown="0">
  <tableColumns count="3">
    <tableColumn id="1" xr3:uid="{00000000-0010-0000-0300-000001000000}" name="hotel_id"/>
    <tableColumn id="2" xr3:uid="{00000000-0010-0000-0300-000002000000}" name="hotel_group"/>
    <tableColumn id="3" xr3:uid="{00000000-0010-0000-0300-000003000000}" name="preferred_supplier"/>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ripChangesTable" displayName="TripChangesTable" ref="A1:F101" totalsRowShown="0">
  <tableColumns count="6">
    <tableColumn id="1" xr3:uid="{00000000-0010-0000-0400-000001000000}" name="change_id"/>
    <tableColumn id="2" xr3:uid="{00000000-0010-0000-0400-000002000000}" name="trip_id"/>
    <tableColumn id="3" xr3:uid="{00000000-0010-0000-0400-000003000000}" name="change_date"/>
    <tableColumn id="4" xr3:uid="{00000000-0010-0000-0400-000004000000}" name="change_type"/>
    <tableColumn id="5" xr3:uid="{00000000-0010-0000-0400-000005000000}" name="change_cost_gbp"/>
    <tableColumn id="6" xr3:uid="{00000000-0010-0000-0400-000006000000}" name="change_reas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ripCancellationsTable" displayName="TripCancellationsTable" ref="A1:F37" totalsRowShown="0">
  <tableColumns count="6">
    <tableColumn id="1" xr3:uid="{00000000-0010-0000-0500-000001000000}" name="cancellation_id"/>
    <tableColumn id="2" xr3:uid="{00000000-0010-0000-0500-000002000000}" name="trip_id"/>
    <tableColumn id="3" xr3:uid="{00000000-0010-0000-0500-000003000000}" name="cancellation_date"/>
    <tableColumn id="4" xr3:uid="{00000000-0010-0000-0500-000004000000}" name="cancellation_reason"/>
    <tableColumn id="5" xr3:uid="{00000000-0010-0000-0500-000005000000}" name="cancellation_fee_gbp"/>
    <tableColumn id="6" xr3:uid="{00000000-0010-0000-0500-000006000000}" name="refund_received_gbp"/>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ravellerFeedbackTable" displayName="TravellerFeedbackTable" ref="A1:I240" totalsRowShown="0">
  <tableColumns count="9">
    <tableColumn id="1" xr3:uid="{00000000-0010-0000-0700-000001000000}" name="feedback_id"/>
    <tableColumn id="2" xr3:uid="{00000000-0010-0000-0700-000002000000}" name="trip_id"/>
    <tableColumn id="3" xr3:uid="{00000000-0010-0000-0700-000003000000}" name="employee_id"/>
    <tableColumn id="4" xr3:uid="{00000000-0010-0000-0700-000004000000}" name="feedback_date"/>
    <tableColumn id="5" xr3:uid="{00000000-0010-0000-0700-000005000000}" name="overall_trip_rating"/>
    <tableColumn id="6" xr3:uid="{00000000-0010-0000-0700-000006000000}" name="booking_experience_rating"/>
    <tableColumn id="7" xr3:uid="{00000000-0010-0000-0700-000007000000}" name="travel_support_rating"/>
    <tableColumn id="8" xr3:uid="{00000000-0010-0000-0700-000008000000}" name="supplier_rating"/>
    <tableColumn id="9" xr3:uid="{00000000-0010-0000-0700-000009000000}" name="free_text_commen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pivotTable" Target="../pivotTables/pivotTable21.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29.xml"/><Relationship Id="rId3" Type="http://schemas.openxmlformats.org/officeDocument/2006/relationships/pivotTable" Target="../pivotTables/pivotTable24.xml"/><Relationship Id="rId7" Type="http://schemas.openxmlformats.org/officeDocument/2006/relationships/pivotTable" Target="../pivotTables/pivotTable28.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ivotTable" Target="../pivotTables/pivotTable27.xml"/><Relationship Id="rId5" Type="http://schemas.openxmlformats.org/officeDocument/2006/relationships/pivotTable" Target="../pivotTables/pivotTable26.xml"/><Relationship Id="rId4" Type="http://schemas.openxmlformats.org/officeDocument/2006/relationships/pivotTable" Target="../pivotTables/pivotTable25.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31.xml"/><Relationship Id="rId1" Type="http://schemas.openxmlformats.org/officeDocument/2006/relationships/pivotTable" Target="../pivotTables/pivotTable3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4.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8"/>
  <sheetViews>
    <sheetView workbookViewId="0">
      <selection activeCell="B51" sqref="B51"/>
    </sheetView>
  </sheetViews>
  <sheetFormatPr baseColWidth="10" defaultColWidth="8.83203125" defaultRowHeight="15"/>
  <cols>
    <col min="1" max="1" width="25" customWidth="1"/>
    <col min="2" max="2" width="96" customWidth="1"/>
  </cols>
  <sheetData>
    <row r="1" spans="1:2" ht="18">
      <c r="A1" s="50" t="s">
        <v>0</v>
      </c>
      <c r="B1" s="50"/>
    </row>
    <row r="2" spans="1:2" ht="32">
      <c r="A2" s="1" t="s">
        <v>1</v>
      </c>
      <c r="B2" s="1" t="s">
        <v>2</v>
      </c>
    </row>
    <row r="3" spans="1:2" ht="16">
      <c r="A3" s="1" t="s">
        <v>3</v>
      </c>
      <c r="B3" s="1" t="s">
        <v>4</v>
      </c>
    </row>
    <row r="4" spans="1:2" ht="16">
      <c r="A4" s="1" t="s">
        <v>5</v>
      </c>
      <c r="B4" s="1">
        <v>160</v>
      </c>
    </row>
    <row r="5" spans="1:2" ht="16">
      <c r="A5" s="1" t="s">
        <v>6</v>
      </c>
      <c r="B5" s="1">
        <v>582</v>
      </c>
    </row>
    <row r="6" spans="1:2" ht="16">
      <c r="A6" s="1" t="s">
        <v>7</v>
      </c>
      <c r="B6" s="1">
        <v>100</v>
      </c>
    </row>
    <row r="7" spans="1:2" ht="16">
      <c r="A7" s="1" t="s">
        <v>8</v>
      </c>
      <c r="B7" s="1">
        <v>36</v>
      </c>
    </row>
    <row r="8" spans="1:2" ht="32">
      <c r="A8" s="1" t="s">
        <v>9</v>
      </c>
      <c r="B8" s="1" t="s">
        <v>10</v>
      </c>
    </row>
    <row r="9" spans="1:2">
      <c r="A9" s="1"/>
      <c r="B9" s="1"/>
    </row>
    <row r="10" spans="1:2">
      <c r="A10" s="51" t="s">
        <v>11</v>
      </c>
      <c r="B10" s="51"/>
    </row>
    <row r="11" spans="1:2" ht="32">
      <c r="A11" s="1" t="s">
        <v>12</v>
      </c>
      <c r="B11" s="1" t="s">
        <v>13</v>
      </c>
    </row>
    <row r="12" spans="1:2" ht="16">
      <c r="A12" s="1" t="s">
        <v>14</v>
      </c>
      <c r="B12" s="1" t="s">
        <v>15</v>
      </c>
    </row>
    <row r="13" spans="1:2" ht="16">
      <c r="A13" s="1" t="s">
        <v>16</v>
      </c>
      <c r="B13" s="1" t="s">
        <v>17</v>
      </c>
    </row>
    <row r="14" spans="1:2" ht="16">
      <c r="A14" s="1" t="s">
        <v>18</v>
      </c>
      <c r="B14" s="1" t="s">
        <v>19</v>
      </c>
    </row>
    <row r="15" spans="1:2" ht="32">
      <c r="A15" s="1" t="s">
        <v>20</v>
      </c>
      <c r="B15" s="1" t="s">
        <v>21</v>
      </c>
    </row>
    <row r="16" spans="1:2" ht="16">
      <c r="A16" s="1" t="s">
        <v>22</v>
      </c>
      <c r="B16" s="1" t="s">
        <v>23</v>
      </c>
    </row>
    <row r="17" spans="1:2" ht="16">
      <c r="A17" s="1" t="s">
        <v>24</v>
      </c>
      <c r="B17" s="1" t="s">
        <v>25</v>
      </c>
    </row>
    <row r="18" spans="1:2">
      <c r="A18" s="1"/>
      <c r="B18" s="1"/>
    </row>
    <row r="19" spans="1:2">
      <c r="A19" s="51" t="s">
        <v>26</v>
      </c>
      <c r="B19" s="51"/>
    </row>
    <row r="20" spans="1:2" ht="32">
      <c r="A20" s="1" t="s">
        <v>27</v>
      </c>
      <c r="B20" s="1" t="s">
        <v>28</v>
      </c>
    </row>
    <row r="21" spans="1:2" ht="32">
      <c r="A21" s="1" t="s">
        <v>29</v>
      </c>
      <c r="B21" s="1" t="s">
        <v>30</v>
      </c>
    </row>
    <row r="22" spans="1:2" ht="16">
      <c r="A22" s="1" t="s">
        <v>31</v>
      </c>
      <c r="B22" s="1" t="s">
        <v>32</v>
      </c>
    </row>
    <row r="23" spans="1:2" ht="32">
      <c r="A23" s="1" t="s">
        <v>33</v>
      </c>
      <c r="B23" s="1" t="s">
        <v>34</v>
      </c>
    </row>
    <row r="24" spans="1:2" ht="32">
      <c r="A24" s="1" t="s">
        <v>35</v>
      </c>
      <c r="B24" s="1" t="s">
        <v>36</v>
      </c>
    </row>
    <row r="25" spans="1:2" ht="16">
      <c r="A25" s="1" t="s">
        <v>37</v>
      </c>
      <c r="B25" s="1" t="s">
        <v>38</v>
      </c>
    </row>
    <row r="26" spans="1:2" ht="16">
      <c r="A26" s="1" t="s">
        <v>39</v>
      </c>
      <c r="B26" s="1" t="s">
        <v>40</v>
      </c>
    </row>
    <row r="27" spans="1:2" ht="16">
      <c r="A27" s="1" t="s">
        <v>41</v>
      </c>
      <c r="B27" s="1" t="s">
        <v>42</v>
      </c>
    </row>
    <row r="28" spans="1:2" ht="16">
      <c r="A28" s="1" t="s">
        <v>43</v>
      </c>
      <c r="B28" s="1" t="s">
        <v>44</v>
      </c>
    </row>
    <row r="29" spans="1:2" ht="16">
      <c r="A29" s="1" t="s">
        <v>45</v>
      </c>
      <c r="B29" s="1" t="s">
        <v>46</v>
      </c>
    </row>
    <row r="30" spans="1:2" ht="16">
      <c r="A30" s="1" t="s">
        <v>47</v>
      </c>
      <c r="B30" s="1" t="s">
        <v>48</v>
      </c>
    </row>
    <row r="31" spans="1:2" ht="16">
      <c r="A31" s="1" t="s">
        <v>49</v>
      </c>
      <c r="B31" s="1" t="s">
        <v>50</v>
      </c>
    </row>
    <row r="32" spans="1:2" ht="32">
      <c r="A32" s="1" t="s">
        <v>51</v>
      </c>
      <c r="B32" s="1" t="s">
        <v>52</v>
      </c>
    </row>
    <row r="33" spans="1:2" ht="32">
      <c r="A33" s="1" t="s">
        <v>53</v>
      </c>
      <c r="B33" s="1" t="s">
        <v>54</v>
      </c>
    </row>
    <row r="34" spans="1:2" ht="16">
      <c r="A34" s="1" t="s">
        <v>55</v>
      </c>
      <c r="B34" s="1" t="s">
        <v>56</v>
      </c>
    </row>
    <row r="35" spans="1:2" ht="16">
      <c r="A35" s="1" t="s">
        <v>57</v>
      </c>
      <c r="B35" s="1" t="s">
        <v>58</v>
      </c>
    </row>
    <row r="36" spans="1:2" ht="16">
      <c r="A36" s="1" t="s">
        <v>59</v>
      </c>
      <c r="B36" s="1" t="s">
        <v>60</v>
      </c>
    </row>
    <row r="37" spans="1:2" ht="16">
      <c r="A37" s="1" t="s">
        <v>61</v>
      </c>
      <c r="B37" s="1" t="s">
        <v>62</v>
      </c>
    </row>
    <row r="38" spans="1:2" ht="16">
      <c r="A38" s="1" t="s">
        <v>63</v>
      </c>
      <c r="B38" s="1" t="s">
        <v>64</v>
      </c>
    </row>
    <row r="39" spans="1:2" ht="16">
      <c r="A39" s="1" t="s">
        <v>65</v>
      </c>
      <c r="B39" s="1" t="s">
        <v>66</v>
      </c>
    </row>
    <row r="40" spans="1:2" ht="32">
      <c r="A40" s="1" t="s">
        <v>67</v>
      </c>
      <c r="B40" s="1" t="s">
        <v>68</v>
      </c>
    </row>
    <row r="41" spans="1:2">
      <c r="A41" s="1"/>
      <c r="B41" s="1"/>
    </row>
    <row r="42" spans="1:2">
      <c r="A42" s="51" t="s">
        <v>69</v>
      </c>
      <c r="B42" s="51"/>
    </row>
    <row r="43" spans="1:2" ht="32">
      <c r="A43" s="1" t="s">
        <v>6</v>
      </c>
      <c r="B43" s="1" t="s">
        <v>70</v>
      </c>
    </row>
    <row r="44" spans="1:2" ht="16">
      <c r="A44" s="1" t="s">
        <v>5</v>
      </c>
      <c r="B44" s="1" t="s">
        <v>71</v>
      </c>
    </row>
    <row r="45" spans="1:2" ht="16">
      <c r="A45" s="1" t="s">
        <v>72</v>
      </c>
      <c r="B45" s="1" t="s">
        <v>73</v>
      </c>
    </row>
    <row r="46" spans="1:2" ht="16">
      <c r="A46" s="1" t="s">
        <v>74</v>
      </c>
      <c r="B46" s="1" t="s">
        <v>75</v>
      </c>
    </row>
    <row r="47" spans="1:2" ht="16">
      <c r="A47" s="1" t="s">
        <v>76</v>
      </c>
      <c r="B47" s="1" t="s">
        <v>77</v>
      </c>
    </row>
    <row r="48" spans="1:2" ht="16">
      <c r="A48" s="1" t="s">
        <v>78</v>
      </c>
      <c r="B48" s="1" t="s">
        <v>79</v>
      </c>
    </row>
    <row r="49" spans="1:2" ht="16">
      <c r="A49" s="1" t="s">
        <v>80</v>
      </c>
      <c r="B49" s="1" t="s">
        <v>81</v>
      </c>
    </row>
    <row r="50" spans="1:2" ht="16">
      <c r="A50" s="10" t="s">
        <v>82</v>
      </c>
      <c r="B50" s="1" t="s">
        <v>83</v>
      </c>
    </row>
    <row r="51" spans="1:2" ht="16">
      <c r="A51" s="10" t="s">
        <v>84</v>
      </c>
      <c r="B51" s="1" t="s">
        <v>85</v>
      </c>
    </row>
    <row r="52" spans="1:2" ht="16">
      <c r="A52" s="10" t="s">
        <v>86</v>
      </c>
      <c r="B52" s="1" t="s">
        <v>87</v>
      </c>
    </row>
    <row r="53" spans="1:2" ht="16">
      <c r="A53" s="10" t="s">
        <v>88</v>
      </c>
      <c r="B53" s="1" t="s">
        <v>89</v>
      </c>
    </row>
    <row r="54" spans="1:2" ht="16">
      <c r="A54" s="10" t="s">
        <v>90</v>
      </c>
      <c r="B54" s="1" t="s">
        <v>91</v>
      </c>
    </row>
    <row r="55" spans="1:2" ht="16">
      <c r="A55" s="10" t="s">
        <v>92</v>
      </c>
      <c r="B55" s="1" t="s">
        <v>93</v>
      </c>
    </row>
    <row r="56" spans="1:2" ht="16">
      <c r="A56" s="10" t="s">
        <v>94</v>
      </c>
      <c r="B56" s="1" t="s">
        <v>95</v>
      </c>
    </row>
    <row r="57" spans="1:2" ht="16">
      <c r="A57" s="10" t="s">
        <v>96</v>
      </c>
      <c r="B57" s="1" t="s">
        <v>97</v>
      </c>
    </row>
    <row r="58" spans="1:2" ht="32">
      <c r="A58" s="10" t="s">
        <v>98</v>
      </c>
      <c r="B58" s="1" t="s">
        <v>99</v>
      </c>
    </row>
  </sheetData>
  <mergeCells count="4">
    <mergeCell ref="A1:B1"/>
    <mergeCell ref="A10:B10"/>
    <mergeCell ref="A19:B19"/>
    <mergeCell ref="A42:B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05272-FF30-F34D-B509-3E3A32865701}">
  <dimension ref="A1:K40"/>
  <sheetViews>
    <sheetView tabSelected="1" zoomScale="75" workbookViewId="0">
      <selection activeCell="L13" sqref="L13"/>
    </sheetView>
  </sheetViews>
  <sheetFormatPr baseColWidth="10" defaultRowHeight="15"/>
  <cols>
    <col min="1" max="1" width="13.1640625" customWidth="1"/>
    <col min="2" max="2" width="14.83203125" customWidth="1"/>
    <col min="3" max="3" width="17.1640625" customWidth="1"/>
    <col min="4" max="4" width="19.1640625" customWidth="1"/>
    <col min="5" max="5" width="20.1640625" customWidth="1"/>
    <col min="6" max="6" width="22" customWidth="1"/>
    <col min="7" max="7" width="22.1640625" customWidth="1"/>
    <col min="8" max="8" width="14" customWidth="1"/>
    <col min="9" max="9" width="1" hidden="1" customWidth="1"/>
    <col min="10" max="10" width="10.83203125" hidden="1" customWidth="1"/>
    <col min="11" max="11" width="6.6640625" customWidth="1"/>
  </cols>
  <sheetData>
    <row r="1" spans="1:11" ht="31">
      <c r="A1" s="48" t="s">
        <v>1875</v>
      </c>
      <c r="B1" s="48"/>
      <c r="C1" s="48"/>
      <c r="D1" s="48"/>
      <c r="E1" s="48"/>
      <c r="F1" s="48"/>
      <c r="G1" s="48"/>
      <c r="H1" s="48"/>
      <c r="I1" s="48"/>
      <c r="J1" s="48"/>
      <c r="K1" s="48"/>
    </row>
    <row r="2" spans="1:11" ht="21">
      <c r="A2" s="49" t="s">
        <v>1876</v>
      </c>
      <c r="B2" s="49"/>
      <c r="C2" s="49"/>
      <c r="D2" s="49"/>
      <c r="E2" s="49"/>
      <c r="F2" s="49"/>
      <c r="G2" s="49"/>
      <c r="H2" s="49"/>
      <c r="I2" s="49"/>
      <c r="J2" s="49"/>
      <c r="K2" s="49"/>
    </row>
    <row r="6" spans="1:11" s="28" customFormat="1" ht="48">
      <c r="A6" s="28" t="s">
        <v>1877</v>
      </c>
      <c r="B6" s="28" t="s">
        <v>1878</v>
      </c>
      <c r="C6" s="28" t="s">
        <v>1879</v>
      </c>
      <c r="D6" s="28" t="s">
        <v>1880</v>
      </c>
      <c r="E6" s="28" t="s">
        <v>1881</v>
      </c>
      <c r="F6" s="28" t="s">
        <v>1882</v>
      </c>
      <c r="G6" s="28" t="s">
        <v>1900</v>
      </c>
      <c r="H6" s="59" t="s">
        <v>1899</v>
      </c>
    </row>
    <row r="7" spans="1:11">
      <c r="A7">
        <f>'Spend &amp; Booking Analysis'!A7</f>
        <v>582</v>
      </c>
      <c r="B7" s="42">
        <f>'Spend &amp; Booking Analysis'!B7</f>
        <v>580808.62999999977</v>
      </c>
      <c r="C7" s="45">
        <f>'Spend &amp; Booking Analysis'!C7</f>
        <v>997.95297250859062</v>
      </c>
      <c r="D7" s="47">
        <f>'Compliance Analysis'!A7</f>
        <v>0.43127147766323026</v>
      </c>
      <c r="E7" s="30">
        <f>Changes_Cancellations_Analysis!B7</f>
        <v>0.14432989690721648</v>
      </c>
      <c r="F7" s="30">
        <f>Changes_Cancellations_Analysis!E7</f>
        <v>6.1855670103092786E-2</v>
      </c>
      <c r="G7" s="39">
        <f>'Feedback &amp; SP Analysis'!C7</f>
        <v>4.2092050209205025</v>
      </c>
      <c r="H7" s="41">
        <f>Sustainability_Analysis!A7</f>
        <v>356259.40000000008</v>
      </c>
    </row>
    <row r="11" spans="1:11" ht="23">
      <c r="A11" s="46" t="s">
        <v>1883</v>
      </c>
    </row>
    <row r="12" spans="1:11">
      <c r="A12" t="s">
        <v>1884</v>
      </c>
    </row>
    <row r="14" spans="1:11">
      <c r="A14" t="s">
        <v>1885</v>
      </c>
    </row>
    <row r="16" spans="1:11">
      <c r="A16" t="s">
        <v>1886</v>
      </c>
    </row>
    <row r="18" spans="1:1">
      <c r="A18" t="s">
        <v>1887</v>
      </c>
    </row>
    <row r="20" spans="1:1">
      <c r="A20" t="s">
        <v>1888</v>
      </c>
    </row>
    <row r="22" spans="1:1">
      <c r="A22" t="s">
        <v>1889</v>
      </c>
    </row>
    <row r="24" spans="1:1">
      <c r="A24" t="s">
        <v>1890</v>
      </c>
    </row>
    <row r="26" spans="1:1">
      <c r="A26" t="s">
        <v>1891</v>
      </c>
    </row>
    <row r="29" spans="1:1" ht="23">
      <c r="A29" s="46" t="s">
        <v>1892</v>
      </c>
    </row>
    <row r="30" spans="1:1">
      <c r="A30" t="s">
        <v>1893</v>
      </c>
    </row>
    <row r="32" spans="1:1">
      <c r="A32" t="s">
        <v>1894</v>
      </c>
    </row>
    <row r="34" spans="1:1">
      <c r="A34" t="s">
        <v>1895</v>
      </c>
    </row>
    <row r="36" spans="1:1">
      <c r="A36" t="s">
        <v>1896</v>
      </c>
    </row>
    <row r="38" spans="1:1">
      <c r="A38" t="s">
        <v>1897</v>
      </c>
    </row>
    <row r="40" spans="1:1">
      <c r="A40" t="s">
        <v>1898</v>
      </c>
    </row>
  </sheetData>
  <mergeCells count="2">
    <mergeCell ref="A1:K1"/>
    <mergeCell ref="A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8F1A9-530F-4447-BE77-DB5073452F95}">
  <dimension ref="A1:C7"/>
  <sheetViews>
    <sheetView workbookViewId="0">
      <selection activeCell="C5" sqref="C5"/>
    </sheetView>
  </sheetViews>
  <sheetFormatPr baseColWidth="10" defaultRowHeight="15"/>
  <cols>
    <col min="1" max="1" width="21.6640625" customWidth="1"/>
    <col min="2" max="2" width="22" customWidth="1"/>
    <col min="3" max="3" width="63.6640625" customWidth="1"/>
  </cols>
  <sheetData>
    <row r="1" spans="1:3">
      <c r="A1" s="28" t="s">
        <v>1603</v>
      </c>
      <c r="B1" s="28" t="s">
        <v>1604</v>
      </c>
      <c r="C1" s="28" t="s">
        <v>1605</v>
      </c>
    </row>
    <row r="2" spans="1:3">
      <c r="A2" t="s">
        <v>1602</v>
      </c>
      <c r="B2" t="s">
        <v>1606</v>
      </c>
      <c r="C2" t="s">
        <v>1607</v>
      </c>
    </row>
    <row r="3" spans="1:3">
      <c r="A3" t="s">
        <v>1608</v>
      </c>
      <c r="B3" t="s">
        <v>1609</v>
      </c>
      <c r="C3" t="s">
        <v>1610</v>
      </c>
    </row>
    <row r="4" spans="1:3">
      <c r="A4" t="s">
        <v>1608</v>
      </c>
      <c r="B4" t="s">
        <v>1611</v>
      </c>
      <c r="C4" t="s">
        <v>1637</v>
      </c>
    </row>
    <row r="5" spans="1:3">
      <c r="A5" t="s">
        <v>1612</v>
      </c>
      <c r="B5" t="s">
        <v>1613</v>
      </c>
      <c r="C5" t="s">
        <v>1614</v>
      </c>
    </row>
    <row r="6" spans="1:3">
      <c r="A6" t="s">
        <v>1615</v>
      </c>
      <c r="B6" t="s">
        <v>1616</v>
      </c>
      <c r="C6" t="s">
        <v>1617</v>
      </c>
    </row>
    <row r="7" spans="1:3">
      <c r="A7" t="s">
        <v>1618</v>
      </c>
      <c r="B7" t="s">
        <v>1606</v>
      </c>
      <c r="C7" t="s">
        <v>1619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583"/>
  <sheetViews>
    <sheetView topLeftCell="X1" zoomScale="95" workbookViewId="0">
      <selection activeCell="AI1" sqref="AI1:AI1048576"/>
    </sheetView>
  </sheetViews>
  <sheetFormatPr baseColWidth="10" defaultColWidth="8.83203125" defaultRowHeight="15"/>
  <cols>
    <col min="1" max="3" width="18" customWidth="1"/>
    <col min="4" max="4" width="26" customWidth="1"/>
    <col min="5" max="5" width="18" customWidth="1"/>
    <col min="6" max="6" width="23" customWidth="1"/>
    <col min="7" max="7" width="13.5" customWidth="1"/>
    <col min="8" max="8" width="15" customWidth="1"/>
    <col min="9" max="9" width="12.1640625" customWidth="1"/>
    <col min="10" max="14" width="18" customWidth="1"/>
    <col min="15" max="15" width="12.6640625" customWidth="1"/>
    <col min="16" max="16" width="17.6640625" customWidth="1"/>
    <col min="17" max="19" width="18" customWidth="1"/>
    <col min="20" max="20" width="11.83203125" customWidth="1"/>
    <col min="21" max="21" width="13.1640625" customWidth="1"/>
    <col min="22" max="22" width="12.5" customWidth="1"/>
    <col min="23" max="23" width="14.6640625" customWidth="1"/>
    <col min="24" max="25" width="20.1640625" customWidth="1"/>
    <col min="26" max="27" width="18" customWidth="1"/>
    <col min="28" max="28" width="20.6640625" customWidth="1"/>
    <col min="29" max="29" width="23.6640625" customWidth="1"/>
    <col min="30" max="30" width="19.1640625" customWidth="1"/>
    <col min="31" max="31" width="17.6640625" customWidth="1"/>
    <col min="32" max="33" width="18" customWidth="1"/>
    <col min="34" max="34" width="8.33203125" customWidth="1"/>
    <col min="35" max="35" width="19" customWidth="1"/>
  </cols>
  <sheetData>
    <row r="1" spans="1:35">
      <c r="A1" s="2" t="s">
        <v>100</v>
      </c>
      <c r="B1" s="2" t="s">
        <v>101</v>
      </c>
      <c r="C1" s="2" t="s">
        <v>102</v>
      </c>
      <c r="D1" s="2" t="s">
        <v>103</v>
      </c>
      <c r="E1" s="2" t="s">
        <v>104</v>
      </c>
      <c r="F1" s="2" t="s">
        <v>105</v>
      </c>
      <c r="G1" s="2" t="s">
        <v>106</v>
      </c>
      <c r="H1" s="2" t="s">
        <v>107</v>
      </c>
      <c r="I1" s="2" t="s">
        <v>108</v>
      </c>
      <c r="J1" s="2" t="s">
        <v>109</v>
      </c>
      <c r="K1" s="2" t="s">
        <v>110</v>
      </c>
      <c r="L1" s="2" t="s">
        <v>111</v>
      </c>
      <c r="M1" s="2" t="s">
        <v>112</v>
      </c>
      <c r="N1" s="2" t="s">
        <v>113</v>
      </c>
      <c r="O1" s="2" t="s">
        <v>114</v>
      </c>
      <c r="P1" s="2" t="s">
        <v>115</v>
      </c>
      <c r="Q1" s="2" t="s">
        <v>116</v>
      </c>
      <c r="R1" s="2" t="s">
        <v>117</v>
      </c>
      <c r="S1" s="2" t="s">
        <v>118</v>
      </c>
      <c r="T1" s="2" t="s">
        <v>119</v>
      </c>
      <c r="U1" s="2" t="s">
        <v>120</v>
      </c>
      <c r="V1" s="2" t="s">
        <v>121</v>
      </c>
      <c r="W1" s="2" t="s">
        <v>122</v>
      </c>
      <c r="X1" s="2" t="s">
        <v>123</v>
      </c>
      <c r="Y1" s="2" t="s">
        <v>124</v>
      </c>
      <c r="Z1" s="2" t="s">
        <v>125</v>
      </c>
      <c r="AA1" s="2" t="s">
        <v>126</v>
      </c>
      <c r="AB1" s="2" t="s">
        <v>127</v>
      </c>
      <c r="AC1" s="2" t="s">
        <v>128</v>
      </c>
      <c r="AD1" s="2" t="s">
        <v>129</v>
      </c>
      <c r="AE1" s="2" t="s">
        <v>130</v>
      </c>
      <c r="AF1" s="2" t="s">
        <v>131</v>
      </c>
      <c r="AG1" s="2" t="s">
        <v>132</v>
      </c>
      <c r="AH1" s="2" t="s">
        <v>133</v>
      </c>
      <c r="AI1" s="8" t="s">
        <v>134</v>
      </c>
    </row>
    <row r="2" spans="1:35">
      <c r="A2" t="s">
        <v>135</v>
      </c>
      <c r="B2" t="s">
        <v>136</v>
      </c>
      <c r="C2" t="s">
        <v>137</v>
      </c>
      <c r="D2" t="s">
        <v>138</v>
      </c>
      <c r="E2" t="s">
        <v>139</v>
      </c>
      <c r="F2" t="s">
        <v>140</v>
      </c>
      <c r="G2" s="3">
        <v>46176</v>
      </c>
      <c r="H2" s="3">
        <v>46189</v>
      </c>
      <c r="I2" s="3">
        <v>46192</v>
      </c>
      <c r="J2" t="s">
        <v>141</v>
      </c>
      <c r="K2" t="s">
        <v>137</v>
      </c>
      <c r="L2" t="s">
        <v>142</v>
      </c>
      <c r="M2" t="s">
        <v>143</v>
      </c>
      <c r="N2" t="s">
        <v>144</v>
      </c>
      <c r="O2">
        <v>1010</v>
      </c>
      <c r="P2">
        <v>13</v>
      </c>
      <c r="Q2" t="s">
        <v>145</v>
      </c>
      <c r="S2" t="s">
        <v>146</v>
      </c>
      <c r="T2" s="4">
        <v>0</v>
      </c>
      <c r="U2" s="4">
        <v>182.55</v>
      </c>
      <c r="V2" s="4">
        <v>2</v>
      </c>
      <c r="W2" s="4">
        <v>327.67</v>
      </c>
      <c r="X2" s="4">
        <v>56.62</v>
      </c>
      <c r="Y2" s="4">
        <v>566.84</v>
      </c>
      <c r="Z2" s="4" t="s">
        <v>147</v>
      </c>
      <c r="AA2" s="4" t="s">
        <v>147</v>
      </c>
      <c r="AB2" s="4">
        <f>SUMIF('Trip Changes'!$B:$B,A2,'Trip Changes'!$E:$E)</f>
        <v>0</v>
      </c>
      <c r="AC2" s="4">
        <f>SUMIF('Trip Cancellations'!$B:$B,A2,'Trip Cancellations'!$E:$E)</f>
        <v>0</v>
      </c>
      <c r="AD2" s="4">
        <f>SUMIF('Trip Cancellations'!$B:$B,A2,'Trip Cancellations'!$F:$F)</f>
        <v>0</v>
      </c>
      <c r="AE2" s="4">
        <f t="shared" ref="AE2:AE65" si="0">Y2+AB2+AC2-AD2</f>
        <v>566.84</v>
      </c>
      <c r="AF2" t="s">
        <v>148</v>
      </c>
      <c r="AG2">
        <v>5</v>
      </c>
      <c r="AH2" s="5">
        <v>40.4</v>
      </c>
      <c r="AI2" t="s">
        <v>148</v>
      </c>
    </row>
    <row r="3" spans="1:35">
      <c r="A3" t="s">
        <v>149</v>
      </c>
      <c r="B3" t="s">
        <v>136</v>
      </c>
      <c r="C3" t="s">
        <v>137</v>
      </c>
      <c r="D3" t="s">
        <v>138</v>
      </c>
      <c r="E3" t="s">
        <v>139</v>
      </c>
      <c r="F3" t="s">
        <v>140</v>
      </c>
      <c r="G3" s="3">
        <v>46224</v>
      </c>
      <c r="H3" s="3">
        <v>46226</v>
      </c>
      <c r="I3" s="3">
        <v>46230</v>
      </c>
      <c r="J3" t="s">
        <v>150</v>
      </c>
      <c r="K3" t="s">
        <v>137</v>
      </c>
      <c r="L3" t="s">
        <v>151</v>
      </c>
      <c r="M3" t="s">
        <v>152</v>
      </c>
      <c r="N3" t="s">
        <v>153</v>
      </c>
      <c r="O3">
        <v>1390</v>
      </c>
      <c r="P3">
        <v>2</v>
      </c>
      <c r="Q3" t="s">
        <v>145</v>
      </c>
      <c r="R3" t="s">
        <v>154</v>
      </c>
      <c r="S3" t="s">
        <v>155</v>
      </c>
      <c r="T3" s="4">
        <v>480.08</v>
      </c>
      <c r="U3" s="4">
        <v>0</v>
      </c>
      <c r="V3" s="4">
        <v>3</v>
      </c>
      <c r="W3" s="4">
        <v>561.27</v>
      </c>
      <c r="X3" s="4">
        <v>59</v>
      </c>
      <c r="Y3" s="4">
        <v>1100.3499999999999</v>
      </c>
      <c r="Z3" s="4" t="s">
        <v>147</v>
      </c>
      <c r="AA3" s="4" t="s">
        <v>147</v>
      </c>
      <c r="AB3" s="4">
        <f>SUMIF('Trip Changes'!$B:$B,A3,'Trip Changes'!$E:$E)</f>
        <v>0</v>
      </c>
      <c r="AC3" s="4">
        <f>SUMIF('Trip Cancellations'!$B:$B,A3,'Trip Cancellations'!$E:$E)</f>
        <v>0</v>
      </c>
      <c r="AD3" s="4">
        <f>SUMIF('Trip Cancellations'!$B:$B,A3,'Trip Cancellations'!$F:$F)</f>
        <v>0</v>
      </c>
      <c r="AE3" s="4">
        <f t="shared" si="0"/>
        <v>1100.3499999999999</v>
      </c>
      <c r="AF3" t="s">
        <v>148</v>
      </c>
      <c r="AG3">
        <v>4</v>
      </c>
      <c r="AH3" s="5">
        <v>208.5</v>
      </c>
      <c r="AI3" t="s">
        <v>147</v>
      </c>
    </row>
    <row r="4" spans="1:35">
      <c r="A4" t="s">
        <v>156</v>
      </c>
      <c r="B4" t="s">
        <v>136</v>
      </c>
      <c r="C4" t="s">
        <v>137</v>
      </c>
      <c r="D4" t="s">
        <v>138</v>
      </c>
      <c r="E4" t="s">
        <v>139</v>
      </c>
      <c r="F4" t="s">
        <v>157</v>
      </c>
      <c r="G4" s="3">
        <v>46169</v>
      </c>
      <c r="H4" s="3">
        <v>46178</v>
      </c>
      <c r="I4" s="3">
        <v>46182</v>
      </c>
      <c r="J4" t="s">
        <v>141</v>
      </c>
      <c r="K4" t="s">
        <v>137</v>
      </c>
      <c r="L4" t="s">
        <v>158</v>
      </c>
      <c r="M4" t="s">
        <v>152</v>
      </c>
      <c r="N4" t="s">
        <v>153</v>
      </c>
      <c r="O4">
        <v>1900</v>
      </c>
      <c r="P4">
        <v>9</v>
      </c>
      <c r="Q4" t="s">
        <v>159</v>
      </c>
      <c r="R4" t="s">
        <v>160</v>
      </c>
      <c r="S4" t="s">
        <v>155</v>
      </c>
      <c r="T4" s="4">
        <v>416.18</v>
      </c>
      <c r="U4" s="4">
        <v>0</v>
      </c>
      <c r="V4" s="4">
        <v>3</v>
      </c>
      <c r="W4" s="4">
        <v>637.55999999999995</v>
      </c>
      <c r="X4" s="4">
        <v>140.94</v>
      </c>
      <c r="Y4" s="4">
        <v>1194.68</v>
      </c>
      <c r="Z4" s="4" t="s">
        <v>147</v>
      </c>
      <c r="AA4" s="4" t="s">
        <v>147</v>
      </c>
      <c r="AB4" s="4">
        <f>SUMIF('Trip Changes'!$B:$B,A4,'Trip Changes'!$E:$E)</f>
        <v>0</v>
      </c>
      <c r="AC4" s="4">
        <f>SUMIF('Trip Cancellations'!$B:$B,A4,'Trip Cancellations'!$E:$E)</f>
        <v>0</v>
      </c>
      <c r="AD4" s="4">
        <f>SUMIF('Trip Cancellations'!$B:$B,A4,'Trip Cancellations'!$F:$F)</f>
        <v>0</v>
      </c>
      <c r="AE4" s="4">
        <f t="shared" si="0"/>
        <v>1194.68</v>
      </c>
      <c r="AF4" t="s">
        <v>148</v>
      </c>
      <c r="AG4">
        <v>5</v>
      </c>
      <c r="AH4" s="5">
        <v>285</v>
      </c>
      <c r="AI4" t="s">
        <v>148</v>
      </c>
    </row>
    <row r="5" spans="1:35">
      <c r="A5" t="s">
        <v>161</v>
      </c>
      <c r="B5" t="s">
        <v>136</v>
      </c>
      <c r="C5" t="s">
        <v>137</v>
      </c>
      <c r="D5" t="s">
        <v>138</v>
      </c>
      <c r="E5" t="s">
        <v>139</v>
      </c>
      <c r="F5" t="s">
        <v>162</v>
      </c>
      <c r="G5" s="3">
        <v>46139</v>
      </c>
      <c r="H5" s="3">
        <v>46153</v>
      </c>
      <c r="I5" s="3">
        <v>46155</v>
      </c>
      <c r="J5" t="s">
        <v>163</v>
      </c>
      <c r="K5" t="s">
        <v>137</v>
      </c>
      <c r="L5" t="s">
        <v>151</v>
      </c>
      <c r="M5" t="s">
        <v>152</v>
      </c>
      <c r="N5" t="s">
        <v>153</v>
      </c>
      <c r="O5">
        <v>1676</v>
      </c>
      <c r="P5">
        <v>14</v>
      </c>
      <c r="Q5" t="s">
        <v>145</v>
      </c>
      <c r="R5" t="s">
        <v>154</v>
      </c>
      <c r="S5" t="s">
        <v>164</v>
      </c>
      <c r="T5" s="4">
        <v>261.14999999999998</v>
      </c>
      <c r="U5" s="4">
        <v>0</v>
      </c>
      <c r="V5" s="4">
        <v>1</v>
      </c>
      <c r="W5" s="4">
        <v>267.93</v>
      </c>
      <c r="X5" s="4">
        <v>132.51</v>
      </c>
      <c r="Y5" s="4">
        <v>661.59</v>
      </c>
      <c r="Z5" s="4" t="s">
        <v>147</v>
      </c>
      <c r="AA5" s="4" t="s">
        <v>147</v>
      </c>
      <c r="AB5" s="4">
        <f>SUMIF('Trip Changes'!$B:$B,A5,'Trip Changes'!$E:$E)</f>
        <v>0</v>
      </c>
      <c r="AC5" s="4">
        <f>SUMIF('Trip Cancellations'!$B:$B,A5,'Trip Cancellations'!$E:$E)</f>
        <v>0</v>
      </c>
      <c r="AD5" s="4">
        <f>SUMIF('Trip Cancellations'!$B:$B,A5,'Trip Cancellations'!$F:$F)</f>
        <v>0</v>
      </c>
      <c r="AE5" s="4">
        <f t="shared" si="0"/>
        <v>661.59</v>
      </c>
      <c r="AF5" t="s">
        <v>148</v>
      </c>
      <c r="AG5">
        <v>4</v>
      </c>
      <c r="AH5" s="5">
        <v>251.4</v>
      </c>
      <c r="AI5" t="s">
        <v>147</v>
      </c>
    </row>
    <row r="6" spans="1:35">
      <c r="A6" t="s">
        <v>165</v>
      </c>
      <c r="B6" t="s">
        <v>166</v>
      </c>
      <c r="C6" t="s">
        <v>167</v>
      </c>
      <c r="D6" t="s">
        <v>168</v>
      </c>
      <c r="E6" t="s">
        <v>169</v>
      </c>
      <c r="F6" t="s">
        <v>170</v>
      </c>
      <c r="G6" s="3">
        <v>46114</v>
      </c>
      <c r="H6" s="3">
        <v>46146</v>
      </c>
      <c r="I6" s="3">
        <v>46149</v>
      </c>
      <c r="J6" t="s">
        <v>163</v>
      </c>
      <c r="K6" t="s">
        <v>167</v>
      </c>
      <c r="L6" t="s">
        <v>171</v>
      </c>
      <c r="M6" t="s">
        <v>152</v>
      </c>
      <c r="N6" t="s">
        <v>153</v>
      </c>
      <c r="O6">
        <v>1146</v>
      </c>
      <c r="P6">
        <v>32</v>
      </c>
      <c r="Q6" t="s">
        <v>159</v>
      </c>
      <c r="R6" t="s">
        <v>172</v>
      </c>
      <c r="S6" t="s">
        <v>173</v>
      </c>
      <c r="T6" s="4">
        <v>502.93</v>
      </c>
      <c r="U6" s="4">
        <v>0</v>
      </c>
      <c r="V6" s="4">
        <v>2</v>
      </c>
      <c r="W6" s="4">
        <v>277.10000000000002</v>
      </c>
      <c r="X6" s="4">
        <v>65.55</v>
      </c>
      <c r="Y6" s="4">
        <v>845.58</v>
      </c>
      <c r="Z6" s="4" t="s">
        <v>147</v>
      </c>
      <c r="AA6" s="4" t="s">
        <v>147</v>
      </c>
      <c r="AB6" s="4">
        <f>SUMIF('Trip Changes'!$B:$B,A6,'Trip Changes'!$E:$E)</f>
        <v>0</v>
      </c>
      <c r="AC6" s="4">
        <f>SUMIF('Trip Cancellations'!$B:$B,A6,'Trip Cancellations'!$E:$E)</f>
        <v>0</v>
      </c>
      <c r="AD6" s="4">
        <f>SUMIF('Trip Cancellations'!$B:$B,A6,'Trip Cancellations'!$F:$F)</f>
        <v>0</v>
      </c>
      <c r="AE6" s="4">
        <f t="shared" si="0"/>
        <v>845.58</v>
      </c>
      <c r="AF6" t="s">
        <v>148</v>
      </c>
      <c r="AG6">
        <v>5</v>
      </c>
      <c r="AH6" s="5">
        <v>171.9</v>
      </c>
      <c r="AI6" t="s">
        <v>147</v>
      </c>
    </row>
    <row r="7" spans="1:35">
      <c r="A7" t="s">
        <v>174</v>
      </c>
      <c r="B7" t="s">
        <v>166</v>
      </c>
      <c r="C7" t="s">
        <v>167</v>
      </c>
      <c r="D7" t="s">
        <v>168</v>
      </c>
      <c r="E7" t="s">
        <v>169</v>
      </c>
      <c r="F7" t="s">
        <v>140</v>
      </c>
      <c r="G7" s="3">
        <v>46153</v>
      </c>
      <c r="H7" s="3">
        <v>46170</v>
      </c>
      <c r="I7" s="3">
        <v>46174</v>
      </c>
      <c r="J7" t="s">
        <v>163</v>
      </c>
      <c r="K7" t="s">
        <v>167</v>
      </c>
      <c r="L7" t="s">
        <v>175</v>
      </c>
      <c r="M7" t="s">
        <v>152</v>
      </c>
      <c r="N7" t="s">
        <v>153</v>
      </c>
      <c r="O7">
        <v>2472</v>
      </c>
      <c r="P7">
        <v>17</v>
      </c>
      <c r="Q7" t="s">
        <v>145</v>
      </c>
      <c r="R7" t="s">
        <v>176</v>
      </c>
      <c r="S7" t="s">
        <v>155</v>
      </c>
      <c r="T7" s="4">
        <v>150</v>
      </c>
      <c r="U7" s="4">
        <v>0</v>
      </c>
      <c r="V7" s="4">
        <v>3</v>
      </c>
      <c r="W7" s="4">
        <v>457.88</v>
      </c>
      <c r="X7" s="4">
        <v>45.91</v>
      </c>
      <c r="Y7" s="4">
        <v>653.79</v>
      </c>
      <c r="Z7" s="4" t="s">
        <v>147</v>
      </c>
      <c r="AA7" s="4" t="s">
        <v>147</v>
      </c>
      <c r="AB7" s="4">
        <f>SUMIF('Trip Changes'!$B:$B,A7,'Trip Changes'!$E:$E)</f>
        <v>0</v>
      </c>
      <c r="AC7" s="4">
        <f>SUMIF('Trip Cancellations'!$B:$B,A7,'Trip Cancellations'!$E:$E)</f>
        <v>0</v>
      </c>
      <c r="AD7" s="4">
        <f>SUMIF('Trip Cancellations'!$B:$B,A7,'Trip Cancellations'!$F:$F)</f>
        <v>0</v>
      </c>
      <c r="AE7" s="4">
        <f t="shared" si="0"/>
        <v>653.79</v>
      </c>
      <c r="AF7" t="s">
        <v>148</v>
      </c>
      <c r="AG7">
        <v>5</v>
      </c>
      <c r="AH7" s="5">
        <v>370.8</v>
      </c>
      <c r="AI7" t="s">
        <v>147</v>
      </c>
    </row>
    <row r="8" spans="1:35">
      <c r="A8" t="s">
        <v>177</v>
      </c>
      <c r="B8" t="s">
        <v>166</v>
      </c>
      <c r="C8" t="s">
        <v>167</v>
      </c>
      <c r="D8" t="s">
        <v>168</v>
      </c>
      <c r="E8" t="s">
        <v>169</v>
      </c>
      <c r="F8" t="s">
        <v>178</v>
      </c>
      <c r="G8" s="3">
        <v>46208</v>
      </c>
      <c r="H8" s="3">
        <v>46226</v>
      </c>
      <c r="I8" s="3">
        <v>46231</v>
      </c>
      <c r="J8" t="s">
        <v>150</v>
      </c>
      <c r="K8" t="s">
        <v>167</v>
      </c>
      <c r="L8" t="s">
        <v>179</v>
      </c>
      <c r="M8" t="s">
        <v>152</v>
      </c>
      <c r="N8" t="s">
        <v>153</v>
      </c>
      <c r="O8">
        <v>16462</v>
      </c>
      <c r="P8">
        <v>18</v>
      </c>
      <c r="Q8" t="s">
        <v>159</v>
      </c>
      <c r="R8" t="s">
        <v>154</v>
      </c>
      <c r="S8" t="s">
        <v>155</v>
      </c>
      <c r="T8" s="4">
        <v>1520.77</v>
      </c>
      <c r="U8" s="4">
        <v>0</v>
      </c>
      <c r="V8" s="4">
        <v>4</v>
      </c>
      <c r="W8" s="4">
        <v>1033.5</v>
      </c>
      <c r="X8" s="4">
        <v>73.48</v>
      </c>
      <c r="Y8" s="4">
        <v>2627.75</v>
      </c>
      <c r="Z8" s="4" t="s">
        <v>147</v>
      </c>
      <c r="AA8" s="4" t="s">
        <v>147</v>
      </c>
      <c r="AB8" s="4">
        <f>SUMIF('Trip Changes'!$B:$B,A8,'Trip Changes'!$E:$E)</f>
        <v>0</v>
      </c>
      <c r="AC8" s="4">
        <f>SUMIF('Trip Cancellations'!$B:$B,A8,'Trip Cancellations'!$E:$E)</f>
        <v>0</v>
      </c>
      <c r="AD8" s="4">
        <f>SUMIF('Trip Cancellations'!$B:$B,A8,'Trip Cancellations'!$F:$F)</f>
        <v>0</v>
      </c>
      <c r="AE8" s="4">
        <f t="shared" si="0"/>
        <v>2627.75</v>
      </c>
      <c r="AF8" t="s">
        <v>147</v>
      </c>
      <c r="AG8">
        <v>5</v>
      </c>
      <c r="AH8" s="5">
        <v>2469.3000000000002</v>
      </c>
      <c r="AI8" t="s">
        <v>147</v>
      </c>
    </row>
    <row r="9" spans="1:35">
      <c r="A9" t="s">
        <v>180</v>
      </c>
      <c r="B9" t="s">
        <v>166</v>
      </c>
      <c r="C9" t="s">
        <v>167</v>
      </c>
      <c r="D9" t="s">
        <v>168</v>
      </c>
      <c r="E9" t="s">
        <v>169</v>
      </c>
      <c r="F9" t="s">
        <v>181</v>
      </c>
      <c r="G9" s="3">
        <v>46193</v>
      </c>
      <c r="H9" s="3">
        <v>46203</v>
      </c>
      <c r="I9" s="3">
        <v>46205</v>
      </c>
      <c r="J9" t="s">
        <v>141</v>
      </c>
      <c r="K9" t="s">
        <v>167</v>
      </c>
      <c r="L9" t="s">
        <v>182</v>
      </c>
      <c r="M9" t="s">
        <v>143</v>
      </c>
      <c r="N9" t="s">
        <v>144</v>
      </c>
      <c r="O9">
        <v>512</v>
      </c>
      <c r="P9">
        <v>10</v>
      </c>
      <c r="Q9" t="s">
        <v>145</v>
      </c>
      <c r="S9" t="s">
        <v>155</v>
      </c>
      <c r="T9" s="4">
        <v>0</v>
      </c>
      <c r="U9" s="4">
        <v>200.83</v>
      </c>
      <c r="V9" s="4">
        <v>1</v>
      </c>
      <c r="W9" s="4">
        <v>133.25</v>
      </c>
      <c r="X9" s="4">
        <v>26.45</v>
      </c>
      <c r="Y9" s="4">
        <v>360.53</v>
      </c>
      <c r="Z9" s="4" t="s">
        <v>147</v>
      </c>
      <c r="AA9" s="4" t="s">
        <v>147</v>
      </c>
      <c r="AB9" s="4">
        <f>SUMIF('Trip Changes'!$B:$B,A9,'Trip Changes'!$E:$E)</f>
        <v>0</v>
      </c>
      <c r="AC9" s="4">
        <f>SUMIF('Trip Cancellations'!$B:$B,A9,'Trip Cancellations'!$E:$E)</f>
        <v>0</v>
      </c>
      <c r="AD9" s="4">
        <f>SUMIF('Trip Cancellations'!$B:$B,A9,'Trip Cancellations'!$F:$F)</f>
        <v>0</v>
      </c>
      <c r="AE9" s="4">
        <f t="shared" si="0"/>
        <v>360.53</v>
      </c>
      <c r="AF9" t="s">
        <v>148</v>
      </c>
      <c r="AG9">
        <v>4</v>
      </c>
      <c r="AH9" s="5">
        <v>20.5</v>
      </c>
      <c r="AI9" t="s">
        <v>147</v>
      </c>
    </row>
    <row r="10" spans="1:35">
      <c r="A10" t="s">
        <v>183</v>
      </c>
      <c r="B10" t="s">
        <v>184</v>
      </c>
      <c r="C10" t="s">
        <v>142</v>
      </c>
      <c r="D10" t="s">
        <v>138</v>
      </c>
      <c r="E10" t="s">
        <v>139</v>
      </c>
      <c r="F10" t="s">
        <v>181</v>
      </c>
      <c r="G10" s="3">
        <v>46160</v>
      </c>
      <c r="H10" s="3">
        <v>46184</v>
      </c>
      <c r="I10" s="3">
        <v>46186</v>
      </c>
      <c r="J10" t="s">
        <v>141</v>
      </c>
      <c r="K10" t="s">
        <v>142</v>
      </c>
      <c r="L10" t="s">
        <v>185</v>
      </c>
      <c r="M10" t="s">
        <v>152</v>
      </c>
      <c r="N10" t="s">
        <v>153</v>
      </c>
      <c r="O10">
        <v>12978</v>
      </c>
      <c r="P10">
        <v>24</v>
      </c>
      <c r="Q10" t="s">
        <v>145</v>
      </c>
      <c r="R10" t="s">
        <v>186</v>
      </c>
      <c r="S10" t="s">
        <v>187</v>
      </c>
      <c r="T10" s="4">
        <v>520</v>
      </c>
      <c r="U10" s="4">
        <v>0</v>
      </c>
      <c r="V10" s="4">
        <v>1</v>
      </c>
      <c r="W10" s="4">
        <v>208.72</v>
      </c>
      <c r="X10" s="4">
        <v>74.62</v>
      </c>
      <c r="Y10" s="4">
        <v>803.34</v>
      </c>
      <c r="Z10" s="4" t="s">
        <v>147</v>
      </c>
      <c r="AA10" s="4" t="s">
        <v>147</v>
      </c>
      <c r="AB10" s="4">
        <f>SUMIF('Trip Changes'!$B:$B,A10,'Trip Changes'!$E:$E)</f>
        <v>0</v>
      </c>
      <c r="AC10" s="4">
        <f>SUMIF('Trip Cancellations'!$B:$B,A10,'Trip Cancellations'!$E:$E)</f>
        <v>0</v>
      </c>
      <c r="AD10" s="4">
        <f>SUMIF('Trip Cancellations'!$B:$B,A10,'Trip Cancellations'!$F:$F)</f>
        <v>0</v>
      </c>
      <c r="AE10" s="4">
        <f t="shared" si="0"/>
        <v>803.34</v>
      </c>
      <c r="AF10" t="s">
        <v>148</v>
      </c>
      <c r="AG10">
        <v>5</v>
      </c>
      <c r="AH10" s="5">
        <v>1946.7</v>
      </c>
      <c r="AI10" t="s">
        <v>147</v>
      </c>
    </row>
    <row r="11" spans="1:35">
      <c r="A11" t="s">
        <v>188</v>
      </c>
      <c r="B11" t="s">
        <v>184</v>
      </c>
      <c r="C11" t="s">
        <v>142</v>
      </c>
      <c r="D11" t="s">
        <v>138</v>
      </c>
      <c r="E11" t="s">
        <v>139</v>
      </c>
      <c r="F11" t="s">
        <v>189</v>
      </c>
      <c r="G11" s="3">
        <v>46212</v>
      </c>
      <c r="H11" s="3">
        <v>46224</v>
      </c>
      <c r="I11" s="3">
        <v>46228</v>
      </c>
      <c r="J11" t="s">
        <v>150</v>
      </c>
      <c r="K11" t="s">
        <v>142</v>
      </c>
      <c r="L11" t="s">
        <v>185</v>
      </c>
      <c r="M11" t="s">
        <v>152</v>
      </c>
      <c r="N11" t="s">
        <v>153</v>
      </c>
      <c r="O11">
        <v>11812</v>
      </c>
      <c r="P11">
        <v>12</v>
      </c>
      <c r="Q11" t="s">
        <v>159</v>
      </c>
      <c r="R11" t="s">
        <v>186</v>
      </c>
      <c r="S11" t="s">
        <v>190</v>
      </c>
      <c r="T11" s="4">
        <v>1607.82</v>
      </c>
      <c r="U11" s="4">
        <v>0</v>
      </c>
      <c r="V11" s="4">
        <v>3</v>
      </c>
      <c r="W11" s="4">
        <v>565.66999999999996</v>
      </c>
      <c r="X11" s="4">
        <v>94.45</v>
      </c>
      <c r="Y11" s="4">
        <v>2267.94</v>
      </c>
      <c r="Z11" s="4" t="s">
        <v>147</v>
      </c>
      <c r="AA11" s="4" t="s">
        <v>148</v>
      </c>
      <c r="AB11" s="4">
        <f>SUMIF('Trip Changes'!$B:$B,A11,'Trip Changes'!$E:$E)</f>
        <v>0</v>
      </c>
      <c r="AC11" s="4">
        <f>SUMIF('Trip Cancellations'!$B:$B,A11,'Trip Cancellations'!$E:$E)</f>
        <v>176.35</v>
      </c>
      <c r="AD11" s="4">
        <f>SUMIF('Trip Cancellations'!$B:$B,A11,'Trip Cancellations'!$F:$F)</f>
        <v>1086.74</v>
      </c>
      <c r="AE11" s="4">
        <f t="shared" si="0"/>
        <v>1357.55</v>
      </c>
      <c r="AF11" t="s">
        <v>148</v>
      </c>
      <c r="AG11">
        <v>3</v>
      </c>
      <c r="AH11" s="5">
        <v>1771.8</v>
      </c>
      <c r="AI11" t="s">
        <v>148</v>
      </c>
    </row>
    <row r="12" spans="1:35">
      <c r="A12" t="s">
        <v>191</v>
      </c>
      <c r="B12" t="s">
        <v>192</v>
      </c>
      <c r="C12" t="s">
        <v>193</v>
      </c>
      <c r="D12" t="s">
        <v>194</v>
      </c>
      <c r="E12" t="s">
        <v>169</v>
      </c>
      <c r="F12" t="s">
        <v>157</v>
      </c>
      <c r="G12" s="3">
        <v>46204</v>
      </c>
      <c r="H12" s="3">
        <v>46213</v>
      </c>
      <c r="I12" s="3">
        <v>46216</v>
      </c>
      <c r="J12" t="s">
        <v>150</v>
      </c>
      <c r="K12" t="s">
        <v>193</v>
      </c>
      <c r="L12" t="s">
        <v>182</v>
      </c>
      <c r="M12" t="s">
        <v>143</v>
      </c>
      <c r="N12" t="s">
        <v>144</v>
      </c>
      <c r="O12">
        <v>324</v>
      </c>
      <c r="P12">
        <v>9</v>
      </c>
      <c r="Q12" t="s">
        <v>145</v>
      </c>
      <c r="S12" t="s">
        <v>195</v>
      </c>
      <c r="T12" s="4">
        <v>0</v>
      </c>
      <c r="U12" s="4">
        <v>171.23</v>
      </c>
      <c r="V12" s="4">
        <v>2</v>
      </c>
      <c r="W12" s="4">
        <v>343.72</v>
      </c>
      <c r="X12" s="4">
        <v>105.02</v>
      </c>
      <c r="Y12" s="4">
        <v>619.97</v>
      </c>
      <c r="Z12" s="4" t="s">
        <v>147</v>
      </c>
      <c r="AA12" s="4" t="s">
        <v>147</v>
      </c>
      <c r="AB12" s="4">
        <f>SUMIF('Trip Changes'!$B:$B,A12,'Trip Changes'!$E:$E)</f>
        <v>0</v>
      </c>
      <c r="AC12" s="4">
        <f>SUMIF('Trip Cancellations'!$B:$B,A12,'Trip Cancellations'!$E:$E)</f>
        <v>0</v>
      </c>
      <c r="AD12" s="4">
        <f>SUMIF('Trip Cancellations'!$B:$B,A12,'Trip Cancellations'!$F:$F)</f>
        <v>0</v>
      </c>
      <c r="AE12" s="4">
        <f t="shared" si="0"/>
        <v>619.97</v>
      </c>
      <c r="AF12" t="s">
        <v>148</v>
      </c>
      <c r="AG12">
        <v>4</v>
      </c>
      <c r="AH12" s="5">
        <v>13</v>
      </c>
      <c r="AI12" t="s">
        <v>147</v>
      </c>
    </row>
    <row r="13" spans="1:35">
      <c r="A13" t="s">
        <v>196</v>
      </c>
      <c r="B13" t="s">
        <v>192</v>
      </c>
      <c r="C13" t="s">
        <v>193</v>
      </c>
      <c r="D13" t="s">
        <v>194</v>
      </c>
      <c r="E13" t="s">
        <v>169</v>
      </c>
      <c r="F13" t="s">
        <v>178</v>
      </c>
      <c r="G13" s="3">
        <v>46186</v>
      </c>
      <c r="H13" s="3">
        <v>46200</v>
      </c>
      <c r="I13" s="3">
        <v>46204</v>
      </c>
      <c r="J13" t="s">
        <v>141</v>
      </c>
      <c r="K13" t="s">
        <v>193</v>
      </c>
      <c r="L13" t="s">
        <v>197</v>
      </c>
      <c r="M13" t="s">
        <v>152</v>
      </c>
      <c r="N13" t="s">
        <v>153</v>
      </c>
      <c r="O13">
        <v>10018</v>
      </c>
      <c r="P13">
        <v>14</v>
      </c>
      <c r="Q13" t="s">
        <v>145</v>
      </c>
      <c r="R13" t="s">
        <v>154</v>
      </c>
      <c r="S13" t="s">
        <v>173</v>
      </c>
      <c r="T13" s="4">
        <v>696.01</v>
      </c>
      <c r="U13" s="4">
        <v>0</v>
      </c>
      <c r="V13" s="4">
        <v>3</v>
      </c>
      <c r="W13" s="4">
        <v>521.16</v>
      </c>
      <c r="X13" s="4">
        <v>112.08</v>
      </c>
      <c r="Y13" s="4">
        <v>1329.25</v>
      </c>
      <c r="Z13" s="4" t="s">
        <v>147</v>
      </c>
      <c r="AA13" s="4" t="s">
        <v>147</v>
      </c>
      <c r="AB13" s="4">
        <f>SUMIF('Trip Changes'!$B:$B,A13,'Trip Changes'!$E:$E)</f>
        <v>0</v>
      </c>
      <c r="AC13" s="4">
        <f>SUMIF('Trip Cancellations'!$B:$B,A13,'Trip Cancellations'!$E:$E)</f>
        <v>0</v>
      </c>
      <c r="AD13" s="4">
        <f>SUMIF('Trip Cancellations'!$B:$B,A13,'Trip Cancellations'!$F:$F)</f>
        <v>0</v>
      </c>
      <c r="AE13" s="4">
        <f t="shared" si="0"/>
        <v>1329.25</v>
      </c>
      <c r="AF13" t="s">
        <v>148</v>
      </c>
      <c r="AG13">
        <v>3</v>
      </c>
      <c r="AH13" s="5">
        <v>1502.7</v>
      </c>
      <c r="AI13" t="s">
        <v>148</v>
      </c>
    </row>
    <row r="14" spans="1:35">
      <c r="A14" t="s">
        <v>198</v>
      </c>
      <c r="B14" t="s">
        <v>192</v>
      </c>
      <c r="C14" t="s">
        <v>193</v>
      </c>
      <c r="D14" t="s">
        <v>194</v>
      </c>
      <c r="E14" t="s">
        <v>169</v>
      </c>
      <c r="F14" t="s">
        <v>162</v>
      </c>
      <c r="G14" s="3">
        <v>46167</v>
      </c>
      <c r="H14" s="3">
        <v>46187</v>
      </c>
      <c r="I14" s="3">
        <v>46189</v>
      </c>
      <c r="J14" t="s">
        <v>141</v>
      </c>
      <c r="K14" t="s">
        <v>193</v>
      </c>
      <c r="L14" t="s">
        <v>199</v>
      </c>
      <c r="M14" t="s">
        <v>152</v>
      </c>
      <c r="N14" t="s">
        <v>153</v>
      </c>
      <c r="O14">
        <v>2196</v>
      </c>
      <c r="P14">
        <v>20</v>
      </c>
      <c r="Q14" t="s">
        <v>145</v>
      </c>
      <c r="R14" t="s">
        <v>200</v>
      </c>
      <c r="S14" t="s">
        <v>155</v>
      </c>
      <c r="T14" s="4">
        <v>538.24</v>
      </c>
      <c r="U14" s="4">
        <v>0</v>
      </c>
      <c r="V14" s="4">
        <v>1</v>
      </c>
      <c r="W14" s="4">
        <v>124.82</v>
      </c>
      <c r="X14" s="4">
        <v>114.97</v>
      </c>
      <c r="Y14" s="4">
        <v>778.03</v>
      </c>
      <c r="Z14" s="4" t="s">
        <v>147</v>
      </c>
      <c r="AA14" s="4" t="s">
        <v>147</v>
      </c>
      <c r="AB14" s="4">
        <f>SUMIF('Trip Changes'!$B:$B,A14,'Trip Changes'!$E:$E)</f>
        <v>0</v>
      </c>
      <c r="AC14" s="4">
        <f>SUMIF('Trip Cancellations'!$B:$B,A14,'Trip Cancellations'!$E:$E)</f>
        <v>0</v>
      </c>
      <c r="AD14" s="4">
        <f>SUMIF('Trip Cancellations'!$B:$B,A14,'Trip Cancellations'!$F:$F)</f>
        <v>0</v>
      </c>
      <c r="AE14" s="4">
        <f t="shared" si="0"/>
        <v>778.03</v>
      </c>
      <c r="AF14" t="s">
        <v>148</v>
      </c>
      <c r="AG14">
        <v>4</v>
      </c>
      <c r="AH14" s="5">
        <v>329.4</v>
      </c>
      <c r="AI14" t="s">
        <v>148</v>
      </c>
    </row>
    <row r="15" spans="1:35">
      <c r="A15" t="s">
        <v>201</v>
      </c>
      <c r="B15" t="s">
        <v>202</v>
      </c>
      <c r="C15" t="s">
        <v>203</v>
      </c>
      <c r="D15" t="s">
        <v>204</v>
      </c>
      <c r="E15" t="s">
        <v>205</v>
      </c>
      <c r="F15" t="s">
        <v>157</v>
      </c>
      <c r="G15" s="3">
        <v>46171</v>
      </c>
      <c r="H15" s="3">
        <v>46175</v>
      </c>
      <c r="I15" s="3">
        <v>46178</v>
      </c>
      <c r="J15" t="s">
        <v>141</v>
      </c>
      <c r="K15" t="s">
        <v>203</v>
      </c>
      <c r="L15" t="s">
        <v>193</v>
      </c>
      <c r="M15" t="s">
        <v>143</v>
      </c>
      <c r="N15" t="s">
        <v>144</v>
      </c>
      <c r="O15">
        <v>466</v>
      </c>
      <c r="P15">
        <v>4</v>
      </c>
      <c r="Q15" t="s">
        <v>159</v>
      </c>
      <c r="S15" t="s">
        <v>146</v>
      </c>
      <c r="T15" s="4">
        <v>0</v>
      </c>
      <c r="U15" s="4">
        <v>214.9</v>
      </c>
      <c r="V15" s="4">
        <v>2</v>
      </c>
      <c r="W15" s="4">
        <v>352.41</v>
      </c>
      <c r="X15" s="4">
        <v>66.37</v>
      </c>
      <c r="Y15" s="4">
        <v>633.67999999999995</v>
      </c>
      <c r="Z15" s="4" t="s">
        <v>147</v>
      </c>
      <c r="AA15" s="4" t="s">
        <v>147</v>
      </c>
      <c r="AB15" s="4">
        <f>SUMIF('Trip Changes'!$B:$B,A15,'Trip Changes'!$E:$E)</f>
        <v>0</v>
      </c>
      <c r="AC15" s="4">
        <f>SUMIF('Trip Cancellations'!$B:$B,A15,'Trip Cancellations'!$E:$E)</f>
        <v>0</v>
      </c>
      <c r="AD15" s="4">
        <f>SUMIF('Trip Cancellations'!$B:$B,A15,'Trip Cancellations'!$F:$F)</f>
        <v>0</v>
      </c>
      <c r="AE15" s="4">
        <f t="shared" si="0"/>
        <v>633.67999999999995</v>
      </c>
      <c r="AF15" t="s">
        <v>148</v>
      </c>
      <c r="AG15">
        <v>4</v>
      </c>
      <c r="AH15" s="5">
        <v>18.600000000000001</v>
      </c>
      <c r="AI15" t="s">
        <v>147</v>
      </c>
    </row>
    <row r="16" spans="1:35">
      <c r="A16" t="s">
        <v>206</v>
      </c>
      <c r="B16" t="s">
        <v>202</v>
      </c>
      <c r="C16" t="s">
        <v>203</v>
      </c>
      <c r="D16" t="s">
        <v>204</v>
      </c>
      <c r="E16" t="s">
        <v>205</v>
      </c>
      <c r="F16" t="s">
        <v>189</v>
      </c>
      <c r="G16" s="3">
        <v>46129</v>
      </c>
      <c r="H16" s="3">
        <v>46148</v>
      </c>
      <c r="I16" s="3">
        <v>46150</v>
      </c>
      <c r="J16" t="s">
        <v>163</v>
      </c>
      <c r="K16" t="s">
        <v>203</v>
      </c>
      <c r="L16" t="s">
        <v>151</v>
      </c>
      <c r="M16" t="s">
        <v>152</v>
      </c>
      <c r="N16" t="s">
        <v>153</v>
      </c>
      <c r="O16">
        <v>3248</v>
      </c>
      <c r="P16">
        <v>19</v>
      </c>
      <c r="Q16" t="s">
        <v>207</v>
      </c>
      <c r="R16" t="s">
        <v>172</v>
      </c>
      <c r="S16" t="s">
        <v>173</v>
      </c>
      <c r="T16" s="4">
        <v>495.08</v>
      </c>
      <c r="U16" s="4">
        <v>0</v>
      </c>
      <c r="V16" s="4">
        <v>1</v>
      </c>
      <c r="W16" s="4">
        <v>170.56</v>
      </c>
      <c r="X16" s="4">
        <v>81.709999999999994</v>
      </c>
      <c r="Y16" s="4">
        <v>747.35</v>
      </c>
      <c r="Z16" s="4" t="s">
        <v>147</v>
      </c>
      <c r="AA16" s="4" t="s">
        <v>148</v>
      </c>
      <c r="AB16" s="4">
        <f>SUMIF('Trip Changes'!$B:$B,A16,'Trip Changes'!$E:$E)</f>
        <v>0</v>
      </c>
      <c r="AC16" s="4">
        <f>SUMIF('Trip Cancellations'!$B:$B,A16,'Trip Cancellations'!$E:$E)</f>
        <v>56.37</v>
      </c>
      <c r="AD16" s="4">
        <f>SUMIF('Trip Cancellations'!$B:$B,A16,'Trip Cancellations'!$F:$F)</f>
        <v>166.41</v>
      </c>
      <c r="AE16" s="4">
        <f t="shared" si="0"/>
        <v>637.31000000000006</v>
      </c>
      <c r="AF16" t="s">
        <v>148</v>
      </c>
      <c r="AG16">
        <v>3</v>
      </c>
      <c r="AH16" s="5">
        <v>487.2</v>
      </c>
      <c r="AI16" t="s">
        <v>147</v>
      </c>
    </row>
    <row r="17" spans="1:35">
      <c r="A17" t="s">
        <v>208</v>
      </c>
      <c r="B17" t="s">
        <v>202</v>
      </c>
      <c r="C17" t="s">
        <v>203</v>
      </c>
      <c r="D17" t="s">
        <v>204</v>
      </c>
      <c r="E17" t="s">
        <v>205</v>
      </c>
      <c r="F17" t="s">
        <v>189</v>
      </c>
      <c r="G17" s="3">
        <v>46133</v>
      </c>
      <c r="H17" s="3">
        <v>46143</v>
      </c>
      <c r="I17" s="3">
        <v>46146</v>
      </c>
      <c r="J17" t="s">
        <v>163</v>
      </c>
      <c r="K17" t="s">
        <v>203</v>
      </c>
      <c r="L17" t="s">
        <v>209</v>
      </c>
      <c r="M17" t="s">
        <v>152</v>
      </c>
      <c r="N17" t="s">
        <v>153</v>
      </c>
      <c r="O17">
        <v>1008</v>
      </c>
      <c r="P17">
        <v>10</v>
      </c>
      <c r="Q17" t="s">
        <v>145</v>
      </c>
      <c r="R17" t="s">
        <v>154</v>
      </c>
      <c r="S17" t="s">
        <v>190</v>
      </c>
      <c r="T17" s="4">
        <v>564.54999999999995</v>
      </c>
      <c r="U17" s="4">
        <v>0</v>
      </c>
      <c r="V17" s="4">
        <v>2</v>
      </c>
      <c r="W17" s="4">
        <v>314.64999999999998</v>
      </c>
      <c r="X17" s="4">
        <v>58.08</v>
      </c>
      <c r="Y17" s="4">
        <v>937.28</v>
      </c>
      <c r="Z17" s="4" t="s">
        <v>148</v>
      </c>
      <c r="AA17" s="4" t="s">
        <v>147</v>
      </c>
      <c r="AB17" s="4">
        <f>SUMIF('Trip Changes'!$B:$B,A17,'Trip Changes'!$E:$E)</f>
        <v>323.39999999999998</v>
      </c>
      <c r="AC17" s="4">
        <f>SUMIF('Trip Cancellations'!$B:$B,A17,'Trip Cancellations'!$E:$E)</f>
        <v>0</v>
      </c>
      <c r="AD17" s="4">
        <f>SUMIF('Trip Cancellations'!$B:$B,A17,'Trip Cancellations'!$F:$F)</f>
        <v>0</v>
      </c>
      <c r="AE17" s="4">
        <f t="shared" si="0"/>
        <v>1260.6799999999998</v>
      </c>
      <c r="AF17" t="s">
        <v>148</v>
      </c>
      <c r="AG17">
        <v>4</v>
      </c>
      <c r="AH17" s="5">
        <v>151.19999999999999</v>
      </c>
      <c r="AI17" t="s">
        <v>148</v>
      </c>
    </row>
    <row r="18" spans="1:35">
      <c r="A18" t="s">
        <v>210</v>
      </c>
      <c r="B18" t="s">
        <v>202</v>
      </c>
      <c r="C18" t="s">
        <v>203</v>
      </c>
      <c r="D18" t="s">
        <v>204</v>
      </c>
      <c r="E18" t="s">
        <v>205</v>
      </c>
      <c r="F18" t="s">
        <v>140</v>
      </c>
      <c r="G18" s="3">
        <v>46219</v>
      </c>
      <c r="H18" s="3">
        <v>46234</v>
      </c>
      <c r="I18" s="3">
        <v>46236</v>
      </c>
      <c r="J18" t="s">
        <v>150</v>
      </c>
      <c r="K18" t="s">
        <v>203</v>
      </c>
      <c r="L18" t="s">
        <v>171</v>
      </c>
      <c r="M18" t="s">
        <v>152</v>
      </c>
      <c r="N18" t="s">
        <v>153</v>
      </c>
      <c r="O18">
        <v>1742</v>
      </c>
      <c r="P18">
        <v>15</v>
      </c>
      <c r="Q18" t="s">
        <v>145</v>
      </c>
      <c r="R18" t="s">
        <v>172</v>
      </c>
      <c r="S18" t="s">
        <v>173</v>
      </c>
      <c r="T18" s="4">
        <v>428.63</v>
      </c>
      <c r="U18" s="4">
        <v>0</v>
      </c>
      <c r="V18" s="4">
        <v>1</v>
      </c>
      <c r="W18" s="4">
        <v>221.58</v>
      </c>
      <c r="X18" s="4">
        <v>108.19</v>
      </c>
      <c r="Y18" s="4">
        <v>758.4</v>
      </c>
      <c r="Z18" s="4" t="s">
        <v>147</v>
      </c>
      <c r="AA18" s="4" t="s">
        <v>147</v>
      </c>
      <c r="AB18" s="4">
        <f>SUMIF('Trip Changes'!$B:$B,A18,'Trip Changes'!$E:$E)</f>
        <v>0</v>
      </c>
      <c r="AC18" s="4">
        <f>SUMIF('Trip Cancellations'!$B:$B,A18,'Trip Cancellations'!$E:$E)</f>
        <v>0</v>
      </c>
      <c r="AD18" s="4">
        <f>SUMIF('Trip Cancellations'!$B:$B,A18,'Trip Cancellations'!$F:$F)</f>
        <v>0</v>
      </c>
      <c r="AE18" s="4">
        <f t="shared" si="0"/>
        <v>758.4</v>
      </c>
      <c r="AF18" t="s">
        <v>148</v>
      </c>
      <c r="AG18">
        <v>5</v>
      </c>
      <c r="AH18" s="5">
        <v>261.3</v>
      </c>
      <c r="AI18" t="s">
        <v>147</v>
      </c>
    </row>
    <row r="19" spans="1:35">
      <c r="A19" t="s">
        <v>211</v>
      </c>
      <c r="B19" t="s">
        <v>202</v>
      </c>
      <c r="C19" t="s">
        <v>203</v>
      </c>
      <c r="D19" t="s">
        <v>204</v>
      </c>
      <c r="E19" t="s">
        <v>205</v>
      </c>
      <c r="F19" t="s">
        <v>162</v>
      </c>
      <c r="G19" s="3">
        <v>46167</v>
      </c>
      <c r="H19" s="3">
        <v>46201</v>
      </c>
      <c r="I19" s="3">
        <v>46203</v>
      </c>
      <c r="J19" t="s">
        <v>141</v>
      </c>
      <c r="K19" t="s">
        <v>203</v>
      </c>
      <c r="L19" t="s">
        <v>182</v>
      </c>
      <c r="M19" t="s">
        <v>143</v>
      </c>
      <c r="N19" t="s">
        <v>144</v>
      </c>
      <c r="O19">
        <v>926</v>
      </c>
      <c r="P19">
        <v>34</v>
      </c>
      <c r="Q19" t="s">
        <v>159</v>
      </c>
      <c r="S19" t="s">
        <v>146</v>
      </c>
      <c r="T19" s="4">
        <v>0</v>
      </c>
      <c r="U19" s="4">
        <v>183.42</v>
      </c>
      <c r="V19" s="4">
        <v>1</v>
      </c>
      <c r="W19" s="4">
        <v>173.9</v>
      </c>
      <c r="X19" s="4">
        <v>23.93</v>
      </c>
      <c r="Y19" s="4">
        <v>381.25</v>
      </c>
      <c r="Z19" s="4" t="s">
        <v>147</v>
      </c>
      <c r="AA19" s="4" t="s">
        <v>147</v>
      </c>
      <c r="AB19" s="4">
        <f>SUMIF('Trip Changes'!$B:$B,A19,'Trip Changes'!$E:$E)</f>
        <v>0</v>
      </c>
      <c r="AC19" s="4">
        <f>SUMIF('Trip Cancellations'!$B:$B,A19,'Trip Cancellations'!$E:$E)</f>
        <v>0</v>
      </c>
      <c r="AD19" s="4">
        <f>SUMIF('Trip Cancellations'!$B:$B,A19,'Trip Cancellations'!$F:$F)</f>
        <v>0</v>
      </c>
      <c r="AE19" s="4">
        <f t="shared" si="0"/>
        <v>381.25</v>
      </c>
      <c r="AF19" t="s">
        <v>148</v>
      </c>
      <c r="AG19">
        <v>4</v>
      </c>
      <c r="AH19" s="5">
        <v>37</v>
      </c>
      <c r="AI19" t="s">
        <v>148</v>
      </c>
    </row>
    <row r="20" spans="1:35">
      <c r="A20" t="s">
        <v>212</v>
      </c>
      <c r="B20" t="s">
        <v>213</v>
      </c>
      <c r="C20" t="s">
        <v>182</v>
      </c>
      <c r="D20" t="s">
        <v>138</v>
      </c>
      <c r="E20" t="s">
        <v>169</v>
      </c>
      <c r="F20" t="s">
        <v>140</v>
      </c>
      <c r="G20" s="3">
        <v>46163</v>
      </c>
      <c r="H20" s="3">
        <v>46178</v>
      </c>
      <c r="I20" s="3">
        <v>46180</v>
      </c>
      <c r="J20" t="s">
        <v>141</v>
      </c>
      <c r="K20" t="s">
        <v>182</v>
      </c>
      <c r="L20" t="s">
        <v>175</v>
      </c>
      <c r="M20" t="s">
        <v>152</v>
      </c>
      <c r="N20" t="s">
        <v>153</v>
      </c>
      <c r="O20">
        <v>3392</v>
      </c>
      <c r="P20">
        <v>15</v>
      </c>
      <c r="Q20" t="s">
        <v>145</v>
      </c>
      <c r="R20" t="s">
        <v>172</v>
      </c>
      <c r="S20" t="s">
        <v>155</v>
      </c>
      <c r="T20" s="4">
        <v>404.59</v>
      </c>
      <c r="U20" s="4">
        <v>0</v>
      </c>
      <c r="V20" s="4">
        <v>1</v>
      </c>
      <c r="W20" s="4">
        <v>104.98</v>
      </c>
      <c r="X20" s="4">
        <v>120.09</v>
      </c>
      <c r="Y20" s="4">
        <v>629.66</v>
      </c>
      <c r="Z20" s="4" t="s">
        <v>147</v>
      </c>
      <c r="AA20" s="4" t="s">
        <v>147</v>
      </c>
      <c r="AB20" s="4">
        <f>SUMIF('Trip Changes'!$B:$B,A20,'Trip Changes'!$E:$E)</f>
        <v>0</v>
      </c>
      <c r="AC20" s="4">
        <f>SUMIF('Trip Cancellations'!$B:$B,A20,'Trip Cancellations'!$E:$E)</f>
        <v>0</v>
      </c>
      <c r="AD20" s="4">
        <f>SUMIF('Trip Cancellations'!$B:$B,A20,'Trip Cancellations'!$F:$F)</f>
        <v>0</v>
      </c>
      <c r="AE20" s="4">
        <f t="shared" si="0"/>
        <v>629.66</v>
      </c>
      <c r="AF20" t="s">
        <v>148</v>
      </c>
      <c r="AG20">
        <v>4</v>
      </c>
      <c r="AH20" s="5">
        <v>508.8</v>
      </c>
      <c r="AI20" t="s">
        <v>147</v>
      </c>
    </row>
    <row r="21" spans="1:35">
      <c r="A21" t="s">
        <v>214</v>
      </c>
      <c r="B21" t="s">
        <v>213</v>
      </c>
      <c r="C21" t="s">
        <v>182</v>
      </c>
      <c r="D21" t="s">
        <v>138</v>
      </c>
      <c r="E21" t="s">
        <v>169</v>
      </c>
      <c r="F21" t="s">
        <v>181</v>
      </c>
      <c r="G21" s="3">
        <v>46163</v>
      </c>
      <c r="H21" s="3">
        <v>46175</v>
      </c>
      <c r="I21" s="3">
        <v>46179</v>
      </c>
      <c r="J21" t="s">
        <v>141</v>
      </c>
      <c r="K21" t="s">
        <v>182</v>
      </c>
      <c r="L21" t="s">
        <v>215</v>
      </c>
      <c r="M21" t="s">
        <v>152</v>
      </c>
      <c r="N21" t="s">
        <v>153</v>
      </c>
      <c r="O21">
        <v>3324</v>
      </c>
      <c r="P21">
        <v>12</v>
      </c>
      <c r="Q21" t="s">
        <v>216</v>
      </c>
      <c r="R21" t="s">
        <v>160</v>
      </c>
      <c r="S21" t="s">
        <v>190</v>
      </c>
      <c r="T21" s="4">
        <v>425.02</v>
      </c>
      <c r="U21" s="4">
        <v>0</v>
      </c>
      <c r="V21" s="4">
        <v>3</v>
      </c>
      <c r="W21" s="4">
        <v>526.79999999999995</v>
      </c>
      <c r="X21" s="4">
        <v>74.849999999999994</v>
      </c>
      <c r="Y21" s="4">
        <v>1026.67</v>
      </c>
      <c r="Z21" s="4" t="s">
        <v>147</v>
      </c>
      <c r="AA21" s="4" t="s">
        <v>147</v>
      </c>
      <c r="AB21" s="4">
        <f>SUMIF('Trip Changes'!$B:$B,A21,'Trip Changes'!$E:$E)</f>
        <v>0</v>
      </c>
      <c r="AC21" s="4">
        <f>SUMIF('Trip Cancellations'!$B:$B,A21,'Trip Cancellations'!$E:$E)</f>
        <v>0</v>
      </c>
      <c r="AD21" s="4">
        <f>SUMIF('Trip Cancellations'!$B:$B,A21,'Trip Cancellations'!$F:$F)</f>
        <v>0</v>
      </c>
      <c r="AE21" s="4">
        <f t="shared" si="0"/>
        <v>1026.67</v>
      </c>
      <c r="AF21" t="s">
        <v>148</v>
      </c>
      <c r="AG21">
        <v>4</v>
      </c>
      <c r="AH21" s="5">
        <v>498.6</v>
      </c>
      <c r="AI21" t="s">
        <v>147</v>
      </c>
    </row>
    <row r="22" spans="1:35">
      <c r="A22" t="s">
        <v>217</v>
      </c>
      <c r="B22" t="s">
        <v>213</v>
      </c>
      <c r="C22" t="s">
        <v>182</v>
      </c>
      <c r="D22" t="s">
        <v>138</v>
      </c>
      <c r="E22" t="s">
        <v>169</v>
      </c>
      <c r="F22" t="s">
        <v>140</v>
      </c>
      <c r="G22" s="3">
        <v>46166</v>
      </c>
      <c r="H22" s="3">
        <v>46191</v>
      </c>
      <c r="I22" s="3">
        <v>46195</v>
      </c>
      <c r="J22" t="s">
        <v>141</v>
      </c>
      <c r="K22" t="s">
        <v>182</v>
      </c>
      <c r="L22" t="s">
        <v>175</v>
      </c>
      <c r="M22" t="s">
        <v>152</v>
      </c>
      <c r="N22" t="s">
        <v>153</v>
      </c>
      <c r="O22">
        <v>1578</v>
      </c>
      <c r="P22">
        <v>25</v>
      </c>
      <c r="Q22" t="s">
        <v>159</v>
      </c>
      <c r="R22" t="s">
        <v>154</v>
      </c>
      <c r="S22" t="s">
        <v>187</v>
      </c>
      <c r="T22" s="4">
        <v>262.27999999999997</v>
      </c>
      <c r="U22" s="4">
        <v>0</v>
      </c>
      <c r="V22" s="4">
        <v>3</v>
      </c>
      <c r="W22" s="4">
        <v>440.34</v>
      </c>
      <c r="X22" s="4">
        <v>97.7</v>
      </c>
      <c r="Y22" s="4">
        <v>800.32</v>
      </c>
      <c r="Z22" s="4" t="s">
        <v>147</v>
      </c>
      <c r="AA22" s="4" t="s">
        <v>147</v>
      </c>
      <c r="AB22" s="4">
        <f>SUMIF('Trip Changes'!$B:$B,A22,'Trip Changes'!$E:$E)</f>
        <v>0</v>
      </c>
      <c r="AC22" s="4">
        <f>SUMIF('Trip Cancellations'!$B:$B,A22,'Trip Cancellations'!$E:$E)</f>
        <v>0</v>
      </c>
      <c r="AD22" s="4">
        <f>SUMIF('Trip Cancellations'!$B:$B,A22,'Trip Cancellations'!$F:$F)</f>
        <v>0</v>
      </c>
      <c r="AE22" s="4">
        <f t="shared" si="0"/>
        <v>800.32</v>
      </c>
      <c r="AF22" t="s">
        <v>148</v>
      </c>
      <c r="AG22">
        <v>5</v>
      </c>
      <c r="AH22" s="5">
        <v>236.7</v>
      </c>
      <c r="AI22" t="s">
        <v>148</v>
      </c>
    </row>
    <row r="23" spans="1:35">
      <c r="A23" t="s">
        <v>218</v>
      </c>
      <c r="B23" t="s">
        <v>219</v>
      </c>
      <c r="C23" t="s">
        <v>220</v>
      </c>
      <c r="D23" t="s">
        <v>204</v>
      </c>
      <c r="E23" t="s">
        <v>169</v>
      </c>
      <c r="F23" t="s">
        <v>140</v>
      </c>
      <c r="G23" s="3">
        <v>46226</v>
      </c>
      <c r="H23" s="3">
        <v>46227</v>
      </c>
      <c r="I23" s="3">
        <v>46229</v>
      </c>
      <c r="J23" t="s">
        <v>150</v>
      </c>
      <c r="K23" t="s">
        <v>220</v>
      </c>
      <c r="L23" t="s">
        <v>199</v>
      </c>
      <c r="M23" t="s">
        <v>152</v>
      </c>
      <c r="N23" t="s">
        <v>153</v>
      </c>
      <c r="O23">
        <v>1762</v>
      </c>
      <c r="P23">
        <v>1</v>
      </c>
      <c r="Q23" t="s">
        <v>159</v>
      </c>
      <c r="R23" t="s">
        <v>200</v>
      </c>
      <c r="S23" t="s">
        <v>173</v>
      </c>
      <c r="T23" s="4">
        <v>411.87</v>
      </c>
      <c r="U23" s="4">
        <v>0</v>
      </c>
      <c r="V23" s="4">
        <v>1</v>
      </c>
      <c r="W23" s="4">
        <v>92.01</v>
      </c>
      <c r="X23" s="4">
        <v>93.12</v>
      </c>
      <c r="Y23" s="4">
        <v>597</v>
      </c>
      <c r="Z23" s="4" t="s">
        <v>148</v>
      </c>
      <c r="AA23" s="4" t="s">
        <v>147</v>
      </c>
      <c r="AB23" s="4">
        <f>SUMIF('Trip Changes'!$B:$B,A23,'Trip Changes'!$E:$E)</f>
        <v>70.28</v>
      </c>
      <c r="AC23" s="4">
        <f>SUMIF('Trip Cancellations'!$B:$B,A23,'Trip Cancellations'!$E:$E)</f>
        <v>0</v>
      </c>
      <c r="AD23" s="4">
        <f>SUMIF('Trip Cancellations'!$B:$B,A23,'Trip Cancellations'!$F:$F)</f>
        <v>0</v>
      </c>
      <c r="AE23" s="4">
        <f t="shared" si="0"/>
        <v>667.28</v>
      </c>
      <c r="AF23" t="s">
        <v>148</v>
      </c>
      <c r="AG23">
        <v>5</v>
      </c>
      <c r="AH23" s="5">
        <v>264.3</v>
      </c>
      <c r="AI23" t="s">
        <v>147</v>
      </c>
    </row>
    <row r="24" spans="1:35">
      <c r="A24" t="s">
        <v>221</v>
      </c>
      <c r="B24" t="s">
        <v>219</v>
      </c>
      <c r="C24" t="s">
        <v>220</v>
      </c>
      <c r="D24" t="s">
        <v>204</v>
      </c>
      <c r="E24" t="s">
        <v>169</v>
      </c>
      <c r="F24" t="s">
        <v>162</v>
      </c>
      <c r="G24" s="3">
        <v>46135</v>
      </c>
      <c r="H24" s="3">
        <v>46148</v>
      </c>
      <c r="I24" s="3">
        <v>46150</v>
      </c>
      <c r="J24" t="s">
        <v>163</v>
      </c>
      <c r="K24" t="s">
        <v>220</v>
      </c>
      <c r="L24" t="s">
        <v>142</v>
      </c>
      <c r="M24" t="s">
        <v>143</v>
      </c>
      <c r="N24" t="s">
        <v>144</v>
      </c>
      <c r="O24">
        <v>756</v>
      </c>
      <c r="P24">
        <v>13</v>
      </c>
      <c r="Q24" t="s">
        <v>145</v>
      </c>
      <c r="S24" t="s">
        <v>155</v>
      </c>
      <c r="T24" s="4">
        <v>0</v>
      </c>
      <c r="U24" s="4">
        <v>203.34</v>
      </c>
      <c r="V24" s="4">
        <v>1</v>
      </c>
      <c r="W24" s="4">
        <v>162.11000000000001</v>
      </c>
      <c r="X24" s="4">
        <v>37.130000000000003</v>
      </c>
      <c r="Y24" s="4">
        <v>402.58</v>
      </c>
      <c r="Z24" s="4" t="s">
        <v>148</v>
      </c>
      <c r="AA24" s="4" t="s">
        <v>147</v>
      </c>
      <c r="AB24" s="4">
        <f>SUMIF('Trip Changes'!$B:$B,A24,'Trip Changes'!$E:$E)</f>
        <v>147.88</v>
      </c>
      <c r="AC24" s="4">
        <f>SUMIF('Trip Cancellations'!$B:$B,A24,'Trip Cancellations'!$E:$E)</f>
        <v>0</v>
      </c>
      <c r="AD24" s="4">
        <f>SUMIF('Trip Cancellations'!$B:$B,A24,'Trip Cancellations'!$F:$F)</f>
        <v>0</v>
      </c>
      <c r="AE24" s="4">
        <f t="shared" si="0"/>
        <v>550.46</v>
      </c>
      <c r="AF24" t="s">
        <v>148</v>
      </c>
      <c r="AG24">
        <v>4</v>
      </c>
      <c r="AH24" s="5">
        <v>30.2</v>
      </c>
      <c r="AI24" t="s">
        <v>148</v>
      </c>
    </row>
    <row r="25" spans="1:35">
      <c r="A25" t="s">
        <v>222</v>
      </c>
      <c r="B25" t="s">
        <v>219</v>
      </c>
      <c r="C25" t="s">
        <v>220</v>
      </c>
      <c r="D25" t="s">
        <v>204</v>
      </c>
      <c r="E25" t="s">
        <v>169</v>
      </c>
      <c r="F25" t="s">
        <v>140</v>
      </c>
      <c r="G25" s="3">
        <v>46125</v>
      </c>
      <c r="H25" s="3">
        <v>46146</v>
      </c>
      <c r="I25" s="3">
        <v>46152</v>
      </c>
      <c r="J25" t="s">
        <v>163</v>
      </c>
      <c r="K25" t="s">
        <v>220</v>
      </c>
      <c r="L25" t="s">
        <v>223</v>
      </c>
      <c r="M25" t="s">
        <v>152</v>
      </c>
      <c r="N25" t="s">
        <v>153</v>
      </c>
      <c r="O25">
        <v>14602</v>
      </c>
      <c r="P25">
        <v>21</v>
      </c>
      <c r="Q25" t="s">
        <v>145</v>
      </c>
      <c r="R25" t="s">
        <v>154</v>
      </c>
      <c r="S25" t="s">
        <v>164</v>
      </c>
      <c r="T25" s="4">
        <v>1301.17</v>
      </c>
      <c r="U25" s="4">
        <v>0</v>
      </c>
      <c r="V25" s="4">
        <v>5</v>
      </c>
      <c r="W25" s="4">
        <v>671.37</v>
      </c>
      <c r="X25" s="4">
        <v>122.79</v>
      </c>
      <c r="Y25" s="4">
        <v>2095.33</v>
      </c>
      <c r="Z25" s="4" t="s">
        <v>147</v>
      </c>
      <c r="AA25" s="4" t="s">
        <v>147</v>
      </c>
      <c r="AB25" s="4">
        <f>SUMIF('Trip Changes'!$B:$B,A25,'Trip Changes'!$E:$E)</f>
        <v>0</v>
      </c>
      <c r="AC25" s="4">
        <f>SUMIF('Trip Cancellations'!$B:$B,A25,'Trip Cancellations'!$E:$E)</f>
        <v>0</v>
      </c>
      <c r="AD25" s="4">
        <f>SUMIF('Trip Cancellations'!$B:$B,A25,'Trip Cancellations'!$F:$F)</f>
        <v>0</v>
      </c>
      <c r="AE25" s="4">
        <f t="shared" si="0"/>
        <v>2095.33</v>
      </c>
      <c r="AF25" t="s">
        <v>148</v>
      </c>
      <c r="AG25">
        <v>3</v>
      </c>
      <c r="AH25" s="5">
        <v>2190.3000000000002</v>
      </c>
      <c r="AI25" t="s">
        <v>147</v>
      </c>
    </row>
    <row r="26" spans="1:35">
      <c r="A26" t="s">
        <v>224</v>
      </c>
      <c r="B26" t="s">
        <v>219</v>
      </c>
      <c r="C26" t="s">
        <v>220</v>
      </c>
      <c r="D26" t="s">
        <v>204</v>
      </c>
      <c r="E26" t="s">
        <v>169</v>
      </c>
      <c r="F26" t="s">
        <v>157</v>
      </c>
      <c r="G26" s="3">
        <v>46214</v>
      </c>
      <c r="H26" s="3">
        <v>46222</v>
      </c>
      <c r="I26" s="3">
        <v>46225</v>
      </c>
      <c r="J26" t="s">
        <v>150</v>
      </c>
      <c r="K26" t="s">
        <v>220</v>
      </c>
      <c r="L26" t="s">
        <v>225</v>
      </c>
      <c r="M26" t="s">
        <v>152</v>
      </c>
      <c r="N26" t="s">
        <v>153</v>
      </c>
      <c r="O26">
        <v>1608</v>
      </c>
      <c r="P26">
        <v>8</v>
      </c>
      <c r="Q26" t="s">
        <v>145</v>
      </c>
      <c r="R26" t="s">
        <v>154</v>
      </c>
      <c r="S26" t="s">
        <v>187</v>
      </c>
      <c r="T26" s="4">
        <v>449.88</v>
      </c>
      <c r="U26" s="4">
        <v>0</v>
      </c>
      <c r="V26" s="4">
        <v>2</v>
      </c>
      <c r="W26" s="4">
        <v>392.67</v>
      </c>
      <c r="X26" s="4">
        <v>110.06</v>
      </c>
      <c r="Y26" s="4">
        <v>952.61</v>
      </c>
      <c r="Z26" s="4" t="s">
        <v>147</v>
      </c>
      <c r="AA26" s="4" t="s">
        <v>147</v>
      </c>
      <c r="AB26" s="4">
        <f>SUMIF('Trip Changes'!$B:$B,A26,'Trip Changes'!$E:$E)</f>
        <v>0</v>
      </c>
      <c r="AC26" s="4">
        <f>SUMIF('Trip Cancellations'!$B:$B,A26,'Trip Cancellations'!$E:$E)</f>
        <v>0</v>
      </c>
      <c r="AD26" s="4">
        <f>SUMIF('Trip Cancellations'!$B:$B,A26,'Trip Cancellations'!$F:$F)</f>
        <v>0</v>
      </c>
      <c r="AE26" s="4">
        <f t="shared" si="0"/>
        <v>952.61</v>
      </c>
      <c r="AF26" t="s">
        <v>148</v>
      </c>
      <c r="AG26">
        <v>4</v>
      </c>
      <c r="AH26" s="5">
        <v>241.2</v>
      </c>
      <c r="AI26" t="s">
        <v>147</v>
      </c>
    </row>
    <row r="27" spans="1:35">
      <c r="A27" t="s">
        <v>226</v>
      </c>
      <c r="B27" t="s">
        <v>219</v>
      </c>
      <c r="C27" t="s">
        <v>220</v>
      </c>
      <c r="D27" t="s">
        <v>204</v>
      </c>
      <c r="E27" t="s">
        <v>169</v>
      </c>
      <c r="F27" t="s">
        <v>157</v>
      </c>
      <c r="G27" s="3">
        <v>46189</v>
      </c>
      <c r="H27" s="3">
        <v>46195</v>
      </c>
      <c r="I27" s="3">
        <v>46197</v>
      </c>
      <c r="J27" t="s">
        <v>141</v>
      </c>
      <c r="K27" t="s">
        <v>220</v>
      </c>
      <c r="L27" t="s">
        <v>227</v>
      </c>
      <c r="M27" t="s">
        <v>152</v>
      </c>
      <c r="N27" t="s">
        <v>153</v>
      </c>
      <c r="O27">
        <v>2688</v>
      </c>
      <c r="P27">
        <v>6</v>
      </c>
      <c r="Q27" t="s">
        <v>145</v>
      </c>
      <c r="R27" t="s">
        <v>172</v>
      </c>
      <c r="S27" t="s">
        <v>173</v>
      </c>
      <c r="T27" s="4">
        <v>639.1</v>
      </c>
      <c r="U27" s="4">
        <v>0</v>
      </c>
      <c r="V27" s="4">
        <v>1</v>
      </c>
      <c r="W27" s="4">
        <v>231.27</v>
      </c>
      <c r="X27" s="4">
        <v>77.78</v>
      </c>
      <c r="Y27" s="4">
        <v>948.15</v>
      </c>
      <c r="Z27" s="4" t="s">
        <v>147</v>
      </c>
      <c r="AA27" s="4" t="s">
        <v>148</v>
      </c>
      <c r="AB27" s="4">
        <f>SUMIF('Trip Changes'!$B:$B,A27,'Trip Changes'!$E:$E)</f>
        <v>0</v>
      </c>
      <c r="AC27" s="4">
        <f>SUMIF('Trip Cancellations'!$B:$B,A27,'Trip Cancellations'!$E:$E)</f>
        <v>87.4</v>
      </c>
      <c r="AD27" s="4">
        <f>SUMIF('Trip Cancellations'!$B:$B,A27,'Trip Cancellations'!$F:$F)</f>
        <v>783.33</v>
      </c>
      <c r="AE27" s="4">
        <f t="shared" si="0"/>
        <v>252.21999999999991</v>
      </c>
      <c r="AF27" t="s">
        <v>148</v>
      </c>
      <c r="AG27">
        <v>3</v>
      </c>
      <c r="AH27" s="5">
        <v>403.2</v>
      </c>
      <c r="AI27" t="s">
        <v>148</v>
      </c>
    </row>
    <row r="28" spans="1:35">
      <c r="A28" t="s">
        <v>228</v>
      </c>
      <c r="B28" t="s">
        <v>229</v>
      </c>
      <c r="C28" t="s">
        <v>193</v>
      </c>
      <c r="D28" t="s">
        <v>230</v>
      </c>
      <c r="E28" t="s">
        <v>169</v>
      </c>
      <c r="F28" t="s">
        <v>140</v>
      </c>
      <c r="G28" s="3">
        <v>46152</v>
      </c>
      <c r="H28" s="3">
        <v>46189</v>
      </c>
      <c r="I28" s="3">
        <v>46190</v>
      </c>
      <c r="J28" t="s">
        <v>141</v>
      </c>
      <c r="K28" t="s">
        <v>193</v>
      </c>
      <c r="L28" t="s">
        <v>182</v>
      </c>
      <c r="M28" t="s">
        <v>143</v>
      </c>
      <c r="N28" t="s">
        <v>144</v>
      </c>
      <c r="O28">
        <v>1206</v>
      </c>
      <c r="P28">
        <v>37</v>
      </c>
      <c r="Q28" t="s">
        <v>216</v>
      </c>
      <c r="T28" s="4">
        <v>0</v>
      </c>
      <c r="U28" s="4">
        <v>132.82</v>
      </c>
      <c r="V28" s="4">
        <v>0</v>
      </c>
      <c r="W28" s="4">
        <v>0</v>
      </c>
      <c r="X28" s="4">
        <v>66.98</v>
      </c>
      <c r="Y28" s="4">
        <v>199.8</v>
      </c>
      <c r="Z28" s="4" t="s">
        <v>147</v>
      </c>
      <c r="AA28" s="4" t="s">
        <v>147</v>
      </c>
      <c r="AB28" s="4">
        <f>SUMIF('Trip Changes'!$B:$B,A28,'Trip Changes'!$E:$E)</f>
        <v>0</v>
      </c>
      <c r="AC28" s="4">
        <f>SUMIF('Trip Cancellations'!$B:$B,A28,'Trip Cancellations'!$E:$E)</f>
        <v>0</v>
      </c>
      <c r="AD28" s="4">
        <f>SUMIF('Trip Cancellations'!$B:$B,A28,'Trip Cancellations'!$F:$F)</f>
        <v>0</v>
      </c>
      <c r="AE28" s="4">
        <f t="shared" si="0"/>
        <v>199.8</v>
      </c>
      <c r="AF28" t="s">
        <v>147</v>
      </c>
      <c r="AG28">
        <v>4</v>
      </c>
      <c r="AH28" s="5">
        <v>48.2</v>
      </c>
      <c r="AI28" t="s">
        <v>148</v>
      </c>
    </row>
    <row r="29" spans="1:35">
      <c r="A29" t="s">
        <v>231</v>
      </c>
      <c r="B29" t="s">
        <v>229</v>
      </c>
      <c r="C29" t="s">
        <v>193</v>
      </c>
      <c r="D29" t="s">
        <v>230</v>
      </c>
      <c r="E29" t="s">
        <v>169</v>
      </c>
      <c r="F29" t="s">
        <v>140</v>
      </c>
      <c r="G29" s="3">
        <v>46188</v>
      </c>
      <c r="H29" s="3">
        <v>46222</v>
      </c>
      <c r="I29" s="3">
        <v>46224</v>
      </c>
      <c r="J29" t="s">
        <v>150</v>
      </c>
      <c r="K29" t="s">
        <v>193</v>
      </c>
      <c r="L29" t="s">
        <v>175</v>
      </c>
      <c r="M29" t="s">
        <v>152</v>
      </c>
      <c r="N29" t="s">
        <v>153</v>
      </c>
      <c r="O29">
        <v>3192</v>
      </c>
      <c r="P29">
        <v>34</v>
      </c>
      <c r="Q29" t="s">
        <v>159</v>
      </c>
      <c r="R29" t="s">
        <v>172</v>
      </c>
      <c r="S29" t="s">
        <v>155</v>
      </c>
      <c r="T29" s="4">
        <v>296.58999999999997</v>
      </c>
      <c r="U29" s="4">
        <v>0</v>
      </c>
      <c r="V29" s="4">
        <v>1</v>
      </c>
      <c r="W29" s="4">
        <v>135</v>
      </c>
      <c r="X29" s="4">
        <v>133.91</v>
      </c>
      <c r="Y29" s="4">
        <v>565.5</v>
      </c>
      <c r="Z29" s="4" t="s">
        <v>147</v>
      </c>
      <c r="AA29" s="4" t="s">
        <v>147</v>
      </c>
      <c r="AB29" s="4">
        <f>SUMIF('Trip Changes'!$B:$B,A29,'Trip Changes'!$E:$E)</f>
        <v>0</v>
      </c>
      <c r="AC29" s="4">
        <f>SUMIF('Trip Cancellations'!$B:$B,A29,'Trip Cancellations'!$E:$E)</f>
        <v>0</v>
      </c>
      <c r="AD29" s="4">
        <f>SUMIF('Trip Cancellations'!$B:$B,A29,'Trip Cancellations'!$F:$F)</f>
        <v>0</v>
      </c>
      <c r="AE29" s="4">
        <f t="shared" si="0"/>
        <v>565.5</v>
      </c>
      <c r="AF29" t="s">
        <v>148</v>
      </c>
      <c r="AG29">
        <v>4</v>
      </c>
      <c r="AH29" s="5">
        <v>478.8</v>
      </c>
      <c r="AI29" t="s">
        <v>147</v>
      </c>
    </row>
    <row r="30" spans="1:35">
      <c r="A30" t="s">
        <v>232</v>
      </c>
      <c r="B30" t="s">
        <v>229</v>
      </c>
      <c r="C30" t="s">
        <v>193</v>
      </c>
      <c r="D30" t="s">
        <v>230</v>
      </c>
      <c r="E30" t="s">
        <v>169</v>
      </c>
      <c r="F30" t="s">
        <v>181</v>
      </c>
      <c r="G30" s="3">
        <v>46145</v>
      </c>
      <c r="H30" s="3">
        <v>46178</v>
      </c>
      <c r="I30" s="3">
        <v>46183</v>
      </c>
      <c r="J30" t="s">
        <v>141</v>
      </c>
      <c r="K30" t="s">
        <v>193</v>
      </c>
      <c r="L30" t="s">
        <v>233</v>
      </c>
      <c r="M30" t="s">
        <v>152</v>
      </c>
      <c r="N30" t="s">
        <v>153</v>
      </c>
      <c r="O30">
        <v>1044</v>
      </c>
      <c r="P30">
        <v>33</v>
      </c>
      <c r="Q30" t="s">
        <v>159</v>
      </c>
      <c r="R30" t="s">
        <v>154</v>
      </c>
      <c r="S30" t="s">
        <v>164</v>
      </c>
      <c r="T30" s="4">
        <v>361.93</v>
      </c>
      <c r="U30" s="4">
        <v>0</v>
      </c>
      <c r="V30" s="4">
        <v>4</v>
      </c>
      <c r="W30" s="4">
        <v>676.04</v>
      </c>
      <c r="X30" s="4">
        <v>52.59</v>
      </c>
      <c r="Y30" s="4">
        <v>1090.56</v>
      </c>
      <c r="Z30" s="4" t="s">
        <v>147</v>
      </c>
      <c r="AA30" s="4" t="s">
        <v>147</v>
      </c>
      <c r="AB30" s="4">
        <f>SUMIF('Trip Changes'!$B:$B,A30,'Trip Changes'!$E:$E)</f>
        <v>0</v>
      </c>
      <c r="AC30" s="4">
        <f>SUMIF('Trip Cancellations'!$B:$B,A30,'Trip Cancellations'!$E:$E)</f>
        <v>0</v>
      </c>
      <c r="AD30" s="4">
        <f>SUMIF('Trip Cancellations'!$B:$B,A30,'Trip Cancellations'!$F:$F)</f>
        <v>0</v>
      </c>
      <c r="AE30" s="4">
        <f t="shared" si="0"/>
        <v>1090.56</v>
      </c>
      <c r="AF30" t="s">
        <v>148</v>
      </c>
      <c r="AG30">
        <v>4</v>
      </c>
      <c r="AH30" s="5">
        <v>156.6</v>
      </c>
      <c r="AI30" t="s">
        <v>147</v>
      </c>
    </row>
    <row r="31" spans="1:35">
      <c r="A31" t="s">
        <v>234</v>
      </c>
      <c r="B31" t="s">
        <v>229</v>
      </c>
      <c r="C31" t="s">
        <v>193</v>
      </c>
      <c r="D31" t="s">
        <v>230</v>
      </c>
      <c r="E31" t="s">
        <v>169</v>
      </c>
      <c r="F31" t="s">
        <v>162</v>
      </c>
      <c r="G31" s="3">
        <v>46179</v>
      </c>
      <c r="H31" s="3">
        <v>46194</v>
      </c>
      <c r="I31" s="3">
        <v>46195</v>
      </c>
      <c r="J31" t="s">
        <v>141</v>
      </c>
      <c r="K31" t="s">
        <v>193</v>
      </c>
      <c r="L31" t="s">
        <v>203</v>
      </c>
      <c r="M31" t="s">
        <v>143</v>
      </c>
      <c r="N31" t="s">
        <v>153</v>
      </c>
      <c r="O31">
        <v>520</v>
      </c>
      <c r="P31">
        <v>15</v>
      </c>
      <c r="Q31" t="s">
        <v>145</v>
      </c>
      <c r="R31" t="s">
        <v>176</v>
      </c>
      <c r="T31" s="4">
        <v>278.27999999999997</v>
      </c>
      <c r="U31" s="4">
        <v>0</v>
      </c>
      <c r="V31" s="4">
        <v>0</v>
      </c>
      <c r="W31" s="4">
        <v>0</v>
      </c>
      <c r="X31" s="4">
        <v>67.19</v>
      </c>
      <c r="Y31" s="4">
        <v>345.47</v>
      </c>
      <c r="Z31" s="4" t="s">
        <v>147</v>
      </c>
      <c r="AA31" s="4" t="s">
        <v>147</v>
      </c>
      <c r="AB31" s="4">
        <f>SUMIF('Trip Changes'!$B:$B,A31,'Trip Changes'!$E:$E)</f>
        <v>0</v>
      </c>
      <c r="AC31" s="4">
        <f>SUMIF('Trip Cancellations'!$B:$B,A31,'Trip Cancellations'!$E:$E)</f>
        <v>0</v>
      </c>
      <c r="AD31" s="4">
        <f>SUMIF('Trip Cancellations'!$B:$B,A31,'Trip Cancellations'!$F:$F)</f>
        <v>0</v>
      </c>
      <c r="AE31" s="4">
        <f t="shared" si="0"/>
        <v>345.47</v>
      </c>
      <c r="AF31" t="s">
        <v>148</v>
      </c>
      <c r="AG31">
        <v>5</v>
      </c>
      <c r="AH31" s="5">
        <v>78</v>
      </c>
      <c r="AI31" t="s">
        <v>147</v>
      </c>
    </row>
    <row r="32" spans="1:35">
      <c r="A32" t="s">
        <v>235</v>
      </c>
      <c r="B32" t="s">
        <v>229</v>
      </c>
      <c r="C32" t="s">
        <v>193</v>
      </c>
      <c r="D32" t="s">
        <v>230</v>
      </c>
      <c r="E32" t="s">
        <v>169</v>
      </c>
      <c r="F32" t="s">
        <v>140</v>
      </c>
      <c r="G32" s="3">
        <v>46200</v>
      </c>
      <c r="H32" s="3">
        <v>46201</v>
      </c>
      <c r="I32" s="3">
        <v>46205</v>
      </c>
      <c r="J32" t="s">
        <v>141</v>
      </c>
      <c r="K32" t="s">
        <v>193</v>
      </c>
      <c r="L32" t="s">
        <v>225</v>
      </c>
      <c r="M32" t="s">
        <v>152</v>
      </c>
      <c r="N32" t="s">
        <v>153</v>
      </c>
      <c r="O32">
        <v>3558</v>
      </c>
      <c r="P32">
        <v>1</v>
      </c>
      <c r="Q32" t="s">
        <v>145</v>
      </c>
      <c r="R32" t="s">
        <v>236</v>
      </c>
      <c r="S32" t="s">
        <v>155</v>
      </c>
      <c r="T32" s="4">
        <v>177</v>
      </c>
      <c r="U32" s="4">
        <v>0</v>
      </c>
      <c r="V32" s="4">
        <v>3</v>
      </c>
      <c r="W32" s="4">
        <v>423</v>
      </c>
      <c r="X32" s="4">
        <v>71.709999999999994</v>
      </c>
      <c r="Y32" s="4">
        <v>671.71</v>
      </c>
      <c r="Z32" s="4" t="s">
        <v>147</v>
      </c>
      <c r="AA32" s="4" t="s">
        <v>147</v>
      </c>
      <c r="AB32" s="4">
        <f>SUMIF('Trip Changes'!$B:$B,A32,'Trip Changes'!$E:$E)</f>
        <v>0</v>
      </c>
      <c r="AC32" s="4">
        <f>SUMIF('Trip Cancellations'!$B:$B,A32,'Trip Cancellations'!$E:$E)</f>
        <v>0</v>
      </c>
      <c r="AD32" s="4">
        <f>SUMIF('Trip Cancellations'!$B:$B,A32,'Trip Cancellations'!$F:$F)</f>
        <v>0</v>
      </c>
      <c r="AE32" s="4">
        <f t="shared" si="0"/>
        <v>671.71</v>
      </c>
      <c r="AF32" t="s">
        <v>147</v>
      </c>
      <c r="AG32">
        <v>3</v>
      </c>
      <c r="AH32" s="5">
        <v>533.70000000000005</v>
      </c>
      <c r="AI32" t="s">
        <v>147</v>
      </c>
    </row>
    <row r="33" spans="1:35">
      <c r="A33" t="s">
        <v>237</v>
      </c>
      <c r="B33" t="s">
        <v>238</v>
      </c>
      <c r="C33" t="s">
        <v>193</v>
      </c>
      <c r="D33" t="s">
        <v>168</v>
      </c>
      <c r="E33" t="s">
        <v>169</v>
      </c>
      <c r="F33" t="s">
        <v>162</v>
      </c>
      <c r="G33" s="3">
        <v>46190</v>
      </c>
      <c r="H33" s="3">
        <v>46206</v>
      </c>
      <c r="I33" s="3">
        <v>46209</v>
      </c>
      <c r="J33" t="s">
        <v>150</v>
      </c>
      <c r="K33" t="s">
        <v>193</v>
      </c>
      <c r="L33" t="s">
        <v>209</v>
      </c>
      <c r="M33" t="s">
        <v>152</v>
      </c>
      <c r="N33" t="s">
        <v>153</v>
      </c>
      <c r="O33">
        <v>3384</v>
      </c>
      <c r="P33">
        <v>16</v>
      </c>
      <c r="Q33" t="s">
        <v>145</v>
      </c>
      <c r="R33" t="s">
        <v>154</v>
      </c>
      <c r="S33" t="s">
        <v>173</v>
      </c>
      <c r="T33" s="4">
        <v>399.57</v>
      </c>
      <c r="U33" s="4">
        <v>0</v>
      </c>
      <c r="V33" s="4">
        <v>2</v>
      </c>
      <c r="W33" s="4">
        <v>318.67</v>
      </c>
      <c r="X33" s="4">
        <v>73.680000000000007</v>
      </c>
      <c r="Y33" s="4">
        <v>791.92</v>
      </c>
      <c r="Z33" s="4" t="s">
        <v>147</v>
      </c>
      <c r="AA33" s="4" t="s">
        <v>147</v>
      </c>
      <c r="AB33" s="4">
        <f>SUMIF('Trip Changes'!$B:$B,A33,'Trip Changes'!$E:$E)</f>
        <v>0</v>
      </c>
      <c r="AC33" s="4">
        <f>SUMIF('Trip Cancellations'!$B:$B,A33,'Trip Cancellations'!$E:$E)</f>
        <v>0</v>
      </c>
      <c r="AD33" s="4">
        <f>SUMIF('Trip Cancellations'!$B:$B,A33,'Trip Cancellations'!$F:$F)</f>
        <v>0</v>
      </c>
      <c r="AE33" s="4">
        <f t="shared" si="0"/>
        <v>791.92</v>
      </c>
      <c r="AF33" t="s">
        <v>148</v>
      </c>
      <c r="AG33">
        <v>5</v>
      </c>
      <c r="AH33" s="5">
        <v>507.6</v>
      </c>
      <c r="AI33" t="s">
        <v>148</v>
      </c>
    </row>
    <row r="34" spans="1:35">
      <c r="A34" t="s">
        <v>239</v>
      </c>
      <c r="B34" t="s">
        <v>238</v>
      </c>
      <c r="C34" t="s">
        <v>193</v>
      </c>
      <c r="D34" t="s">
        <v>168</v>
      </c>
      <c r="E34" t="s">
        <v>169</v>
      </c>
      <c r="F34" t="s">
        <v>207</v>
      </c>
      <c r="G34" s="3">
        <v>46166</v>
      </c>
      <c r="H34" s="3">
        <v>46169</v>
      </c>
      <c r="I34" s="3">
        <v>46178</v>
      </c>
      <c r="J34" t="s">
        <v>163</v>
      </c>
      <c r="K34" t="s">
        <v>193</v>
      </c>
      <c r="L34" t="s">
        <v>240</v>
      </c>
      <c r="M34" t="s">
        <v>152</v>
      </c>
      <c r="N34" t="s">
        <v>153</v>
      </c>
      <c r="O34">
        <v>16768</v>
      </c>
      <c r="P34">
        <v>3</v>
      </c>
      <c r="Q34" t="s">
        <v>145</v>
      </c>
      <c r="R34" t="s">
        <v>154</v>
      </c>
      <c r="S34" t="s">
        <v>190</v>
      </c>
      <c r="T34" s="4">
        <v>1614.2</v>
      </c>
      <c r="U34" s="4">
        <v>0</v>
      </c>
      <c r="V34" s="4">
        <v>8</v>
      </c>
      <c r="W34" s="4">
        <v>1617.35</v>
      </c>
      <c r="X34" s="4">
        <v>66.930000000000007</v>
      </c>
      <c r="Y34" s="4">
        <v>3298.48</v>
      </c>
      <c r="Z34" s="4" t="s">
        <v>148</v>
      </c>
      <c r="AA34" s="4" t="s">
        <v>147</v>
      </c>
      <c r="AB34" s="4">
        <f>SUMIF('Trip Changes'!$B:$B,A34,'Trip Changes'!$E:$E)</f>
        <v>68.12</v>
      </c>
      <c r="AC34" s="4">
        <f>SUMIF('Trip Cancellations'!$B:$B,A34,'Trip Cancellations'!$E:$E)</f>
        <v>0</v>
      </c>
      <c r="AD34" s="4">
        <f>SUMIF('Trip Cancellations'!$B:$B,A34,'Trip Cancellations'!$F:$F)</f>
        <v>0</v>
      </c>
      <c r="AE34" s="4">
        <f t="shared" si="0"/>
        <v>3366.6</v>
      </c>
      <c r="AF34" t="s">
        <v>147</v>
      </c>
      <c r="AG34">
        <v>4</v>
      </c>
      <c r="AH34" s="5">
        <v>2515.1999999999998</v>
      </c>
      <c r="AI34" t="s">
        <v>147</v>
      </c>
    </row>
    <row r="35" spans="1:35">
      <c r="A35" t="s">
        <v>241</v>
      </c>
      <c r="B35" t="s">
        <v>242</v>
      </c>
      <c r="C35" t="s">
        <v>137</v>
      </c>
      <c r="D35" t="s">
        <v>204</v>
      </c>
      <c r="E35" t="s">
        <v>169</v>
      </c>
      <c r="F35" t="s">
        <v>140</v>
      </c>
      <c r="G35" s="3">
        <v>46201</v>
      </c>
      <c r="H35" s="3">
        <v>46206</v>
      </c>
      <c r="I35" s="3">
        <v>46208</v>
      </c>
      <c r="J35" t="s">
        <v>150</v>
      </c>
      <c r="K35" t="s">
        <v>137</v>
      </c>
      <c r="L35" t="s">
        <v>227</v>
      </c>
      <c r="M35" t="s">
        <v>152</v>
      </c>
      <c r="N35" t="s">
        <v>153</v>
      </c>
      <c r="O35">
        <v>2394</v>
      </c>
      <c r="P35">
        <v>5</v>
      </c>
      <c r="Q35" t="s">
        <v>145</v>
      </c>
      <c r="R35" t="s">
        <v>236</v>
      </c>
      <c r="S35" t="s">
        <v>164</v>
      </c>
      <c r="T35" s="4">
        <v>610.39</v>
      </c>
      <c r="U35" s="4">
        <v>0</v>
      </c>
      <c r="V35" s="4">
        <v>1</v>
      </c>
      <c r="W35" s="4">
        <v>246.82</v>
      </c>
      <c r="X35" s="4">
        <v>77.77</v>
      </c>
      <c r="Y35" s="4">
        <v>934.98</v>
      </c>
      <c r="Z35" s="4" t="s">
        <v>148</v>
      </c>
      <c r="AA35" s="4" t="s">
        <v>147</v>
      </c>
      <c r="AB35" s="4">
        <f>SUMIF('Trip Changes'!$B:$B,A35,'Trip Changes'!$E:$E)</f>
        <v>173.75</v>
      </c>
      <c r="AC35" s="4">
        <f>SUMIF('Trip Cancellations'!$B:$B,A35,'Trip Cancellations'!$E:$E)</f>
        <v>0</v>
      </c>
      <c r="AD35" s="4">
        <f>SUMIF('Trip Cancellations'!$B:$B,A35,'Trip Cancellations'!$F:$F)</f>
        <v>0</v>
      </c>
      <c r="AE35" s="4">
        <f t="shared" si="0"/>
        <v>1108.73</v>
      </c>
      <c r="AF35" t="s">
        <v>148</v>
      </c>
      <c r="AG35">
        <v>4</v>
      </c>
      <c r="AH35" s="5">
        <v>359.1</v>
      </c>
      <c r="AI35" t="s">
        <v>148</v>
      </c>
    </row>
    <row r="36" spans="1:35">
      <c r="A36" t="s">
        <v>243</v>
      </c>
      <c r="B36" t="s">
        <v>242</v>
      </c>
      <c r="C36" t="s">
        <v>137</v>
      </c>
      <c r="D36" t="s">
        <v>204</v>
      </c>
      <c r="E36" t="s">
        <v>169</v>
      </c>
      <c r="F36" t="s">
        <v>170</v>
      </c>
      <c r="G36" s="3">
        <v>46194</v>
      </c>
      <c r="H36" s="3">
        <v>46214</v>
      </c>
      <c r="I36" s="3">
        <v>46217</v>
      </c>
      <c r="J36" t="s">
        <v>150</v>
      </c>
      <c r="K36" t="s">
        <v>137</v>
      </c>
      <c r="L36" t="s">
        <v>182</v>
      </c>
      <c r="M36" t="s">
        <v>143</v>
      </c>
      <c r="N36" t="s">
        <v>144</v>
      </c>
      <c r="O36">
        <v>722</v>
      </c>
      <c r="P36">
        <v>20</v>
      </c>
      <c r="Q36" t="s">
        <v>145</v>
      </c>
      <c r="S36" t="s">
        <v>146</v>
      </c>
      <c r="T36" s="4">
        <v>0</v>
      </c>
      <c r="U36" s="4">
        <v>141.66</v>
      </c>
      <c r="V36" s="4">
        <v>2</v>
      </c>
      <c r="W36" s="4">
        <v>199.05</v>
      </c>
      <c r="X36" s="4">
        <v>101.17</v>
      </c>
      <c r="Y36" s="4">
        <v>441.88</v>
      </c>
      <c r="Z36" s="4" t="s">
        <v>147</v>
      </c>
      <c r="AA36" s="4" t="s">
        <v>147</v>
      </c>
      <c r="AB36" s="4">
        <f>SUMIF('Trip Changes'!$B:$B,A36,'Trip Changes'!$E:$E)</f>
        <v>0</v>
      </c>
      <c r="AC36" s="4">
        <f>SUMIF('Trip Cancellations'!$B:$B,A36,'Trip Cancellations'!$E:$E)</f>
        <v>0</v>
      </c>
      <c r="AD36" s="4">
        <f>SUMIF('Trip Cancellations'!$B:$B,A36,'Trip Cancellations'!$F:$F)</f>
        <v>0</v>
      </c>
      <c r="AE36" s="4">
        <f t="shared" si="0"/>
        <v>441.88</v>
      </c>
      <c r="AF36" t="s">
        <v>148</v>
      </c>
      <c r="AG36">
        <v>5</v>
      </c>
      <c r="AH36" s="5">
        <v>28.9</v>
      </c>
      <c r="AI36" t="s">
        <v>147</v>
      </c>
    </row>
    <row r="37" spans="1:35">
      <c r="A37" t="s">
        <v>244</v>
      </c>
      <c r="B37" t="s">
        <v>242</v>
      </c>
      <c r="C37" t="s">
        <v>137</v>
      </c>
      <c r="D37" t="s">
        <v>204</v>
      </c>
      <c r="E37" t="s">
        <v>169</v>
      </c>
      <c r="F37" t="s">
        <v>181</v>
      </c>
      <c r="G37" s="3">
        <v>46128</v>
      </c>
      <c r="H37" s="3">
        <v>46152</v>
      </c>
      <c r="I37" s="3">
        <v>46157</v>
      </c>
      <c r="J37" t="s">
        <v>163</v>
      </c>
      <c r="K37" t="s">
        <v>137</v>
      </c>
      <c r="L37" t="s">
        <v>199</v>
      </c>
      <c r="M37" t="s">
        <v>152</v>
      </c>
      <c r="N37" t="s">
        <v>153</v>
      </c>
      <c r="O37">
        <v>1404</v>
      </c>
      <c r="P37">
        <v>24</v>
      </c>
      <c r="Q37" t="s">
        <v>216</v>
      </c>
      <c r="R37" t="s">
        <v>154</v>
      </c>
      <c r="S37" t="s">
        <v>187</v>
      </c>
      <c r="T37" s="4">
        <v>172.11</v>
      </c>
      <c r="U37" s="4">
        <v>0</v>
      </c>
      <c r="V37" s="4">
        <v>4</v>
      </c>
      <c r="W37" s="4">
        <v>651.54999999999995</v>
      </c>
      <c r="X37" s="4">
        <v>101.25</v>
      </c>
      <c r="Y37" s="4">
        <v>924.91</v>
      </c>
      <c r="Z37" s="4" t="s">
        <v>147</v>
      </c>
      <c r="AA37" s="4" t="s">
        <v>147</v>
      </c>
      <c r="AB37" s="4">
        <f>SUMIF('Trip Changes'!$B:$B,A37,'Trip Changes'!$E:$E)</f>
        <v>0</v>
      </c>
      <c r="AC37" s="4">
        <f>SUMIF('Trip Cancellations'!$B:$B,A37,'Trip Cancellations'!$E:$E)</f>
        <v>0</v>
      </c>
      <c r="AD37" s="4">
        <f>SUMIF('Trip Cancellations'!$B:$B,A37,'Trip Cancellations'!$F:$F)</f>
        <v>0</v>
      </c>
      <c r="AE37" s="4">
        <f t="shared" si="0"/>
        <v>924.91</v>
      </c>
      <c r="AF37" t="s">
        <v>148</v>
      </c>
      <c r="AG37">
        <v>4</v>
      </c>
      <c r="AH37" s="5">
        <v>210.6</v>
      </c>
      <c r="AI37" t="s">
        <v>147</v>
      </c>
    </row>
    <row r="38" spans="1:35">
      <c r="A38" t="s">
        <v>245</v>
      </c>
      <c r="B38" t="s">
        <v>242</v>
      </c>
      <c r="C38" t="s">
        <v>137</v>
      </c>
      <c r="D38" t="s">
        <v>204</v>
      </c>
      <c r="E38" t="s">
        <v>169</v>
      </c>
      <c r="F38" t="s">
        <v>157</v>
      </c>
      <c r="G38" s="3">
        <v>46145</v>
      </c>
      <c r="H38" s="3">
        <v>46147</v>
      </c>
      <c r="I38" s="3">
        <v>46150</v>
      </c>
      <c r="J38" t="s">
        <v>163</v>
      </c>
      <c r="K38" t="s">
        <v>137</v>
      </c>
      <c r="L38" t="s">
        <v>199</v>
      </c>
      <c r="M38" t="s">
        <v>152</v>
      </c>
      <c r="N38" t="s">
        <v>153</v>
      </c>
      <c r="O38">
        <v>2610</v>
      </c>
      <c r="P38">
        <v>2</v>
      </c>
      <c r="Q38" t="s">
        <v>145</v>
      </c>
      <c r="R38" t="s">
        <v>200</v>
      </c>
      <c r="S38" t="s">
        <v>164</v>
      </c>
      <c r="T38" s="4">
        <v>448.21</v>
      </c>
      <c r="U38" s="4">
        <v>0</v>
      </c>
      <c r="V38" s="4">
        <v>2</v>
      </c>
      <c r="W38" s="4">
        <v>357.67</v>
      </c>
      <c r="X38" s="4">
        <v>68</v>
      </c>
      <c r="Y38" s="4">
        <v>873.88</v>
      </c>
      <c r="Z38" s="4" t="s">
        <v>147</v>
      </c>
      <c r="AA38" s="4" t="s">
        <v>147</v>
      </c>
      <c r="AB38" s="4">
        <f>SUMIF('Trip Changes'!$B:$B,A38,'Trip Changes'!$E:$E)</f>
        <v>0</v>
      </c>
      <c r="AC38" s="4">
        <f>SUMIF('Trip Cancellations'!$B:$B,A38,'Trip Cancellations'!$E:$E)</f>
        <v>0</v>
      </c>
      <c r="AD38" s="4">
        <f>SUMIF('Trip Cancellations'!$B:$B,A38,'Trip Cancellations'!$F:$F)</f>
        <v>0</v>
      </c>
      <c r="AE38" s="4">
        <f t="shared" si="0"/>
        <v>873.88</v>
      </c>
      <c r="AF38" t="s">
        <v>148</v>
      </c>
      <c r="AG38">
        <v>4</v>
      </c>
      <c r="AH38" s="5">
        <v>391.5</v>
      </c>
      <c r="AI38" t="s">
        <v>147</v>
      </c>
    </row>
    <row r="39" spans="1:35">
      <c r="A39" t="s">
        <v>246</v>
      </c>
      <c r="B39" t="s">
        <v>247</v>
      </c>
      <c r="C39" t="s">
        <v>182</v>
      </c>
      <c r="D39" t="s">
        <v>248</v>
      </c>
      <c r="E39" t="s">
        <v>249</v>
      </c>
      <c r="F39" t="s">
        <v>162</v>
      </c>
      <c r="G39" s="3">
        <v>46180</v>
      </c>
      <c r="H39" s="3">
        <v>46201</v>
      </c>
      <c r="I39" s="3">
        <v>46203</v>
      </c>
      <c r="J39" t="s">
        <v>141</v>
      </c>
      <c r="K39" t="s">
        <v>182</v>
      </c>
      <c r="L39" t="s">
        <v>158</v>
      </c>
      <c r="M39" t="s">
        <v>152</v>
      </c>
      <c r="N39" t="s">
        <v>153</v>
      </c>
      <c r="O39">
        <v>3134</v>
      </c>
      <c r="P39">
        <v>21</v>
      </c>
      <c r="Q39" t="s">
        <v>159</v>
      </c>
      <c r="R39" t="s">
        <v>154</v>
      </c>
      <c r="S39" t="s">
        <v>187</v>
      </c>
      <c r="T39" s="4">
        <v>454.32</v>
      </c>
      <c r="U39" s="4">
        <v>0</v>
      </c>
      <c r="V39" s="4">
        <v>1</v>
      </c>
      <c r="W39" s="4">
        <v>170.76</v>
      </c>
      <c r="X39" s="4">
        <v>36.17</v>
      </c>
      <c r="Y39" s="4">
        <v>661.25</v>
      </c>
      <c r="Z39" s="4" t="s">
        <v>147</v>
      </c>
      <c r="AA39" s="4" t="s">
        <v>148</v>
      </c>
      <c r="AB39" s="4">
        <f>SUMIF('Trip Changes'!$B:$B,A39,'Trip Changes'!$E:$E)</f>
        <v>0</v>
      </c>
      <c r="AC39" s="4">
        <f>SUMIF('Trip Cancellations'!$B:$B,A39,'Trip Cancellations'!$E:$E)</f>
        <v>58.97</v>
      </c>
      <c r="AD39" s="4">
        <f>SUMIF('Trip Cancellations'!$B:$B,A39,'Trip Cancellations'!$F:$F)</f>
        <v>312.54000000000002</v>
      </c>
      <c r="AE39" s="4">
        <f t="shared" si="0"/>
        <v>407.68</v>
      </c>
      <c r="AF39" t="s">
        <v>148</v>
      </c>
      <c r="AG39">
        <v>3</v>
      </c>
      <c r="AH39" s="5">
        <v>470.1</v>
      </c>
      <c r="AI39" t="s">
        <v>148</v>
      </c>
    </row>
    <row r="40" spans="1:35">
      <c r="A40" t="s">
        <v>250</v>
      </c>
      <c r="B40" t="s">
        <v>247</v>
      </c>
      <c r="C40" t="s">
        <v>182</v>
      </c>
      <c r="D40" t="s">
        <v>248</v>
      </c>
      <c r="E40" t="s">
        <v>249</v>
      </c>
      <c r="F40" t="s">
        <v>189</v>
      </c>
      <c r="G40" s="3">
        <v>46196</v>
      </c>
      <c r="H40" s="3">
        <v>46212</v>
      </c>
      <c r="I40" s="3">
        <v>46215</v>
      </c>
      <c r="J40" t="s">
        <v>150</v>
      </c>
      <c r="K40" t="s">
        <v>182</v>
      </c>
      <c r="L40" t="s">
        <v>185</v>
      </c>
      <c r="M40" t="s">
        <v>152</v>
      </c>
      <c r="N40" t="s">
        <v>153</v>
      </c>
      <c r="O40">
        <v>10758</v>
      </c>
      <c r="P40">
        <v>16</v>
      </c>
      <c r="Q40" t="s">
        <v>159</v>
      </c>
      <c r="R40" t="s">
        <v>186</v>
      </c>
      <c r="S40" t="s">
        <v>190</v>
      </c>
      <c r="T40" s="4">
        <v>1112.1300000000001</v>
      </c>
      <c r="U40" s="4">
        <v>0</v>
      </c>
      <c r="V40" s="4">
        <v>2</v>
      </c>
      <c r="W40" s="4">
        <v>450.96</v>
      </c>
      <c r="X40" s="4">
        <v>68.89</v>
      </c>
      <c r="Y40" s="4">
        <v>1631.98</v>
      </c>
      <c r="Z40" s="4" t="s">
        <v>148</v>
      </c>
      <c r="AA40" s="4" t="s">
        <v>147</v>
      </c>
      <c r="AB40" s="4">
        <f>SUMIF('Trip Changes'!$B:$B,A40,'Trip Changes'!$E:$E)</f>
        <v>31.77</v>
      </c>
      <c r="AC40" s="4">
        <f>SUMIF('Trip Cancellations'!$B:$B,A40,'Trip Cancellations'!$E:$E)</f>
        <v>0</v>
      </c>
      <c r="AD40" s="4">
        <f>SUMIF('Trip Cancellations'!$B:$B,A40,'Trip Cancellations'!$F:$F)</f>
        <v>0</v>
      </c>
      <c r="AE40" s="4">
        <f t="shared" si="0"/>
        <v>1663.75</v>
      </c>
      <c r="AF40" t="s">
        <v>148</v>
      </c>
      <c r="AG40">
        <v>3</v>
      </c>
      <c r="AH40" s="5">
        <v>1613.7</v>
      </c>
      <c r="AI40" t="s">
        <v>148</v>
      </c>
    </row>
    <row r="41" spans="1:35">
      <c r="A41" t="s">
        <v>251</v>
      </c>
      <c r="B41" t="s">
        <v>247</v>
      </c>
      <c r="C41" t="s">
        <v>182</v>
      </c>
      <c r="D41" t="s">
        <v>248</v>
      </c>
      <c r="E41" t="s">
        <v>249</v>
      </c>
      <c r="F41" t="s">
        <v>140</v>
      </c>
      <c r="G41" s="3">
        <v>46149</v>
      </c>
      <c r="H41" s="3">
        <v>46181</v>
      </c>
      <c r="I41" s="3">
        <v>46183</v>
      </c>
      <c r="J41" t="s">
        <v>141</v>
      </c>
      <c r="K41" t="s">
        <v>182</v>
      </c>
      <c r="L41" t="s">
        <v>142</v>
      </c>
      <c r="M41" t="s">
        <v>143</v>
      </c>
      <c r="N41" t="s">
        <v>144</v>
      </c>
      <c r="O41">
        <v>888</v>
      </c>
      <c r="P41">
        <v>32</v>
      </c>
      <c r="Q41" t="s">
        <v>159</v>
      </c>
      <c r="S41" t="s">
        <v>164</v>
      </c>
      <c r="T41" s="4">
        <v>0</v>
      </c>
      <c r="U41" s="4">
        <v>289.19</v>
      </c>
      <c r="V41" s="4">
        <v>1</v>
      </c>
      <c r="W41" s="4">
        <v>116.57</v>
      </c>
      <c r="X41" s="4">
        <v>27.31</v>
      </c>
      <c r="Y41" s="4">
        <v>433.07</v>
      </c>
      <c r="Z41" s="4" t="s">
        <v>147</v>
      </c>
      <c r="AA41" s="4" t="s">
        <v>147</v>
      </c>
      <c r="AB41" s="4">
        <f>SUMIF('Trip Changes'!$B:$B,A41,'Trip Changes'!$E:$E)</f>
        <v>0</v>
      </c>
      <c r="AC41" s="4">
        <f>SUMIF('Trip Cancellations'!$B:$B,A41,'Trip Cancellations'!$E:$E)</f>
        <v>0</v>
      </c>
      <c r="AD41" s="4">
        <f>SUMIF('Trip Cancellations'!$B:$B,A41,'Trip Cancellations'!$F:$F)</f>
        <v>0</v>
      </c>
      <c r="AE41" s="4">
        <f t="shared" si="0"/>
        <v>433.07</v>
      </c>
      <c r="AF41" t="s">
        <v>148</v>
      </c>
      <c r="AG41">
        <v>5</v>
      </c>
      <c r="AH41" s="5">
        <v>35.5</v>
      </c>
      <c r="AI41" t="s">
        <v>147</v>
      </c>
    </row>
    <row r="42" spans="1:35">
      <c r="A42" t="s">
        <v>252</v>
      </c>
      <c r="B42" t="s">
        <v>253</v>
      </c>
      <c r="C42" t="s">
        <v>203</v>
      </c>
      <c r="D42" t="s">
        <v>138</v>
      </c>
      <c r="E42" t="s">
        <v>139</v>
      </c>
      <c r="F42" t="s">
        <v>140</v>
      </c>
      <c r="G42" s="3">
        <v>46151</v>
      </c>
      <c r="H42" s="3">
        <v>46160</v>
      </c>
      <c r="I42" s="3">
        <v>46167</v>
      </c>
      <c r="J42" t="s">
        <v>163</v>
      </c>
      <c r="K42" t="s">
        <v>203</v>
      </c>
      <c r="L42" t="s">
        <v>179</v>
      </c>
      <c r="M42" t="s">
        <v>152</v>
      </c>
      <c r="N42" t="s">
        <v>153</v>
      </c>
      <c r="O42">
        <v>21584</v>
      </c>
      <c r="P42">
        <v>9</v>
      </c>
      <c r="Q42" t="s">
        <v>159</v>
      </c>
      <c r="R42" t="s">
        <v>154</v>
      </c>
      <c r="S42" t="s">
        <v>173</v>
      </c>
      <c r="T42" s="4">
        <v>1386.59</v>
      </c>
      <c r="U42" s="4">
        <v>0</v>
      </c>
      <c r="V42" s="4">
        <v>6</v>
      </c>
      <c r="W42" s="4">
        <v>1104.6300000000001</v>
      </c>
      <c r="X42" s="4">
        <v>106.45</v>
      </c>
      <c r="Y42" s="4">
        <v>2597.67</v>
      </c>
      <c r="Z42" s="4" t="s">
        <v>147</v>
      </c>
      <c r="AA42" s="4" t="s">
        <v>147</v>
      </c>
      <c r="AB42" s="4">
        <f>SUMIF('Trip Changes'!$B:$B,A42,'Trip Changes'!$E:$E)</f>
        <v>0</v>
      </c>
      <c r="AC42" s="4">
        <f>SUMIF('Trip Cancellations'!$B:$B,A42,'Trip Cancellations'!$E:$E)</f>
        <v>0</v>
      </c>
      <c r="AD42" s="4">
        <f>SUMIF('Trip Cancellations'!$B:$B,A42,'Trip Cancellations'!$F:$F)</f>
        <v>0</v>
      </c>
      <c r="AE42" s="4">
        <f t="shared" si="0"/>
        <v>2597.67</v>
      </c>
      <c r="AF42" t="s">
        <v>148</v>
      </c>
      <c r="AG42">
        <v>4</v>
      </c>
      <c r="AH42" s="5">
        <v>3237.6</v>
      </c>
      <c r="AI42" t="s">
        <v>148</v>
      </c>
    </row>
    <row r="43" spans="1:35">
      <c r="A43" t="s">
        <v>254</v>
      </c>
      <c r="B43" t="s">
        <v>253</v>
      </c>
      <c r="C43" t="s">
        <v>203</v>
      </c>
      <c r="D43" t="s">
        <v>138</v>
      </c>
      <c r="E43" t="s">
        <v>139</v>
      </c>
      <c r="F43" t="s">
        <v>140</v>
      </c>
      <c r="G43" s="3">
        <v>46124</v>
      </c>
      <c r="H43" s="3">
        <v>46149</v>
      </c>
      <c r="I43" s="3">
        <v>46151</v>
      </c>
      <c r="J43" t="s">
        <v>163</v>
      </c>
      <c r="K43" t="s">
        <v>203</v>
      </c>
      <c r="L43" t="s">
        <v>151</v>
      </c>
      <c r="M43" t="s">
        <v>152</v>
      </c>
      <c r="N43" t="s">
        <v>153</v>
      </c>
      <c r="O43">
        <v>1294</v>
      </c>
      <c r="P43">
        <v>25</v>
      </c>
      <c r="Q43" t="s">
        <v>159</v>
      </c>
      <c r="R43" t="s">
        <v>172</v>
      </c>
      <c r="S43" t="s">
        <v>164</v>
      </c>
      <c r="T43" s="4">
        <v>481.12</v>
      </c>
      <c r="U43" s="4">
        <v>0</v>
      </c>
      <c r="V43" s="4">
        <v>1</v>
      </c>
      <c r="W43" s="4">
        <v>144.35</v>
      </c>
      <c r="X43" s="4">
        <v>104.21</v>
      </c>
      <c r="Y43" s="4">
        <v>729.68</v>
      </c>
      <c r="Z43" s="4" t="s">
        <v>147</v>
      </c>
      <c r="AA43" s="4" t="s">
        <v>147</v>
      </c>
      <c r="AB43" s="4">
        <f>SUMIF('Trip Changes'!$B:$B,A43,'Trip Changes'!$E:$E)</f>
        <v>0</v>
      </c>
      <c r="AC43" s="4">
        <f>SUMIF('Trip Cancellations'!$B:$B,A43,'Trip Cancellations'!$E:$E)</f>
        <v>0</v>
      </c>
      <c r="AD43" s="4">
        <f>SUMIF('Trip Cancellations'!$B:$B,A43,'Trip Cancellations'!$F:$F)</f>
        <v>0</v>
      </c>
      <c r="AE43" s="4">
        <f t="shared" si="0"/>
        <v>729.68</v>
      </c>
      <c r="AF43" t="s">
        <v>148</v>
      </c>
      <c r="AG43">
        <v>4</v>
      </c>
      <c r="AH43" s="5">
        <v>194.1</v>
      </c>
      <c r="AI43" t="s">
        <v>147</v>
      </c>
    </row>
    <row r="44" spans="1:35">
      <c r="A44" t="s">
        <v>255</v>
      </c>
      <c r="B44" t="s">
        <v>256</v>
      </c>
      <c r="C44" t="s">
        <v>257</v>
      </c>
      <c r="D44" t="s">
        <v>168</v>
      </c>
      <c r="E44" t="s">
        <v>169</v>
      </c>
      <c r="F44" t="s">
        <v>157</v>
      </c>
      <c r="G44" s="3">
        <v>46214</v>
      </c>
      <c r="H44" s="3">
        <v>46222</v>
      </c>
      <c r="I44" s="3">
        <v>46226</v>
      </c>
      <c r="J44" t="s">
        <v>150</v>
      </c>
      <c r="K44" t="s">
        <v>257</v>
      </c>
      <c r="L44" t="s">
        <v>151</v>
      </c>
      <c r="M44" t="s">
        <v>152</v>
      </c>
      <c r="N44" t="s">
        <v>153</v>
      </c>
      <c r="O44">
        <v>2680</v>
      </c>
      <c r="P44">
        <v>8</v>
      </c>
      <c r="Q44" t="s">
        <v>207</v>
      </c>
      <c r="R44" t="s">
        <v>172</v>
      </c>
      <c r="S44" t="s">
        <v>190</v>
      </c>
      <c r="T44" s="4">
        <v>635.66999999999996</v>
      </c>
      <c r="U44" s="4">
        <v>0</v>
      </c>
      <c r="V44" s="4">
        <v>3</v>
      </c>
      <c r="W44" s="4">
        <v>484.09</v>
      </c>
      <c r="X44" s="4">
        <v>91.08</v>
      </c>
      <c r="Y44" s="4">
        <v>1210.8399999999999</v>
      </c>
      <c r="Z44" s="4" t="s">
        <v>147</v>
      </c>
      <c r="AA44" s="4" t="s">
        <v>147</v>
      </c>
      <c r="AB44" s="4">
        <f>SUMIF('Trip Changes'!$B:$B,A44,'Trip Changes'!$E:$E)</f>
        <v>0</v>
      </c>
      <c r="AC44" s="4">
        <f>SUMIF('Trip Cancellations'!$B:$B,A44,'Trip Cancellations'!$E:$E)</f>
        <v>0</v>
      </c>
      <c r="AD44" s="4">
        <f>SUMIF('Trip Cancellations'!$B:$B,A44,'Trip Cancellations'!$F:$F)</f>
        <v>0</v>
      </c>
      <c r="AE44" s="4">
        <f t="shared" si="0"/>
        <v>1210.8399999999999</v>
      </c>
      <c r="AF44" t="s">
        <v>148</v>
      </c>
      <c r="AG44">
        <v>4</v>
      </c>
      <c r="AH44" s="5">
        <v>402</v>
      </c>
      <c r="AI44" t="s">
        <v>147</v>
      </c>
    </row>
    <row r="45" spans="1:35">
      <c r="A45" t="s">
        <v>258</v>
      </c>
      <c r="B45" t="s">
        <v>256</v>
      </c>
      <c r="C45" t="s">
        <v>257</v>
      </c>
      <c r="D45" t="s">
        <v>168</v>
      </c>
      <c r="E45" t="s">
        <v>169</v>
      </c>
      <c r="F45" t="s">
        <v>140</v>
      </c>
      <c r="G45" s="3">
        <v>46203</v>
      </c>
      <c r="H45" s="3">
        <v>46228</v>
      </c>
      <c r="I45" s="3">
        <v>46230</v>
      </c>
      <c r="J45" t="s">
        <v>150</v>
      </c>
      <c r="K45" t="s">
        <v>257</v>
      </c>
      <c r="L45" t="s">
        <v>171</v>
      </c>
      <c r="M45" t="s">
        <v>152</v>
      </c>
      <c r="N45" t="s">
        <v>153</v>
      </c>
      <c r="O45">
        <v>3590</v>
      </c>
      <c r="P45">
        <v>25</v>
      </c>
      <c r="Q45" t="s">
        <v>145</v>
      </c>
      <c r="R45" t="s">
        <v>172</v>
      </c>
      <c r="S45" t="s">
        <v>173</v>
      </c>
      <c r="T45" s="4">
        <v>435.07</v>
      </c>
      <c r="U45" s="4">
        <v>0</v>
      </c>
      <c r="V45" s="4">
        <v>1</v>
      </c>
      <c r="W45" s="4">
        <v>183.38</v>
      </c>
      <c r="X45" s="4">
        <v>77.02</v>
      </c>
      <c r="Y45" s="4">
        <v>695.47</v>
      </c>
      <c r="Z45" s="4" t="s">
        <v>147</v>
      </c>
      <c r="AA45" s="4" t="s">
        <v>147</v>
      </c>
      <c r="AB45" s="4">
        <f>SUMIF('Trip Changes'!$B:$B,A45,'Trip Changes'!$E:$E)</f>
        <v>0</v>
      </c>
      <c r="AC45" s="4">
        <f>SUMIF('Trip Cancellations'!$B:$B,A45,'Trip Cancellations'!$E:$E)</f>
        <v>0</v>
      </c>
      <c r="AD45" s="4">
        <f>SUMIF('Trip Cancellations'!$B:$B,A45,'Trip Cancellations'!$F:$F)</f>
        <v>0</v>
      </c>
      <c r="AE45" s="4">
        <f t="shared" si="0"/>
        <v>695.47</v>
      </c>
      <c r="AF45" t="s">
        <v>147</v>
      </c>
      <c r="AG45">
        <v>5</v>
      </c>
      <c r="AH45" s="5">
        <v>538.5</v>
      </c>
      <c r="AI45" t="s">
        <v>148</v>
      </c>
    </row>
    <row r="46" spans="1:35">
      <c r="A46" t="s">
        <v>259</v>
      </c>
      <c r="B46" t="s">
        <v>256</v>
      </c>
      <c r="C46" t="s">
        <v>257</v>
      </c>
      <c r="D46" t="s">
        <v>168</v>
      </c>
      <c r="E46" t="s">
        <v>169</v>
      </c>
      <c r="F46" t="s">
        <v>162</v>
      </c>
      <c r="G46" s="3">
        <v>46168</v>
      </c>
      <c r="H46" s="3">
        <v>46184</v>
      </c>
      <c r="I46" s="3">
        <v>46186</v>
      </c>
      <c r="J46" t="s">
        <v>141</v>
      </c>
      <c r="K46" t="s">
        <v>257</v>
      </c>
      <c r="L46" t="s">
        <v>182</v>
      </c>
      <c r="M46" t="s">
        <v>143</v>
      </c>
      <c r="N46" t="s">
        <v>144</v>
      </c>
      <c r="O46">
        <v>874</v>
      </c>
      <c r="P46">
        <v>16</v>
      </c>
      <c r="Q46" t="s">
        <v>145</v>
      </c>
      <c r="S46" t="s">
        <v>164</v>
      </c>
      <c r="T46" s="4">
        <v>0</v>
      </c>
      <c r="U46" s="4">
        <v>211.24</v>
      </c>
      <c r="V46" s="4">
        <v>1</v>
      </c>
      <c r="W46" s="4">
        <v>158.41999999999999</v>
      </c>
      <c r="X46" s="4">
        <v>24.78</v>
      </c>
      <c r="Y46" s="4">
        <v>394.44</v>
      </c>
      <c r="Z46" s="4" t="s">
        <v>147</v>
      </c>
      <c r="AA46" s="4" t="s">
        <v>147</v>
      </c>
      <c r="AB46" s="4">
        <f>SUMIF('Trip Changes'!$B:$B,A46,'Trip Changes'!$E:$E)</f>
        <v>0</v>
      </c>
      <c r="AC46" s="4">
        <f>SUMIF('Trip Cancellations'!$B:$B,A46,'Trip Cancellations'!$E:$E)</f>
        <v>0</v>
      </c>
      <c r="AD46" s="4">
        <f>SUMIF('Trip Cancellations'!$B:$B,A46,'Trip Cancellations'!$F:$F)</f>
        <v>0</v>
      </c>
      <c r="AE46" s="4">
        <f t="shared" si="0"/>
        <v>394.44</v>
      </c>
      <c r="AF46" t="s">
        <v>148</v>
      </c>
      <c r="AG46">
        <v>4</v>
      </c>
      <c r="AH46" s="5">
        <v>35</v>
      </c>
      <c r="AI46" t="s">
        <v>148</v>
      </c>
    </row>
    <row r="47" spans="1:35">
      <c r="A47" t="s">
        <v>260</v>
      </c>
      <c r="B47" t="s">
        <v>261</v>
      </c>
      <c r="C47" t="s">
        <v>182</v>
      </c>
      <c r="D47" t="s">
        <v>168</v>
      </c>
      <c r="E47" t="s">
        <v>262</v>
      </c>
      <c r="F47" t="s">
        <v>162</v>
      </c>
      <c r="G47" s="3">
        <v>46129</v>
      </c>
      <c r="H47" s="3">
        <v>46157</v>
      </c>
      <c r="I47" s="3">
        <v>46160</v>
      </c>
      <c r="J47" t="s">
        <v>163</v>
      </c>
      <c r="K47" t="s">
        <v>182</v>
      </c>
      <c r="L47" t="s">
        <v>151</v>
      </c>
      <c r="M47" t="s">
        <v>152</v>
      </c>
      <c r="N47" t="s">
        <v>153</v>
      </c>
      <c r="O47">
        <v>1872</v>
      </c>
      <c r="P47">
        <v>28</v>
      </c>
      <c r="Q47" t="s">
        <v>145</v>
      </c>
      <c r="R47" t="s">
        <v>154</v>
      </c>
      <c r="S47" t="s">
        <v>190</v>
      </c>
      <c r="T47" s="4">
        <v>296.57</v>
      </c>
      <c r="U47" s="4">
        <v>0</v>
      </c>
      <c r="V47" s="4">
        <v>2</v>
      </c>
      <c r="W47" s="4">
        <v>224.02</v>
      </c>
      <c r="X47" s="4">
        <v>148.16999999999999</v>
      </c>
      <c r="Y47" s="4">
        <v>668.76</v>
      </c>
      <c r="Z47" s="4" t="s">
        <v>147</v>
      </c>
      <c r="AA47" s="4" t="s">
        <v>147</v>
      </c>
      <c r="AB47" s="4">
        <f>SUMIF('Trip Changes'!$B:$B,A47,'Trip Changes'!$E:$E)</f>
        <v>0</v>
      </c>
      <c r="AC47" s="4">
        <f>SUMIF('Trip Cancellations'!$B:$B,A47,'Trip Cancellations'!$E:$E)</f>
        <v>0</v>
      </c>
      <c r="AD47" s="4">
        <f>SUMIF('Trip Cancellations'!$B:$B,A47,'Trip Cancellations'!$F:$F)</f>
        <v>0</v>
      </c>
      <c r="AE47" s="4">
        <f t="shared" si="0"/>
        <v>668.76</v>
      </c>
      <c r="AF47" t="s">
        <v>148</v>
      </c>
      <c r="AG47">
        <v>4</v>
      </c>
      <c r="AH47" s="5">
        <v>280.8</v>
      </c>
      <c r="AI47" t="s">
        <v>147</v>
      </c>
    </row>
    <row r="48" spans="1:35">
      <c r="A48" t="s">
        <v>263</v>
      </c>
      <c r="B48" t="s">
        <v>261</v>
      </c>
      <c r="C48" t="s">
        <v>182</v>
      </c>
      <c r="D48" t="s">
        <v>168</v>
      </c>
      <c r="E48" t="s">
        <v>262</v>
      </c>
      <c r="F48" t="s">
        <v>157</v>
      </c>
      <c r="G48" s="3">
        <v>46221</v>
      </c>
      <c r="H48" s="3">
        <v>46231</v>
      </c>
      <c r="I48" s="3">
        <v>46233</v>
      </c>
      <c r="J48" t="s">
        <v>150</v>
      </c>
      <c r="K48" t="s">
        <v>182</v>
      </c>
      <c r="L48" t="s">
        <v>264</v>
      </c>
      <c r="M48" t="s">
        <v>152</v>
      </c>
      <c r="N48" t="s">
        <v>153</v>
      </c>
      <c r="O48">
        <v>2850</v>
      </c>
      <c r="P48">
        <v>10</v>
      </c>
      <c r="Q48" t="s">
        <v>145</v>
      </c>
      <c r="R48" t="s">
        <v>160</v>
      </c>
      <c r="S48" t="s">
        <v>164</v>
      </c>
      <c r="T48" s="4">
        <v>454.66</v>
      </c>
      <c r="U48" s="4">
        <v>0</v>
      </c>
      <c r="V48" s="4">
        <v>1</v>
      </c>
      <c r="W48" s="4">
        <v>166.16</v>
      </c>
      <c r="X48" s="4">
        <v>78.14</v>
      </c>
      <c r="Y48" s="4">
        <v>698.96</v>
      </c>
      <c r="Z48" s="4" t="s">
        <v>147</v>
      </c>
      <c r="AA48" s="4" t="s">
        <v>147</v>
      </c>
      <c r="AB48" s="4">
        <f>SUMIF('Trip Changes'!$B:$B,A48,'Trip Changes'!$E:$E)</f>
        <v>0</v>
      </c>
      <c r="AC48" s="4">
        <f>SUMIF('Trip Cancellations'!$B:$B,A48,'Trip Cancellations'!$E:$E)</f>
        <v>0</v>
      </c>
      <c r="AD48" s="4">
        <f>SUMIF('Trip Cancellations'!$B:$B,A48,'Trip Cancellations'!$F:$F)</f>
        <v>0</v>
      </c>
      <c r="AE48" s="4">
        <f t="shared" si="0"/>
        <v>698.96</v>
      </c>
      <c r="AF48" t="s">
        <v>148</v>
      </c>
      <c r="AG48">
        <v>5</v>
      </c>
      <c r="AH48" s="5">
        <v>427.5</v>
      </c>
      <c r="AI48" t="s">
        <v>148</v>
      </c>
    </row>
    <row r="49" spans="1:35">
      <c r="A49" t="s">
        <v>265</v>
      </c>
      <c r="B49" t="s">
        <v>261</v>
      </c>
      <c r="C49" t="s">
        <v>182</v>
      </c>
      <c r="D49" t="s">
        <v>168</v>
      </c>
      <c r="E49" t="s">
        <v>262</v>
      </c>
      <c r="F49" t="s">
        <v>170</v>
      </c>
      <c r="G49" s="3">
        <v>46152</v>
      </c>
      <c r="H49" s="3">
        <v>46162</v>
      </c>
      <c r="I49" s="3">
        <v>46164</v>
      </c>
      <c r="J49" t="s">
        <v>163</v>
      </c>
      <c r="K49" t="s">
        <v>182</v>
      </c>
      <c r="L49" t="s">
        <v>233</v>
      </c>
      <c r="M49" t="s">
        <v>152</v>
      </c>
      <c r="N49" t="s">
        <v>153</v>
      </c>
      <c r="O49">
        <v>2290</v>
      </c>
      <c r="P49">
        <v>10</v>
      </c>
      <c r="Q49" t="s">
        <v>159</v>
      </c>
      <c r="R49" t="s">
        <v>176</v>
      </c>
      <c r="S49" t="s">
        <v>190</v>
      </c>
      <c r="T49" s="4">
        <v>415.11</v>
      </c>
      <c r="U49" s="4">
        <v>0</v>
      </c>
      <c r="V49" s="4">
        <v>1</v>
      </c>
      <c r="W49" s="4">
        <v>219.95</v>
      </c>
      <c r="X49" s="4">
        <v>73.430000000000007</v>
      </c>
      <c r="Y49" s="4">
        <v>708.49</v>
      </c>
      <c r="Z49" s="4" t="s">
        <v>147</v>
      </c>
      <c r="AA49" s="4" t="s">
        <v>147</v>
      </c>
      <c r="AB49" s="4">
        <f>SUMIF('Trip Changes'!$B:$B,A49,'Trip Changes'!$E:$E)</f>
        <v>0</v>
      </c>
      <c r="AC49" s="4">
        <f>SUMIF('Trip Cancellations'!$B:$B,A49,'Trip Cancellations'!$E:$E)</f>
        <v>0</v>
      </c>
      <c r="AD49" s="4">
        <f>SUMIF('Trip Cancellations'!$B:$B,A49,'Trip Cancellations'!$F:$F)</f>
        <v>0</v>
      </c>
      <c r="AE49" s="4">
        <f t="shared" si="0"/>
        <v>708.49</v>
      </c>
      <c r="AF49" t="s">
        <v>148</v>
      </c>
      <c r="AG49">
        <v>4</v>
      </c>
      <c r="AH49" s="5">
        <v>343.5</v>
      </c>
      <c r="AI49" t="s">
        <v>148</v>
      </c>
    </row>
    <row r="50" spans="1:35">
      <c r="A50" t="s">
        <v>266</v>
      </c>
      <c r="B50" t="s">
        <v>267</v>
      </c>
      <c r="C50" t="s">
        <v>182</v>
      </c>
      <c r="D50" t="s">
        <v>168</v>
      </c>
      <c r="E50" t="s">
        <v>268</v>
      </c>
      <c r="F50" t="s">
        <v>189</v>
      </c>
      <c r="G50" s="3">
        <v>46215</v>
      </c>
      <c r="H50" s="3">
        <v>46216</v>
      </c>
      <c r="I50" s="3">
        <v>46220</v>
      </c>
      <c r="J50" t="s">
        <v>150</v>
      </c>
      <c r="K50" t="s">
        <v>182</v>
      </c>
      <c r="L50" t="s">
        <v>175</v>
      </c>
      <c r="M50" t="s">
        <v>152</v>
      </c>
      <c r="N50" t="s">
        <v>153</v>
      </c>
      <c r="O50">
        <v>2326</v>
      </c>
      <c r="P50">
        <v>1</v>
      </c>
      <c r="Q50" t="s">
        <v>145</v>
      </c>
      <c r="R50" t="s">
        <v>154</v>
      </c>
      <c r="S50" t="s">
        <v>190</v>
      </c>
      <c r="T50" s="4">
        <v>627.35</v>
      </c>
      <c r="U50" s="4">
        <v>0</v>
      </c>
      <c r="V50" s="4">
        <v>3</v>
      </c>
      <c r="W50" s="4">
        <v>630.38</v>
      </c>
      <c r="X50" s="4">
        <v>71.44</v>
      </c>
      <c r="Y50" s="4">
        <v>1329.17</v>
      </c>
      <c r="Z50" s="4" t="s">
        <v>147</v>
      </c>
      <c r="AA50" s="4" t="s">
        <v>147</v>
      </c>
      <c r="AB50" s="4">
        <f>SUMIF('Trip Changes'!$B:$B,A50,'Trip Changes'!$E:$E)</f>
        <v>0</v>
      </c>
      <c r="AC50" s="4">
        <f>SUMIF('Trip Cancellations'!$B:$B,A50,'Trip Cancellations'!$E:$E)</f>
        <v>0</v>
      </c>
      <c r="AD50" s="4">
        <f>SUMIF('Trip Cancellations'!$B:$B,A50,'Trip Cancellations'!$F:$F)</f>
        <v>0</v>
      </c>
      <c r="AE50" s="4">
        <f t="shared" si="0"/>
        <v>1329.17</v>
      </c>
      <c r="AF50" t="s">
        <v>148</v>
      </c>
      <c r="AG50">
        <v>4</v>
      </c>
      <c r="AH50" s="5">
        <v>348.9</v>
      </c>
      <c r="AI50" t="s">
        <v>148</v>
      </c>
    </row>
    <row r="51" spans="1:35">
      <c r="A51" t="s">
        <v>269</v>
      </c>
      <c r="B51" t="s">
        <v>267</v>
      </c>
      <c r="C51" t="s">
        <v>182</v>
      </c>
      <c r="D51" t="s">
        <v>168</v>
      </c>
      <c r="E51" t="s">
        <v>268</v>
      </c>
      <c r="F51" t="s">
        <v>162</v>
      </c>
      <c r="G51" s="3">
        <v>46218</v>
      </c>
      <c r="H51" s="3">
        <v>46219</v>
      </c>
      <c r="I51" s="3">
        <v>46223</v>
      </c>
      <c r="J51" t="s">
        <v>150</v>
      </c>
      <c r="K51" t="s">
        <v>182</v>
      </c>
      <c r="L51" t="s">
        <v>225</v>
      </c>
      <c r="M51" t="s">
        <v>152</v>
      </c>
      <c r="N51" t="s">
        <v>153</v>
      </c>
      <c r="O51">
        <v>3122</v>
      </c>
      <c r="P51">
        <v>1</v>
      </c>
      <c r="Q51" t="s">
        <v>159</v>
      </c>
      <c r="R51" t="s">
        <v>236</v>
      </c>
      <c r="S51" t="s">
        <v>187</v>
      </c>
      <c r="T51" s="4">
        <v>680.01</v>
      </c>
      <c r="U51" s="4">
        <v>0</v>
      </c>
      <c r="V51" s="4">
        <v>3</v>
      </c>
      <c r="W51" s="4">
        <v>447.22</v>
      </c>
      <c r="X51" s="4">
        <v>93.58</v>
      </c>
      <c r="Y51" s="4">
        <v>1220.81</v>
      </c>
      <c r="Z51" s="4" t="s">
        <v>147</v>
      </c>
      <c r="AA51" s="4" t="s">
        <v>147</v>
      </c>
      <c r="AB51" s="4">
        <f>SUMIF('Trip Changes'!$B:$B,A51,'Trip Changes'!$E:$E)</f>
        <v>0</v>
      </c>
      <c r="AC51" s="4">
        <f>SUMIF('Trip Cancellations'!$B:$B,A51,'Trip Cancellations'!$E:$E)</f>
        <v>0</v>
      </c>
      <c r="AD51" s="4">
        <f>SUMIF('Trip Cancellations'!$B:$B,A51,'Trip Cancellations'!$F:$F)</f>
        <v>0</v>
      </c>
      <c r="AE51" s="4">
        <f t="shared" si="0"/>
        <v>1220.81</v>
      </c>
      <c r="AF51" t="s">
        <v>148</v>
      </c>
      <c r="AG51">
        <v>5</v>
      </c>
      <c r="AH51" s="5">
        <v>468.3</v>
      </c>
      <c r="AI51" t="s">
        <v>148</v>
      </c>
    </row>
    <row r="52" spans="1:35">
      <c r="A52" t="s">
        <v>270</v>
      </c>
      <c r="B52" t="s">
        <v>267</v>
      </c>
      <c r="C52" t="s">
        <v>182</v>
      </c>
      <c r="D52" t="s">
        <v>168</v>
      </c>
      <c r="E52" t="s">
        <v>268</v>
      </c>
      <c r="F52" t="s">
        <v>162</v>
      </c>
      <c r="G52" s="3">
        <v>46163</v>
      </c>
      <c r="H52" s="3">
        <v>46192</v>
      </c>
      <c r="I52" s="3">
        <v>46195</v>
      </c>
      <c r="J52" t="s">
        <v>141</v>
      </c>
      <c r="K52" t="s">
        <v>182</v>
      </c>
      <c r="L52" t="s">
        <v>233</v>
      </c>
      <c r="M52" t="s">
        <v>152</v>
      </c>
      <c r="N52" t="s">
        <v>153</v>
      </c>
      <c r="O52">
        <v>2060</v>
      </c>
      <c r="P52">
        <v>29</v>
      </c>
      <c r="Q52" t="s">
        <v>145</v>
      </c>
      <c r="R52" t="s">
        <v>160</v>
      </c>
      <c r="S52" t="s">
        <v>173</v>
      </c>
      <c r="T52" s="4">
        <v>244.76</v>
      </c>
      <c r="U52" s="4">
        <v>0</v>
      </c>
      <c r="V52" s="4">
        <v>2</v>
      </c>
      <c r="W52" s="4">
        <v>265.77999999999997</v>
      </c>
      <c r="X52" s="4">
        <v>96.69</v>
      </c>
      <c r="Y52" s="4">
        <v>607.23</v>
      </c>
      <c r="Z52" s="4" t="s">
        <v>147</v>
      </c>
      <c r="AA52" s="4" t="s">
        <v>147</v>
      </c>
      <c r="AB52" s="4">
        <f>SUMIF('Trip Changes'!$B:$B,A52,'Trip Changes'!$E:$E)</f>
        <v>0</v>
      </c>
      <c r="AC52" s="4">
        <f>SUMIF('Trip Cancellations'!$B:$B,A52,'Trip Cancellations'!$E:$E)</f>
        <v>0</v>
      </c>
      <c r="AD52" s="4">
        <f>SUMIF('Trip Cancellations'!$B:$B,A52,'Trip Cancellations'!$F:$F)</f>
        <v>0</v>
      </c>
      <c r="AE52" s="4">
        <f t="shared" si="0"/>
        <v>607.23</v>
      </c>
      <c r="AF52" t="s">
        <v>148</v>
      </c>
      <c r="AG52">
        <v>4</v>
      </c>
      <c r="AH52" s="5">
        <v>309</v>
      </c>
      <c r="AI52" t="s">
        <v>147</v>
      </c>
    </row>
    <row r="53" spans="1:35">
      <c r="A53" t="s">
        <v>271</v>
      </c>
      <c r="B53" t="s">
        <v>267</v>
      </c>
      <c r="C53" t="s">
        <v>182</v>
      </c>
      <c r="D53" t="s">
        <v>168</v>
      </c>
      <c r="E53" t="s">
        <v>268</v>
      </c>
      <c r="F53" t="s">
        <v>162</v>
      </c>
      <c r="G53" s="3">
        <v>46138</v>
      </c>
      <c r="H53" s="3">
        <v>46143</v>
      </c>
      <c r="I53" s="3">
        <v>46147</v>
      </c>
      <c r="J53" t="s">
        <v>163</v>
      </c>
      <c r="K53" t="s">
        <v>182</v>
      </c>
      <c r="L53" t="s">
        <v>225</v>
      </c>
      <c r="M53" t="s">
        <v>152</v>
      </c>
      <c r="N53" t="s">
        <v>153</v>
      </c>
      <c r="O53">
        <v>3382</v>
      </c>
      <c r="P53">
        <v>5</v>
      </c>
      <c r="Q53" t="s">
        <v>159</v>
      </c>
      <c r="R53" t="s">
        <v>236</v>
      </c>
      <c r="S53" t="s">
        <v>164</v>
      </c>
      <c r="T53" s="4">
        <v>222.94</v>
      </c>
      <c r="U53" s="4">
        <v>0</v>
      </c>
      <c r="V53" s="4">
        <v>3</v>
      </c>
      <c r="W53" s="4">
        <v>557.53</v>
      </c>
      <c r="X53" s="4">
        <v>81.650000000000006</v>
      </c>
      <c r="Y53" s="4">
        <v>862.12</v>
      </c>
      <c r="Z53" s="4" t="s">
        <v>147</v>
      </c>
      <c r="AA53" s="4" t="s">
        <v>147</v>
      </c>
      <c r="AB53" s="4">
        <f>SUMIF('Trip Changes'!$B:$B,A53,'Trip Changes'!$E:$E)</f>
        <v>0</v>
      </c>
      <c r="AC53" s="4">
        <f>SUMIF('Trip Cancellations'!$B:$B,A53,'Trip Cancellations'!$E:$E)</f>
        <v>0</v>
      </c>
      <c r="AD53" s="4">
        <f>SUMIF('Trip Cancellations'!$B:$B,A53,'Trip Cancellations'!$F:$F)</f>
        <v>0</v>
      </c>
      <c r="AE53" s="4">
        <f t="shared" si="0"/>
        <v>862.12</v>
      </c>
      <c r="AF53" t="s">
        <v>147</v>
      </c>
      <c r="AG53">
        <v>5</v>
      </c>
      <c r="AH53" s="5">
        <v>507.3</v>
      </c>
      <c r="AI53" t="s">
        <v>148</v>
      </c>
    </row>
    <row r="54" spans="1:35">
      <c r="A54" t="s">
        <v>272</v>
      </c>
      <c r="B54" t="s">
        <v>273</v>
      </c>
      <c r="C54" t="s">
        <v>182</v>
      </c>
      <c r="D54" t="s">
        <v>168</v>
      </c>
      <c r="E54" t="s">
        <v>249</v>
      </c>
      <c r="F54" t="s">
        <v>140</v>
      </c>
      <c r="G54" s="3">
        <v>46121</v>
      </c>
      <c r="H54" s="3">
        <v>46148</v>
      </c>
      <c r="I54" s="3">
        <v>46152</v>
      </c>
      <c r="J54" t="s">
        <v>163</v>
      </c>
      <c r="K54" t="s">
        <v>182</v>
      </c>
      <c r="L54" t="s">
        <v>151</v>
      </c>
      <c r="M54" t="s">
        <v>152</v>
      </c>
      <c r="N54" t="s">
        <v>153</v>
      </c>
      <c r="O54">
        <v>3428</v>
      </c>
      <c r="P54">
        <v>27</v>
      </c>
      <c r="Q54" t="s">
        <v>145</v>
      </c>
      <c r="R54" t="s">
        <v>172</v>
      </c>
      <c r="S54" t="s">
        <v>164</v>
      </c>
      <c r="T54" s="4">
        <v>440.14</v>
      </c>
      <c r="U54" s="4">
        <v>0</v>
      </c>
      <c r="V54" s="4">
        <v>3</v>
      </c>
      <c r="W54" s="4">
        <v>701.58</v>
      </c>
      <c r="X54" s="4">
        <v>143.13</v>
      </c>
      <c r="Y54" s="4">
        <v>1284.8499999999999</v>
      </c>
      <c r="Z54" s="4" t="s">
        <v>147</v>
      </c>
      <c r="AA54" s="4" t="s">
        <v>147</v>
      </c>
      <c r="AB54" s="4">
        <f>SUMIF('Trip Changes'!$B:$B,A54,'Trip Changes'!$E:$E)</f>
        <v>0</v>
      </c>
      <c r="AC54" s="4">
        <f>SUMIF('Trip Cancellations'!$B:$B,A54,'Trip Cancellations'!$E:$E)</f>
        <v>0</v>
      </c>
      <c r="AD54" s="4">
        <f>SUMIF('Trip Cancellations'!$B:$B,A54,'Trip Cancellations'!$F:$F)</f>
        <v>0</v>
      </c>
      <c r="AE54" s="4">
        <f t="shared" si="0"/>
        <v>1284.8499999999999</v>
      </c>
      <c r="AF54" t="s">
        <v>148</v>
      </c>
      <c r="AG54">
        <v>3</v>
      </c>
      <c r="AH54" s="5">
        <v>514.20000000000005</v>
      </c>
      <c r="AI54" t="s">
        <v>148</v>
      </c>
    </row>
    <row r="55" spans="1:35">
      <c r="A55" t="s">
        <v>274</v>
      </c>
      <c r="B55" t="s">
        <v>273</v>
      </c>
      <c r="C55" t="s">
        <v>182</v>
      </c>
      <c r="D55" t="s">
        <v>168</v>
      </c>
      <c r="E55" t="s">
        <v>249</v>
      </c>
      <c r="F55" t="s">
        <v>140</v>
      </c>
      <c r="G55" s="3">
        <v>46140</v>
      </c>
      <c r="H55" s="3">
        <v>46155</v>
      </c>
      <c r="I55" s="3">
        <v>46157</v>
      </c>
      <c r="J55" t="s">
        <v>163</v>
      </c>
      <c r="K55" t="s">
        <v>182</v>
      </c>
      <c r="L55" t="s">
        <v>175</v>
      </c>
      <c r="M55" t="s">
        <v>152</v>
      </c>
      <c r="N55" t="s">
        <v>153</v>
      </c>
      <c r="O55">
        <v>2796</v>
      </c>
      <c r="P55">
        <v>15</v>
      </c>
      <c r="Q55" t="s">
        <v>207</v>
      </c>
      <c r="R55" t="s">
        <v>236</v>
      </c>
      <c r="S55" t="s">
        <v>155</v>
      </c>
      <c r="T55" s="4">
        <v>357.43</v>
      </c>
      <c r="U55" s="4">
        <v>0</v>
      </c>
      <c r="V55" s="4">
        <v>1</v>
      </c>
      <c r="W55" s="4">
        <v>201.79</v>
      </c>
      <c r="X55" s="4">
        <v>100.78</v>
      </c>
      <c r="Y55" s="4">
        <v>660</v>
      </c>
      <c r="Z55" s="4" t="s">
        <v>147</v>
      </c>
      <c r="AA55" s="4" t="s">
        <v>147</v>
      </c>
      <c r="AB55" s="4">
        <f>SUMIF('Trip Changes'!$B:$B,A55,'Trip Changes'!$E:$E)</f>
        <v>0</v>
      </c>
      <c r="AC55" s="4">
        <f>SUMIF('Trip Cancellations'!$B:$B,A55,'Trip Cancellations'!$E:$E)</f>
        <v>0</v>
      </c>
      <c r="AD55" s="4">
        <f>SUMIF('Trip Cancellations'!$B:$B,A55,'Trip Cancellations'!$F:$F)</f>
        <v>0</v>
      </c>
      <c r="AE55" s="4">
        <f t="shared" si="0"/>
        <v>660</v>
      </c>
      <c r="AF55" t="s">
        <v>148</v>
      </c>
      <c r="AG55">
        <v>4</v>
      </c>
      <c r="AH55" s="5">
        <v>419.4</v>
      </c>
      <c r="AI55" t="s">
        <v>147</v>
      </c>
    </row>
    <row r="56" spans="1:35">
      <c r="A56" t="s">
        <v>275</v>
      </c>
      <c r="B56" t="s">
        <v>273</v>
      </c>
      <c r="C56" t="s">
        <v>182</v>
      </c>
      <c r="D56" t="s">
        <v>168</v>
      </c>
      <c r="E56" t="s">
        <v>249</v>
      </c>
      <c r="F56" t="s">
        <v>178</v>
      </c>
      <c r="G56" s="3">
        <v>46193</v>
      </c>
      <c r="H56" s="3">
        <v>46210</v>
      </c>
      <c r="I56" s="3">
        <v>46214</v>
      </c>
      <c r="J56" t="s">
        <v>150</v>
      </c>
      <c r="K56" t="s">
        <v>182</v>
      </c>
      <c r="L56" t="s">
        <v>199</v>
      </c>
      <c r="M56" t="s">
        <v>152</v>
      </c>
      <c r="N56" t="s">
        <v>153</v>
      </c>
      <c r="O56">
        <v>2856</v>
      </c>
      <c r="P56">
        <v>17</v>
      </c>
      <c r="Q56" t="s">
        <v>207</v>
      </c>
      <c r="R56" t="s">
        <v>154</v>
      </c>
      <c r="S56" t="s">
        <v>187</v>
      </c>
      <c r="T56" s="4">
        <v>184.84</v>
      </c>
      <c r="U56" s="4">
        <v>0</v>
      </c>
      <c r="V56" s="4">
        <v>3</v>
      </c>
      <c r="W56" s="4">
        <v>672.16</v>
      </c>
      <c r="X56" s="4">
        <v>84.04</v>
      </c>
      <c r="Y56" s="4">
        <v>941.04</v>
      </c>
      <c r="Z56" s="4" t="s">
        <v>147</v>
      </c>
      <c r="AA56" s="4" t="s">
        <v>147</v>
      </c>
      <c r="AB56" s="4">
        <f>SUMIF('Trip Changes'!$B:$B,A56,'Trip Changes'!$E:$E)</f>
        <v>0</v>
      </c>
      <c r="AC56" s="4">
        <f>SUMIF('Trip Cancellations'!$B:$B,A56,'Trip Cancellations'!$E:$E)</f>
        <v>0</v>
      </c>
      <c r="AD56" s="4">
        <f>SUMIF('Trip Cancellations'!$B:$B,A56,'Trip Cancellations'!$F:$F)</f>
        <v>0</v>
      </c>
      <c r="AE56" s="4">
        <f t="shared" si="0"/>
        <v>941.04</v>
      </c>
      <c r="AF56" t="s">
        <v>148</v>
      </c>
      <c r="AG56">
        <v>3</v>
      </c>
      <c r="AH56" s="5">
        <v>428.4</v>
      </c>
      <c r="AI56" t="s">
        <v>147</v>
      </c>
    </row>
    <row r="57" spans="1:35">
      <c r="A57" t="s">
        <v>276</v>
      </c>
      <c r="B57" t="s">
        <v>273</v>
      </c>
      <c r="C57" t="s">
        <v>182</v>
      </c>
      <c r="D57" t="s">
        <v>168</v>
      </c>
      <c r="E57" t="s">
        <v>249</v>
      </c>
      <c r="F57" t="s">
        <v>157</v>
      </c>
      <c r="G57" s="3">
        <v>46165</v>
      </c>
      <c r="H57" s="3">
        <v>46170</v>
      </c>
      <c r="I57" s="3">
        <v>46172</v>
      </c>
      <c r="J57" t="s">
        <v>163</v>
      </c>
      <c r="K57" t="s">
        <v>182</v>
      </c>
      <c r="L57" t="s">
        <v>199</v>
      </c>
      <c r="M57" t="s">
        <v>152</v>
      </c>
      <c r="N57" t="s">
        <v>153</v>
      </c>
      <c r="O57">
        <v>2860</v>
      </c>
      <c r="P57">
        <v>5</v>
      </c>
      <c r="Q57" t="s">
        <v>145</v>
      </c>
      <c r="R57" t="s">
        <v>200</v>
      </c>
      <c r="S57" t="s">
        <v>190</v>
      </c>
      <c r="T57" s="4">
        <v>267.49</v>
      </c>
      <c r="U57" s="4">
        <v>0</v>
      </c>
      <c r="V57" s="4">
        <v>1</v>
      </c>
      <c r="W57" s="4">
        <v>210.25</v>
      </c>
      <c r="X57" s="4">
        <v>105.36</v>
      </c>
      <c r="Y57" s="4">
        <v>583.1</v>
      </c>
      <c r="Z57" s="4" t="s">
        <v>147</v>
      </c>
      <c r="AA57" s="4" t="s">
        <v>147</v>
      </c>
      <c r="AB57" s="4">
        <f>SUMIF('Trip Changes'!$B:$B,A57,'Trip Changes'!$E:$E)</f>
        <v>0</v>
      </c>
      <c r="AC57" s="4">
        <f>SUMIF('Trip Cancellations'!$B:$B,A57,'Trip Cancellations'!$E:$E)</f>
        <v>0</v>
      </c>
      <c r="AD57" s="4">
        <f>SUMIF('Trip Cancellations'!$B:$B,A57,'Trip Cancellations'!$F:$F)</f>
        <v>0</v>
      </c>
      <c r="AE57" s="4">
        <f t="shared" si="0"/>
        <v>583.1</v>
      </c>
      <c r="AF57" t="s">
        <v>148</v>
      </c>
      <c r="AG57">
        <v>4</v>
      </c>
      <c r="AH57" s="5">
        <v>429</v>
      </c>
      <c r="AI57" t="s">
        <v>148</v>
      </c>
    </row>
    <row r="58" spans="1:35">
      <c r="A58" t="s">
        <v>277</v>
      </c>
      <c r="B58" t="s">
        <v>273</v>
      </c>
      <c r="C58" t="s">
        <v>182</v>
      </c>
      <c r="D58" t="s">
        <v>168</v>
      </c>
      <c r="E58" t="s">
        <v>249</v>
      </c>
      <c r="F58" t="s">
        <v>157</v>
      </c>
      <c r="G58" s="3">
        <v>46129</v>
      </c>
      <c r="H58" s="3">
        <v>46150</v>
      </c>
      <c r="I58" s="3">
        <v>46153</v>
      </c>
      <c r="J58" t="s">
        <v>163</v>
      </c>
      <c r="K58" t="s">
        <v>182</v>
      </c>
      <c r="L58" t="s">
        <v>197</v>
      </c>
      <c r="M58" t="s">
        <v>152</v>
      </c>
      <c r="N58" t="s">
        <v>153</v>
      </c>
      <c r="O58">
        <v>10788</v>
      </c>
      <c r="P58">
        <v>21</v>
      </c>
      <c r="Q58" t="s">
        <v>216</v>
      </c>
      <c r="R58" t="s">
        <v>278</v>
      </c>
      <c r="S58" t="s">
        <v>155</v>
      </c>
      <c r="T58" s="4">
        <v>994.78</v>
      </c>
      <c r="U58" s="4">
        <v>0</v>
      </c>
      <c r="V58" s="4">
        <v>2</v>
      </c>
      <c r="W58" s="4">
        <v>445.98</v>
      </c>
      <c r="X58" s="4">
        <v>48.51</v>
      </c>
      <c r="Y58" s="4">
        <v>1489.27</v>
      </c>
      <c r="Z58" s="4" t="s">
        <v>148</v>
      </c>
      <c r="AA58" s="4" t="s">
        <v>148</v>
      </c>
      <c r="AB58" s="4">
        <f>SUMIF('Trip Changes'!$B:$B,A58,'Trip Changes'!$E:$E)</f>
        <v>90.11</v>
      </c>
      <c r="AC58" s="4">
        <f>SUMIF('Trip Cancellations'!$B:$B,A58,'Trip Cancellations'!$E:$E)</f>
        <v>120.25</v>
      </c>
      <c r="AD58" s="4">
        <f>SUMIF('Trip Cancellations'!$B:$B,A58,'Trip Cancellations'!$F:$F)</f>
        <v>1080.57</v>
      </c>
      <c r="AE58" s="4">
        <f t="shared" si="0"/>
        <v>619.05999999999995</v>
      </c>
      <c r="AF58" t="s">
        <v>147</v>
      </c>
      <c r="AG58">
        <v>2</v>
      </c>
      <c r="AH58" s="5">
        <v>1618.2</v>
      </c>
      <c r="AI58" t="s">
        <v>147</v>
      </c>
    </row>
    <row r="59" spans="1:35">
      <c r="A59" t="s">
        <v>279</v>
      </c>
      <c r="B59" t="s">
        <v>273</v>
      </c>
      <c r="C59" t="s">
        <v>182</v>
      </c>
      <c r="D59" t="s">
        <v>168</v>
      </c>
      <c r="E59" t="s">
        <v>249</v>
      </c>
      <c r="F59" t="s">
        <v>207</v>
      </c>
      <c r="G59" s="3">
        <v>46160</v>
      </c>
      <c r="H59" s="3">
        <v>46174</v>
      </c>
      <c r="I59" s="3">
        <v>46176</v>
      </c>
      <c r="J59" t="s">
        <v>141</v>
      </c>
      <c r="K59" t="s">
        <v>182</v>
      </c>
      <c r="L59" t="s">
        <v>158</v>
      </c>
      <c r="M59" t="s">
        <v>152</v>
      </c>
      <c r="N59" t="s">
        <v>153</v>
      </c>
      <c r="O59">
        <v>2762</v>
      </c>
      <c r="P59">
        <v>14</v>
      </c>
      <c r="Q59" t="s">
        <v>159</v>
      </c>
      <c r="R59" t="s">
        <v>160</v>
      </c>
      <c r="S59" t="s">
        <v>187</v>
      </c>
      <c r="T59" s="4">
        <v>557.42999999999995</v>
      </c>
      <c r="U59" s="4">
        <v>0</v>
      </c>
      <c r="V59" s="4">
        <v>1</v>
      </c>
      <c r="W59" s="4">
        <v>188.37</v>
      </c>
      <c r="X59" s="4">
        <v>75.209999999999994</v>
      </c>
      <c r="Y59" s="4">
        <v>821.01</v>
      </c>
      <c r="Z59" s="4" t="s">
        <v>147</v>
      </c>
      <c r="AA59" s="4" t="s">
        <v>147</v>
      </c>
      <c r="AB59" s="4">
        <f>SUMIF('Trip Changes'!$B:$B,A59,'Trip Changes'!$E:$E)</f>
        <v>0</v>
      </c>
      <c r="AC59" s="4">
        <f>SUMIF('Trip Cancellations'!$B:$B,A59,'Trip Cancellations'!$E:$E)</f>
        <v>0</v>
      </c>
      <c r="AD59" s="4">
        <f>SUMIF('Trip Cancellations'!$B:$B,A59,'Trip Cancellations'!$F:$F)</f>
        <v>0</v>
      </c>
      <c r="AE59" s="4">
        <f t="shared" si="0"/>
        <v>821.01</v>
      </c>
      <c r="AF59" t="s">
        <v>148</v>
      </c>
      <c r="AG59">
        <v>5</v>
      </c>
      <c r="AH59" s="5">
        <v>414.3</v>
      </c>
      <c r="AI59" t="s">
        <v>148</v>
      </c>
    </row>
    <row r="60" spans="1:35">
      <c r="A60" t="s">
        <v>280</v>
      </c>
      <c r="B60" t="s">
        <v>281</v>
      </c>
      <c r="C60" t="s">
        <v>282</v>
      </c>
      <c r="D60" t="s">
        <v>230</v>
      </c>
      <c r="E60" t="s">
        <v>139</v>
      </c>
      <c r="F60" t="s">
        <v>181</v>
      </c>
      <c r="G60" s="3">
        <v>46174</v>
      </c>
      <c r="H60" s="3">
        <v>46175</v>
      </c>
      <c r="I60" s="3">
        <v>46180</v>
      </c>
      <c r="J60" t="s">
        <v>141</v>
      </c>
      <c r="K60" t="s">
        <v>282</v>
      </c>
      <c r="L60" t="s">
        <v>283</v>
      </c>
      <c r="M60" t="s">
        <v>152</v>
      </c>
      <c r="N60" t="s">
        <v>153</v>
      </c>
      <c r="O60">
        <v>12828</v>
      </c>
      <c r="P60">
        <v>1</v>
      </c>
      <c r="Q60" t="s">
        <v>207</v>
      </c>
      <c r="R60" t="s">
        <v>154</v>
      </c>
      <c r="S60" t="s">
        <v>173</v>
      </c>
      <c r="T60" s="4">
        <v>942.24</v>
      </c>
      <c r="U60" s="4">
        <v>0</v>
      </c>
      <c r="V60" s="4">
        <v>4</v>
      </c>
      <c r="W60" s="4">
        <v>555.44000000000005</v>
      </c>
      <c r="X60" s="4">
        <v>103.22</v>
      </c>
      <c r="Y60" s="4">
        <v>1600.9</v>
      </c>
      <c r="Z60" s="4" t="s">
        <v>147</v>
      </c>
      <c r="AA60" s="4" t="s">
        <v>147</v>
      </c>
      <c r="AB60" s="4">
        <f>SUMIF('Trip Changes'!$B:$B,A60,'Trip Changes'!$E:$E)</f>
        <v>0</v>
      </c>
      <c r="AC60" s="4">
        <f>SUMIF('Trip Cancellations'!$B:$B,A60,'Trip Cancellations'!$E:$E)</f>
        <v>0</v>
      </c>
      <c r="AD60" s="4">
        <f>SUMIF('Trip Cancellations'!$B:$B,A60,'Trip Cancellations'!$F:$F)</f>
        <v>0</v>
      </c>
      <c r="AE60" s="4">
        <f t="shared" si="0"/>
        <v>1600.9</v>
      </c>
      <c r="AF60" t="s">
        <v>147</v>
      </c>
      <c r="AG60">
        <v>4</v>
      </c>
      <c r="AH60" s="5">
        <v>1924.2</v>
      </c>
      <c r="AI60" t="s">
        <v>148</v>
      </c>
    </row>
    <row r="61" spans="1:35">
      <c r="A61" t="s">
        <v>284</v>
      </c>
      <c r="B61" t="s">
        <v>281</v>
      </c>
      <c r="C61" t="s">
        <v>282</v>
      </c>
      <c r="D61" t="s">
        <v>230</v>
      </c>
      <c r="E61" t="s">
        <v>139</v>
      </c>
      <c r="F61" t="s">
        <v>189</v>
      </c>
      <c r="G61" s="3">
        <v>46173</v>
      </c>
      <c r="H61" s="3">
        <v>46178</v>
      </c>
      <c r="I61" s="3">
        <v>46182</v>
      </c>
      <c r="J61" t="s">
        <v>141</v>
      </c>
      <c r="K61" t="s">
        <v>282</v>
      </c>
      <c r="L61" t="s">
        <v>151</v>
      </c>
      <c r="M61" t="s">
        <v>152</v>
      </c>
      <c r="N61" t="s">
        <v>153</v>
      </c>
      <c r="O61">
        <v>2414</v>
      </c>
      <c r="P61">
        <v>5</v>
      </c>
      <c r="Q61" t="s">
        <v>145</v>
      </c>
      <c r="R61" t="s">
        <v>154</v>
      </c>
      <c r="S61" t="s">
        <v>155</v>
      </c>
      <c r="T61" s="4">
        <v>599.62</v>
      </c>
      <c r="U61" s="4">
        <v>0</v>
      </c>
      <c r="V61" s="4">
        <v>3</v>
      </c>
      <c r="W61" s="4">
        <v>451.81</v>
      </c>
      <c r="X61" s="4">
        <v>103.35</v>
      </c>
      <c r="Y61" s="4">
        <v>1154.78</v>
      </c>
      <c r="Z61" s="4" t="s">
        <v>148</v>
      </c>
      <c r="AA61" s="4" t="s">
        <v>147</v>
      </c>
      <c r="AB61" s="4">
        <f>SUMIF('Trip Changes'!$B:$B,A61,'Trip Changes'!$E:$E)</f>
        <v>108.7</v>
      </c>
      <c r="AC61" s="4">
        <f>SUMIF('Trip Cancellations'!$B:$B,A61,'Trip Cancellations'!$E:$E)</f>
        <v>0</v>
      </c>
      <c r="AD61" s="4">
        <f>SUMIF('Trip Cancellations'!$B:$B,A61,'Trip Cancellations'!$F:$F)</f>
        <v>0</v>
      </c>
      <c r="AE61" s="4">
        <f t="shared" si="0"/>
        <v>1263.48</v>
      </c>
      <c r="AF61" t="s">
        <v>148</v>
      </c>
      <c r="AG61">
        <v>4</v>
      </c>
      <c r="AH61" s="5">
        <v>362.1</v>
      </c>
      <c r="AI61" t="s">
        <v>148</v>
      </c>
    </row>
    <row r="62" spans="1:35">
      <c r="A62" t="s">
        <v>285</v>
      </c>
      <c r="B62" t="s">
        <v>281</v>
      </c>
      <c r="C62" t="s">
        <v>282</v>
      </c>
      <c r="D62" t="s">
        <v>230</v>
      </c>
      <c r="E62" t="s">
        <v>139</v>
      </c>
      <c r="F62" t="s">
        <v>162</v>
      </c>
      <c r="G62" s="3">
        <v>46139</v>
      </c>
      <c r="H62" s="3">
        <v>46151</v>
      </c>
      <c r="I62" s="3">
        <v>46152</v>
      </c>
      <c r="J62" t="s">
        <v>163</v>
      </c>
      <c r="K62" t="s">
        <v>282</v>
      </c>
      <c r="L62" t="s">
        <v>182</v>
      </c>
      <c r="M62" t="s">
        <v>143</v>
      </c>
      <c r="N62" t="s">
        <v>144</v>
      </c>
      <c r="O62">
        <v>614</v>
      </c>
      <c r="P62">
        <v>12</v>
      </c>
      <c r="Q62" t="s">
        <v>145</v>
      </c>
      <c r="T62" s="4">
        <v>0</v>
      </c>
      <c r="U62" s="4">
        <v>138.52000000000001</v>
      </c>
      <c r="V62" s="4">
        <v>0</v>
      </c>
      <c r="W62" s="4">
        <v>0</v>
      </c>
      <c r="X62" s="4">
        <v>29.48</v>
      </c>
      <c r="Y62" s="4">
        <v>168</v>
      </c>
      <c r="Z62" s="4" t="s">
        <v>147</v>
      </c>
      <c r="AA62" s="4" t="s">
        <v>147</v>
      </c>
      <c r="AB62" s="4">
        <f>SUMIF('Trip Changes'!$B:$B,A62,'Trip Changes'!$E:$E)</f>
        <v>0</v>
      </c>
      <c r="AC62" s="4">
        <f>SUMIF('Trip Cancellations'!$B:$B,A62,'Trip Cancellations'!$E:$E)</f>
        <v>0</v>
      </c>
      <c r="AD62" s="4">
        <f>SUMIF('Trip Cancellations'!$B:$B,A62,'Trip Cancellations'!$F:$F)</f>
        <v>0</v>
      </c>
      <c r="AE62" s="4">
        <f t="shared" si="0"/>
        <v>168</v>
      </c>
      <c r="AF62" t="s">
        <v>148</v>
      </c>
      <c r="AG62">
        <v>5</v>
      </c>
      <c r="AH62" s="5">
        <v>24.6</v>
      </c>
      <c r="AI62" t="s">
        <v>147</v>
      </c>
    </row>
    <row r="63" spans="1:35">
      <c r="A63" t="s">
        <v>286</v>
      </c>
      <c r="B63" t="s">
        <v>287</v>
      </c>
      <c r="C63" t="s">
        <v>282</v>
      </c>
      <c r="D63" t="s">
        <v>248</v>
      </c>
      <c r="E63" t="s">
        <v>139</v>
      </c>
      <c r="F63" t="s">
        <v>140</v>
      </c>
      <c r="G63" s="3">
        <v>46125</v>
      </c>
      <c r="H63" s="3">
        <v>46150</v>
      </c>
      <c r="I63" s="3">
        <v>46153</v>
      </c>
      <c r="J63" t="s">
        <v>163</v>
      </c>
      <c r="K63" t="s">
        <v>282</v>
      </c>
      <c r="L63" t="s">
        <v>209</v>
      </c>
      <c r="M63" t="s">
        <v>152</v>
      </c>
      <c r="N63" t="s">
        <v>153</v>
      </c>
      <c r="O63">
        <v>2554</v>
      </c>
      <c r="P63">
        <v>25</v>
      </c>
      <c r="Q63" t="s">
        <v>145</v>
      </c>
      <c r="R63" t="s">
        <v>154</v>
      </c>
      <c r="S63" t="s">
        <v>173</v>
      </c>
      <c r="T63" s="4">
        <v>737.6</v>
      </c>
      <c r="U63" s="4">
        <v>0</v>
      </c>
      <c r="V63" s="4">
        <v>2</v>
      </c>
      <c r="W63" s="4">
        <v>171.29</v>
      </c>
      <c r="X63" s="4">
        <v>78.209999999999994</v>
      </c>
      <c r="Y63" s="4">
        <v>987.1</v>
      </c>
      <c r="Z63" s="4" t="s">
        <v>147</v>
      </c>
      <c r="AA63" s="4" t="s">
        <v>147</v>
      </c>
      <c r="AB63" s="4">
        <f>SUMIF('Trip Changes'!$B:$B,A63,'Trip Changes'!$E:$E)</f>
        <v>0</v>
      </c>
      <c r="AC63" s="4">
        <f>SUMIF('Trip Cancellations'!$B:$B,A63,'Trip Cancellations'!$E:$E)</f>
        <v>0</v>
      </c>
      <c r="AD63" s="4">
        <f>SUMIF('Trip Cancellations'!$B:$B,A63,'Trip Cancellations'!$F:$F)</f>
        <v>0</v>
      </c>
      <c r="AE63" s="4">
        <f t="shared" si="0"/>
        <v>987.1</v>
      </c>
      <c r="AF63" t="s">
        <v>148</v>
      </c>
      <c r="AG63">
        <v>4</v>
      </c>
      <c r="AH63" s="5">
        <v>383.1</v>
      </c>
      <c r="AI63" t="s">
        <v>147</v>
      </c>
    </row>
    <row r="64" spans="1:35">
      <c r="A64" t="s">
        <v>288</v>
      </c>
      <c r="B64" t="s">
        <v>287</v>
      </c>
      <c r="C64" t="s">
        <v>282</v>
      </c>
      <c r="D64" t="s">
        <v>248</v>
      </c>
      <c r="E64" t="s">
        <v>139</v>
      </c>
      <c r="F64" t="s">
        <v>157</v>
      </c>
      <c r="G64" s="3">
        <v>46149</v>
      </c>
      <c r="H64" s="3">
        <v>46174</v>
      </c>
      <c r="I64" s="3">
        <v>46176</v>
      </c>
      <c r="J64" t="s">
        <v>141</v>
      </c>
      <c r="K64" t="s">
        <v>282</v>
      </c>
      <c r="L64" t="s">
        <v>182</v>
      </c>
      <c r="M64" t="s">
        <v>143</v>
      </c>
      <c r="N64" t="s">
        <v>153</v>
      </c>
      <c r="O64">
        <v>652</v>
      </c>
      <c r="P64">
        <v>25</v>
      </c>
      <c r="Q64" t="s">
        <v>207</v>
      </c>
      <c r="R64" t="s">
        <v>176</v>
      </c>
      <c r="S64" t="s">
        <v>164</v>
      </c>
      <c r="T64" s="4">
        <v>351.2</v>
      </c>
      <c r="U64" s="4">
        <v>0</v>
      </c>
      <c r="V64" s="4">
        <v>1</v>
      </c>
      <c r="W64" s="4">
        <v>89.92</v>
      </c>
      <c r="X64" s="4">
        <v>42.15</v>
      </c>
      <c r="Y64" s="4">
        <v>483.27</v>
      </c>
      <c r="Z64" s="4" t="s">
        <v>147</v>
      </c>
      <c r="AA64" s="4" t="s">
        <v>147</v>
      </c>
      <c r="AB64" s="4">
        <f>SUMIF('Trip Changes'!$B:$B,A64,'Trip Changes'!$E:$E)</f>
        <v>0</v>
      </c>
      <c r="AC64" s="4">
        <f>SUMIF('Trip Cancellations'!$B:$B,A64,'Trip Cancellations'!$E:$E)</f>
        <v>0</v>
      </c>
      <c r="AD64" s="4">
        <f>SUMIF('Trip Cancellations'!$B:$B,A64,'Trip Cancellations'!$F:$F)</f>
        <v>0</v>
      </c>
      <c r="AE64" s="4">
        <f t="shared" si="0"/>
        <v>483.27</v>
      </c>
      <c r="AF64" t="s">
        <v>148</v>
      </c>
      <c r="AG64">
        <v>4</v>
      </c>
      <c r="AH64" s="5">
        <v>97.8</v>
      </c>
      <c r="AI64" t="s">
        <v>147</v>
      </c>
    </row>
    <row r="65" spans="1:35">
      <c r="A65" t="s">
        <v>289</v>
      </c>
      <c r="B65" t="s">
        <v>287</v>
      </c>
      <c r="C65" t="s">
        <v>282</v>
      </c>
      <c r="D65" t="s">
        <v>248</v>
      </c>
      <c r="E65" t="s">
        <v>139</v>
      </c>
      <c r="F65" t="s">
        <v>178</v>
      </c>
      <c r="G65" s="3">
        <v>46157</v>
      </c>
      <c r="H65" s="3">
        <v>46183</v>
      </c>
      <c r="I65" s="3">
        <v>46185</v>
      </c>
      <c r="J65" t="s">
        <v>141</v>
      </c>
      <c r="K65" t="s">
        <v>282</v>
      </c>
      <c r="L65" t="s">
        <v>158</v>
      </c>
      <c r="M65" t="s">
        <v>152</v>
      </c>
      <c r="N65" t="s">
        <v>153</v>
      </c>
      <c r="O65">
        <v>2318</v>
      </c>
      <c r="P65">
        <v>26</v>
      </c>
      <c r="Q65" t="s">
        <v>145</v>
      </c>
      <c r="R65" t="s">
        <v>160</v>
      </c>
      <c r="S65" t="s">
        <v>190</v>
      </c>
      <c r="T65" s="4">
        <v>387.83</v>
      </c>
      <c r="U65" s="4">
        <v>0</v>
      </c>
      <c r="V65" s="4">
        <v>1</v>
      </c>
      <c r="W65" s="4">
        <v>171.65</v>
      </c>
      <c r="X65" s="4">
        <v>63.41</v>
      </c>
      <c r="Y65" s="4">
        <v>622.89</v>
      </c>
      <c r="Z65" s="4" t="s">
        <v>147</v>
      </c>
      <c r="AA65" s="4" t="s">
        <v>147</v>
      </c>
      <c r="AB65" s="4">
        <f>SUMIF('Trip Changes'!$B:$B,A65,'Trip Changes'!$E:$E)</f>
        <v>0</v>
      </c>
      <c r="AC65" s="4">
        <f>SUMIF('Trip Cancellations'!$B:$B,A65,'Trip Cancellations'!$E:$E)</f>
        <v>0</v>
      </c>
      <c r="AD65" s="4">
        <f>SUMIF('Trip Cancellations'!$B:$B,A65,'Trip Cancellations'!$F:$F)</f>
        <v>0</v>
      </c>
      <c r="AE65" s="4">
        <f t="shared" si="0"/>
        <v>622.89</v>
      </c>
      <c r="AF65" t="s">
        <v>148</v>
      </c>
      <c r="AG65">
        <v>4</v>
      </c>
      <c r="AH65" s="5">
        <v>347.7</v>
      </c>
      <c r="AI65" t="s">
        <v>148</v>
      </c>
    </row>
    <row r="66" spans="1:35">
      <c r="A66" t="s">
        <v>290</v>
      </c>
      <c r="B66" t="s">
        <v>287</v>
      </c>
      <c r="C66" t="s">
        <v>282</v>
      </c>
      <c r="D66" t="s">
        <v>248</v>
      </c>
      <c r="E66" t="s">
        <v>139</v>
      </c>
      <c r="F66" t="s">
        <v>140</v>
      </c>
      <c r="G66" s="3">
        <v>46204</v>
      </c>
      <c r="H66" s="3">
        <v>46216</v>
      </c>
      <c r="I66" s="3">
        <v>46219</v>
      </c>
      <c r="J66" t="s">
        <v>150</v>
      </c>
      <c r="K66" t="s">
        <v>282</v>
      </c>
      <c r="L66" t="s">
        <v>199</v>
      </c>
      <c r="M66" t="s">
        <v>152</v>
      </c>
      <c r="N66" t="s">
        <v>153</v>
      </c>
      <c r="O66">
        <v>3482</v>
      </c>
      <c r="P66">
        <v>12</v>
      </c>
      <c r="Q66" t="s">
        <v>145</v>
      </c>
      <c r="R66" t="s">
        <v>291</v>
      </c>
      <c r="S66" t="s">
        <v>173</v>
      </c>
      <c r="T66" s="4">
        <v>382.84</v>
      </c>
      <c r="U66" s="4">
        <v>0</v>
      </c>
      <c r="V66" s="4">
        <v>2</v>
      </c>
      <c r="W66" s="4">
        <v>312.55</v>
      </c>
      <c r="X66" s="4">
        <v>139.34</v>
      </c>
      <c r="Y66" s="4">
        <v>834.73</v>
      </c>
      <c r="Z66" s="4" t="s">
        <v>147</v>
      </c>
      <c r="AA66" s="4" t="s">
        <v>147</v>
      </c>
      <c r="AB66" s="4">
        <f>SUMIF('Trip Changes'!$B:$B,A66,'Trip Changes'!$E:$E)</f>
        <v>0</v>
      </c>
      <c r="AC66" s="4">
        <f>SUMIF('Trip Cancellations'!$B:$B,A66,'Trip Cancellations'!$E:$E)</f>
        <v>0</v>
      </c>
      <c r="AD66" s="4">
        <f>SUMIF('Trip Cancellations'!$B:$B,A66,'Trip Cancellations'!$F:$F)</f>
        <v>0</v>
      </c>
      <c r="AE66" s="4">
        <f t="shared" ref="AE66:AE129" si="1">Y66+AB66+AC66-AD66</f>
        <v>834.73</v>
      </c>
      <c r="AF66" t="s">
        <v>147</v>
      </c>
      <c r="AG66">
        <v>4</v>
      </c>
      <c r="AH66" s="5">
        <v>522.29999999999995</v>
      </c>
      <c r="AI66" t="s">
        <v>148</v>
      </c>
    </row>
    <row r="67" spans="1:35">
      <c r="A67" t="s">
        <v>292</v>
      </c>
      <c r="B67" t="s">
        <v>293</v>
      </c>
      <c r="C67" t="s">
        <v>257</v>
      </c>
      <c r="D67" t="s">
        <v>138</v>
      </c>
      <c r="E67" t="s">
        <v>139</v>
      </c>
      <c r="F67" t="s">
        <v>189</v>
      </c>
      <c r="G67" s="3">
        <v>46146</v>
      </c>
      <c r="H67" s="3">
        <v>46163</v>
      </c>
      <c r="I67" s="3">
        <v>46168</v>
      </c>
      <c r="J67" t="s">
        <v>163</v>
      </c>
      <c r="K67" t="s">
        <v>257</v>
      </c>
      <c r="L67" t="s">
        <v>225</v>
      </c>
      <c r="M67" t="s">
        <v>152</v>
      </c>
      <c r="N67" t="s">
        <v>153</v>
      </c>
      <c r="O67">
        <v>3564</v>
      </c>
      <c r="P67">
        <v>17</v>
      </c>
      <c r="Q67" t="s">
        <v>159</v>
      </c>
      <c r="R67" t="s">
        <v>236</v>
      </c>
      <c r="S67" t="s">
        <v>164</v>
      </c>
      <c r="T67" s="4">
        <v>410.21</v>
      </c>
      <c r="U67" s="4">
        <v>0</v>
      </c>
      <c r="V67" s="4">
        <v>4</v>
      </c>
      <c r="W67" s="4">
        <v>858.22</v>
      </c>
      <c r="X67" s="4">
        <v>107.22</v>
      </c>
      <c r="Y67" s="4">
        <v>1375.65</v>
      </c>
      <c r="Z67" s="4" t="s">
        <v>147</v>
      </c>
      <c r="AA67" s="4" t="s">
        <v>148</v>
      </c>
      <c r="AB67" s="4">
        <f>SUMIF('Trip Changes'!$B:$B,A67,'Trip Changes'!$E:$E)</f>
        <v>0</v>
      </c>
      <c r="AC67" s="4">
        <f>SUMIF('Trip Cancellations'!$B:$B,A67,'Trip Cancellations'!$E:$E)</f>
        <v>66</v>
      </c>
      <c r="AD67" s="4">
        <f>SUMIF('Trip Cancellations'!$B:$B,A67,'Trip Cancellations'!$F:$F)</f>
        <v>951.32</v>
      </c>
      <c r="AE67" s="4">
        <f t="shared" si="1"/>
        <v>490.33000000000004</v>
      </c>
      <c r="AF67" t="s">
        <v>148</v>
      </c>
      <c r="AG67">
        <v>4</v>
      </c>
      <c r="AH67" s="5">
        <v>534.6</v>
      </c>
      <c r="AI67" t="s">
        <v>147</v>
      </c>
    </row>
    <row r="68" spans="1:35">
      <c r="A68" t="s">
        <v>294</v>
      </c>
      <c r="B68" t="s">
        <v>293</v>
      </c>
      <c r="C68" t="s">
        <v>257</v>
      </c>
      <c r="D68" t="s">
        <v>138</v>
      </c>
      <c r="E68" t="s">
        <v>139</v>
      </c>
      <c r="F68" t="s">
        <v>162</v>
      </c>
      <c r="G68" s="3">
        <v>46178</v>
      </c>
      <c r="H68" s="3">
        <v>46194</v>
      </c>
      <c r="I68" s="3">
        <v>46197</v>
      </c>
      <c r="J68" t="s">
        <v>141</v>
      </c>
      <c r="K68" t="s">
        <v>257</v>
      </c>
      <c r="L68" t="s">
        <v>233</v>
      </c>
      <c r="M68" t="s">
        <v>152</v>
      </c>
      <c r="N68" t="s">
        <v>153</v>
      </c>
      <c r="O68">
        <v>3504</v>
      </c>
      <c r="P68">
        <v>16</v>
      </c>
      <c r="Q68" t="s">
        <v>145</v>
      </c>
      <c r="R68" t="s">
        <v>160</v>
      </c>
      <c r="S68" t="s">
        <v>187</v>
      </c>
      <c r="T68" s="4">
        <v>419.91</v>
      </c>
      <c r="U68" s="4">
        <v>0</v>
      </c>
      <c r="V68" s="4">
        <v>2</v>
      </c>
      <c r="W68" s="4">
        <v>357.49</v>
      </c>
      <c r="X68" s="4">
        <v>88.9</v>
      </c>
      <c r="Y68" s="4">
        <v>866.3</v>
      </c>
      <c r="Z68" s="4" t="s">
        <v>148</v>
      </c>
      <c r="AA68" s="4" t="s">
        <v>147</v>
      </c>
      <c r="AB68" s="4">
        <f>SUMIF('Trip Changes'!$B:$B,A68,'Trip Changes'!$E:$E)</f>
        <v>83.31</v>
      </c>
      <c r="AC68" s="4">
        <f>SUMIF('Trip Cancellations'!$B:$B,A68,'Trip Cancellations'!$E:$E)</f>
        <v>0</v>
      </c>
      <c r="AD68" s="4">
        <f>SUMIF('Trip Cancellations'!$B:$B,A68,'Trip Cancellations'!$F:$F)</f>
        <v>0</v>
      </c>
      <c r="AE68" s="4">
        <f t="shared" si="1"/>
        <v>949.6099999999999</v>
      </c>
      <c r="AF68" t="s">
        <v>148</v>
      </c>
      <c r="AG68">
        <v>5</v>
      </c>
      <c r="AH68" s="5">
        <v>525.6</v>
      </c>
      <c r="AI68" t="s">
        <v>147</v>
      </c>
    </row>
    <row r="69" spans="1:35">
      <c r="A69" t="s">
        <v>295</v>
      </c>
      <c r="B69" t="s">
        <v>293</v>
      </c>
      <c r="C69" t="s">
        <v>257</v>
      </c>
      <c r="D69" t="s">
        <v>138</v>
      </c>
      <c r="E69" t="s">
        <v>139</v>
      </c>
      <c r="F69" t="s">
        <v>140</v>
      </c>
      <c r="G69" s="3">
        <v>46170</v>
      </c>
      <c r="H69" s="3">
        <v>46182</v>
      </c>
      <c r="I69" s="3">
        <v>46186</v>
      </c>
      <c r="J69" t="s">
        <v>141</v>
      </c>
      <c r="K69" t="s">
        <v>257</v>
      </c>
      <c r="L69" t="s">
        <v>225</v>
      </c>
      <c r="M69" t="s">
        <v>152</v>
      </c>
      <c r="N69" t="s">
        <v>153</v>
      </c>
      <c r="O69">
        <v>2540</v>
      </c>
      <c r="P69">
        <v>12</v>
      </c>
      <c r="Q69" t="s">
        <v>159</v>
      </c>
      <c r="R69" t="s">
        <v>176</v>
      </c>
      <c r="S69" t="s">
        <v>155</v>
      </c>
      <c r="T69" s="4">
        <v>606.98</v>
      </c>
      <c r="U69" s="4">
        <v>0</v>
      </c>
      <c r="V69" s="4">
        <v>3</v>
      </c>
      <c r="W69" s="4">
        <v>658.51</v>
      </c>
      <c r="X69" s="4">
        <v>64.25</v>
      </c>
      <c r="Y69" s="4">
        <v>1329.74</v>
      </c>
      <c r="Z69" s="4" t="s">
        <v>147</v>
      </c>
      <c r="AA69" s="4" t="s">
        <v>148</v>
      </c>
      <c r="AB69" s="4">
        <f>SUMIF('Trip Changes'!$B:$B,A69,'Trip Changes'!$E:$E)</f>
        <v>0</v>
      </c>
      <c r="AC69" s="4">
        <f>SUMIF('Trip Cancellations'!$B:$B,A69,'Trip Cancellations'!$E:$E)</f>
        <v>164.93</v>
      </c>
      <c r="AD69" s="4">
        <f>SUMIF('Trip Cancellations'!$B:$B,A69,'Trip Cancellations'!$F:$F)</f>
        <v>949.12</v>
      </c>
      <c r="AE69" s="4">
        <f t="shared" si="1"/>
        <v>545.55000000000007</v>
      </c>
      <c r="AF69" t="s">
        <v>148</v>
      </c>
      <c r="AG69">
        <v>3</v>
      </c>
      <c r="AH69" s="5">
        <v>381</v>
      </c>
      <c r="AI69" t="s">
        <v>148</v>
      </c>
    </row>
    <row r="70" spans="1:35">
      <c r="A70" t="s">
        <v>296</v>
      </c>
      <c r="B70" t="s">
        <v>293</v>
      </c>
      <c r="C70" t="s">
        <v>257</v>
      </c>
      <c r="D70" t="s">
        <v>138</v>
      </c>
      <c r="E70" t="s">
        <v>139</v>
      </c>
      <c r="F70" t="s">
        <v>140</v>
      </c>
      <c r="G70" s="3">
        <v>46175</v>
      </c>
      <c r="H70" s="3">
        <v>46184</v>
      </c>
      <c r="I70" s="3">
        <v>46188</v>
      </c>
      <c r="J70" t="s">
        <v>141</v>
      </c>
      <c r="K70" t="s">
        <v>257</v>
      </c>
      <c r="L70" t="s">
        <v>225</v>
      </c>
      <c r="M70" t="s">
        <v>152</v>
      </c>
      <c r="N70" t="s">
        <v>153</v>
      </c>
      <c r="O70">
        <v>3390</v>
      </c>
      <c r="P70">
        <v>9</v>
      </c>
      <c r="Q70" t="s">
        <v>145</v>
      </c>
      <c r="R70" t="s">
        <v>236</v>
      </c>
      <c r="S70" t="s">
        <v>155</v>
      </c>
      <c r="T70" s="4">
        <v>453.07</v>
      </c>
      <c r="U70" s="4">
        <v>0</v>
      </c>
      <c r="V70" s="4">
        <v>3</v>
      </c>
      <c r="W70" s="4">
        <v>658.18</v>
      </c>
      <c r="X70" s="4">
        <v>108.24</v>
      </c>
      <c r="Y70" s="4">
        <v>1219.49</v>
      </c>
      <c r="Z70" s="4" t="s">
        <v>147</v>
      </c>
      <c r="AA70" s="4" t="s">
        <v>148</v>
      </c>
      <c r="AB70" s="4">
        <f>SUMIF('Trip Changes'!$B:$B,A70,'Trip Changes'!$E:$E)</f>
        <v>0</v>
      </c>
      <c r="AC70" s="4">
        <f>SUMIF('Trip Cancellations'!$B:$B,A70,'Trip Cancellations'!$E:$E)</f>
        <v>88.51</v>
      </c>
      <c r="AD70" s="4">
        <f>SUMIF('Trip Cancellations'!$B:$B,A70,'Trip Cancellations'!$F:$F)</f>
        <v>555.62</v>
      </c>
      <c r="AE70" s="4">
        <f t="shared" si="1"/>
        <v>752.38</v>
      </c>
      <c r="AF70" t="s">
        <v>148</v>
      </c>
      <c r="AG70">
        <v>3</v>
      </c>
      <c r="AH70" s="5">
        <v>508.5</v>
      </c>
      <c r="AI70" t="s">
        <v>147</v>
      </c>
    </row>
    <row r="71" spans="1:35">
      <c r="A71" t="s">
        <v>297</v>
      </c>
      <c r="B71" t="s">
        <v>293</v>
      </c>
      <c r="C71" t="s">
        <v>257</v>
      </c>
      <c r="D71" t="s">
        <v>138</v>
      </c>
      <c r="E71" t="s">
        <v>139</v>
      </c>
      <c r="F71" t="s">
        <v>140</v>
      </c>
      <c r="G71" s="3">
        <v>46154</v>
      </c>
      <c r="H71" s="3">
        <v>46171</v>
      </c>
      <c r="I71" s="3">
        <v>46175</v>
      </c>
      <c r="J71" t="s">
        <v>163</v>
      </c>
      <c r="K71" t="s">
        <v>257</v>
      </c>
      <c r="L71" t="s">
        <v>151</v>
      </c>
      <c r="M71" t="s">
        <v>152</v>
      </c>
      <c r="N71" t="s">
        <v>153</v>
      </c>
      <c r="O71">
        <v>2230</v>
      </c>
      <c r="P71">
        <v>17</v>
      </c>
      <c r="Q71" t="s">
        <v>159</v>
      </c>
      <c r="R71" t="s">
        <v>172</v>
      </c>
      <c r="S71" t="s">
        <v>187</v>
      </c>
      <c r="T71" s="4">
        <v>434.02</v>
      </c>
      <c r="U71" s="4">
        <v>0</v>
      </c>
      <c r="V71" s="4">
        <v>3</v>
      </c>
      <c r="W71" s="4">
        <v>477.59</v>
      </c>
      <c r="X71" s="4">
        <v>104.97</v>
      </c>
      <c r="Y71" s="4">
        <v>1016.58</v>
      </c>
      <c r="Z71" s="4" t="s">
        <v>147</v>
      </c>
      <c r="AA71" s="4" t="s">
        <v>147</v>
      </c>
      <c r="AB71" s="4">
        <f>SUMIF('Trip Changes'!$B:$B,A71,'Trip Changes'!$E:$E)</f>
        <v>0</v>
      </c>
      <c r="AC71" s="4">
        <f>SUMIF('Trip Cancellations'!$B:$B,A71,'Trip Cancellations'!$E:$E)</f>
        <v>0</v>
      </c>
      <c r="AD71" s="4">
        <f>SUMIF('Trip Cancellations'!$B:$B,A71,'Trip Cancellations'!$F:$F)</f>
        <v>0</v>
      </c>
      <c r="AE71" s="4">
        <f t="shared" si="1"/>
        <v>1016.58</v>
      </c>
      <c r="AF71" t="s">
        <v>148</v>
      </c>
      <c r="AG71">
        <v>4</v>
      </c>
      <c r="AH71" s="5">
        <v>334.5</v>
      </c>
      <c r="AI71" t="s">
        <v>148</v>
      </c>
    </row>
    <row r="72" spans="1:35">
      <c r="A72" t="s">
        <v>298</v>
      </c>
      <c r="B72" t="s">
        <v>293</v>
      </c>
      <c r="C72" t="s">
        <v>257</v>
      </c>
      <c r="D72" t="s">
        <v>138</v>
      </c>
      <c r="E72" t="s">
        <v>139</v>
      </c>
      <c r="F72" t="s">
        <v>162</v>
      </c>
      <c r="G72" s="3">
        <v>46140</v>
      </c>
      <c r="H72" s="3">
        <v>46164</v>
      </c>
      <c r="I72" s="3">
        <v>46165</v>
      </c>
      <c r="J72" t="s">
        <v>163</v>
      </c>
      <c r="K72" t="s">
        <v>257</v>
      </c>
      <c r="L72" t="s">
        <v>182</v>
      </c>
      <c r="M72" t="s">
        <v>143</v>
      </c>
      <c r="N72" t="s">
        <v>144</v>
      </c>
      <c r="O72">
        <v>704</v>
      </c>
      <c r="P72">
        <v>24</v>
      </c>
      <c r="Q72" t="s">
        <v>145</v>
      </c>
      <c r="T72" s="4">
        <v>0</v>
      </c>
      <c r="U72" s="4">
        <v>208.29</v>
      </c>
      <c r="V72" s="4">
        <v>0</v>
      </c>
      <c r="W72" s="4">
        <v>0</v>
      </c>
      <c r="X72" s="4">
        <v>49.87</v>
      </c>
      <c r="Y72" s="4">
        <v>258.16000000000003</v>
      </c>
      <c r="Z72" s="4" t="s">
        <v>147</v>
      </c>
      <c r="AA72" s="4" t="s">
        <v>148</v>
      </c>
      <c r="AB72" s="4">
        <f>SUMIF('Trip Changes'!$B:$B,A72,'Trip Changes'!$E:$E)</f>
        <v>0</v>
      </c>
      <c r="AC72" s="4">
        <f>SUMIF('Trip Cancellations'!$B:$B,A72,'Trip Cancellations'!$E:$E)</f>
        <v>102.19</v>
      </c>
      <c r="AD72" s="4">
        <f>SUMIF('Trip Cancellations'!$B:$B,A72,'Trip Cancellations'!$F:$F)</f>
        <v>52.07</v>
      </c>
      <c r="AE72" s="4">
        <f t="shared" si="1"/>
        <v>308.28000000000003</v>
      </c>
      <c r="AF72" t="s">
        <v>148</v>
      </c>
      <c r="AG72">
        <v>4</v>
      </c>
      <c r="AH72" s="5">
        <v>28.2</v>
      </c>
      <c r="AI72" t="s">
        <v>148</v>
      </c>
    </row>
    <row r="73" spans="1:35">
      <c r="A73" t="s">
        <v>299</v>
      </c>
      <c r="B73" t="s">
        <v>300</v>
      </c>
      <c r="C73" t="s">
        <v>182</v>
      </c>
      <c r="D73" t="s">
        <v>168</v>
      </c>
      <c r="E73" t="s">
        <v>139</v>
      </c>
      <c r="F73" t="s">
        <v>157</v>
      </c>
      <c r="G73" s="3">
        <v>46175</v>
      </c>
      <c r="H73" s="3">
        <v>46182</v>
      </c>
      <c r="I73" s="3">
        <v>46186</v>
      </c>
      <c r="J73" t="s">
        <v>141</v>
      </c>
      <c r="K73" t="s">
        <v>182</v>
      </c>
      <c r="L73" t="s">
        <v>240</v>
      </c>
      <c r="M73" t="s">
        <v>152</v>
      </c>
      <c r="N73" t="s">
        <v>153</v>
      </c>
      <c r="O73">
        <v>11634</v>
      </c>
      <c r="P73">
        <v>7</v>
      </c>
      <c r="Q73" t="s">
        <v>145</v>
      </c>
      <c r="R73" t="s">
        <v>154</v>
      </c>
      <c r="S73" t="s">
        <v>164</v>
      </c>
      <c r="T73" s="4">
        <v>1496.78</v>
      </c>
      <c r="U73" s="4">
        <v>0</v>
      </c>
      <c r="V73" s="4">
        <v>3</v>
      </c>
      <c r="W73" s="4">
        <v>508.44</v>
      </c>
      <c r="X73" s="4">
        <v>88.81</v>
      </c>
      <c r="Y73" s="4">
        <v>2094.0300000000002</v>
      </c>
      <c r="Z73" s="4" t="s">
        <v>147</v>
      </c>
      <c r="AA73" s="4" t="s">
        <v>148</v>
      </c>
      <c r="AB73" s="4">
        <f>SUMIF('Trip Changes'!$B:$B,A73,'Trip Changes'!$E:$E)</f>
        <v>0</v>
      </c>
      <c r="AC73" s="4">
        <f>SUMIF('Trip Cancellations'!$B:$B,A73,'Trip Cancellations'!$E:$E)</f>
        <v>78.010000000000005</v>
      </c>
      <c r="AD73" s="4">
        <f>SUMIF('Trip Cancellations'!$B:$B,A73,'Trip Cancellations'!$F:$F)</f>
        <v>1804.7</v>
      </c>
      <c r="AE73" s="4">
        <f t="shared" si="1"/>
        <v>367.34000000000037</v>
      </c>
      <c r="AF73" t="s">
        <v>148</v>
      </c>
      <c r="AG73">
        <v>3</v>
      </c>
      <c r="AH73" s="5">
        <v>1745.1</v>
      </c>
      <c r="AI73" t="s">
        <v>147</v>
      </c>
    </row>
    <row r="74" spans="1:35">
      <c r="A74" t="s">
        <v>301</v>
      </c>
      <c r="B74" t="s">
        <v>300</v>
      </c>
      <c r="C74" t="s">
        <v>182</v>
      </c>
      <c r="D74" t="s">
        <v>168</v>
      </c>
      <c r="E74" t="s">
        <v>139</v>
      </c>
      <c r="F74" t="s">
        <v>140</v>
      </c>
      <c r="G74" s="3">
        <v>46187</v>
      </c>
      <c r="H74" s="3">
        <v>46197</v>
      </c>
      <c r="I74" s="3">
        <v>46200</v>
      </c>
      <c r="J74" t="s">
        <v>141</v>
      </c>
      <c r="K74" t="s">
        <v>182</v>
      </c>
      <c r="L74" t="s">
        <v>197</v>
      </c>
      <c r="M74" t="s">
        <v>152</v>
      </c>
      <c r="N74" t="s">
        <v>153</v>
      </c>
      <c r="O74">
        <v>11890</v>
      </c>
      <c r="P74">
        <v>10</v>
      </c>
      <c r="Q74" t="s">
        <v>159</v>
      </c>
      <c r="R74" t="s">
        <v>154</v>
      </c>
      <c r="S74" t="s">
        <v>155</v>
      </c>
      <c r="T74" s="4">
        <v>1155.92</v>
      </c>
      <c r="U74" s="4">
        <v>0</v>
      </c>
      <c r="V74" s="4">
        <v>2</v>
      </c>
      <c r="W74" s="4">
        <v>340.7</v>
      </c>
      <c r="X74" s="4">
        <v>79.45</v>
      </c>
      <c r="Y74" s="4">
        <v>1576.07</v>
      </c>
      <c r="Z74" s="4" t="s">
        <v>147</v>
      </c>
      <c r="AA74" s="4" t="s">
        <v>147</v>
      </c>
      <c r="AB74" s="4">
        <f>SUMIF('Trip Changes'!$B:$B,A74,'Trip Changes'!$E:$E)</f>
        <v>0</v>
      </c>
      <c r="AC74" s="4">
        <f>SUMIF('Trip Cancellations'!$B:$B,A74,'Trip Cancellations'!$E:$E)</f>
        <v>0</v>
      </c>
      <c r="AD74" s="4">
        <f>SUMIF('Trip Cancellations'!$B:$B,A74,'Trip Cancellations'!$F:$F)</f>
        <v>0</v>
      </c>
      <c r="AE74" s="4">
        <f t="shared" si="1"/>
        <v>1576.07</v>
      </c>
      <c r="AF74" t="s">
        <v>148</v>
      </c>
      <c r="AG74">
        <v>5</v>
      </c>
      <c r="AH74" s="5">
        <v>1783.5</v>
      </c>
      <c r="AI74" t="s">
        <v>148</v>
      </c>
    </row>
    <row r="75" spans="1:35">
      <c r="A75" t="s">
        <v>302</v>
      </c>
      <c r="B75" t="s">
        <v>300</v>
      </c>
      <c r="C75" t="s">
        <v>182</v>
      </c>
      <c r="D75" t="s">
        <v>168</v>
      </c>
      <c r="E75" t="s">
        <v>139</v>
      </c>
      <c r="F75" t="s">
        <v>189</v>
      </c>
      <c r="G75" s="3">
        <v>46232</v>
      </c>
      <c r="H75" s="3">
        <v>46233</v>
      </c>
      <c r="I75" s="3">
        <v>46236</v>
      </c>
      <c r="J75" t="s">
        <v>150</v>
      </c>
      <c r="K75" t="s">
        <v>182</v>
      </c>
      <c r="L75" t="s">
        <v>151</v>
      </c>
      <c r="M75" t="s">
        <v>152</v>
      </c>
      <c r="N75" t="s">
        <v>153</v>
      </c>
      <c r="O75">
        <v>1108</v>
      </c>
      <c r="P75">
        <v>1</v>
      </c>
      <c r="Q75" t="s">
        <v>145</v>
      </c>
      <c r="R75" t="s">
        <v>154</v>
      </c>
      <c r="S75" t="s">
        <v>187</v>
      </c>
      <c r="T75" s="4">
        <v>295.72000000000003</v>
      </c>
      <c r="U75" s="4">
        <v>0</v>
      </c>
      <c r="V75" s="4">
        <v>2</v>
      </c>
      <c r="W75" s="4">
        <v>261.35000000000002</v>
      </c>
      <c r="X75" s="4">
        <v>44.07</v>
      </c>
      <c r="Y75" s="4">
        <v>601.14</v>
      </c>
      <c r="Z75" s="4" t="s">
        <v>147</v>
      </c>
      <c r="AA75" s="4" t="s">
        <v>147</v>
      </c>
      <c r="AB75" s="4">
        <f>SUMIF('Trip Changes'!$B:$B,A75,'Trip Changes'!$E:$E)</f>
        <v>0</v>
      </c>
      <c r="AC75" s="4">
        <f>SUMIF('Trip Cancellations'!$B:$B,A75,'Trip Cancellations'!$E:$E)</f>
        <v>0</v>
      </c>
      <c r="AD75" s="4">
        <f>SUMIF('Trip Cancellations'!$B:$B,A75,'Trip Cancellations'!$F:$F)</f>
        <v>0</v>
      </c>
      <c r="AE75" s="4">
        <f t="shared" si="1"/>
        <v>601.14</v>
      </c>
      <c r="AF75" t="s">
        <v>148</v>
      </c>
      <c r="AG75">
        <v>4</v>
      </c>
      <c r="AH75" s="5">
        <v>166.2</v>
      </c>
      <c r="AI75" t="s">
        <v>147</v>
      </c>
    </row>
    <row r="76" spans="1:35">
      <c r="A76" t="s">
        <v>303</v>
      </c>
      <c r="B76" t="s">
        <v>304</v>
      </c>
      <c r="C76" t="s">
        <v>193</v>
      </c>
      <c r="D76" t="s">
        <v>230</v>
      </c>
      <c r="E76" t="s">
        <v>262</v>
      </c>
      <c r="F76" t="s">
        <v>140</v>
      </c>
      <c r="G76" s="3">
        <v>46213</v>
      </c>
      <c r="H76" s="3">
        <v>46229</v>
      </c>
      <c r="I76" s="3">
        <v>46233</v>
      </c>
      <c r="J76" t="s">
        <v>150</v>
      </c>
      <c r="K76" t="s">
        <v>193</v>
      </c>
      <c r="L76" t="s">
        <v>305</v>
      </c>
      <c r="M76" t="s">
        <v>152</v>
      </c>
      <c r="N76" t="s">
        <v>153</v>
      </c>
      <c r="O76">
        <v>10602</v>
      </c>
      <c r="P76">
        <v>16</v>
      </c>
      <c r="Q76" t="s">
        <v>159</v>
      </c>
      <c r="R76" t="s">
        <v>186</v>
      </c>
      <c r="S76" t="s">
        <v>164</v>
      </c>
      <c r="T76" s="4">
        <v>1238.23</v>
      </c>
      <c r="U76" s="4">
        <v>0</v>
      </c>
      <c r="V76" s="4">
        <v>3</v>
      </c>
      <c r="W76" s="4">
        <v>441.89</v>
      </c>
      <c r="X76" s="4">
        <v>89.32</v>
      </c>
      <c r="Y76" s="4">
        <v>1769.44</v>
      </c>
      <c r="Z76" s="4" t="s">
        <v>147</v>
      </c>
      <c r="AA76" s="4" t="s">
        <v>147</v>
      </c>
      <c r="AB76" s="4">
        <f>SUMIF('Trip Changes'!$B:$B,A76,'Trip Changes'!$E:$E)</f>
        <v>0</v>
      </c>
      <c r="AC76" s="4">
        <f>SUMIF('Trip Cancellations'!$B:$B,A76,'Trip Cancellations'!$E:$E)</f>
        <v>0</v>
      </c>
      <c r="AD76" s="4">
        <f>SUMIF('Trip Cancellations'!$B:$B,A76,'Trip Cancellations'!$F:$F)</f>
        <v>0</v>
      </c>
      <c r="AE76" s="4">
        <f t="shared" si="1"/>
        <v>1769.44</v>
      </c>
      <c r="AF76" t="s">
        <v>148</v>
      </c>
      <c r="AG76">
        <v>5</v>
      </c>
      <c r="AH76" s="5">
        <v>1590.3</v>
      </c>
      <c r="AI76" t="s">
        <v>148</v>
      </c>
    </row>
    <row r="77" spans="1:35">
      <c r="A77" t="s">
        <v>306</v>
      </c>
      <c r="B77" t="s">
        <v>304</v>
      </c>
      <c r="C77" t="s">
        <v>193</v>
      </c>
      <c r="D77" t="s">
        <v>230</v>
      </c>
      <c r="E77" t="s">
        <v>262</v>
      </c>
      <c r="F77" t="s">
        <v>157</v>
      </c>
      <c r="G77" s="3">
        <v>46186</v>
      </c>
      <c r="H77" s="3">
        <v>46212</v>
      </c>
      <c r="I77" s="3">
        <v>46215</v>
      </c>
      <c r="J77" t="s">
        <v>150</v>
      </c>
      <c r="K77" t="s">
        <v>193</v>
      </c>
      <c r="L77" t="s">
        <v>307</v>
      </c>
      <c r="M77" t="s">
        <v>143</v>
      </c>
      <c r="N77" t="s">
        <v>144</v>
      </c>
      <c r="O77">
        <v>1290</v>
      </c>
      <c r="P77">
        <v>26</v>
      </c>
      <c r="Q77" t="s">
        <v>145</v>
      </c>
      <c r="S77" t="s">
        <v>146</v>
      </c>
      <c r="T77" s="4">
        <v>0</v>
      </c>
      <c r="U77" s="4">
        <v>168.53</v>
      </c>
      <c r="V77" s="4">
        <v>2</v>
      </c>
      <c r="W77" s="4">
        <v>315.10000000000002</v>
      </c>
      <c r="X77" s="4">
        <v>69.709999999999994</v>
      </c>
      <c r="Y77" s="4">
        <v>553.34</v>
      </c>
      <c r="Z77" s="4" t="s">
        <v>147</v>
      </c>
      <c r="AA77" s="4" t="s">
        <v>147</v>
      </c>
      <c r="AB77" s="4">
        <f>SUMIF('Trip Changes'!$B:$B,A77,'Trip Changes'!$E:$E)</f>
        <v>0</v>
      </c>
      <c r="AC77" s="4">
        <f>SUMIF('Trip Cancellations'!$B:$B,A77,'Trip Cancellations'!$E:$E)</f>
        <v>0</v>
      </c>
      <c r="AD77" s="4">
        <f>SUMIF('Trip Cancellations'!$B:$B,A77,'Trip Cancellations'!$F:$F)</f>
        <v>0</v>
      </c>
      <c r="AE77" s="4">
        <f t="shared" si="1"/>
        <v>553.34</v>
      </c>
      <c r="AF77" t="s">
        <v>148</v>
      </c>
      <c r="AG77">
        <v>4</v>
      </c>
      <c r="AH77" s="5">
        <v>51.6</v>
      </c>
      <c r="AI77" t="s">
        <v>147</v>
      </c>
    </row>
    <row r="78" spans="1:35">
      <c r="A78" t="s">
        <v>308</v>
      </c>
      <c r="B78" t="s">
        <v>304</v>
      </c>
      <c r="C78" t="s">
        <v>193</v>
      </c>
      <c r="D78" t="s">
        <v>230</v>
      </c>
      <c r="E78" t="s">
        <v>262</v>
      </c>
      <c r="F78" t="s">
        <v>157</v>
      </c>
      <c r="G78" s="3">
        <v>46187</v>
      </c>
      <c r="H78" s="3">
        <v>46215</v>
      </c>
      <c r="I78" s="3">
        <v>46220</v>
      </c>
      <c r="J78" t="s">
        <v>150</v>
      </c>
      <c r="K78" t="s">
        <v>193</v>
      </c>
      <c r="L78" t="s">
        <v>283</v>
      </c>
      <c r="M78" t="s">
        <v>152</v>
      </c>
      <c r="N78" t="s">
        <v>153</v>
      </c>
      <c r="O78">
        <v>10548</v>
      </c>
      <c r="P78">
        <v>28</v>
      </c>
      <c r="Q78" t="s">
        <v>145</v>
      </c>
      <c r="R78" t="s">
        <v>154</v>
      </c>
      <c r="S78" t="s">
        <v>155</v>
      </c>
      <c r="T78" s="4">
        <v>982.83</v>
      </c>
      <c r="U78" s="4">
        <v>0</v>
      </c>
      <c r="V78" s="4">
        <v>4</v>
      </c>
      <c r="W78" s="4">
        <v>800.65</v>
      </c>
      <c r="X78" s="4">
        <v>96.81</v>
      </c>
      <c r="Y78" s="4">
        <v>1880.29</v>
      </c>
      <c r="Z78" s="4" t="s">
        <v>147</v>
      </c>
      <c r="AA78" s="4" t="s">
        <v>147</v>
      </c>
      <c r="AB78" s="4">
        <f>SUMIF('Trip Changes'!$B:$B,A78,'Trip Changes'!$E:$E)</f>
        <v>0</v>
      </c>
      <c r="AC78" s="4">
        <f>SUMIF('Trip Cancellations'!$B:$B,A78,'Trip Cancellations'!$E:$E)</f>
        <v>0</v>
      </c>
      <c r="AD78" s="4">
        <f>SUMIF('Trip Cancellations'!$B:$B,A78,'Trip Cancellations'!$F:$F)</f>
        <v>0</v>
      </c>
      <c r="AE78" s="4">
        <f t="shared" si="1"/>
        <v>1880.29</v>
      </c>
      <c r="AF78" t="s">
        <v>148</v>
      </c>
      <c r="AG78">
        <v>4</v>
      </c>
      <c r="AH78" s="5">
        <v>1582.2</v>
      </c>
      <c r="AI78" t="s">
        <v>147</v>
      </c>
    </row>
    <row r="79" spans="1:35">
      <c r="A79" t="s">
        <v>309</v>
      </c>
      <c r="B79" t="s">
        <v>310</v>
      </c>
      <c r="C79" t="s">
        <v>257</v>
      </c>
      <c r="D79" t="s">
        <v>138</v>
      </c>
      <c r="E79" t="s">
        <v>205</v>
      </c>
      <c r="F79" t="s">
        <v>162</v>
      </c>
      <c r="G79" s="3">
        <v>46167</v>
      </c>
      <c r="H79" s="3">
        <v>46172</v>
      </c>
      <c r="I79" s="3">
        <v>46174</v>
      </c>
      <c r="J79" t="s">
        <v>163</v>
      </c>
      <c r="K79" t="s">
        <v>257</v>
      </c>
      <c r="L79" t="s">
        <v>307</v>
      </c>
      <c r="M79" t="s">
        <v>143</v>
      </c>
      <c r="N79" t="s">
        <v>144</v>
      </c>
      <c r="O79">
        <v>1056</v>
      </c>
      <c r="P79">
        <v>5</v>
      </c>
      <c r="Q79" t="s">
        <v>159</v>
      </c>
      <c r="S79" t="s">
        <v>195</v>
      </c>
      <c r="T79" s="4">
        <v>0</v>
      </c>
      <c r="U79" s="4">
        <v>170.85</v>
      </c>
      <c r="V79" s="4">
        <v>1</v>
      </c>
      <c r="W79" s="4">
        <v>194.09</v>
      </c>
      <c r="X79" s="4">
        <v>20</v>
      </c>
      <c r="Y79" s="4">
        <v>384.94</v>
      </c>
      <c r="Z79" s="4" t="s">
        <v>148</v>
      </c>
      <c r="AA79" s="4" t="s">
        <v>147</v>
      </c>
      <c r="AB79" s="4">
        <f>SUMIF('Trip Changes'!$B:$B,A79,'Trip Changes'!$E:$E)</f>
        <v>82.26</v>
      </c>
      <c r="AC79" s="4">
        <f>SUMIF('Trip Cancellations'!$B:$B,A79,'Trip Cancellations'!$E:$E)</f>
        <v>0</v>
      </c>
      <c r="AD79" s="4">
        <f>SUMIF('Trip Cancellations'!$B:$B,A79,'Trip Cancellations'!$F:$F)</f>
        <v>0</v>
      </c>
      <c r="AE79" s="4">
        <f t="shared" si="1"/>
        <v>467.2</v>
      </c>
      <c r="AF79" t="s">
        <v>148</v>
      </c>
      <c r="AG79">
        <v>3</v>
      </c>
      <c r="AH79" s="5">
        <v>42.2</v>
      </c>
      <c r="AI79" t="s">
        <v>147</v>
      </c>
    </row>
    <row r="80" spans="1:35">
      <c r="A80" t="s">
        <v>311</v>
      </c>
      <c r="B80" t="s">
        <v>310</v>
      </c>
      <c r="C80" t="s">
        <v>257</v>
      </c>
      <c r="D80" t="s">
        <v>138</v>
      </c>
      <c r="E80" t="s">
        <v>205</v>
      </c>
      <c r="F80" t="s">
        <v>170</v>
      </c>
      <c r="G80" s="3">
        <v>46165</v>
      </c>
      <c r="H80" s="3">
        <v>46166</v>
      </c>
      <c r="I80" s="3">
        <v>46168</v>
      </c>
      <c r="J80" t="s">
        <v>163</v>
      </c>
      <c r="K80" t="s">
        <v>257</v>
      </c>
      <c r="L80" t="s">
        <v>185</v>
      </c>
      <c r="M80" t="s">
        <v>152</v>
      </c>
      <c r="N80" t="s">
        <v>153</v>
      </c>
      <c r="O80">
        <v>10436</v>
      </c>
      <c r="P80">
        <v>1</v>
      </c>
      <c r="Q80" t="s">
        <v>145</v>
      </c>
      <c r="R80" t="s">
        <v>186</v>
      </c>
      <c r="S80" t="s">
        <v>173</v>
      </c>
      <c r="T80" s="4">
        <v>613.6</v>
      </c>
      <c r="U80" s="4">
        <v>0</v>
      </c>
      <c r="V80" s="4">
        <v>1</v>
      </c>
      <c r="W80" s="4">
        <v>217.3</v>
      </c>
      <c r="X80" s="4">
        <v>101.52</v>
      </c>
      <c r="Y80" s="4">
        <v>932.42</v>
      </c>
      <c r="Z80" s="4" t="s">
        <v>147</v>
      </c>
      <c r="AA80" s="4" t="s">
        <v>147</v>
      </c>
      <c r="AB80" s="4">
        <f>SUMIF('Trip Changes'!$B:$B,A80,'Trip Changes'!$E:$E)</f>
        <v>0</v>
      </c>
      <c r="AC80" s="4">
        <f>SUMIF('Trip Cancellations'!$B:$B,A80,'Trip Cancellations'!$E:$E)</f>
        <v>0</v>
      </c>
      <c r="AD80" s="4">
        <f>SUMIF('Trip Cancellations'!$B:$B,A80,'Trip Cancellations'!$F:$F)</f>
        <v>0</v>
      </c>
      <c r="AE80" s="4">
        <f t="shared" si="1"/>
        <v>932.42</v>
      </c>
      <c r="AF80" t="s">
        <v>148</v>
      </c>
      <c r="AG80">
        <v>5</v>
      </c>
      <c r="AH80" s="5">
        <v>1565.4</v>
      </c>
      <c r="AI80" t="s">
        <v>147</v>
      </c>
    </row>
    <row r="81" spans="1:35">
      <c r="A81" t="s">
        <v>312</v>
      </c>
      <c r="B81" t="s">
        <v>310</v>
      </c>
      <c r="C81" t="s">
        <v>257</v>
      </c>
      <c r="D81" t="s">
        <v>138</v>
      </c>
      <c r="E81" t="s">
        <v>205</v>
      </c>
      <c r="F81" t="s">
        <v>181</v>
      </c>
      <c r="G81" s="3">
        <v>46213</v>
      </c>
      <c r="H81" s="3">
        <v>46222</v>
      </c>
      <c r="I81" s="3">
        <v>46224</v>
      </c>
      <c r="J81" t="s">
        <v>150</v>
      </c>
      <c r="K81" t="s">
        <v>257</v>
      </c>
      <c r="L81" t="s">
        <v>199</v>
      </c>
      <c r="M81" t="s">
        <v>152</v>
      </c>
      <c r="N81" t="s">
        <v>153</v>
      </c>
      <c r="O81">
        <v>3106</v>
      </c>
      <c r="P81">
        <v>9</v>
      </c>
      <c r="Q81" t="s">
        <v>145</v>
      </c>
      <c r="R81" t="s">
        <v>200</v>
      </c>
      <c r="S81" t="s">
        <v>190</v>
      </c>
      <c r="T81" s="4">
        <v>619.87</v>
      </c>
      <c r="U81" s="4">
        <v>0</v>
      </c>
      <c r="V81" s="4">
        <v>1</v>
      </c>
      <c r="W81" s="4">
        <v>110.46</v>
      </c>
      <c r="X81" s="4">
        <v>93.29</v>
      </c>
      <c r="Y81" s="4">
        <v>823.62</v>
      </c>
      <c r="Z81" s="4" t="s">
        <v>147</v>
      </c>
      <c r="AA81" s="4" t="s">
        <v>147</v>
      </c>
      <c r="AB81" s="4">
        <f>SUMIF('Trip Changes'!$B:$B,A81,'Trip Changes'!$E:$E)</f>
        <v>0</v>
      </c>
      <c r="AC81" s="4">
        <f>SUMIF('Trip Cancellations'!$B:$B,A81,'Trip Cancellations'!$E:$E)</f>
        <v>0</v>
      </c>
      <c r="AD81" s="4">
        <f>SUMIF('Trip Cancellations'!$B:$B,A81,'Trip Cancellations'!$F:$F)</f>
        <v>0</v>
      </c>
      <c r="AE81" s="4">
        <f t="shared" si="1"/>
        <v>823.62</v>
      </c>
      <c r="AF81" t="s">
        <v>148</v>
      </c>
      <c r="AG81">
        <v>5</v>
      </c>
      <c r="AH81" s="5">
        <v>465.9</v>
      </c>
      <c r="AI81" t="s">
        <v>147</v>
      </c>
    </row>
    <row r="82" spans="1:35">
      <c r="A82" t="s">
        <v>313</v>
      </c>
      <c r="B82" t="s">
        <v>314</v>
      </c>
      <c r="C82" t="s">
        <v>142</v>
      </c>
      <c r="D82" t="s">
        <v>230</v>
      </c>
      <c r="E82" t="s">
        <v>268</v>
      </c>
      <c r="F82" t="s">
        <v>189</v>
      </c>
      <c r="G82" s="3">
        <v>46183</v>
      </c>
      <c r="H82" s="3">
        <v>46201</v>
      </c>
      <c r="I82" s="3">
        <v>46205</v>
      </c>
      <c r="J82" t="s">
        <v>141</v>
      </c>
      <c r="K82" t="s">
        <v>142</v>
      </c>
      <c r="L82" t="s">
        <v>171</v>
      </c>
      <c r="M82" t="s">
        <v>152</v>
      </c>
      <c r="N82" t="s">
        <v>153</v>
      </c>
      <c r="O82">
        <v>1304</v>
      </c>
      <c r="P82">
        <v>18</v>
      </c>
      <c r="Q82" t="s">
        <v>216</v>
      </c>
      <c r="R82" t="s">
        <v>172</v>
      </c>
      <c r="S82" t="s">
        <v>164</v>
      </c>
      <c r="T82" s="4">
        <v>595.4</v>
      </c>
      <c r="U82" s="4">
        <v>0</v>
      </c>
      <c r="V82" s="4">
        <v>3</v>
      </c>
      <c r="W82" s="4">
        <v>359.12</v>
      </c>
      <c r="X82" s="4">
        <v>85.97</v>
      </c>
      <c r="Y82" s="4">
        <v>1040.49</v>
      </c>
      <c r="Z82" s="4" t="s">
        <v>147</v>
      </c>
      <c r="AA82" s="4" t="s">
        <v>147</v>
      </c>
      <c r="AB82" s="4">
        <f>SUMIF('Trip Changes'!$B:$B,A82,'Trip Changes'!$E:$E)</f>
        <v>0</v>
      </c>
      <c r="AC82" s="4">
        <f>SUMIF('Trip Cancellations'!$B:$B,A82,'Trip Cancellations'!$E:$E)</f>
        <v>0</v>
      </c>
      <c r="AD82" s="4">
        <f>SUMIF('Trip Cancellations'!$B:$B,A82,'Trip Cancellations'!$F:$F)</f>
        <v>0</v>
      </c>
      <c r="AE82" s="4">
        <f t="shared" si="1"/>
        <v>1040.49</v>
      </c>
      <c r="AF82" t="s">
        <v>148</v>
      </c>
      <c r="AG82">
        <v>4</v>
      </c>
      <c r="AH82" s="5">
        <v>195.6</v>
      </c>
      <c r="AI82" t="s">
        <v>147</v>
      </c>
    </row>
    <row r="83" spans="1:35">
      <c r="A83" t="s">
        <v>315</v>
      </c>
      <c r="B83" t="s">
        <v>314</v>
      </c>
      <c r="C83" t="s">
        <v>142</v>
      </c>
      <c r="D83" t="s">
        <v>230</v>
      </c>
      <c r="E83" t="s">
        <v>268</v>
      </c>
      <c r="F83" t="s">
        <v>178</v>
      </c>
      <c r="G83" s="3">
        <v>46192</v>
      </c>
      <c r="H83" s="3">
        <v>46218</v>
      </c>
      <c r="I83" s="3">
        <v>46220</v>
      </c>
      <c r="J83" t="s">
        <v>150</v>
      </c>
      <c r="K83" t="s">
        <v>142</v>
      </c>
      <c r="L83" t="s">
        <v>185</v>
      </c>
      <c r="M83" t="s">
        <v>152</v>
      </c>
      <c r="N83" t="s">
        <v>153</v>
      </c>
      <c r="O83">
        <v>10014</v>
      </c>
      <c r="P83">
        <v>26</v>
      </c>
      <c r="Q83" t="s">
        <v>216</v>
      </c>
      <c r="R83" t="s">
        <v>278</v>
      </c>
      <c r="S83" t="s">
        <v>164</v>
      </c>
      <c r="T83" s="4">
        <v>1085.2</v>
      </c>
      <c r="U83" s="4">
        <v>0</v>
      </c>
      <c r="V83" s="4">
        <v>1</v>
      </c>
      <c r="W83" s="4">
        <v>130.63</v>
      </c>
      <c r="X83" s="4">
        <v>96.45</v>
      </c>
      <c r="Y83" s="4">
        <v>1312.28</v>
      </c>
      <c r="Z83" s="4" t="s">
        <v>147</v>
      </c>
      <c r="AA83" s="4" t="s">
        <v>147</v>
      </c>
      <c r="AB83" s="4">
        <f>SUMIF('Trip Changes'!$B:$B,A83,'Trip Changes'!$E:$E)</f>
        <v>0</v>
      </c>
      <c r="AC83" s="4">
        <f>SUMIF('Trip Cancellations'!$B:$B,A83,'Trip Cancellations'!$E:$E)</f>
        <v>0</v>
      </c>
      <c r="AD83" s="4">
        <f>SUMIF('Trip Cancellations'!$B:$B,A83,'Trip Cancellations'!$F:$F)</f>
        <v>0</v>
      </c>
      <c r="AE83" s="4">
        <f t="shared" si="1"/>
        <v>1312.28</v>
      </c>
      <c r="AF83" t="s">
        <v>147</v>
      </c>
      <c r="AG83">
        <v>5</v>
      </c>
      <c r="AH83" s="5">
        <v>1502.1</v>
      </c>
      <c r="AI83" t="s">
        <v>148</v>
      </c>
    </row>
    <row r="84" spans="1:35">
      <c r="A84" t="s">
        <v>316</v>
      </c>
      <c r="B84" t="s">
        <v>314</v>
      </c>
      <c r="C84" t="s">
        <v>142</v>
      </c>
      <c r="D84" t="s">
        <v>230</v>
      </c>
      <c r="E84" t="s">
        <v>268</v>
      </c>
      <c r="F84" t="s">
        <v>162</v>
      </c>
      <c r="G84" s="3">
        <v>46191</v>
      </c>
      <c r="H84" s="3">
        <v>46212</v>
      </c>
      <c r="I84" s="3">
        <v>46216</v>
      </c>
      <c r="J84" t="s">
        <v>150</v>
      </c>
      <c r="K84" t="s">
        <v>142</v>
      </c>
      <c r="L84" t="s">
        <v>227</v>
      </c>
      <c r="M84" t="s">
        <v>152</v>
      </c>
      <c r="N84" t="s">
        <v>153</v>
      </c>
      <c r="O84">
        <v>2526</v>
      </c>
      <c r="P84">
        <v>21</v>
      </c>
      <c r="Q84" t="s">
        <v>159</v>
      </c>
      <c r="R84" t="s">
        <v>236</v>
      </c>
      <c r="S84" t="s">
        <v>173</v>
      </c>
      <c r="T84" s="4">
        <v>498.39</v>
      </c>
      <c r="U84" s="4">
        <v>0</v>
      </c>
      <c r="V84" s="4">
        <v>3</v>
      </c>
      <c r="W84" s="4">
        <v>569.48</v>
      </c>
      <c r="X84" s="4">
        <v>78.13</v>
      </c>
      <c r="Y84" s="4">
        <v>1146</v>
      </c>
      <c r="Z84" s="4" t="s">
        <v>147</v>
      </c>
      <c r="AA84" s="4" t="s">
        <v>147</v>
      </c>
      <c r="AB84" s="4">
        <f>SUMIF('Trip Changes'!$B:$B,A84,'Trip Changes'!$E:$E)</f>
        <v>0</v>
      </c>
      <c r="AC84" s="4">
        <f>SUMIF('Trip Cancellations'!$B:$B,A84,'Trip Cancellations'!$E:$E)</f>
        <v>0</v>
      </c>
      <c r="AD84" s="4">
        <f>SUMIF('Trip Cancellations'!$B:$B,A84,'Trip Cancellations'!$F:$F)</f>
        <v>0</v>
      </c>
      <c r="AE84" s="4">
        <f t="shared" si="1"/>
        <v>1146</v>
      </c>
      <c r="AF84" t="s">
        <v>148</v>
      </c>
      <c r="AG84">
        <v>5</v>
      </c>
      <c r="AH84" s="5">
        <v>378.9</v>
      </c>
      <c r="AI84" t="s">
        <v>147</v>
      </c>
    </row>
    <row r="85" spans="1:35">
      <c r="A85" t="s">
        <v>317</v>
      </c>
      <c r="B85" t="s">
        <v>314</v>
      </c>
      <c r="C85" t="s">
        <v>142</v>
      </c>
      <c r="D85" t="s">
        <v>230</v>
      </c>
      <c r="E85" t="s">
        <v>268</v>
      </c>
      <c r="F85" t="s">
        <v>162</v>
      </c>
      <c r="G85" s="3">
        <v>46188</v>
      </c>
      <c r="H85" s="3">
        <v>46194</v>
      </c>
      <c r="I85" s="3">
        <v>46196</v>
      </c>
      <c r="J85" t="s">
        <v>141</v>
      </c>
      <c r="K85" t="s">
        <v>142</v>
      </c>
      <c r="L85" t="s">
        <v>193</v>
      </c>
      <c r="M85" t="s">
        <v>143</v>
      </c>
      <c r="N85" t="s">
        <v>153</v>
      </c>
      <c r="O85">
        <v>906</v>
      </c>
      <c r="P85">
        <v>6</v>
      </c>
      <c r="Q85" t="s">
        <v>207</v>
      </c>
      <c r="R85" t="s">
        <v>176</v>
      </c>
      <c r="S85" t="s">
        <v>146</v>
      </c>
      <c r="T85" s="4">
        <v>415.08</v>
      </c>
      <c r="U85" s="4">
        <v>0</v>
      </c>
      <c r="V85" s="4">
        <v>1</v>
      </c>
      <c r="W85" s="4">
        <v>118.41</v>
      </c>
      <c r="X85" s="4">
        <v>65.2</v>
      </c>
      <c r="Y85" s="4">
        <v>598.69000000000005</v>
      </c>
      <c r="Z85" s="4" t="s">
        <v>147</v>
      </c>
      <c r="AA85" s="4" t="s">
        <v>147</v>
      </c>
      <c r="AB85" s="4">
        <f>SUMIF('Trip Changes'!$B:$B,A85,'Trip Changes'!$E:$E)</f>
        <v>0</v>
      </c>
      <c r="AC85" s="4">
        <f>SUMIF('Trip Cancellations'!$B:$B,A85,'Trip Cancellations'!$E:$E)</f>
        <v>0</v>
      </c>
      <c r="AD85" s="4">
        <f>SUMIF('Trip Cancellations'!$B:$B,A85,'Trip Cancellations'!$F:$F)</f>
        <v>0</v>
      </c>
      <c r="AE85" s="4">
        <f t="shared" si="1"/>
        <v>598.69000000000005</v>
      </c>
      <c r="AF85" t="s">
        <v>148</v>
      </c>
      <c r="AG85">
        <v>4</v>
      </c>
      <c r="AH85" s="5">
        <v>135.9</v>
      </c>
      <c r="AI85" t="s">
        <v>147</v>
      </c>
    </row>
    <row r="86" spans="1:35">
      <c r="A86" t="s">
        <v>318</v>
      </c>
      <c r="B86" t="s">
        <v>314</v>
      </c>
      <c r="C86" t="s">
        <v>142</v>
      </c>
      <c r="D86" t="s">
        <v>230</v>
      </c>
      <c r="E86" t="s">
        <v>268</v>
      </c>
      <c r="F86" t="s">
        <v>178</v>
      </c>
      <c r="G86" s="3">
        <v>46186</v>
      </c>
      <c r="H86" s="3">
        <v>46215</v>
      </c>
      <c r="I86" s="3">
        <v>46217</v>
      </c>
      <c r="J86" t="s">
        <v>150</v>
      </c>
      <c r="K86" t="s">
        <v>142</v>
      </c>
      <c r="L86" t="s">
        <v>215</v>
      </c>
      <c r="M86" t="s">
        <v>152</v>
      </c>
      <c r="N86" t="s">
        <v>153</v>
      </c>
      <c r="O86">
        <v>2418</v>
      </c>
      <c r="P86">
        <v>29</v>
      </c>
      <c r="Q86" t="s">
        <v>145</v>
      </c>
      <c r="R86" t="s">
        <v>154</v>
      </c>
      <c r="S86" t="s">
        <v>187</v>
      </c>
      <c r="T86" s="4">
        <v>420.84</v>
      </c>
      <c r="U86" s="4">
        <v>0</v>
      </c>
      <c r="V86" s="4">
        <v>1</v>
      </c>
      <c r="W86" s="4">
        <v>179.76</v>
      </c>
      <c r="X86" s="4">
        <v>91.09</v>
      </c>
      <c r="Y86" s="4">
        <v>691.69</v>
      </c>
      <c r="Z86" s="4" t="s">
        <v>147</v>
      </c>
      <c r="AA86" s="4" t="s">
        <v>147</v>
      </c>
      <c r="AB86" s="4">
        <f>SUMIF('Trip Changes'!$B:$B,A86,'Trip Changes'!$E:$E)</f>
        <v>0</v>
      </c>
      <c r="AC86" s="4">
        <f>SUMIF('Trip Cancellations'!$B:$B,A86,'Trip Cancellations'!$E:$E)</f>
        <v>0</v>
      </c>
      <c r="AD86" s="4">
        <f>SUMIF('Trip Cancellations'!$B:$B,A86,'Trip Cancellations'!$F:$F)</f>
        <v>0</v>
      </c>
      <c r="AE86" s="4">
        <f t="shared" si="1"/>
        <v>691.69</v>
      </c>
      <c r="AF86" t="s">
        <v>148</v>
      </c>
      <c r="AG86">
        <v>4</v>
      </c>
      <c r="AH86" s="5">
        <v>362.7</v>
      </c>
      <c r="AI86" t="s">
        <v>148</v>
      </c>
    </row>
    <row r="87" spans="1:35">
      <c r="A87" t="s">
        <v>319</v>
      </c>
      <c r="B87" t="s">
        <v>320</v>
      </c>
      <c r="C87" t="s">
        <v>193</v>
      </c>
      <c r="D87" t="s">
        <v>248</v>
      </c>
      <c r="E87" t="s">
        <v>139</v>
      </c>
      <c r="F87" t="s">
        <v>170</v>
      </c>
      <c r="G87" s="3">
        <v>46126</v>
      </c>
      <c r="H87" s="3">
        <v>46161</v>
      </c>
      <c r="I87" s="3">
        <v>46164</v>
      </c>
      <c r="J87" t="s">
        <v>163</v>
      </c>
      <c r="K87" t="s">
        <v>193</v>
      </c>
      <c r="L87" t="s">
        <v>199</v>
      </c>
      <c r="M87" t="s">
        <v>152</v>
      </c>
      <c r="N87" t="s">
        <v>153</v>
      </c>
      <c r="O87">
        <v>2646</v>
      </c>
      <c r="P87">
        <v>35</v>
      </c>
      <c r="Q87" t="s">
        <v>145</v>
      </c>
      <c r="R87" t="s">
        <v>200</v>
      </c>
      <c r="S87" t="s">
        <v>155</v>
      </c>
      <c r="T87" s="4">
        <v>639.55999999999995</v>
      </c>
      <c r="U87" s="4">
        <v>0</v>
      </c>
      <c r="V87" s="4">
        <v>2</v>
      </c>
      <c r="W87" s="4">
        <v>302.11</v>
      </c>
      <c r="X87" s="4">
        <v>95.39</v>
      </c>
      <c r="Y87" s="4">
        <v>1037.06</v>
      </c>
      <c r="Z87" s="4" t="s">
        <v>147</v>
      </c>
      <c r="AA87" s="4" t="s">
        <v>147</v>
      </c>
      <c r="AB87" s="4">
        <f>SUMIF('Trip Changes'!$B:$B,A87,'Trip Changes'!$E:$E)</f>
        <v>0</v>
      </c>
      <c r="AC87" s="4">
        <f>SUMIF('Trip Cancellations'!$B:$B,A87,'Trip Cancellations'!$E:$E)</f>
        <v>0</v>
      </c>
      <c r="AD87" s="4">
        <f>SUMIF('Trip Cancellations'!$B:$B,A87,'Trip Cancellations'!$F:$F)</f>
        <v>0</v>
      </c>
      <c r="AE87" s="4">
        <f t="shared" si="1"/>
        <v>1037.06</v>
      </c>
      <c r="AF87" t="s">
        <v>148</v>
      </c>
      <c r="AG87">
        <v>5</v>
      </c>
      <c r="AH87" s="5">
        <v>396.9</v>
      </c>
      <c r="AI87" t="s">
        <v>147</v>
      </c>
    </row>
    <row r="88" spans="1:35">
      <c r="A88" t="s">
        <v>321</v>
      </c>
      <c r="B88" t="s">
        <v>320</v>
      </c>
      <c r="C88" t="s">
        <v>193</v>
      </c>
      <c r="D88" t="s">
        <v>248</v>
      </c>
      <c r="E88" t="s">
        <v>139</v>
      </c>
      <c r="F88" t="s">
        <v>189</v>
      </c>
      <c r="G88" s="3">
        <v>46191</v>
      </c>
      <c r="H88" s="3">
        <v>46211</v>
      </c>
      <c r="I88" s="3">
        <v>46214</v>
      </c>
      <c r="J88" t="s">
        <v>150</v>
      </c>
      <c r="K88" t="s">
        <v>193</v>
      </c>
      <c r="L88" t="s">
        <v>182</v>
      </c>
      <c r="M88" t="s">
        <v>143</v>
      </c>
      <c r="N88" t="s">
        <v>144</v>
      </c>
      <c r="O88">
        <v>300</v>
      </c>
      <c r="P88">
        <v>20</v>
      </c>
      <c r="Q88" t="s">
        <v>159</v>
      </c>
      <c r="S88" t="s">
        <v>146</v>
      </c>
      <c r="T88" s="4">
        <v>0</v>
      </c>
      <c r="U88" s="4">
        <v>306.73</v>
      </c>
      <c r="V88" s="4">
        <v>2</v>
      </c>
      <c r="W88" s="4">
        <v>308.33999999999997</v>
      </c>
      <c r="X88" s="4">
        <v>52.83</v>
      </c>
      <c r="Y88" s="4">
        <v>667.9</v>
      </c>
      <c r="Z88" s="4" t="s">
        <v>147</v>
      </c>
      <c r="AA88" s="4" t="s">
        <v>147</v>
      </c>
      <c r="AB88" s="4">
        <f>SUMIF('Trip Changes'!$B:$B,A88,'Trip Changes'!$E:$E)</f>
        <v>0</v>
      </c>
      <c r="AC88" s="4">
        <f>SUMIF('Trip Cancellations'!$B:$B,A88,'Trip Cancellations'!$E:$E)</f>
        <v>0</v>
      </c>
      <c r="AD88" s="4">
        <f>SUMIF('Trip Cancellations'!$B:$B,A88,'Trip Cancellations'!$F:$F)</f>
        <v>0</v>
      </c>
      <c r="AE88" s="4">
        <f t="shared" si="1"/>
        <v>667.9</v>
      </c>
      <c r="AF88" t="s">
        <v>148</v>
      </c>
      <c r="AG88">
        <v>5</v>
      </c>
      <c r="AH88" s="5">
        <v>12</v>
      </c>
      <c r="AI88" t="s">
        <v>147</v>
      </c>
    </row>
    <row r="89" spans="1:35">
      <c r="A89" t="s">
        <v>322</v>
      </c>
      <c r="B89" t="s">
        <v>323</v>
      </c>
      <c r="C89" t="s">
        <v>182</v>
      </c>
      <c r="D89" t="s">
        <v>168</v>
      </c>
      <c r="E89" t="s">
        <v>262</v>
      </c>
      <c r="F89" t="s">
        <v>162</v>
      </c>
      <c r="G89" s="3">
        <v>46178</v>
      </c>
      <c r="H89" s="3">
        <v>46188</v>
      </c>
      <c r="I89" s="3">
        <v>46191</v>
      </c>
      <c r="J89" t="s">
        <v>141</v>
      </c>
      <c r="K89" t="s">
        <v>182</v>
      </c>
      <c r="L89" t="s">
        <v>199</v>
      </c>
      <c r="M89" t="s">
        <v>152</v>
      </c>
      <c r="N89" t="s">
        <v>153</v>
      </c>
      <c r="O89">
        <v>2634</v>
      </c>
      <c r="P89">
        <v>10</v>
      </c>
      <c r="Q89" t="s">
        <v>145</v>
      </c>
      <c r="R89" t="s">
        <v>291</v>
      </c>
      <c r="S89" t="s">
        <v>155</v>
      </c>
      <c r="T89" s="4">
        <v>301.01</v>
      </c>
      <c r="U89" s="4">
        <v>0</v>
      </c>
      <c r="V89" s="4">
        <v>2</v>
      </c>
      <c r="W89" s="4">
        <v>220.95</v>
      </c>
      <c r="X89" s="4">
        <v>69.36</v>
      </c>
      <c r="Y89" s="4">
        <v>591.32000000000005</v>
      </c>
      <c r="Z89" s="4" t="s">
        <v>147</v>
      </c>
      <c r="AA89" s="4" t="s">
        <v>147</v>
      </c>
      <c r="AB89" s="4">
        <f>SUMIF('Trip Changes'!$B:$B,A89,'Trip Changes'!$E:$E)</f>
        <v>0</v>
      </c>
      <c r="AC89" s="4">
        <f>SUMIF('Trip Cancellations'!$B:$B,A89,'Trip Cancellations'!$E:$E)</f>
        <v>0</v>
      </c>
      <c r="AD89" s="4">
        <f>SUMIF('Trip Cancellations'!$B:$B,A89,'Trip Cancellations'!$F:$F)</f>
        <v>0</v>
      </c>
      <c r="AE89" s="4">
        <f t="shared" si="1"/>
        <v>591.32000000000005</v>
      </c>
      <c r="AF89" t="s">
        <v>148</v>
      </c>
      <c r="AG89">
        <v>5</v>
      </c>
      <c r="AH89" s="5">
        <v>395.1</v>
      </c>
      <c r="AI89" t="s">
        <v>148</v>
      </c>
    </row>
    <row r="90" spans="1:35">
      <c r="A90" t="s">
        <v>324</v>
      </c>
      <c r="B90" t="s">
        <v>323</v>
      </c>
      <c r="C90" t="s">
        <v>182</v>
      </c>
      <c r="D90" t="s">
        <v>168</v>
      </c>
      <c r="E90" t="s">
        <v>262</v>
      </c>
      <c r="F90" t="s">
        <v>140</v>
      </c>
      <c r="G90" s="3">
        <v>46174</v>
      </c>
      <c r="H90" s="3">
        <v>46192</v>
      </c>
      <c r="I90" s="3">
        <v>46197</v>
      </c>
      <c r="J90" t="s">
        <v>141</v>
      </c>
      <c r="K90" t="s">
        <v>182</v>
      </c>
      <c r="L90" t="s">
        <v>185</v>
      </c>
      <c r="M90" t="s">
        <v>152</v>
      </c>
      <c r="N90" t="s">
        <v>153</v>
      </c>
      <c r="O90">
        <v>12712</v>
      </c>
      <c r="P90">
        <v>18</v>
      </c>
      <c r="Q90" t="s">
        <v>159</v>
      </c>
      <c r="R90" t="s">
        <v>154</v>
      </c>
      <c r="S90" t="s">
        <v>187</v>
      </c>
      <c r="T90" s="4">
        <v>973.91</v>
      </c>
      <c r="U90" s="4">
        <v>0</v>
      </c>
      <c r="V90" s="4">
        <v>4</v>
      </c>
      <c r="W90" s="4">
        <v>760.83</v>
      </c>
      <c r="X90" s="4">
        <v>67.73</v>
      </c>
      <c r="Y90" s="4">
        <v>1802.47</v>
      </c>
      <c r="Z90" s="4" t="s">
        <v>147</v>
      </c>
      <c r="AA90" s="4" t="s">
        <v>147</v>
      </c>
      <c r="AB90" s="4">
        <f>SUMIF('Trip Changes'!$B:$B,A90,'Trip Changes'!$E:$E)</f>
        <v>0</v>
      </c>
      <c r="AC90" s="4">
        <f>SUMIF('Trip Cancellations'!$B:$B,A90,'Trip Cancellations'!$E:$E)</f>
        <v>0</v>
      </c>
      <c r="AD90" s="4">
        <f>SUMIF('Trip Cancellations'!$B:$B,A90,'Trip Cancellations'!$F:$F)</f>
        <v>0</v>
      </c>
      <c r="AE90" s="4">
        <f t="shared" si="1"/>
        <v>1802.47</v>
      </c>
      <c r="AF90" t="s">
        <v>148</v>
      </c>
      <c r="AG90">
        <v>4</v>
      </c>
      <c r="AH90" s="5">
        <v>1906.8</v>
      </c>
      <c r="AI90" t="s">
        <v>147</v>
      </c>
    </row>
    <row r="91" spans="1:35">
      <c r="A91" t="s">
        <v>325</v>
      </c>
      <c r="B91" t="s">
        <v>323</v>
      </c>
      <c r="C91" t="s">
        <v>182</v>
      </c>
      <c r="D91" t="s">
        <v>168</v>
      </c>
      <c r="E91" t="s">
        <v>262</v>
      </c>
      <c r="F91" t="s">
        <v>178</v>
      </c>
      <c r="G91" s="3">
        <v>46193</v>
      </c>
      <c r="H91" s="3">
        <v>46196</v>
      </c>
      <c r="I91" s="3">
        <v>46200</v>
      </c>
      <c r="J91" t="s">
        <v>141</v>
      </c>
      <c r="K91" t="s">
        <v>182</v>
      </c>
      <c r="L91" t="s">
        <v>305</v>
      </c>
      <c r="M91" t="s">
        <v>152</v>
      </c>
      <c r="N91" t="s">
        <v>153</v>
      </c>
      <c r="O91">
        <v>12622</v>
      </c>
      <c r="P91">
        <v>3</v>
      </c>
      <c r="Q91" t="s">
        <v>145</v>
      </c>
      <c r="R91" t="s">
        <v>154</v>
      </c>
      <c r="S91" t="s">
        <v>164</v>
      </c>
      <c r="T91" s="4">
        <v>908.23</v>
      </c>
      <c r="U91" s="4">
        <v>0</v>
      </c>
      <c r="V91" s="4">
        <v>3</v>
      </c>
      <c r="W91" s="4">
        <v>472.14</v>
      </c>
      <c r="X91" s="4">
        <v>73.900000000000006</v>
      </c>
      <c r="Y91" s="4">
        <v>1454.27</v>
      </c>
      <c r="Z91" s="4" t="s">
        <v>147</v>
      </c>
      <c r="AA91" s="4" t="s">
        <v>147</v>
      </c>
      <c r="AB91" s="4">
        <f>SUMIF('Trip Changes'!$B:$B,A91,'Trip Changes'!$E:$E)</f>
        <v>0</v>
      </c>
      <c r="AC91" s="4">
        <f>SUMIF('Trip Cancellations'!$B:$B,A91,'Trip Cancellations'!$E:$E)</f>
        <v>0</v>
      </c>
      <c r="AD91" s="4">
        <f>SUMIF('Trip Cancellations'!$B:$B,A91,'Trip Cancellations'!$F:$F)</f>
        <v>0</v>
      </c>
      <c r="AE91" s="4">
        <f t="shared" si="1"/>
        <v>1454.27</v>
      </c>
      <c r="AF91" t="s">
        <v>148</v>
      </c>
      <c r="AG91">
        <v>4</v>
      </c>
      <c r="AH91" s="5">
        <v>1893.3</v>
      </c>
      <c r="AI91" t="s">
        <v>147</v>
      </c>
    </row>
    <row r="92" spans="1:35">
      <c r="A92" t="s">
        <v>326</v>
      </c>
      <c r="B92" t="s">
        <v>323</v>
      </c>
      <c r="C92" t="s">
        <v>182</v>
      </c>
      <c r="D92" t="s">
        <v>168</v>
      </c>
      <c r="E92" t="s">
        <v>262</v>
      </c>
      <c r="F92" t="s">
        <v>162</v>
      </c>
      <c r="G92" s="3">
        <v>46157</v>
      </c>
      <c r="H92" s="3">
        <v>46189</v>
      </c>
      <c r="I92" s="3">
        <v>46193</v>
      </c>
      <c r="J92" t="s">
        <v>141</v>
      </c>
      <c r="K92" t="s">
        <v>182</v>
      </c>
      <c r="L92" t="s">
        <v>199</v>
      </c>
      <c r="M92" t="s">
        <v>152</v>
      </c>
      <c r="N92" t="s">
        <v>153</v>
      </c>
      <c r="O92">
        <v>2482</v>
      </c>
      <c r="P92">
        <v>32</v>
      </c>
      <c r="Q92" t="s">
        <v>145</v>
      </c>
      <c r="R92" t="s">
        <v>154</v>
      </c>
      <c r="S92" t="s">
        <v>164</v>
      </c>
      <c r="T92" s="4">
        <v>425.6</v>
      </c>
      <c r="U92" s="4">
        <v>0</v>
      </c>
      <c r="V92" s="4">
        <v>3</v>
      </c>
      <c r="W92" s="4">
        <v>578.99</v>
      </c>
      <c r="X92" s="4">
        <v>131.86000000000001</v>
      </c>
      <c r="Y92" s="4">
        <v>1136.45</v>
      </c>
      <c r="Z92" s="4" t="s">
        <v>147</v>
      </c>
      <c r="AA92" s="4" t="s">
        <v>147</v>
      </c>
      <c r="AB92" s="4">
        <f>SUMIF('Trip Changes'!$B:$B,A92,'Trip Changes'!$E:$E)</f>
        <v>0</v>
      </c>
      <c r="AC92" s="4">
        <f>SUMIF('Trip Cancellations'!$B:$B,A92,'Trip Cancellations'!$E:$E)</f>
        <v>0</v>
      </c>
      <c r="AD92" s="4">
        <f>SUMIF('Trip Cancellations'!$B:$B,A92,'Trip Cancellations'!$F:$F)</f>
        <v>0</v>
      </c>
      <c r="AE92" s="4">
        <f t="shared" si="1"/>
        <v>1136.45</v>
      </c>
      <c r="AF92" t="s">
        <v>148</v>
      </c>
      <c r="AG92">
        <v>4</v>
      </c>
      <c r="AH92" s="5">
        <v>372.3</v>
      </c>
      <c r="AI92" t="s">
        <v>148</v>
      </c>
    </row>
    <row r="93" spans="1:35">
      <c r="A93" t="s">
        <v>327</v>
      </c>
      <c r="B93" t="s">
        <v>328</v>
      </c>
      <c r="C93" t="s">
        <v>142</v>
      </c>
      <c r="D93" t="s">
        <v>138</v>
      </c>
      <c r="E93" t="s">
        <v>139</v>
      </c>
      <c r="F93" t="s">
        <v>140</v>
      </c>
      <c r="G93" s="3">
        <v>46205</v>
      </c>
      <c r="H93" s="3">
        <v>46221</v>
      </c>
      <c r="I93" s="3">
        <v>46226</v>
      </c>
      <c r="J93" t="s">
        <v>150</v>
      </c>
      <c r="K93" t="s">
        <v>142</v>
      </c>
      <c r="L93" t="s">
        <v>233</v>
      </c>
      <c r="M93" t="s">
        <v>152</v>
      </c>
      <c r="N93" t="s">
        <v>153</v>
      </c>
      <c r="O93">
        <v>2614</v>
      </c>
      <c r="P93">
        <v>16</v>
      </c>
      <c r="Q93" t="s">
        <v>159</v>
      </c>
      <c r="R93" t="s">
        <v>160</v>
      </c>
      <c r="S93" t="s">
        <v>155</v>
      </c>
      <c r="T93" s="4">
        <v>314.85000000000002</v>
      </c>
      <c r="U93" s="4">
        <v>0</v>
      </c>
      <c r="V93" s="4">
        <v>4</v>
      </c>
      <c r="W93" s="4">
        <v>515.34</v>
      </c>
      <c r="X93" s="4">
        <v>62.24</v>
      </c>
      <c r="Y93" s="4">
        <v>892.43</v>
      </c>
      <c r="Z93" s="4" t="s">
        <v>147</v>
      </c>
      <c r="AA93" s="4" t="s">
        <v>147</v>
      </c>
      <c r="AB93" s="4">
        <f>SUMIF('Trip Changes'!$B:$B,A93,'Trip Changes'!$E:$E)</f>
        <v>0</v>
      </c>
      <c r="AC93" s="4">
        <f>SUMIF('Trip Cancellations'!$B:$B,A93,'Trip Cancellations'!$E:$E)</f>
        <v>0</v>
      </c>
      <c r="AD93" s="4">
        <f>SUMIF('Trip Cancellations'!$B:$B,A93,'Trip Cancellations'!$F:$F)</f>
        <v>0</v>
      </c>
      <c r="AE93" s="4">
        <f t="shared" si="1"/>
        <v>892.43</v>
      </c>
      <c r="AF93" t="s">
        <v>148</v>
      </c>
      <c r="AG93">
        <v>4</v>
      </c>
      <c r="AH93" s="5">
        <v>392.1</v>
      </c>
      <c r="AI93" t="s">
        <v>147</v>
      </c>
    </row>
    <row r="94" spans="1:35">
      <c r="A94" t="s">
        <v>329</v>
      </c>
      <c r="B94" t="s">
        <v>328</v>
      </c>
      <c r="C94" t="s">
        <v>142</v>
      </c>
      <c r="D94" t="s">
        <v>138</v>
      </c>
      <c r="E94" t="s">
        <v>139</v>
      </c>
      <c r="F94" t="s">
        <v>140</v>
      </c>
      <c r="G94" s="3">
        <v>46133</v>
      </c>
      <c r="H94" s="3">
        <v>46162</v>
      </c>
      <c r="I94" s="3">
        <v>46164</v>
      </c>
      <c r="J94" t="s">
        <v>163</v>
      </c>
      <c r="K94" t="s">
        <v>142</v>
      </c>
      <c r="L94" t="s">
        <v>182</v>
      </c>
      <c r="M94" t="s">
        <v>143</v>
      </c>
      <c r="N94" t="s">
        <v>144</v>
      </c>
      <c r="O94">
        <v>668</v>
      </c>
      <c r="P94">
        <v>29</v>
      </c>
      <c r="Q94" t="s">
        <v>145</v>
      </c>
      <c r="S94" t="s">
        <v>146</v>
      </c>
      <c r="T94" s="4">
        <v>0</v>
      </c>
      <c r="U94" s="4">
        <v>363.09</v>
      </c>
      <c r="V94" s="4">
        <v>1</v>
      </c>
      <c r="W94" s="4">
        <v>235.07</v>
      </c>
      <c r="X94" s="4">
        <v>23.12</v>
      </c>
      <c r="Y94" s="4">
        <v>621.28</v>
      </c>
      <c r="Z94" s="4" t="s">
        <v>147</v>
      </c>
      <c r="AA94" s="4" t="s">
        <v>147</v>
      </c>
      <c r="AB94" s="4">
        <f>SUMIF('Trip Changes'!$B:$B,A94,'Trip Changes'!$E:$E)</f>
        <v>0</v>
      </c>
      <c r="AC94" s="4">
        <f>SUMIF('Trip Cancellations'!$B:$B,A94,'Trip Cancellations'!$E:$E)</f>
        <v>0</v>
      </c>
      <c r="AD94" s="4">
        <f>SUMIF('Trip Cancellations'!$B:$B,A94,'Trip Cancellations'!$F:$F)</f>
        <v>0</v>
      </c>
      <c r="AE94" s="4">
        <f t="shared" si="1"/>
        <v>621.28</v>
      </c>
      <c r="AF94" t="s">
        <v>148</v>
      </c>
      <c r="AG94">
        <v>5</v>
      </c>
      <c r="AH94" s="5">
        <v>26.7</v>
      </c>
      <c r="AI94" t="s">
        <v>147</v>
      </c>
    </row>
    <row r="95" spans="1:35">
      <c r="A95" t="s">
        <v>330</v>
      </c>
      <c r="B95" t="s">
        <v>328</v>
      </c>
      <c r="C95" t="s">
        <v>142</v>
      </c>
      <c r="D95" t="s">
        <v>138</v>
      </c>
      <c r="E95" t="s">
        <v>139</v>
      </c>
      <c r="F95" t="s">
        <v>162</v>
      </c>
      <c r="G95" s="3">
        <v>46202</v>
      </c>
      <c r="H95" s="3">
        <v>46203</v>
      </c>
      <c r="I95" s="3">
        <v>46205</v>
      </c>
      <c r="J95" t="s">
        <v>141</v>
      </c>
      <c r="K95" t="s">
        <v>142</v>
      </c>
      <c r="L95" t="s">
        <v>182</v>
      </c>
      <c r="M95" t="s">
        <v>143</v>
      </c>
      <c r="N95" t="s">
        <v>144</v>
      </c>
      <c r="O95">
        <v>570</v>
      </c>
      <c r="P95">
        <v>1</v>
      </c>
      <c r="Q95" t="s">
        <v>145</v>
      </c>
      <c r="S95" t="s">
        <v>155</v>
      </c>
      <c r="T95" s="4">
        <v>0</v>
      </c>
      <c r="U95" s="4">
        <v>242.24</v>
      </c>
      <c r="V95" s="4">
        <v>1</v>
      </c>
      <c r="W95" s="4">
        <v>120.86</v>
      </c>
      <c r="X95" s="4">
        <v>55.12</v>
      </c>
      <c r="Y95" s="4">
        <v>418.22</v>
      </c>
      <c r="Z95" s="4" t="s">
        <v>147</v>
      </c>
      <c r="AA95" s="4" t="s">
        <v>147</v>
      </c>
      <c r="AB95" s="4">
        <f>SUMIF('Trip Changes'!$B:$B,A95,'Trip Changes'!$E:$E)</f>
        <v>0</v>
      </c>
      <c r="AC95" s="4">
        <f>SUMIF('Trip Cancellations'!$B:$B,A95,'Trip Cancellations'!$E:$E)</f>
        <v>0</v>
      </c>
      <c r="AD95" s="4">
        <f>SUMIF('Trip Cancellations'!$B:$B,A95,'Trip Cancellations'!$F:$F)</f>
        <v>0</v>
      </c>
      <c r="AE95" s="4">
        <f t="shared" si="1"/>
        <v>418.22</v>
      </c>
      <c r="AF95" t="s">
        <v>148</v>
      </c>
      <c r="AG95">
        <v>4</v>
      </c>
      <c r="AH95" s="5">
        <v>22.8</v>
      </c>
      <c r="AI95" t="s">
        <v>147</v>
      </c>
    </row>
    <row r="96" spans="1:35">
      <c r="A96" t="s">
        <v>331</v>
      </c>
      <c r="B96" t="s">
        <v>328</v>
      </c>
      <c r="C96" t="s">
        <v>142</v>
      </c>
      <c r="D96" t="s">
        <v>138</v>
      </c>
      <c r="E96" t="s">
        <v>139</v>
      </c>
      <c r="F96" t="s">
        <v>140</v>
      </c>
      <c r="G96" s="3">
        <v>46200</v>
      </c>
      <c r="H96" s="3">
        <v>46222</v>
      </c>
      <c r="I96" s="3">
        <v>46225</v>
      </c>
      <c r="J96" t="s">
        <v>150</v>
      </c>
      <c r="K96" t="s">
        <v>142</v>
      </c>
      <c r="L96" t="s">
        <v>158</v>
      </c>
      <c r="M96" t="s">
        <v>152</v>
      </c>
      <c r="N96" t="s">
        <v>153</v>
      </c>
      <c r="O96">
        <v>2530</v>
      </c>
      <c r="P96">
        <v>22</v>
      </c>
      <c r="Q96" t="s">
        <v>216</v>
      </c>
      <c r="R96" t="s">
        <v>172</v>
      </c>
      <c r="S96" t="s">
        <v>155</v>
      </c>
      <c r="T96" s="4">
        <v>693.65</v>
      </c>
      <c r="U96" s="4">
        <v>0</v>
      </c>
      <c r="V96" s="4">
        <v>2</v>
      </c>
      <c r="W96" s="4">
        <v>411.15</v>
      </c>
      <c r="X96" s="4">
        <v>54.1</v>
      </c>
      <c r="Y96" s="4">
        <v>1158.9000000000001</v>
      </c>
      <c r="Z96" s="4" t="s">
        <v>147</v>
      </c>
      <c r="AA96" s="4" t="s">
        <v>147</v>
      </c>
      <c r="AB96" s="4">
        <f>SUMIF('Trip Changes'!$B:$B,A96,'Trip Changes'!$E:$E)</f>
        <v>0</v>
      </c>
      <c r="AC96" s="4">
        <f>SUMIF('Trip Cancellations'!$B:$B,A96,'Trip Cancellations'!$E:$E)</f>
        <v>0</v>
      </c>
      <c r="AD96" s="4">
        <f>SUMIF('Trip Cancellations'!$B:$B,A96,'Trip Cancellations'!$F:$F)</f>
        <v>0</v>
      </c>
      <c r="AE96" s="4">
        <f t="shared" si="1"/>
        <v>1158.9000000000001</v>
      </c>
      <c r="AF96" t="s">
        <v>148</v>
      </c>
      <c r="AG96">
        <v>4</v>
      </c>
      <c r="AH96" s="5">
        <v>379.5</v>
      </c>
      <c r="AI96" t="s">
        <v>148</v>
      </c>
    </row>
    <row r="97" spans="1:35">
      <c r="A97" t="s">
        <v>332</v>
      </c>
      <c r="B97" t="s">
        <v>333</v>
      </c>
      <c r="C97" t="s">
        <v>182</v>
      </c>
      <c r="D97" t="s">
        <v>138</v>
      </c>
      <c r="E97" t="s">
        <v>139</v>
      </c>
      <c r="F97" t="s">
        <v>140</v>
      </c>
      <c r="G97" s="3">
        <v>46193</v>
      </c>
      <c r="H97" s="3">
        <v>46220</v>
      </c>
      <c r="I97" s="3">
        <v>46224</v>
      </c>
      <c r="J97" t="s">
        <v>150</v>
      </c>
      <c r="K97" t="s">
        <v>182</v>
      </c>
      <c r="L97" t="s">
        <v>264</v>
      </c>
      <c r="M97" t="s">
        <v>152</v>
      </c>
      <c r="N97" t="s">
        <v>153</v>
      </c>
      <c r="O97">
        <v>1296</v>
      </c>
      <c r="P97">
        <v>27</v>
      </c>
      <c r="Q97" t="s">
        <v>159</v>
      </c>
      <c r="R97" t="s">
        <v>176</v>
      </c>
      <c r="S97" t="s">
        <v>190</v>
      </c>
      <c r="T97" s="4">
        <v>459.37</v>
      </c>
      <c r="U97" s="4">
        <v>0</v>
      </c>
      <c r="V97" s="4">
        <v>3</v>
      </c>
      <c r="W97" s="4">
        <v>451.7</v>
      </c>
      <c r="X97" s="4">
        <v>87.9</v>
      </c>
      <c r="Y97" s="4">
        <v>998.97</v>
      </c>
      <c r="Z97" s="4" t="s">
        <v>147</v>
      </c>
      <c r="AA97" s="4" t="s">
        <v>147</v>
      </c>
      <c r="AB97" s="4">
        <f>SUMIF('Trip Changes'!$B:$B,A97,'Trip Changes'!$E:$E)</f>
        <v>0</v>
      </c>
      <c r="AC97" s="4">
        <f>SUMIF('Trip Cancellations'!$B:$B,A97,'Trip Cancellations'!$E:$E)</f>
        <v>0</v>
      </c>
      <c r="AD97" s="4">
        <f>SUMIF('Trip Cancellations'!$B:$B,A97,'Trip Cancellations'!$F:$F)</f>
        <v>0</v>
      </c>
      <c r="AE97" s="4">
        <f t="shared" si="1"/>
        <v>998.97</v>
      </c>
      <c r="AF97" t="s">
        <v>148</v>
      </c>
      <c r="AG97">
        <v>4</v>
      </c>
      <c r="AH97" s="5">
        <v>194.4</v>
      </c>
      <c r="AI97" t="s">
        <v>148</v>
      </c>
    </row>
    <row r="98" spans="1:35">
      <c r="A98" t="s">
        <v>334</v>
      </c>
      <c r="B98" t="s">
        <v>333</v>
      </c>
      <c r="C98" t="s">
        <v>182</v>
      </c>
      <c r="D98" t="s">
        <v>138</v>
      </c>
      <c r="E98" t="s">
        <v>139</v>
      </c>
      <c r="F98" t="s">
        <v>189</v>
      </c>
      <c r="G98" s="3">
        <v>46208</v>
      </c>
      <c r="H98" s="3">
        <v>46219</v>
      </c>
      <c r="I98" s="3">
        <v>46223</v>
      </c>
      <c r="J98" t="s">
        <v>150</v>
      </c>
      <c r="K98" t="s">
        <v>182</v>
      </c>
      <c r="L98" t="s">
        <v>199</v>
      </c>
      <c r="M98" t="s">
        <v>152</v>
      </c>
      <c r="N98" t="s">
        <v>153</v>
      </c>
      <c r="O98">
        <v>2460</v>
      </c>
      <c r="P98">
        <v>11</v>
      </c>
      <c r="Q98" t="s">
        <v>159</v>
      </c>
      <c r="R98" t="s">
        <v>200</v>
      </c>
      <c r="S98" t="s">
        <v>164</v>
      </c>
      <c r="T98" s="4">
        <v>624.67999999999995</v>
      </c>
      <c r="U98" s="4">
        <v>0</v>
      </c>
      <c r="V98" s="4">
        <v>3</v>
      </c>
      <c r="W98" s="4">
        <v>594.49</v>
      </c>
      <c r="X98" s="4">
        <v>55.45</v>
      </c>
      <c r="Y98" s="4">
        <v>1274.6199999999999</v>
      </c>
      <c r="Z98" s="4" t="s">
        <v>147</v>
      </c>
      <c r="AA98" s="4" t="s">
        <v>147</v>
      </c>
      <c r="AB98" s="4">
        <f>SUMIF('Trip Changes'!$B:$B,A98,'Trip Changes'!$E:$E)</f>
        <v>0</v>
      </c>
      <c r="AC98" s="4">
        <f>SUMIF('Trip Cancellations'!$B:$B,A98,'Trip Cancellations'!$E:$E)</f>
        <v>0</v>
      </c>
      <c r="AD98" s="4">
        <f>SUMIF('Trip Cancellations'!$B:$B,A98,'Trip Cancellations'!$F:$F)</f>
        <v>0</v>
      </c>
      <c r="AE98" s="4">
        <f t="shared" si="1"/>
        <v>1274.6199999999999</v>
      </c>
      <c r="AF98" t="s">
        <v>148</v>
      </c>
      <c r="AG98">
        <v>5</v>
      </c>
      <c r="AH98" s="5">
        <v>369</v>
      </c>
      <c r="AI98" t="s">
        <v>148</v>
      </c>
    </row>
    <row r="99" spans="1:35">
      <c r="A99" t="s">
        <v>335</v>
      </c>
      <c r="B99" t="s">
        <v>333</v>
      </c>
      <c r="C99" t="s">
        <v>182</v>
      </c>
      <c r="D99" t="s">
        <v>138</v>
      </c>
      <c r="E99" t="s">
        <v>139</v>
      </c>
      <c r="F99" t="s">
        <v>140</v>
      </c>
      <c r="G99" s="3">
        <v>46221</v>
      </c>
      <c r="H99" s="3">
        <v>46224</v>
      </c>
      <c r="I99" s="3">
        <v>46228</v>
      </c>
      <c r="J99" t="s">
        <v>150</v>
      </c>
      <c r="K99" t="s">
        <v>182</v>
      </c>
      <c r="L99" t="s">
        <v>199</v>
      </c>
      <c r="M99" t="s">
        <v>152</v>
      </c>
      <c r="N99" t="s">
        <v>153</v>
      </c>
      <c r="O99">
        <v>1538</v>
      </c>
      <c r="P99">
        <v>3</v>
      </c>
      <c r="Q99" t="s">
        <v>145</v>
      </c>
      <c r="R99" t="s">
        <v>200</v>
      </c>
      <c r="S99" t="s">
        <v>187</v>
      </c>
      <c r="T99" s="4">
        <v>489.46</v>
      </c>
      <c r="U99" s="4">
        <v>0</v>
      </c>
      <c r="V99" s="4">
        <v>3</v>
      </c>
      <c r="W99" s="4">
        <v>584.95000000000005</v>
      </c>
      <c r="X99" s="4">
        <v>74.8</v>
      </c>
      <c r="Y99" s="4">
        <v>1149.21</v>
      </c>
      <c r="Z99" s="4" t="s">
        <v>147</v>
      </c>
      <c r="AA99" s="4" t="s">
        <v>147</v>
      </c>
      <c r="AB99" s="4">
        <f>SUMIF('Trip Changes'!$B:$B,A99,'Trip Changes'!$E:$E)</f>
        <v>0</v>
      </c>
      <c r="AC99" s="4">
        <f>SUMIF('Trip Cancellations'!$B:$B,A99,'Trip Cancellations'!$E:$E)</f>
        <v>0</v>
      </c>
      <c r="AD99" s="4">
        <f>SUMIF('Trip Cancellations'!$B:$B,A99,'Trip Cancellations'!$F:$F)</f>
        <v>0</v>
      </c>
      <c r="AE99" s="4">
        <f t="shared" si="1"/>
        <v>1149.21</v>
      </c>
      <c r="AF99" t="s">
        <v>147</v>
      </c>
      <c r="AG99">
        <v>5</v>
      </c>
      <c r="AH99" s="5">
        <v>230.7</v>
      </c>
      <c r="AI99" t="s">
        <v>147</v>
      </c>
    </row>
    <row r="100" spans="1:35">
      <c r="A100" t="s">
        <v>336</v>
      </c>
      <c r="B100" t="s">
        <v>333</v>
      </c>
      <c r="C100" t="s">
        <v>182</v>
      </c>
      <c r="D100" t="s">
        <v>138</v>
      </c>
      <c r="E100" t="s">
        <v>139</v>
      </c>
      <c r="F100" t="s">
        <v>178</v>
      </c>
      <c r="G100" s="3">
        <v>46172</v>
      </c>
      <c r="H100" s="3">
        <v>46185</v>
      </c>
      <c r="I100" s="3">
        <v>46187</v>
      </c>
      <c r="J100" t="s">
        <v>141</v>
      </c>
      <c r="K100" t="s">
        <v>182</v>
      </c>
      <c r="L100" t="s">
        <v>264</v>
      </c>
      <c r="M100" t="s">
        <v>152</v>
      </c>
      <c r="N100" t="s">
        <v>153</v>
      </c>
      <c r="O100">
        <v>2152</v>
      </c>
      <c r="P100">
        <v>13</v>
      </c>
      <c r="Q100" t="s">
        <v>145</v>
      </c>
      <c r="R100" t="s">
        <v>176</v>
      </c>
      <c r="S100" t="s">
        <v>173</v>
      </c>
      <c r="T100" s="4">
        <v>446.47</v>
      </c>
      <c r="U100" s="4">
        <v>0</v>
      </c>
      <c r="V100" s="4">
        <v>1</v>
      </c>
      <c r="W100" s="4">
        <v>151.63999999999999</v>
      </c>
      <c r="X100" s="4">
        <v>76.97</v>
      </c>
      <c r="Y100" s="4">
        <v>675.08</v>
      </c>
      <c r="Z100" s="4" t="s">
        <v>147</v>
      </c>
      <c r="AA100" s="4" t="s">
        <v>147</v>
      </c>
      <c r="AB100" s="4">
        <f>SUMIF('Trip Changes'!$B:$B,A100,'Trip Changes'!$E:$E)</f>
        <v>0</v>
      </c>
      <c r="AC100" s="4">
        <f>SUMIF('Trip Cancellations'!$B:$B,A100,'Trip Cancellations'!$E:$E)</f>
        <v>0</v>
      </c>
      <c r="AD100" s="4">
        <f>SUMIF('Trip Cancellations'!$B:$B,A100,'Trip Cancellations'!$F:$F)</f>
        <v>0</v>
      </c>
      <c r="AE100" s="4">
        <f t="shared" si="1"/>
        <v>675.08</v>
      </c>
      <c r="AF100" t="s">
        <v>148</v>
      </c>
      <c r="AG100">
        <v>5</v>
      </c>
      <c r="AH100" s="5">
        <v>322.8</v>
      </c>
      <c r="AI100" t="s">
        <v>148</v>
      </c>
    </row>
    <row r="101" spans="1:35">
      <c r="A101" t="s">
        <v>337</v>
      </c>
      <c r="B101" t="s">
        <v>338</v>
      </c>
      <c r="C101" t="s">
        <v>282</v>
      </c>
      <c r="D101" t="s">
        <v>168</v>
      </c>
      <c r="E101" t="s">
        <v>249</v>
      </c>
      <c r="F101" t="s">
        <v>162</v>
      </c>
      <c r="G101" s="3">
        <v>46145</v>
      </c>
      <c r="H101" s="3">
        <v>46153</v>
      </c>
      <c r="I101" s="3">
        <v>46158</v>
      </c>
      <c r="J101" t="s">
        <v>163</v>
      </c>
      <c r="K101" t="s">
        <v>282</v>
      </c>
      <c r="L101" t="s">
        <v>151</v>
      </c>
      <c r="M101" t="s">
        <v>152</v>
      </c>
      <c r="N101" t="s">
        <v>153</v>
      </c>
      <c r="O101">
        <v>1742</v>
      </c>
      <c r="P101">
        <v>8</v>
      </c>
      <c r="Q101" t="s">
        <v>145</v>
      </c>
      <c r="R101" t="s">
        <v>172</v>
      </c>
      <c r="S101" t="s">
        <v>173</v>
      </c>
      <c r="T101" s="4">
        <v>361.9</v>
      </c>
      <c r="U101" s="4">
        <v>0</v>
      </c>
      <c r="V101" s="4">
        <v>4</v>
      </c>
      <c r="W101" s="4">
        <v>1034.7</v>
      </c>
      <c r="X101" s="4">
        <v>82.59</v>
      </c>
      <c r="Y101" s="4">
        <v>1479.19</v>
      </c>
      <c r="Z101" s="4" t="s">
        <v>147</v>
      </c>
      <c r="AA101" s="4" t="s">
        <v>147</v>
      </c>
      <c r="AB101" s="4">
        <f>SUMIF('Trip Changes'!$B:$B,A101,'Trip Changes'!$E:$E)</f>
        <v>0</v>
      </c>
      <c r="AC101" s="4">
        <f>SUMIF('Trip Cancellations'!$B:$B,A101,'Trip Cancellations'!$E:$E)</f>
        <v>0</v>
      </c>
      <c r="AD101" s="4">
        <f>SUMIF('Trip Cancellations'!$B:$B,A101,'Trip Cancellations'!$F:$F)</f>
        <v>0</v>
      </c>
      <c r="AE101" s="4">
        <f t="shared" si="1"/>
        <v>1479.19</v>
      </c>
      <c r="AF101" t="s">
        <v>148</v>
      </c>
      <c r="AG101">
        <v>4</v>
      </c>
      <c r="AH101" s="5">
        <v>261.3</v>
      </c>
      <c r="AI101" t="s">
        <v>147</v>
      </c>
    </row>
    <row r="102" spans="1:35">
      <c r="A102" t="s">
        <v>339</v>
      </c>
      <c r="B102" t="s">
        <v>338</v>
      </c>
      <c r="C102" t="s">
        <v>282</v>
      </c>
      <c r="D102" t="s">
        <v>168</v>
      </c>
      <c r="E102" t="s">
        <v>249</v>
      </c>
      <c r="F102" t="s">
        <v>207</v>
      </c>
      <c r="G102" s="3">
        <v>46219</v>
      </c>
      <c r="H102" s="3">
        <v>46231</v>
      </c>
      <c r="I102" s="3">
        <v>46235</v>
      </c>
      <c r="J102" t="s">
        <v>150</v>
      </c>
      <c r="K102" t="s">
        <v>282</v>
      </c>
      <c r="L102" t="s">
        <v>185</v>
      </c>
      <c r="M102" t="s">
        <v>152</v>
      </c>
      <c r="N102" t="s">
        <v>153</v>
      </c>
      <c r="O102">
        <v>11702</v>
      </c>
      <c r="P102">
        <v>12</v>
      </c>
      <c r="Q102" t="s">
        <v>159</v>
      </c>
      <c r="R102" t="s">
        <v>154</v>
      </c>
      <c r="S102" t="s">
        <v>173</v>
      </c>
      <c r="T102" s="4">
        <v>910.21</v>
      </c>
      <c r="U102" s="4">
        <v>0</v>
      </c>
      <c r="V102" s="4">
        <v>3</v>
      </c>
      <c r="W102" s="4">
        <v>447.35</v>
      </c>
      <c r="X102" s="4">
        <v>54.35</v>
      </c>
      <c r="Y102" s="4">
        <v>1411.91</v>
      </c>
      <c r="Z102" s="4" t="s">
        <v>147</v>
      </c>
      <c r="AA102" s="4" t="s">
        <v>147</v>
      </c>
      <c r="AB102" s="4">
        <f>SUMIF('Trip Changes'!$B:$B,A102,'Trip Changes'!$E:$E)</f>
        <v>0</v>
      </c>
      <c r="AC102" s="4">
        <f>SUMIF('Trip Cancellations'!$B:$B,A102,'Trip Cancellations'!$E:$E)</f>
        <v>0</v>
      </c>
      <c r="AD102" s="4">
        <f>SUMIF('Trip Cancellations'!$B:$B,A102,'Trip Cancellations'!$F:$F)</f>
        <v>0</v>
      </c>
      <c r="AE102" s="4">
        <f t="shared" si="1"/>
        <v>1411.91</v>
      </c>
      <c r="AF102" t="s">
        <v>148</v>
      </c>
      <c r="AG102">
        <v>5</v>
      </c>
      <c r="AH102" s="5">
        <v>1755.3</v>
      </c>
      <c r="AI102" t="s">
        <v>148</v>
      </c>
    </row>
    <row r="103" spans="1:35">
      <c r="A103" t="s">
        <v>340</v>
      </c>
      <c r="B103" t="s">
        <v>338</v>
      </c>
      <c r="C103" t="s">
        <v>282</v>
      </c>
      <c r="D103" t="s">
        <v>168</v>
      </c>
      <c r="E103" t="s">
        <v>249</v>
      </c>
      <c r="F103" t="s">
        <v>189</v>
      </c>
      <c r="G103" s="3">
        <v>46123</v>
      </c>
      <c r="H103" s="3">
        <v>46147</v>
      </c>
      <c r="I103" s="3">
        <v>46152</v>
      </c>
      <c r="J103" t="s">
        <v>163</v>
      </c>
      <c r="K103" t="s">
        <v>282</v>
      </c>
      <c r="L103" t="s">
        <v>283</v>
      </c>
      <c r="M103" t="s">
        <v>152</v>
      </c>
      <c r="N103" t="s">
        <v>153</v>
      </c>
      <c r="O103">
        <v>11338</v>
      </c>
      <c r="P103">
        <v>24</v>
      </c>
      <c r="Q103" t="s">
        <v>159</v>
      </c>
      <c r="R103" t="s">
        <v>154</v>
      </c>
      <c r="S103" t="s">
        <v>187</v>
      </c>
      <c r="T103" s="4">
        <v>900</v>
      </c>
      <c r="U103" s="4">
        <v>0</v>
      </c>
      <c r="V103" s="4">
        <v>4</v>
      </c>
      <c r="W103" s="4">
        <v>902.23</v>
      </c>
      <c r="X103" s="4">
        <v>40.74</v>
      </c>
      <c r="Y103" s="4">
        <v>1842.97</v>
      </c>
      <c r="Z103" s="4" t="s">
        <v>147</v>
      </c>
      <c r="AA103" s="4" t="s">
        <v>147</v>
      </c>
      <c r="AB103" s="4">
        <f>SUMIF('Trip Changes'!$B:$B,A103,'Trip Changes'!$E:$E)</f>
        <v>0</v>
      </c>
      <c r="AC103" s="4">
        <f>SUMIF('Trip Cancellations'!$B:$B,A103,'Trip Cancellations'!$E:$E)</f>
        <v>0</v>
      </c>
      <c r="AD103" s="4">
        <f>SUMIF('Trip Cancellations'!$B:$B,A103,'Trip Cancellations'!$F:$F)</f>
        <v>0</v>
      </c>
      <c r="AE103" s="4">
        <f t="shared" si="1"/>
        <v>1842.97</v>
      </c>
      <c r="AF103" t="s">
        <v>148</v>
      </c>
      <c r="AG103">
        <v>4</v>
      </c>
      <c r="AH103" s="5">
        <v>1700.7</v>
      </c>
      <c r="AI103" t="s">
        <v>147</v>
      </c>
    </row>
    <row r="104" spans="1:35">
      <c r="A104" t="s">
        <v>341</v>
      </c>
      <c r="B104" t="s">
        <v>338</v>
      </c>
      <c r="C104" t="s">
        <v>282</v>
      </c>
      <c r="D104" t="s">
        <v>168</v>
      </c>
      <c r="E104" t="s">
        <v>249</v>
      </c>
      <c r="F104" t="s">
        <v>140</v>
      </c>
      <c r="G104" s="3">
        <v>46147</v>
      </c>
      <c r="H104" s="3">
        <v>46149</v>
      </c>
      <c r="I104" s="3">
        <v>46151</v>
      </c>
      <c r="J104" t="s">
        <v>163</v>
      </c>
      <c r="K104" t="s">
        <v>282</v>
      </c>
      <c r="L104" t="s">
        <v>193</v>
      </c>
      <c r="M104" t="s">
        <v>143</v>
      </c>
      <c r="N104" t="s">
        <v>153</v>
      </c>
      <c r="O104">
        <v>1260</v>
      </c>
      <c r="P104">
        <v>2</v>
      </c>
      <c r="Q104" t="s">
        <v>145</v>
      </c>
      <c r="R104" t="s">
        <v>154</v>
      </c>
      <c r="S104" t="s">
        <v>155</v>
      </c>
      <c r="T104" s="4">
        <v>201.32</v>
      </c>
      <c r="U104" s="4">
        <v>0</v>
      </c>
      <c r="V104" s="4">
        <v>1</v>
      </c>
      <c r="W104" s="4">
        <v>81.260000000000005</v>
      </c>
      <c r="X104" s="4">
        <v>60.05</v>
      </c>
      <c r="Y104" s="4">
        <v>342.63</v>
      </c>
      <c r="Z104" s="4" t="s">
        <v>147</v>
      </c>
      <c r="AA104" s="4" t="s">
        <v>147</v>
      </c>
      <c r="AB104" s="4">
        <f>SUMIF('Trip Changes'!$B:$B,A104,'Trip Changes'!$E:$E)</f>
        <v>0</v>
      </c>
      <c r="AC104" s="4">
        <f>SUMIF('Trip Cancellations'!$B:$B,A104,'Trip Cancellations'!$E:$E)</f>
        <v>0</v>
      </c>
      <c r="AD104" s="4">
        <f>SUMIF('Trip Cancellations'!$B:$B,A104,'Trip Cancellations'!$F:$F)</f>
        <v>0</v>
      </c>
      <c r="AE104" s="4">
        <f t="shared" si="1"/>
        <v>342.63</v>
      </c>
      <c r="AF104" t="s">
        <v>148</v>
      </c>
      <c r="AG104">
        <v>5</v>
      </c>
      <c r="AH104" s="5">
        <v>189</v>
      </c>
      <c r="AI104" t="s">
        <v>148</v>
      </c>
    </row>
    <row r="105" spans="1:35">
      <c r="A105" t="s">
        <v>342</v>
      </c>
      <c r="B105" t="s">
        <v>343</v>
      </c>
      <c r="C105" t="s">
        <v>307</v>
      </c>
      <c r="D105" t="s">
        <v>168</v>
      </c>
      <c r="E105" t="s">
        <v>169</v>
      </c>
      <c r="F105" t="s">
        <v>162</v>
      </c>
      <c r="G105" s="3">
        <v>46194</v>
      </c>
      <c r="H105" s="3">
        <v>46204</v>
      </c>
      <c r="I105" s="3">
        <v>46208</v>
      </c>
      <c r="J105" t="s">
        <v>150</v>
      </c>
      <c r="K105" t="s">
        <v>307</v>
      </c>
      <c r="L105" t="s">
        <v>225</v>
      </c>
      <c r="M105" t="s">
        <v>152</v>
      </c>
      <c r="N105" t="s">
        <v>153</v>
      </c>
      <c r="O105">
        <v>2620</v>
      </c>
      <c r="P105">
        <v>10</v>
      </c>
      <c r="Q105" t="s">
        <v>145</v>
      </c>
      <c r="R105" t="s">
        <v>236</v>
      </c>
      <c r="S105" t="s">
        <v>187</v>
      </c>
      <c r="T105" s="4">
        <v>621.75</v>
      </c>
      <c r="U105" s="4">
        <v>0</v>
      </c>
      <c r="V105" s="4">
        <v>3</v>
      </c>
      <c r="W105" s="4">
        <v>704.24</v>
      </c>
      <c r="X105" s="4">
        <v>116.42</v>
      </c>
      <c r="Y105" s="4">
        <v>1442.41</v>
      </c>
      <c r="Z105" s="4" t="s">
        <v>147</v>
      </c>
      <c r="AA105" s="4" t="s">
        <v>147</v>
      </c>
      <c r="AB105" s="4">
        <f>SUMIF('Trip Changes'!$B:$B,A105,'Trip Changes'!$E:$E)</f>
        <v>0</v>
      </c>
      <c r="AC105" s="4">
        <f>SUMIF('Trip Cancellations'!$B:$B,A105,'Trip Cancellations'!$E:$E)</f>
        <v>0</v>
      </c>
      <c r="AD105" s="4">
        <f>SUMIF('Trip Cancellations'!$B:$B,A105,'Trip Cancellations'!$F:$F)</f>
        <v>0</v>
      </c>
      <c r="AE105" s="4">
        <f t="shared" si="1"/>
        <v>1442.41</v>
      </c>
      <c r="AF105" t="s">
        <v>148</v>
      </c>
      <c r="AG105">
        <v>5</v>
      </c>
      <c r="AH105" s="5">
        <v>393</v>
      </c>
      <c r="AI105" t="s">
        <v>148</v>
      </c>
    </row>
    <row r="106" spans="1:35">
      <c r="A106" t="s">
        <v>344</v>
      </c>
      <c r="B106" t="s">
        <v>343</v>
      </c>
      <c r="C106" t="s">
        <v>307</v>
      </c>
      <c r="D106" t="s">
        <v>168</v>
      </c>
      <c r="E106" t="s">
        <v>169</v>
      </c>
      <c r="F106" t="s">
        <v>157</v>
      </c>
      <c r="G106" s="3">
        <v>46178</v>
      </c>
      <c r="H106" s="3">
        <v>46184</v>
      </c>
      <c r="I106" s="3">
        <v>46187</v>
      </c>
      <c r="J106" t="s">
        <v>141</v>
      </c>
      <c r="K106" t="s">
        <v>307</v>
      </c>
      <c r="L106" t="s">
        <v>240</v>
      </c>
      <c r="M106" t="s">
        <v>152</v>
      </c>
      <c r="N106" t="s">
        <v>153</v>
      </c>
      <c r="O106">
        <v>14518</v>
      </c>
      <c r="P106">
        <v>6</v>
      </c>
      <c r="Q106" t="s">
        <v>145</v>
      </c>
      <c r="R106" t="s">
        <v>154</v>
      </c>
      <c r="S106" t="s">
        <v>173</v>
      </c>
      <c r="T106" s="4">
        <v>1349.29</v>
      </c>
      <c r="U106" s="4">
        <v>0</v>
      </c>
      <c r="V106" s="4">
        <v>2</v>
      </c>
      <c r="W106" s="4">
        <v>299.51</v>
      </c>
      <c r="X106" s="4">
        <v>126.86</v>
      </c>
      <c r="Y106" s="4">
        <v>1775.66</v>
      </c>
      <c r="Z106" s="4" t="s">
        <v>147</v>
      </c>
      <c r="AA106" s="4" t="s">
        <v>147</v>
      </c>
      <c r="AB106" s="4">
        <f>SUMIF('Trip Changes'!$B:$B,A106,'Trip Changes'!$E:$E)</f>
        <v>0</v>
      </c>
      <c r="AC106" s="4">
        <f>SUMIF('Trip Cancellations'!$B:$B,A106,'Trip Cancellations'!$E:$E)</f>
        <v>0</v>
      </c>
      <c r="AD106" s="4">
        <f>SUMIF('Trip Cancellations'!$B:$B,A106,'Trip Cancellations'!$F:$F)</f>
        <v>0</v>
      </c>
      <c r="AE106" s="4">
        <f t="shared" si="1"/>
        <v>1775.66</v>
      </c>
      <c r="AF106" t="s">
        <v>148</v>
      </c>
      <c r="AG106">
        <v>4</v>
      </c>
      <c r="AH106" s="5">
        <v>2177.6999999999998</v>
      </c>
      <c r="AI106" t="s">
        <v>148</v>
      </c>
    </row>
    <row r="107" spans="1:35">
      <c r="A107" t="s">
        <v>345</v>
      </c>
      <c r="B107" t="s">
        <v>343</v>
      </c>
      <c r="C107" t="s">
        <v>307</v>
      </c>
      <c r="D107" t="s">
        <v>168</v>
      </c>
      <c r="E107" t="s">
        <v>169</v>
      </c>
      <c r="F107" t="s">
        <v>178</v>
      </c>
      <c r="G107" s="3">
        <v>46133</v>
      </c>
      <c r="H107" s="3">
        <v>46144</v>
      </c>
      <c r="I107" s="3">
        <v>46146</v>
      </c>
      <c r="J107" t="s">
        <v>163</v>
      </c>
      <c r="K107" t="s">
        <v>307</v>
      </c>
      <c r="L107" t="s">
        <v>225</v>
      </c>
      <c r="M107" t="s">
        <v>152</v>
      </c>
      <c r="N107" t="s">
        <v>153</v>
      </c>
      <c r="O107">
        <v>1108</v>
      </c>
      <c r="P107">
        <v>11</v>
      </c>
      <c r="Q107" t="s">
        <v>207</v>
      </c>
      <c r="R107" t="s">
        <v>176</v>
      </c>
      <c r="S107" t="s">
        <v>187</v>
      </c>
      <c r="T107" s="4">
        <v>162</v>
      </c>
      <c r="U107" s="4">
        <v>0</v>
      </c>
      <c r="V107" s="4">
        <v>1</v>
      </c>
      <c r="W107" s="4">
        <v>199.11</v>
      </c>
      <c r="X107" s="4">
        <v>61.69</v>
      </c>
      <c r="Y107" s="4">
        <v>422.8</v>
      </c>
      <c r="Z107" s="4" t="s">
        <v>147</v>
      </c>
      <c r="AA107" s="4" t="s">
        <v>147</v>
      </c>
      <c r="AB107" s="4">
        <f>SUMIF('Trip Changes'!$B:$B,A107,'Trip Changes'!$E:$E)</f>
        <v>0</v>
      </c>
      <c r="AC107" s="4">
        <f>SUMIF('Trip Cancellations'!$B:$B,A107,'Trip Cancellations'!$E:$E)</f>
        <v>0</v>
      </c>
      <c r="AD107" s="4">
        <f>SUMIF('Trip Cancellations'!$B:$B,A107,'Trip Cancellations'!$F:$F)</f>
        <v>0</v>
      </c>
      <c r="AE107" s="4">
        <f t="shared" si="1"/>
        <v>422.8</v>
      </c>
      <c r="AF107" t="s">
        <v>147</v>
      </c>
      <c r="AG107">
        <v>4</v>
      </c>
      <c r="AH107" s="5">
        <v>166.2</v>
      </c>
      <c r="AI107" t="s">
        <v>147</v>
      </c>
    </row>
    <row r="108" spans="1:35">
      <c r="A108" t="s">
        <v>346</v>
      </c>
      <c r="B108" t="s">
        <v>343</v>
      </c>
      <c r="C108" t="s">
        <v>307</v>
      </c>
      <c r="D108" t="s">
        <v>168</v>
      </c>
      <c r="E108" t="s">
        <v>169</v>
      </c>
      <c r="F108" t="s">
        <v>170</v>
      </c>
      <c r="G108" s="3">
        <v>46211</v>
      </c>
      <c r="H108" s="3">
        <v>46219</v>
      </c>
      <c r="I108" s="3">
        <v>46223</v>
      </c>
      <c r="J108" t="s">
        <v>150</v>
      </c>
      <c r="K108" t="s">
        <v>307</v>
      </c>
      <c r="L108" t="s">
        <v>215</v>
      </c>
      <c r="M108" t="s">
        <v>152</v>
      </c>
      <c r="N108" t="s">
        <v>153</v>
      </c>
      <c r="O108">
        <v>2682</v>
      </c>
      <c r="P108">
        <v>8</v>
      </c>
      <c r="Q108" t="s">
        <v>145</v>
      </c>
      <c r="R108" t="s">
        <v>160</v>
      </c>
      <c r="S108" t="s">
        <v>187</v>
      </c>
      <c r="T108" s="4">
        <v>525.94000000000005</v>
      </c>
      <c r="U108" s="4">
        <v>0</v>
      </c>
      <c r="V108" s="4">
        <v>3</v>
      </c>
      <c r="W108" s="4">
        <v>444.01</v>
      </c>
      <c r="X108" s="4">
        <v>31.18</v>
      </c>
      <c r="Y108" s="4">
        <v>1001.13</v>
      </c>
      <c r="Z108" s="4" t="s">
        <v>147</v>
      </c>
      <c r="AA108" s="4" t="s">
        <v>147</v>
      </c>
      <c r="AB108" s="4">
        <f>SUMIF('Trip Changes'!$B:$B,A108,'Trip Changes'!$E:$E)</f>
        <v>0</v>
      </c>
      <c r="AC108" s="4">
        <f>SUMIF('Trip Cancellations'!$B:$B,A108,'Trip Cancellations'!$E:$E)</f>
        <v>0</v>
      </c>
      <c r="AD108" s="4">
        <f>SUMIF('Trip Cancellations'!$B:$B,A108,'Trip Cancellations'!$F:$F)</f>
        <v>0</v>
      </c>
      <c r="AE108" s="4">
        <f t="shared" si="1"/>
        <v>1001.13</v>
      </c>
      <c r="AF108" t="s">
        <v>148</v>
      </c>
      <c r="AG108">
        <v>5</v>
      </c>
      <c r="AH108" s="5">
        <v>402.3</v>
      </c>
      <c r="AI108" t="s">
        <v>148</v>
      </c>
    </row>
    <row r="109" spans="1:35">
      <c r="A109" t="s">
        <v>347</v>
      </c>
      <c r="B109" t="s">
        <v>343</v>
      </c>
      <c r="C109" t="s">
        <v>307</v>
      </c>
      <c r="D109" t="s">
        <v>168</v>
      </c>
      <c r="E109" t="s">
        <v>169</v>
      </c>
      <c r="F109" t="s">
        <v>140</v>
      </c>
      <c r="G109" s="3">
        <v>46180</v>
      </c>
      <c r="H109" s="3">
        <v>46192</v>
      </c>
      <c r="I109" s="3">
        <v>46194</v>
      </c>
      <c r="J109" t="s">
        <v>141</v>
      </c>
      <c r="K109" t="s">
        <v>307</v>
      </c>
      <c r="L109" t="s">
        <v>151</v>
      </c>
      <c r="M109" t="s">
        <v>152</v>
      </c>
      <c r="N109" t="s">
        <v>153</v>
      </c>
      <c r="O109">
        <v>1220</v>
      </c>
      <c r="P109">
        <v>12</v>
      </c>
      <c r="Q109" t="s">
        <v>145</v>
      </c>
      <c r="R109" t="s">
        <v>154</v>
      </c>
      <c r="S109" t="s">
        <v>173</v>
      </c>
      <c r="T109" s="4">
        <v>386.92</v>
      </c>
      <c r="U109" s="4">
        <v>0</v>
      </c>
      <c r="V109" s="4">
        <v>1</v>
      </c>
      <c r="W109" s="4">
        <v>158.61000000000001</v>
      </c>
      <c r="X109" s="4">
        <v>95.73</v>
      </c>
      <c r="Y109" s="4">
        <v>641.26</v>
      </c>
      <c r="Z109" s="4" t="s">
        <v>147</v>
      </c>
      <c r="AA109" s="4" t="s">
        <v>147</v>
      </c>
      <c r="AB109" s="4">
        <f>SUMIF('Trip Changes'!$B:$B,A109,'Trip Changes'!$E:$E)</f>
        <v>0</v>
      </c>
      <c r="AC109" s="4">
        <f>SUMIF('Trip Cancellations'!$B:$B,A109,'Trip Cancellations'!$E:$E)</f>
        <v>0</v>
      </c>
      <c r="AD109" s="4">
        <f>SUMIF('Trip Cancellations'!$B:$B,A109,'Trip Cancellations'!$F:$F)</f>
        <v>0</v>
      </c>
      <c r="AE109" s="4">
        <f t="shared" si="1"/>
        <v>641.26</v>
      </c>
      <c r="AF109" t="s">
        <v>147</v>
      </c>
      <c r="AG109">
        <v>5</v>
      </c>
      <c r="AH109" s="5">
        <v>183</v>
      </c>
      <c r="AI109" t="s">
        <v>147</v>
      </c>
    </row>
    <row r="110" spans="1:35">
      <c r="A110" t="s">
        <v>348</v>
      </c>
      <c r="B110" t="s">
        <v>349</v>
      </c>
      <c r="C110" t="s">
        <v>182</v>
      </c>
      <c r="D110" t="s">
        <v>204</v>
      </c>
      <c r="E110" t="s">
        <v>169</v>
      </c>
      <c r="F110" t="s">
        <v>162</v>
      </c>
      <c r="G110" s="3">
        <v>46190</v>
      </c>
      <c r="H110" s="3">
        <v>46193</v>
      </c>
      <c r="I110" s="3">
        <v>46196</v>
      </c>
      <c r="J110" t="s">
        <v>141</v>
      </c>
      <c r="K110" t="s">
        <v>182</v>
      </c>
      <c r="L110" t="s">
        <v>233</v>
      </c>
      <c r="M110" t="s">
        <v>152</v>
      </c>
      <c r="N110" t="s">
        <v>153</v>
      </c>
      <c r="O110">
        <v>1196</v>
      </c>
      <c r="P110">
        <v>3</v>
      </c>
      <c r="Q110" t="s">
        <v>145</v>
      </c>
      <c r="R110" t="s">
        <v>160</v>
      </c>
      <c r="S110" t="s">
        <v>190</v>
      </c>
      <c r="T110" s="4">
        <v>662.88</v>
      </c>
      <c r="U110" s="4">
        <v>0</v>
      </c>
      <c r="V110" s="4">
        <v>2</v>
      </c>
      <c r="W110" s="4">
        <v>386.6</v>
      </c>
      <c r="X110" s="4">
        <v>154.41</v>
      </c>
      <c r="Y110" s="4">
        <v>1203.8900000000001</v>
      </c>
      <c r="Z110" s="4" t="s">
        <v>147</v>
      </c>
      <c r="AA110" s="4" t="s">
        <v>147</v>
      </c>
      <c r="AB110" s="4">
        <f>SUMIF('Trip Changes'!$B:$B,A110,'Trip Changes'!$E:$E)</f>
        <v>0</v>
      </c>
      <c r="AC110" s="4">
        <f>SUMIF('Trip Cancellations'!$B:$B,A110,'Trip Cancellations'!$E:$E)</f>
        <v>0</v>
      </c>
      <c r="AD110" s="4">
        <f>SUMIF('Trip Cancellations'!$B:$B,A110,'Trip Cancellations'!$F:$F)</f>
        <v>0</v>
      </c>
      <c r="AE110" s="4">
        <f t="shared" si="1"/>
        <v>1203.8900000000001</v>
      </c>
      <c r="AF110" t="s">
        <v>148</v>
      </c>
      <c r="AG110">
        <v>5</v>
      </c>
      <c r="AH110" s="5">
        <v>179.4</v>
      </c>
      <c r="AI110" t="s">
        <v>148</v>
      </c>
    </row>
    <row r="111" spans="1:35">
      <c r="A111" t="s">
        <v>350</v>
      </c>
      <c r="B111" t="s">
        <v>349</v>
      </c>
      <c r="C111" t="s">
        <v>182</v>
      </c>
      <c r="D111" t="s">
        <v>204</v>
      </c>
      <c r="E111" t="s">
        <v>169</v>
      </c>
      <c r="F111" t="s">
        <v>181</v>
      </c>
      <c r="G111" s="3">
        <v>46178</v>
      </c>
      <c r="H111" s="3">
        <v>46188</v>
      </c>
      <c r="I111" s="3">
        <v>46192</v>
      </c>
      <c r="J111" t="s">
        <v>141</v>
      </c>
      <c r="K111" t="s">
        <v>182</v>
      </c>
      <c r="L111" t="s">
        <v>283</v>
      </c>
      <c r="M111" t="s">
        <v>152</v>
      </c>
      <c r="N111" t="s">
        <v>153</v>
      </c>
      <c r="O111">
        <v>11046</v>
      </c>
      <c r="P111">
        <v>10</v>
      </c>
      <c r="Q111" t="s">
        <v>159</v>
      </c>
      <c r="R111" t="s">
        <v>154</v>
      </c>
      <c r="S111" t="s">
        <v>190</v>
      </c>
      <c r="T111" s="4">
        <v>867.91</v>
      </c>
      <c r="U111" s="4">
        <v>0</v>
      </c>
      <c r="V111" s="4">
        <v>3</v>
      </c>
      <c r="W111" s="4">
        <v>644.79999999999995</v>
      </c>
      <c r="X111" s="4">
        <v>90.82</v>
      </c>
      <c r="Y111" s="4">
        <v>1603.53</v>
      </c>
      <c r="Z111" s="4" t="s">
        <v>147</v>
      </c>
      <c r="AA111" s="4" t="s">
        <v>147</v>
      </c>
      <c r="AB111" s="4">
        <f>SUMIF('Trip Changes'!$B:$B,A111,'Trip Changes'!$E:$E)</f>
        <v>0</v>
      </c>
      <c r="AC111" s="4">
        <f>SUMIF('Trip Cancellations'!$B:$B,A111,'Trip Cancellations'!$E:$E)</f>
        <v>0</v>
      </c>
      <c r="AD111" s="4">
        <f>SUMIF('Trip Cancellations'!$B:$B,A111,'Trip Cancellations'!$F:$F)</f>
        <v>0</v>
      </c>
      <c r="AE111" s="4">
        <f t="shared" si="1"/>
        <v>1603.53</v>
      </c>
      <c r="AF111" t="s">
        <v>148</v>
      </c>
      <c r="AG111">
        <v>5</v>
      </c>
      <c r="AH111" s="5">
        <v>1656.9</v>
      </c>
      <c r="AI111" t="s">
        <v>148</v>
      </c>
    </row>
    <row r="112" spans="1:35">
      <c r="A112" t="s">
        <v>351</v>
      </c>
      <c r="B112" t="s">
        <v>349</v>
      </c>
      <c r="C112" t="s">
        <v>182</v>
      </c>
      <c r="D112" t="s">
        <v>204</v>
      </c>
      <c r="E112" t="s">
        <v>169</v>
      </c>
      <c r="F112" t="s">
        <v>170</v>
      </c>
      <c r="G112" s="3">
        <v>46146</v>
      </c>
      <c r="H112" s="3">
        <v>46154</v>
      </c>
      <c r="I112" s="3">
        <v>46158</v>
      </c>
      <c r="J112" t="s">
        <v>163</v>
      </c>
      <c r="K112" t="s">
        <v>182</v>
      </c>
      <c r="L112" t="s">
        <v>225</v>
      </c>
      <c r="M112" t="s">
        <v>152</v>
      </c>
      <c r="N112" t="s">
        <v>153</v>
      </c>
      <c r="O112">
        <v>2940</v>
      </c>
      <c r="P112">
        <v>8</v>
      </c>
      <c r="Q112" t="s">
        <v>145</v>
      </c>
      <c r="R112" t="s">
        <v>154</v>
      </c>
      <c r="S112" t="s">
        <v>155</v>
      </c>
      <c r="T112" s="4">
        <v>549.53</v>
      </c>
      <c r="U112" s="4">
        <v>0</v>
      </c>
      <c r="V112" s="4">
        <v>3</v>
      </c>
      <c r="W112" s="4">
        <v>492.22</v>
      </c>
      <c r="X112" s="4">
        <v>71.8</v>
      </c>
      <c r="Y112" s="4">
        <v>1113.55</v>
      </c>
      <c r="Z112" s="4" t="s">
        <v>147</v>
      </c>
      <c r="AA112" s="4" t="s">
        <v>148</v>
      </c>
      <c r="AB112" s="4">
        <f>SUMIF('Trip Changes'!$B:$B,A112,'Trip Changes'!$E:$E)</f>
        <v>0</v>
      </c>
      <c r="AC112" s="4">
        <f>SUMIF('Trip Cancellations'!$B:$B,A112,'Trip Cancellations'!$E:$E)</f>
        <v>4.41</v>
      </c>
      <c r="AD112" s="4">
        <f>SUMIF('Trip Cancellations'!$B:$B,A112,'Trip Cancellations'!$F:$F)</f>
        <v>937.58</v>
      </c>
      <c r="AE112" s="4">
        <f t="shared" si="1"/>
        <v>180.38</v>
      </c>
      <c r="AF112" t="s">
        <v>148</v>
      </c>
      <c r="AG112">
        <v>3</v>
      </c>
      <c r="AH112" s="5">
        <v>441</v>
      </c>
      <c r="AI112" t="s">
        <v>147</v>
      </c>
    </row>
    <row r="113" spans="1:35">
      <c r="A113" t="s">
        <v>352</v>
      </c>
      <c r="B113" t="s">
        <v>349</v>
      </c>
      <c r="C113" t="s">
        <v>182</v>
      </c>
      <c r="D113" t="s">
        <v>204</v>
      </c>
      <c r="E113" t="s">
        <v>169</v>
      </c>
      <c r="F113" t="s">
        <v>189</v>
      </c>
      <c r="G113" s="3">
        <v>46186</v>
      </c>
      <c r="H113" s="3">
        <v>46198</v>
      </c>
      <c r="I113" s="3">
        <v>46200</v>
      </c>
      <c r="J113" t="s">
        <v>141</v>
      </c>
      <c r="K113" t="s">
        <v>182</v>
      </c>
      <c r="L113" t="s">
        <v>199</v>
      </c>
      <c r="M113" t="s">
        <v>152</v>
      </c>
      <c r="N113" t="s">
        <v>153</v>
      </c>
      <c r="O113">
        <v>2456</v>
      </c>
      <c r="P113">
        <v>12</v>
      </c>
      <c r="Q113" t="s">
        <v>145</v>
      </c>
      <c r="R113" t="s">
        <v>200</v>
      </c>
      <c r="S113" t="s">
        <v>187</v>
      </c>
      <c r="T113" s="4">
        <v>492.38</v>
      </c>
      <c r="U113" s="4">
        <v>0</v>
      </c>
      <c r="V113" s="4">
        <v>1</v>
      </c>
      <c r="W113" s="4">
        <v>197.44</v>
      </c>
      <c r="X113" s="4">
        <v>102.45</v>
      </c>
      <c r="Y113" s="4">
        <v>792.27</v>
      </c>
      <c r="Z113" s="4" t="s">
        <v>147</v>
      </c>
      <c r="AA113" s="4" t="s">
        <v>147</v>
      </c>
      <c r="AB113" s="4">
        <f>SUMIF('Trip Changes'!$B:$B,A113,'Trip Changes'!$E:$E)</f>
        <v>0</v>
      </c>
      <c r="AC113" s="4">
        <f>SUMIF('Trip Cancellations'!$B:$B,A113,'Trip Cancellations'!$E:$E)</f>
        <v>0</v>
      </c>
      <c r="AD113" s="4">
        <f>SUMIF('Trip Cancellations'!$B:$B,A113,'Trip Cancellations'!$F:$F)</f>
        <v>0</v>
      </c>
      <c r="AE113" s="4">
        <f t="shared" si="1"/>
        <v>792.27</v>
      </c>
      <c r="AF113" t="s">
        <v>148</v>
      </c>
      <c r="AG113">
        <v>5</v>
      </c>
      <c r="AH113" s="5">
        <v>368.4</v>
      </c>
      <c r="AI113" t="s">
        <v>148</v>
      </c>
    </row>
    <row r="114" spans="1:35">
      <c r="A114" t="s">
        <v>353</v>
      </c>
      <c r="B114" t="s">
        <v>354</v>
      </c>
      <c r="C114" t="s">
        <v>182</v>
      </c>
      <c r="D114" t="s">
        <v>248</v>
      </c>
      <c r="E114" t="s">
        <v>139</v>
      </c>
      <c r="F114" t="s">
        <v>140</v>
      </c>
      <c r="G114" s="3">
        <v>46141</v>
      </c>
      <c r="H114" s="3">
        <v>46148</v>
      </c>
      <c r="I114" s="3">
        <v>46151</v>
      </c>
      <c r="J114" t="s">
        <v>163</v>
      </c>
      <c r="K114" t="s">
        <v>182</v>
      </c>
      <c r="L114" t="s">
        <v>233</v>
      </c>
      <c r="M114" t="s">
        <v>152</v>
      </c>
      <c r="N114" t="s">
        <v>153</v>
      </c>
      <c r="O114">
        <v>1016</v>
      </c>
      <c r="P114">
        <v>7</v>
      </c>
      <c r="Q114" t="s">
        <v>145</v>
      </c>
      <c r="R114" t="s">
        <v>154</v>
      </c>
      <c r="S114" t="s">
        <v>155</v>
      </c>
      <c r="T114" s="4">
        <v>418.2</v>
      </c>
      <c r="U114" s="4">
        <v>0</v>
      </c>
      <c r="V114" s="4">
        <v>2</v>
      </c>
      <c r="W114" s="4">
        <v>436.67</v>
      </c>
      <c r="X114" s="4">
        <v>61.1</v>
      </c>
      <c r="Y114" s="4">
        <v>915.97</v>
      </c>
      <c r="Z114" s="4" t="s">
        <v>148</v>
      </c>
      <c r="AA114" s="4" t="s">
        <v>147</v>
      </c>
      <c r="AB114" s="4">
        <f>SUMIF('Trip Changes'!$B:$B,A114,'Trip Changes'!$E:$E)</f>
        <v>50.45</v>
      </c>
      <c r="AC114" s="4">
        <f>SUMIF('Trip Cancellations'!$B:$B,A114,'Trip Cancellations'!$E:$E)</f>
        <v>0</v>
      </c>
      <c r="AD114" s="4">
        <f>SUMIF('Trip Cancellations'!$B:$B,A114,'Trip Cancellations'!$F:$F)</f>
        <v>0</v>
      </c>
      <c r="AE114" s="4">
        <f t="shared" si="1"/>
        <v>966.42000000000007</v>
      </c>
      <c r="AF114" t="s">
        <v>148</v>
      </c>
      <c r="AG114">
        <v>5</v>
      </c>
      <c r="AH114" s="5">
        <v>152.4</v>
      </c>
      <c r="AI114" t="s">
        <v>147</v>
      </c>
    </row>
    <row r="115" spans="1:35">
      <c r="A115" t="s">
        <v>355</v>
      </c>
      <c r="B115" t="s">
        <v>354</v>
      </c>
      <c r="C115" t="s">
        <v>182</v>
      </c>
      <c r="D115" t="s">
        <v>248</v>
      </c>
      <c r="E115" t="s">
        <v>139</v>
      </c>
      <c r="F115" t="s">
        <v>189</v>
      </c>
      <c r="G115" s="3">
        <v>46147</v>
      </c>
      <c r="H115" s="3">
        <v>46148</v>
      </c>
      <c r="I115" s="3">
        <v>46151</v>
      </c>
      <c r="J115" t="s">
        <v>163</v>
      </c>
      <c r="K115" t="s">
        <v>182</v>
      </c>
      <c r="L115" t="s">
        <v>175</v>
      </c>
      <c r="M115" t="s">
        <v>152</v>
      </c>
      <c r="N115" t="s">
        <v>153</v>
      </c>
      <c r="O115">
        <v>1274</v>
      </c>
      <c r="P115">
        <v>1</v>
      </c>
      <c r="Q115" t="s">
        <v>145</v>
      </c>
      <c r="R115" t="s">
        <v>236</v>
      </c>
      <c r="S115" t="s">
        <v>173</v>
      </c>
      <c r="T115" s="4">
        <v>565.11</v>
      </c>
      <c r="U115" s="4">
        <v>0</v>
      </c>
      <c r="V115" s="4">
        <v>2</v>
      </c>
      <c r="W115" s="4">
        <v>281.22000000000003</v>
      </c>
      <c r="X115" s="4">
        <v>117.14</v>
      </c>
      <c r="Y115" s="4">
        <v>963.47</v>
      </c>
      <c r="Z115" s="4" t="s">
        <v>148</v>
      </c>
      <c r="AA115" s="4" t="s">
        <v>147</v>
      </c>
      <c r="AB115" s="4">
        <f>SUMIF('Trip Changes'!$B:$B,A115,'Trip Changes'!$E:$E)</f>
        <v>89.48</v>
      </c>
      <c r="AC115" s="4">
        <f>SUMIF('Trip Cancellations'!$B:$B,A115,'Trip Cancellations'!$E:$E)</f>
        <v>0</v>
      </c>
      <c r="AD115" s="4">
        <f>SUMIF('Trip Cancellations'!$B:$B,A115,'Trip Cancellations'!$F:$F)</f>
        <v>0</v>
      </c>
      <c r="AE115" s="4">
        <f t="shared" si="1"/>
        <v>1052.95</v>
      </c>
      <c r="AF115" t="s">
        <v>148</v>
      </c>
      <c r="AG115">
        <v>4</v>
      </c>
      <c r="AH115" s="5">
        <v>191.1</v>
      </c>
      <c r="AI115" t="s">
        <v>147</v>
      </c>
    </row>
    <row r="116" spans="1:35">
      <c r="A116" t="s">
        <v>356</v>
      </c>
      <c r="B116" t="s">
        <v>354</v>
      </c>
      <c r="C116" t="s">
        <v>182</v>
      </c>
      <c r="D116" t="s">
        <v>248</v>
      </c>
      <c r="E116" t="s">
        <v>139</v>
      </c>
      <c r="F116" t="s">
        <v>140</v>
      </c>
      <c r="G116" s="3">
        <v>46166</v>
      </c>
      <c r="H116" s="3">
        <v>46180</v>
      </c>
      <c r="I116" s="3">
        <v>46185</v>
      </c>
      <c r="J116" t="s">
        <v>141</v>
      </c>
      <c r="K116" t="s">
        <v>182</v>
      </c>
      <c r="L116" t="s">
        <v>158</v>
      </c>
      <c r="M116" t="s">
        <v>152</v>
      </c>
      <c r="N116" t="s">
        <v>153</v>
      </c>
      <c r="O116">
        <v>2690</v>
      </c>
      <c r="P116">
        <v>14</v>
      </c>
      <c r="Q116" t="s">
        <v>145</v>
      </c>
      <c r="R116" t="s">
        <v>172</v>
      </c>
      <c r="S116" t="s">
        <v>155</v>
      </c>
      <c r="T116" s="4">
        <v>645.32000000000005</v>
      </c>
      <c r="U116" s="4">
        <v>0</v>
      </c>
      <c r="V116" s="4">
        <v>4</v>
      </c>
      <c r="W116" s="4">
        <v>667.99</v>
      </c>
      <c r="X116" s="4">
        <v>61.98</v>
      </c>
      <c r="Y116" s="4">
        <v>1375.29</v>
      </c>
      <c r="Z116" s="4" t="s">
        <v>147</v>
      </c>
      <c r="AA116" s="4" t="s">
        <v>147</v>
      </c>
      <c r="AB116" s="4">
        <f>SUMIF('Trip Changes'!$B:$B,A116,'Trip Changes'!$E:$E)</f>
        <v>0</v>
      </c>
      <c r="AC116" s="4">
        <f>SUMIF('Trip Cancellations'!$B:$B,A116,'Trip Cancellations'!$E:$E)</f>
        <v>0</v>
      </c>
      <c r="AD116" s="4">
        <f>SUMIF('Trip Cancellations'!$B:$B,A116,'Trip Cancellations'!$F:$F)</f>
        <v>0</v>
      </c>
      <c r="AE116" s="4">
        <f t="shared" si="1"/>
        <v>1375.29</v>
      </c>
      <c r="AF116" t="s">
        <v>148</v>
      </c>
      <c r="AG116">
        <v>3</v>
      </c>
      <c r="AH116" s="5">
        <v>403.5</v>
      </c>
      <c r="AI116" t="s">
        <v>147</v>
      </c>
    </row>
    <row r="117" spans="1:35">
      <c r="A117" t="s">
        <v>357</v>
      </c>
      <c r="B117" t="s">
        <v>358</v>
      </c>
      <c r="C117" t="s">
        <v>282</v>
      </c>
      <c r="D117" t="s">
        <v>204</v>
      </c>
      <c r="E117" t="s">
        <v>169</v>
      </c>
      <c r="F117" t="s">
        <v>207</v>
      </c>
      <c r="G117" s="3">
        <v>46136</v>
      </c>
      <c r="H117" s="3">
        <v>46155</v>
      </c>
      <c r="I117" s="3">
        <v>46158</v>
      </c>
      <c r="J117" t="s">
        <v>163</v>
      </c>
      <c r="K117" t="s">
        <v>282</v>
      </c>
      <c r="L117" t="s">
        <v>215</v>
      </c>
      <c r="M117" t="s">
        <v>152</v>
      </c>
      <c r="N117" t="s">
        <v>153</v>
      </c>
      <c r="O117">
        <v>3028</v>
      </c>
      <c r="P117">
        <v>19</v>
      </c>
      <c r="Q117" t="s">
        <v>159</v>
      </c>
      <c r="R117" t="s">
        <v>236</v>
      </c>
      <c r="S117" t="s">
        <v>187</v>
      </c>
      <c r="T117" s="4">
        <v>402.19</v>
      </c>
      <c r="U117" s="4">
        <v>0</v>
      </c>
      <c r="V117" s="4">
        <v>2</v>
      </c>
      <c r="W117" s="4">
        <v>408.82</v>
      </c>
      <c r="X117" s="4">
        <v>85.28</v>
      </c>
      <c r="Y117" s="4">
        <v>896.29</v>
      </c>
      <c r="Z117" s="4" t="s">
        <v>147</v>
      </c>
      <c r="AA117" s="4" t="s">
        <v>147</v>
      </c>
      <c r="AB117" s="4">
        <f>SUMIF('Trip Changes'!$B:$B,A117,'Trip Changes'!$E:$E)</f>
        <v>0</v>
      </c>
      <c r="AC117" s="4">
        <f>SUMIF('Trip Cancellations'!$B:$B,A117,'Trip Cancellations'!$E:$E)</f>
        <v>0</v>
      </c>
      <c r="AD117" s="4">
        <f>SUMIF('Trip Cancellations'!$B:$B,A117,'Trip Cancellations'!$F:$F)</f>
        <v>0</v>
      </c>
      <c r="AE117" s="4">
        <f t="shared" si="1"/>
        <v>896.29</v>
      </c>
      <c r="AF117" t="s">
        <v>148</v>
      </c>
      <c r="AG117">
        <v>5</v>
      </c>
      <c r="AH117" s="5">
        <v>454.2</v>
      </c>
      <c r="AI117" t="s">
        <v>147</v>
      </c>
    </row>
    <row r="118" spans="1:35">
      <c r="A118" t="s">
        <v>359</v>
      </c>
      <c r="B118" t="s">
        <v>358</v>
      </c>
      <c r="C118" t="s">
        <v>282</v>
      </c>
      <c r="D118" t="s">
        <v>204</v>
      </c>
      <c r="E118" t="s">
        <v>169</v>
      </c>
      <c r="F118" t="s">
        <v>178</v>
      </c>
      <c r="G118" s="3">
        <v>46128</v>
      </c>
      <c r="H118" s="3">
        <v>46145</v>
      </c>
      <c r="I118" s="3">
        <v>46147</v>
      </c>
      <c r="J118" t="s">
        <v>163</v>
      </c>
      <c r="K118" t="s">
        <v>282</v>
      </c>
      <c r="L118" t="s">
        <v>225</v>
      </c>
      <c r="M118" t="s">
        <v>152</v>
      </c>
      <c r="N118" t="s">
        <v>153</v>
      </c>
      <c r="O118">
        <v>1132</v>
      </c>
      <c r="P118">
        <v>17</v>
      </c>
      <c r="Q118" t="s">
        <v>159</v>
      </c>
      <c r="R118" t="s">
        <v>154</v>
      </c>
      <c r="S118" t="s">
        <v>173</v>
      </c>
      <c r="T118" s="4">
        <v>373.22</v>
      </c>
      <c r="U118" s="4">
        <v>0</v>
      </c>
      <c r="V118" s="4">
        <v>1</v>
      </c>
      <c r="W118" s="4">
        <v>193.17</v>
      </c>
      <c r="X118" s="4">
        <v>104.17</v>
      </c>
      <c r="Y118" s="4">
        <v>670.56</v>
      </c>
      <c r="Z118" s="4" t="s">
        <v>147</v>
      </c>
      <c r="AA118" s="4" t="s">
        <v>147</v>
      </c>
      <c r="AB118" s="4">
        <f>SUMIF('Trip Changes'!$B:$B,A118,'Trip Changes'!$E:$E)</f>
        <v>0</v>
      </c>
      <c r="AC118" s="4">
        <f>SUMIF('Trip Cancellations'!$B:$B,A118,'Trip Cancellations'!$E:$E)</f>
        <v>0</v>
      </c>
      <c r="AD118" s="4">
        <f>SUMIF('Trip Cancellations'!$B:$B,A118,'Trip Cancellations'!$F:$F)</f>
        <v>0</v>
      </c>
      <c r="AE118" s="4">
        <f t="shared" si="1"/>
        <v>670.56</v>
      </c>
      <c r="AF118" t="s">
        <v>148</v>
      </c>
      <c r="AG118">
        <v>4</v>
      </c>
      <c r="AH118" s="5">
        <v>169.8</v>
      </c>
      <c r="AI118" t="s">
        <v>147</v>
      </c>
    </row>
    <row r="119" spans="1:35">
      <c r="A119" t="s">
        <v>360</v>
      </c>
      <c r="B119" t="s">
        <v>358</v>
      </c>
      <c r="C119" t="s">
        <v>282</v>
      </c>
      <c r="D119" t="s">
        <v>204</v>
      </c>
      <c r="E119" t="s">
        <v>169</v>
      </c>
      <c r="F119" t="s">
        <v>170</v>
      </c>
      <c r="G119" s="3">
        <v>46185</v>
      </c>
      <c r="H119" s="3">
        <v>46223</v>
      </c>
      <c r="I119" s="3">
        <v>46225</v>
      </c>
      <c r="J119" t="s">
        <v>150</v>
      </c>
      <c r="K119" t="s">
        <v>282</v>
      </c>
      <c r="L119" t="s">
        <v>307</v>
      </c>
      <c r="M119" t="s">
        <v>143</v>
      </c>
      <c r="N119" t="s">
        <v>144</v>
      </c>
      <c r="O119">
        <v>874</v>
      </c>
      <c r="P119">
        <v>38</v>
      </c>
      <c r="Q119" t="s">
        <v>216</v>
      </c>
      <c r="S119" t="s">
        <v>195</v>
      </c>
      <c r="T119" s="4">
        <v>0</v>
      </c>
      <c r="U119" s="4">
        <v>150.56</v>
      </c>
      <c r="V119" s="4">
        <v>1</v>
      </c>
      <c r="W119" s="4">
        <v>145.83000000000001</v>
      </c>
      <c r="X119" s="4">
        <v>53.16</v>
      </c>
      <c r="Y119" s="4">
        <v>349.55</v>
      </c>
      <c r="Z119" s="4" t="s">
        <v>147</v>
      </c>
      <c r="AA119" s="4" t="s">
        <v>147</v>
      </c>
      <c r="AB119" s="4">
        <f>SUMIF('Trip Changes'!$B:$B,A119,'Trip Changes'!$E:$E)</f>
        <v>0</v>
      </c>
      <c r="AC119" s="4">
        <f>SUMIF('Trip Cancellations'!$B:$B,A119,'Trip Cancellations'!$E:$E)</f>
        <v>0</v>
      </c>
      <c r="AD119" s="4">
        <f>SUMIF('Trip Cancellations'!$B:$B,A119,'Trip Cancellations'!$F:$F)</f>
        <v>0</v>
      </c>
      <c r="AE119" s="4">
        <f t="shared" si="1"/>
        <v>349.55</v>
      </c>
      <c r="AF119" t="s">
        <v>148</v>
      </c>
      <c r="AG119">
        <v>5</v>
      </c>
      <c r="AH119" s="5">
        <v>35</v>
      </c>
      <c r="AI119" t="s">
        <v>147</v>
      </c>
    </row>
    <row r="120" spans="1:35">
      <c r="A120" t="s">
        <v>361</v>
      </c>
      <c r="B120" t="s">
        <v>358</v>
      </c>
      <c r="C120" t="s">
        <v>282</v>
      </c>
      <c r="D120" t="s">
        <v>204</v>
      </c>
      <c r="E120" t="s">
        <v>169</v>
      </c>
      <c r="F120" t="s">
        <v>207</v>
      </c>
      <c r="G120" s="3">
        <v>46171</v>
      </c>
      <c r="H120" s="3">
        <v>46191</v>
      </c>
      <c r="I120" s="3">
        <v>46194</v>
      </c>
      <c r="J120" t="s">
        <v>141</v>
      </c>
      <c r="K120" t="s">
        <v>282</v>
      </c>
      <c r="L120" t="s">
        <v>362</v>
      </c>
      <c r="M120" t="s">
        <v>152</v>
      </c>
      <c r="N120" t="s">
        <v>153</v>
      </c>
      <c r="O120">
        <v>1804</v>
      </c>
      <c r="P120">
        <v>20</v>
      </c>
      <c r="Q120" t="s">
        <v>145</v>
      </c>
      <c r="R120" t="s">
        <v>154</v>
      </c>
      <c r="S120" t="s">
        <v>187</v>
      </c>
      <c r="T120" s="4">
        <v>188.62</v>
      </c>
      <c r="U120" s="4">
        <v>0</v>
      </c>
      <c r="V120" s="4">
        <v>2</v>
      </c>
      <c r="W120" s="4">
        <v>282.44</v>
      </c>
      <c r="X120" s="4">
        <v>69.900000000000006</v>
      </c>
      <c r="Y120" s="4">
        <v>540.96</v>
      </c>
      <c r="Z120" s="4" t="s">
        <v>147</v>
      </c>
      <c r="AA120" s="4" t="s">
        <v>147</v>
      </c>
      <c r="AB120" s="4">
        <f>SUMIF('Trip Changes'!$B:$B,A120,'Trip Changes'!$E:$E)</f>
        <v>0</v>
      </c>
      <c r="AC120" s="4">
        <f>SUMIF('Trip Cancellations'!$B:$B,A120,'Trip Cancellations'!$E:$E)</f>
        <v>0</v>
      </c>
      <c r="AD120" s="4">
        <f>SUMIF('Trip Cancellations'!$B:$B,A120,'Trip Cancellations'!$F:$F)</f>
        <v>0</v>
      </c>
      <c r="AE120" s="4">
        <f t="shared" si="1"/>
        <v>540.96</v>
      </c>
      <c r="AF120" t="s">
        <v>147</v>
      </c>
      <c r="AG120">
        <v>3</v>
      </c>
      <c r="AH120" s="5">
        <v>270.60000000000002</v>
      </c>
      <c r="AI120" t="s">
        <v>147</v>
      </c>
    </row>
    <row r="121" spans="1:35">
      <c r="A121" t="s">
        <v>363</v>
      </c>
      <c r="B121" t="s">
        <v>364</v>
      </c>
      <c r="C121" t="s">
        <v>257</v>
      </c>
      <c r="D121" t="s">
        <v>248</v>
      </c>
      <c r="E121" t="s">
        <v>268</v>
      </c>
      <c r="F121" t="s">
        <v>140</v>
      </c>
      <c r="G121" s="3">
        <v>46198</v>
      </c>
      <c r="H121" s="3">
        <v>46215</v>
      </c>
      <c r="I121" s="3">
        <v>46217</v>
      </c>
      <c r="J121" t="s">
        <v>150</v>
      </c>
      <c r="K121" t="s">
        <v>257</v>
      </c>
      <c r="L121" t="s">
        <v>182</v>
      </c>
      <c r="M121" t="s">
        <v>143</v>
      </c>
      <c r="N121" t="s">
        <v>144</v>
      </c>
      <c r="O121">
        <v>590</v>
      </c>
      <c r="P121">
        <v>17</v>
      </c>
      <c r="Q121" t="s">
        <v>159</v>
      </c>
      <c r="S121" t="s">
        <v>155</v>
      </c>
      <c r="T121" s="4">
        <v>0</v>
      </c>
      <c r="U121" s="4">
        <v>207.58</v>
      </c>
      <c r="V121" s="4">
        <v>1</v>
      </c>
      <c r="W121" s="4">
        <v>81.69</v>
      </c>
      <c r="X121" s="4">
        <v>20</v>
      </c>
      <c r="Y121" s="4">
        <v>309.27</v>
      </c>
      <c r="Z121" s="4" t="s">
        <v>147</v>
      </c>
      <c r="AA121" s="4" t="s">
        <v>147</v>
      </c>
      <c r="AB121" s="4">
        <f>SUMIF('Trip Changes'!$B:$B,A121,'Trip Changes'!$E:$E)</f>
        <v>0</v>
      </c>
      <c r="AC121" s="4">
        <f>SUMIF('Trip Cancellations'!$B:$B,A121,'Trip Cancellations'!$E:$E)</f>
        <v>0</v>
      </c>
      <c r="AD121" s="4">
        <f>SUMIF('Trip Cancellations'!$B:$B,A121,'Trip Cancellations'!$F:$F)</f>
        <v>0</v>
      </c>
      <c r="AE121" s="4">
        <f t="shared" si="1"/>
        <v>309.27</v>
      </c>
      <c r="AF121" t="s">
        <v>148</v>
      </c>
      <c r="AG121">
        <v>5</v>
      </c>
      <c r="AH121" s="5">
        <v>23.6</v>
      </c>
      <c r="AI121" t="s">
        <v>147</v>
      </c>
    </row>
    <row r="122" spans="1:35">
      <c r="A122" t="s">
        <v>365</v>
      </c>
      <c r="B122" t="s">
        <v>364</v>
      </c>
      <c r="C122" t="s">
        <v>257</v>
      </c>
      <c r="D122" t="s">
        <v>248</v>
      </c>
      <c r="E122" t="s">
        <v>268</v>
      </c>
      <c r="F122" t="s">
        <v>178</v>
      </c>
      <c r="G122" s="3">
        <v>46157</v>
      </c>
      <c r="H122" s="3">
        <v>46176</v>
      </c>
      <c r="I122" s="3">
        <v>46178</v>
      </c>
      <c r="J122" t="s">
        <v>141</v>
      </c>
      <c r="K122" t="s">
        <v>257</v>
      </c>
      <c r="L122" t="s">
        <v>182</v>
      </c>
      <c r="M122" t="s">
        <v>143</v>
      </c>
      <c r="N122" t="s">
        <v>144</v>
      </c>
      <c r="O122">
        <v>468</v>
      </c>
      <c r="P122">
        <v>19</v>
      </c>
      <c r="Q122" t="s">
        <v>145</v>
      </c>
      <c r="S122" t="s">
        <v>146</v>
      </c>
      <c r="T122" s="4">
        <v>0</v>
      </c>
      <c r="U122" s="4">
        <v>211.07</v>
      </c>
      <c r="V122" s="4">
        <v>1</v>
      </c>
      <c r="W122" s="4">
        <v>107.62</v>
      </c>
      <c r="X122" s="4">
        <v>37.35</v>
      </c>
      <c r="Y122" s="4">
        <v>356.04</v>
      </c>
      <c r="Z122" s="4" t="s">
        <v>147</v>
      </c>
      <c r="AA122" s="4" t="s">
        <v>147</v>
      </c>
      <c r="AB122" s="4">
        <f>SUMIF('Trip Changes'!$B:$B,A122,'Trip Changes'!$E:$E)</f>
        <v>0</v>
      </c>
      <c r="AC122" s="4">
        <f>SUMIF('Trip Cancellations'!$B:$B,A122,'Trip Cancellations'!$E:$E)</f>
        <v>0</v>
      </c>
      <c r="AD122" s="4">
        <f>SUMIF('Trip Cancellations'!$B:$B,A122,'Trip Cancellations'!$F:$F)</f>
        <v>0</v>
      </c>
      <c r="AE122" s="4">
        <f t="shared" si="1"/>
        <v>356.04</v>
      </c>
      <c r="AF122" t="s">
        <v>148</v>
      </c>
      <c r="AG122">
        <v>4</v>
      </c>
      <c r="AH122" s="5">
        <v>18.7</v>
      </c>
      <c r="AI122" t="s">
        <v>147</v>
      </c>
    </row>
    <row r="123" spans="1:35">
      <c r="A123" t="s">
        <v>366</v>
      </c>
      <c r="B123" t="s">
        <v>364</v>
      </c>
      <c r="C123" t="s">
        <v>257</v>
      </c>
      <c r="D123" t="s">
        <v>248</v>
      </c>
      <c r="E123" t="s">
        <v>268</v>
      </c>
      <c r="F123" t="s">
        <v>162</v>
      </c>
      <c r="G123" s="3">
        <v>46130</v>
      </c>
      <c r="H123" s="3">
        <v>46162</v>
      </c>
      <c r="I123" s="3">
        <v>46167</v>
      </c>
      <c r="J123" t="s">
        <v>163</v>
      </c>
      <c r="K123" t="s">
        <v>257</v>
      </c>
      <c r="L123" t="s">
        <v>233</v>
      </c>
      <c r="M123" t="s">
        <v>152</v>
      </c>
      <c r="N123" t="s">
        <v>153</v>
      </c>
      <c r="O123">
        <v>2532</v>
      </c>
      <c r="P123">
        <v>32</v>
      </c>
      <c r="Q123" t="s">
        <v>145</v>
      </c>
      <c r="R123" t="s">
        <v>160</v>
      </c>
      <c r="S123" t="s">
        <v>155</v>
      </c>
      <c r="T123" s="4">
        <v>457.34</v>
      </c>
      <c r="U123" s="4">
        <v>0</v>
      </c>
      <c r="V123" s="4">
        <v>4</v>
      </c>
      <c r="W123" s="4">
        <v>664.3</v>
      </c>
      <c r="X123" s="4">
        <v>87.84</v>
      </c>
      <c r="Y123" s="4">
        <v>1209.48</v>
      </c>
      <c r="Z123" s="4" t="s">
        <v>148</v>
      </c>
      <c r="AA123" s="4" t="s">
        <v>147</v>
      </c>
      <c r="AB123" s="4">
        <f>SUMIF('Trip Changes'!$B:$B,A123,'Trip Changes'!$E:$E)</f>
        <v>146.38999999999999</v>
      </c>
      <c r="AC123" s="4">
        <f>SUMIF('Trip Cancellations'!$B:$B,A123,'Trip Cancellations'!$E:$E)</f>
        <v>0</v>
      </c>
      <c r="AD123" s="4">
        <f>SUMIF('Trip Cancellations'!$B:$B,A123,'Trip Cancellations'!$F:$F)</f>
        <v>0</v>
      </c>
      <c r="AE123" s="4">
        <f t="shared" si="1"/>
        <v>1355.87</v>
      </c>
      <c r="AF123" t="s">
        <v>148</v>
      </c>
      <c r="AG123">
        <v>4</v>
      </c>
      <c r="AH123" s="5">
        <v>379.8</v>
      </c>
      <c r="AI123" t="s">
        <v>147</v>
      </c>
    </row>
    <row r="124" spans="1:35">
      <c r="A124" t="s">
        <v>367</v>
      </c>
      <c r="B124" t="s">
        <v>364</v>
      </c>
      <c r="C124" t="s">
        <v>257</v>
      </c>
      <c r="D124" t="s">
        <v>248</v>
      </c>
      <c r="E124" t="s">
        <v>268</v>
      </c>
      <c r="F124" t="s">
        <v>189</v>
      </c>
      <c r="G124" s="3">
        <v>46199</v>
      </c>
      <c r="H124" s="3">
        <v>46216</v>
      </c>
      <c r="I124" s="3">
        <v>46218</v>
      </c>
      <c r="J124" t="s">
        <v>150</v>
      </c>
      <c r="K124" t="s">
        <v>257</v>
      </c>
      <c r="L124" t="s">
        <v>227</v>
      </c>
      <c r="M124" t="s">
        <v>152</v>
      </c>
      <c r="N124" t="s">
        <v>153</v>
      </c>
      <c r="O124">
        <v>1400</v>
      </c>
      <c r="P124">
        <v>17</v>
      </c>
      <c r="Q124" t="s">
        <v>145</v>
      </c>
      <c r="R124" t="s">
        <v>154</v>
      </c>
      <c r="S124" t="s">
        <v>164</v>
      </c>
      <c r="T124" s="4">
        <v>269.16000000000003</v>
      </c>
      <c r="U124" s="4">
        <v>0</v>
      </c>
      <c r="V124" s="4">
        <v>1</v>
      </c>
      <c r="W124" s="4">
        <v>193.12</v>
      </c>
      <c r="X124" s="4">
        <v>72.91</v>
      </c>
      <c r="Y124" s="4">
        <v>535.19000000000005</v>
      </c>
      <c r="Z124" s="4" t="s">
        <v>147</v>
      </c>
      <c r="AA124" s="4" t="s">
        <v>147</v>
      </c>
      <c r="AB124" s="4">
        <f>SUMIF('Trip Changes'!$B:$B,A124,'Trip Changes'!$E:$E)</f>
        <v>0</v>
      </c>
      <c r="AC124" s="4">
        <f>SUMIF('Trip Cancellations'!$B:$B,A124,'Trip Cancellations'!$E:$E)</f>
        <v>0</v>
      </c>
      <c r="AD124" s="4">
        <f>SUMIF('Trip Cancellations'!$B:$B,A124,'Trip Cancellations'!$F:$F)</f>
        <v>0</v>
      </c>
      <c r="AE124" s="4">
        <f t="shared" si="1"/>
        <v>535.19000000000005</v>
      </c>
      <c r="AF124" t="s">
        <v>148</v>
      </c>
      <c r="AG124">
        <v>4</v>
      </c>
      <c r="AH124" s="5">
        <v>210</v>
      </c>
      <c r="AI124" t="s">
        <v>147</v>
      </c>
    </row>
    <row r="125" spans="1:35">
      <c r="A125" t="s">
        <v>368</v>
      </c>
      <c r="B125" t="s">
        <v>364</v>
      </c>
      <c r="C125" t="s">
        <v>257</v>
      </c>
      <c r="D125" t="s">
        <v>248</v>
      </c>
      <c r="E125" t="s">
        <v>268</v>
      </c>
      <c r="F125" t="s">
        <v>170</v>
      </c>
      <c r="G125" s="3">
        <v>46177</v>
      </c>
      <c r="H125" s="3">
        <v>46184</v>
      </c>
      <c r="I125" s="3">
        <v>46186</v>
      </c>
      <c r="J125" t="s">
        <v>141</v>
      </c>
      <c r="K125" t="s">
        <v>257</v>
      </c>
      <c r="L125" t="s">
        <v>225</v>
      </c>
      <c r="M125" t="s">
        <v>152</v>
      </c>
      <c r="N125" t="s">
        <v>153</v>
      </c>
      <c r="O125">
        <v>2694</v>
      </c>
      <c r="P125">
        <v>7</v>
      </c>
      <c r="Q125" t="s">
        <v>145</v>
      </c>
      <c r="R125" t="s">
        <v>154</v>
      </c>
      <c r="S125" t="s">
        <v>190</v>
      </c>
      <c r="T125" s="4">
        <v>382.46</v>
      </c>
      <c r="U125" s="4">
        <v>0</v>
      </c>
      <c r="V125" s="4">
        <v>1</v>
      </c>
      <c r="W125" s="4">
        <v>178.14</v>
      </c>
      <c r="X125" s="4">
        <v>86.88</v>
      </c>
      <c r="Y125" s="4">
        <v>647.48</v>
      </c>
      <c r="Z125" s="4" t="s">
        <v>147</v>
      </c>
      <c r="AA125" s="4" t="s">
        <v>147</v>
      </c>
      <c r="AB125" s="4">
        <f>SUMIF('Trip Changes'!$B:$B,A125,'Trip Changes'!$E:$E)</f>
        <v>0</v>
      </c>
      <c r="AC125" s="4">
        <f>SUMIF('Trip Cancellations'!$B:$B,A125,'Trip Cancellations'!$E:$E)</f>
        <v>0</v>
      </c>
      <c r="AD125" s="4">
        <f>SUMIF('Trip Cancellations'!$B:$B,A125,'Trip Cancellations'!$F:$F)</f>
        <v>0</v>
      </c>
      <c r="AE125" s="4">
        <f t="shared" si="1"/>
        <v>647.48</v>
      </c>
      <c r="AF125" t="s">
        <v>148</v>
      </c>
      <c r="AG125">
        <v>5</v>
      </c>
      <c r="AH125" s="5">
        <v>404.1</v>
      </c>
      <c r="AI125" t="s">
        <v>148</v>
      </c>
    </row>
    <row r="126" spans="1:35">
      <c r="A126" t="s">
        <v>369</v>
      </c>
      <c r="B126" t="s">
        <v>364</v>
      </c>
      <c r="C126" t="s">
        <v>257</v>
      </c>
      <c r="D126" t="s">
        <v>248</v>
      </c>
      <c r="E126" t="s">
        <v>268</v>
      </c>
      <c r="F126" t="s">
        <v>140</v>
      </c>
      <c r="G126" s="3">
        <v>46182</v>
      </c>
      <c r="H126" s="3">
        <v>46215</v>
      </c>
      <c r="I126" s="3">
        <v>46218</v>
      </c>
      <c r="J126" t="s">
        <v>150</v>
      </c>
      <c r="K126" t="s">
        <v>257</v>
      </c>
      <c r="L126" t="s">
        <v>182</v>
      </c>
      <c r="M126" t="s">
        <v>143</v>
      </c>
      <c r="N126" t="s">
        <v>144</v>
      </c>
      <c r="O126">
        <v>432</v>
      </c>
      <c r="P126">
        <v>33</v>
      </c>
      <c r="Q126" t="s">
        <v>145</v>
      </c>
      <c r="S126" t="s">
        <v>195</v>
      </c>
      <c r="T126" s="4">
        <v>0</v>
      </c>
      <c r="U126" s="4">
        <v>266</v>
      </c>
      <c r="V126" s="4">
        <v>2</v>
      </c>
      <c r="W126" s="4">
        <v>284.43</v>
      </c>
      <c r="X126" s="4">
        <v>82.68</v>
      </c>
      <c r="Y126" s="4">
        <v>633.11</v>
      </c>
      <c r="Z126" s="4" t="s">
        <v>147</v>
      </c>
      <c r="AA126" s="4" t="s">
        <v>147</v>
      </c>
      <c r="AB126" s="4">
        <f>SUMIF('Trip Changes'!$B:$B,A126,'Trip Changes'!$E:$E)</f>
        <v>0</v>
      </c>
      <c r="AC126" s="4">
        <f>SUMIF('Trip Cancellations'!$B:$B,A126,'Trip Cancellations'!$E:$E)</f>
        <v>0</v>
      </c>
      <c r="AD126" s="4">
        <f>SUMIF('Trip Cancellations'!$B:$B,A126,'Trip Cancellations'!$F:$F)</f>
        <v>0</v>
      </c>
      <c r="AE126" s="4">
        <f t="shared" si="1"/>
        <v>633.11</v>
      </c>
      <c r="AF126" t="s">
        <v>148</v>
      </c>
      <c r="AG126">
        <v>4</v>
      </c>
      <c r="AH126" s="5">
        <v>17.3</v>
      </c>
      <c r="AI126" t="s">
        <v>148</v>
      </c>
    </row>
    <row r="127" spans="1:35">
      <c r="A127" t="s">
        <v>370</v>
      </c>
      <c r="B127" t="s">
        <v>371</v>
      </c>
      <c r="C127" t="s">
        <v>182</v>
      </c>
      <c r="D127" t="s">
        <v>230</v>
      </c>
      <c r="E127" t="s">
        <v>262</v>
      </c>
      <c r="F127" t="s">
        <v>140</v>
      </c>
      <c r="G127" s="3">
        <v>46176</v>
      </c>
      <c r="H127" s="3">
        <v>46189</v>
      </c>
      <c r="I127" s="3">
        <v>46192</v>
      </c>
      <c r="J127" t="s">
        <v>141</v>
      </c>
      <c r="K127" t="s">
        <v>182</v>
      </c>
      <c r="L127" t="s">
        <v>225</v>
      </c>
      <c r="M127" t="s">
        <v>152</v>
      </c>
      <c r="N127" t="s">
        <v>153</v>
      </c>
      <c r="O127">
        <v>3518</v>
      </c>
      <c r="P127">
        <v>13</v>
      </c>
      <c r="Q127" t="s">
        <v>145</v>
      </c>
      <c r="R127" t="s">
        <v>236</v>
      </c>
      <c r="S127" t="s">
        <v>164</v>
      </c>
      <c r="T127" s="4">
        <v>395.19</v>
      </c>
      <c r="U127" s="4">
        <v>0</v>
      </c>
      <c r="V127" s="4">
        <v>2</v>
      </c>
      <c r="W127" s="4">
        <v>346.5</v>
      </c>
      <c r="X127" s="4">
        <v>85.68</v>
      </c>
      <c r="Y127" s="4">
        <v>827.37</v>
      </c>
      <c r="Z127" s="4" t="s">
        <v>148</v>
      </c>
      <c r="AA127" s="4" t="s">
        <v>147</v>
      </c>
      <c r="AB127" s="4">
        <f>SUMIF('Trip Changes'!$B:$B,A127,'Trip Changes'!$E:$E)</f>
        <v>99.3</v>
      </c>
      <c r="AC127" s="4">
        <f>SUMIF('Trip Cancellations'!$B:$B,A127,'Trip Cancellations'!$E:$E)</f>
        <v>0</v>
      </c>
      <c r="AD127" s="4">
        <f>SUMIF('Trip Cancellations'!$B:$B,A127,'Trip Cancellations'!$F:$F)</f>
        <v>0</v>
      </c>
      <c r="AE127" s="4">
        <f t="shared" si="1"/>
        <v>926.67</v>
      </c>
      <c r="AF127" t="s">
        <v>148</v>
      </c>
      <c r="AG127">
        <v>5</v>
      </c>
      <c r="AH127" s="5">
        <v>527.70000000000005</v>
      </c>
      <c r="AI127" t="s">
        <v>147</v>
      </c>
    </row>
    <row r="128" spans="1:35">
      <c r="A128" t="s">
        <v>372</v>
      </c>
      <c r="B128" t="s">
        <v>371</v>
      </c>
      <c r="C128" t="s">
        <v>182</v>
      </c>
      <c r="D128" t="s">
        <v>230</v>
      </c>
      <c r="E128" t="s">
        <v>262</v>
      </c>
      <c r="F128" t="s">
        <v>170</v>
      </c>
      <c r="G128" s="3">
        <v>46178</v>
      </c>
      <c r="H128" s="3">
        <v>46207</v>
      </c>
      <c r="I128" s="3">
        <v>46210</v>
      </c>
      <c r="J128" t="s">
        <v>150</v>
      </c>
      <c r="K128" t="s">
        <v>182</v>
      </c>
      <c r="L128" t="s">
        <v>185</v>
      </c>
      <c r="M128" t="s">
        <v>152</v>
      </c>
      <c r="N128" t="s">
        <v>153</v>
      </c>
      <c r="O128">
        <v>10804</v>
      </c>
      <c r="P128">
        <v>29</v>
      </c>
      <c r="Q128" t="s">
        <v>145</v>
      </c>
      <c r="R128" t="s">
        <v>186</v>
      </c>
      <c r="S128" t="s">
        <v>164</v>
      </c>
      <c r="T128" s="4">
        <v>547.89</v>
      </c>
      <c r="U128" s="4">
        <v>0</v>
      </c>
      <c r="V128" s="4">
        <v>2</v>
      </c>
      <c r="W128" s="4">
        <v>328.02</v>
      </c>
      <c r="X128" s="4">
        <v>61.22</v>
      </c>
      <c r="Y128" s="4">
        <v>937.13</v>
      </c>
      <c r="Z128" s="4" t="s">
        <v>147</v>
      </c>
      <c r="AA128" s="4" t="s">
        <v>147</v>
      </c>
      <c r="AB128" s="4">
        <f>SUMIF('Trip Changes'!$B:$B,A128,'Trip Changes'!$E:$E)</f>
        <v>0</v>
      </c>
      <c r="AC128" s="4">
        <f>SUMIF('Trip Cancellations'!$B:$B,A128,'Trip Cancellations'!$E:$E)</f>
        <v>0</v>
      </c>
      <c r="AD128" s="4">
        <f>SUMIF('Trip Cancellations'!$B:$B,A128,'Trip Cancellations'!$F:$F)</f>
        <v>0</v>
      </c>
      <c r="AE128" s="4">
        <f t="shared" si="1"/>
        <v>937.13</v>
      </c>
      <c r="AF128" t="s">
        <v>148</v>
      </c>
      <c r="AG128">
        <v>5</v>
      </c>
      <c r="AH128" s="5">
        <v>1620.6</v>
      </c>
      <c r="AI128" t="s">
        <v>147</v>
      </c>
    </row>
    <row r="129" spans="1:35">
      <c r="A129" t="s">
        <v>373</v>
      </c>
      <c r="B129" t="s">
        <v>371</v>
      </c>
      <c r="C129" t="s">
        <v>182</v>
      </c>
      <c r="D129" t="s">
        <v>230</v>
      </c>
      <c r="E129" t="s">
        <v>262</v>
      </c>
      <c r="F129" t="s">
        <v>140</v>
      </c>
      <c r="G129" s="3">
        <v>46148</v>
      </c>
      <c r="H129" s="3">
        <v>46171</v>
      </c>
      <c r="I129" s="3">
        <v>46174</v>
      </c>
      <c r="J129" t="s">
        <v>163</v>
      </c>
      <c r="K129" t="s">
        <v>182</v>
      </c>
      <c r="L129" t="s">
        <v>225</v>
      </c>
      <c r="M129" t="s">
        <v>152</v>
      </c>
      <c r="N129" t="s">
        <v>153</v>
      </c>
      <c r="O129">
        <v>1192</v>
      </c>
      <c r="P129">
        <v>23</v>
      </c>
      <c r="Q129" t="s">
        <v>145</v>
      </c>
      <c r="R129" t="s">
        <v>236</v>
      </c>
      <c r="S129" t="s">
        <v>155</v>
      </c>
      <c r="T129" s="4">
        <v>599.79999999999995</v>
      </c>
      <c r="U129" s="4">
        <v>0</v>
      </c>
      <c r="V129" s="4">
        <v>2</v>
      </c>
      <c r="W129" s="4">
        <v>325.74</v>
      </c>
      <c r="X129" s="4">
        <v>51.84</v>
      </c>
      <c r="Y129" s="4">
        <v>977.38</v>
      </c>
      <c r="Z129" s="4" t="s">
        <v>147</v>
      </c>
      <c r="AA129" s="4" t="s">
        <v>147</v>
      </c>
      <c r="AB129" s="4">
        <f>SUMIF('Trip Changes'!$B:$B,A129,'Trip Changes'!$E:$E)</f>
        <v>0</v>
      </c>
      <c r="AC129" s="4">
        <f>SUMIF('Trip Cancellations'!$B:$B,A129,'Trip Cancellations'!$E:$E)</f>
        <v>0</v>
      </c>
      <c r="AD129" s="4">
        <f>SUMIF('Trip Cancellations'!$B:$B,A129,'Trip Cancellations'!$F:$F)</f>
        <v>0</v>
      </c>
      <c r="AE129" s="4">
        <f t="shared" si="1"/>
        <v>977.38</v>
      </c>
      <c r="AF129" t="s">
        <v>148</v>
      </c>
      <c r="AG129">
        <v>4</v>
      </c>
      <c r="AH129" s="5">
        <v>178.8</v>
      </c>
      <c r="AI129" t="s">
        <v>147</v>
      </c>
    </row>
    <row r="130" spans="1:35">
      <c r="A130" t="s">
        <v>374</v>
      </c>
      <c r="B130" t="s">
        <v>371</v>
      </c>
      <c r="C130" t="s">
        <v>182</v>
      </c>
      <c r="D130" t="s">
        <v>230</v>
      </c>
      <c r="E130" t="s">
        <v>262</v>
      </c>
      <c r="F130" t="s">
        <v>178</v>
      </c>
      <c r="G130" s="3">
        <v>46158</v>
      </c>
      <c r="H130" s="3">
        <v>46172</v>
      </c>
      <c r="I130" s="3">
        <v>46176</v>
      </c>
      <c r="J130" t="s">
        <v>163</v>
      </c>
      <c r="K130" t="s">
        <v>182</v>
      </c>
      <c r="L130" t="s">
        <v>171</v>
      </c>
      <c r="M130" t="s">
        <v>152</v>
      </c>
      <c r="N130" t="s">
        <v>153</v>
      </c>
      <c r="O130">
        <v>2968</v>
      </c>
      <c r="P130">
        <v>14</v>
      </c>
      <c r="Q130" t="s">
        <v>145</v>
      </c>
      <c r="R130" t="s">
        <v>154</v>
      </c>
      <c r="S130" t="s">
        <v>187</v>
      </c>
      <c r="T130" s="4">
        <v>274.93</v>
      </c>
      <c r="U130" s="4">
        <v>0</v>
      </c>
      <c r="V130" s="4">
        <v>3</v>
      </c>
      <c r="W130" s="4">
        <v>566.04</v>
      </c>
      <c r="X130" s="4">
        <v>137.52000000000001</v>
      </c>
      <c r="Y130" s="4">
        <v>978.49</v>
      </c>
      <c r="Z130" s="4" t="s">
        <v>147</v>
      </c>
      <c r="AA130" s="4" t="s">
        <v>147</v>
      </c>
      <c r="AB130" s="4">
        <f>SUMIF('Trip Changes'!$B:$B,A130,'Trip Changes'!$E:$E)</f>
        <v>0</v>
      </c>
      <c r="AC130" s="4">
        <f>SUMIF('Trip Cancellations'!$B:$B,A130,'Trip Cancellations'!$E:$E)</f>
        <v>0</v>
      </c>
      <c r="AD130" s="4">
        <f>SUMIF('Trip Cancellations'!$B:$B,A130,'Trip Cancellations'!$F:$F)</f>
        <v>0</v>
      </c>
      <c r="AE130" s="4">
        <f t="shared" ref="AE130:AE193" si="2">Y130+AB130+AC130-AD130</f>
        <v>978.49</v>
      </c>
      <c r="AF130" t="s">
        <v>148</v>
      </c>
      <c r="AG130">
        <v>5</v>
      </c>
      <c r="AH130" s="5">
        <v>445.2</v>
      </c>
      <c r="AI130" t="s">
        <v>148</v>
      </c>
    </row>
    <row r="131" spans="1:35">
      <c r="A131" t="s">
        <v>375</v>
      </c>
      <c r="B131" t="s">
        <v>376</v>
      </c>
      <c r="C131" t="s">
        <v>182</v>
      </c>
      <c r="D131" t="s">
        <v>194</v>
      </c>
      <c r="E131" t="s">
        <v>139</v>
      </c>
      <c r="F131" t="s">
        <v>181</v>
      </c>
      <c r="G131" s="3">
        <v>46170</v>
      </c>
      <c r="H131" s="3">
        <v>46173</v>
      </c>
      <c r="I131" s="3">
        <v>46178</v>
      </c>
      <c r="J131" t="s">
        <v>163</v>
      </c>
      <c r="K131" t="s">
        <v>182</v>
      </c>
      <c r="L131" t="s">
        <v>233</v>
      </c>
      <c r="M131" t="s">
        <v>152</v>
      </c>
      <c r="N131" t="s">
        <v>153</v>
      </c>
      <c r="O131">
        <v>3218</v>
      </c>
      <c r="P131">
        <v>3</v>
      </c>
      <c r="Q131" t="s">
        <v>145</v>
      </c>
      <c r="R131" t="s">
        <v>160</v>
      </c>
      <c r="S131" t="s">
        <v>187</v>
      </c>
      <c r="T131" s="4">
        <v>435.97</v>
      </c>
      <c r="U131" s="4">
        <v>0</v>
      </c>
      <c r="V131" s="4">
        <v>4</v>
      </c>
      <c r="W131" s="4">
        <v>728.61</v>
      </c>
      <c r="X131" s="4">
        <v>52.06</v>
      </c>
      <c r="Y131" s="4">
        <v>1216.6400000000001</v>
      </c>
      <c r="Z131" s="4" t="s">
        <v>148</v>
      </c>
      <c r="AA131" s="4" t="s">
        <v>147</v>
      </c>
      <c r="AB131" s="4">
        <f>SUMIF('Trip Changes'!$B:$B,A131,'Trip Changes'!$E:$E)</f>
        <v>26.56</v>
      </c>
      <c r="AC131" s="4">
        <f>SUMIF('Trip Cancellations'!$B:$B,A131,'Trip Cancellations'!$E:$E)</f>
        <v>0</v>
      </c>
      <c r="AD131" s="4">
        <f>SUMIF('Trip Cancellations'!$B:$B,A131,'Trip Cancellations'!$F:$F)</f>
        <v>0</v>
      </c>
      <c r="AE131" s="4">
        <f t="shared" si="2"/>
        <v>1243.2</v>
      </c>
      <c r="AF131" t="s">
        <v>148</v>
      </c>
      <c r="AG131">
        <v>4</v>
      </c>
      <c r="AH131" s="5">
        <v>482.7</v>
      </c>
      <c r="AI131" t="s">
        <v>147</v>
      </c>
    </row>
    <row r="132" spans="1:35">
      <c r="A132" t="s">
        <v>377</v>
      </c>
      <c r="B132" t="s">
        <v>376</v>
      </c>
      <c r="C132" t="s">
        <v>182</v>
      </c>
      <c r="D132" t="s">
        <v>194</v>
      </c>
      <c r="E132" t="s">
        <v>139</v>
      </c>
      <c r="F132" t="s">
        <v>170</v>
      </c>
      <c r="G132" s="3">
        <v>46179</v>
      </c>
      <c r="H132" s="3">
        <v>46194</v>
      </c>
      <c r="I132" s="3">
        <v>46196</v>
      </c>
      <c r="J132" t="s">
        <v>141</v>
      </c>
      <c r="K132" t="s">
        <v>182</v>
      </c>
      <c r="L132" t="s">
        <v>199</v>
      </c>
      <c r="M132" t="s">
        <v>152</v>
      </c>
      <c r="N132" t="s">
        <v>153</v>
      </c>
      <c r="O132">
        <v>2924</v>
      </c>
      <c r="P132">
        <v>15</v>
      </c>
      <c r="Q132" t="s">
        <v>145</v>
      </c>
      <c r="R132" t="s">
        <v>291</v>
      </c>
      <c r="S132" t="s">
        <v>155</v>
      </c>
      <c r="T132" s="4">
        <v>250.97</v>
      </c>
      <c r="U132" s="4">
        <v>0</v>
      </c>
      <c r="V132" s="4">
        <v>1</v>
      </c>
      <c r="W132" s="4">
        <v>237.87</v>
      </c>
      <c r="X132" s="4">
        <v>68.73</v>
      </c>
      <c r="Y132" s="4">
        <v>557.57000000000005</v>
      </c>
      <c r="Z132" s="4" t="s">
        <v>148</v>
      </c>
      <c r="AA132" s="4" t="s">
        <v>147</v>
      </c>
      <c r="AB132" s="4">
        <f>SUMIF('Trip Changes'!$B:$B,A132,'Trip Changes'!$E:$E)</f>
        <v>101.1</v>
      </c>
      <c r="AC132" s="4">
        <f>SUMIF('Trip Cancellations'!$B:$B,A132,'Trip Cancellations'!$E:$E)</f>
        <v>0</v>
      </c>
      <c r="AD132" s="4">
        <f>SUMIF('Trip Cancellations'!$B:$B,A132,'Trip Cancellations'!$F:$F)</f>
        <v>0</v>
      </c>
      <c r="AE132" s="4">
        <f t="shared" si="2"/>
        <v>658.67000000000007</v>
      </c>
      <c r="AF132" t="s">
        <v>148</v>
      </c>
      <c r="AG132">
        <v>4</v>
      </c>
      <c r="AH132" s="5">
        <v>438.6</v>
      </c>
      <c r="AI132" t="s">
        <v>147</v>
      </c>
    </row>
    <row r="133" spans="1:35">
      <c r="A133" t="s">
        <v>378</v>
      </c>
      <c r="B133" t="s">
        <v>376</v>
      </c>
      <c r="C133" t="s">
        <v>182</v>
      </c>
      <c r="D133" t="s">
        <v>194</v>
      </c>
      <c r="E133" t="s">
        <v>139</v>
      </c>
      <c r="F133" t="s">
        <v>157</v>
      </c>
      <c r="G133" s="3">
        <v>46138</v>
      </c>
      <c r="H133" s="3">
        <v>46147</v>
      </c>
      <c r="I133" s="3">
        <v>46149</v>
      </c>
      <c r="J133" t="s">
        <v>163</v>
      </c>
      <c r="K133" t="s">
        <v>182</v>
      </c>
      <c r="L133" t="s">
        <v>227</v>
      </c>
      <c r="M133" t="s">
        <v>152</v>
      </c>
      <c r="N133" t="s">
        <v>153</v>
      </c>
      <c r="O133">
        <v>2742</v>
      </c>
      <c r="P133">
        <v>9</v>
      </c>
      <c r="Q133" t="s">
        <v>145</v>
      </c>
      <c r="R133" t="s">
        <v>172</v>
      </c>
      <c r="S133" t="s">
        <v>173</v>
      </c>
      <c r="T133" s="4">
        <v>417.84</v>
      </c>
      <c r="U133" s="4">
        <v>0</v>
      </c>
      <c r="V133" s="4">
        <v>1</v>
      </c>
      <c r="W133" s="4">
        <v>143.52000000000001</v>
      </c>
      <c r="X133" s="4">
        <v>67.599999999999994</v>
      </c>
      <c r="Y133" s="4">
        <v>628.96</v>
      </c>
      <c r="Z133" s="4" t="s">
        <v>147</v>
      </c>
      <c r="AA133" s="4" t="s">
        <v>147</v>
      </c>
      <c r="AB133" s="4">
        <f>SUMIF('Trip Changes'!$B:$B,A133,'Trip Changes'!$E:$E)</f>
        <v>0</v>
      </c>
      <c r="AC133" s="4">
        <f>SUMIF('Trip Cancellations'!$B:$B,A133,'Trip Cancellations'!$E:$E)</f>
        <v>0</v>
      </c>
      <c r="AD133" s="4">
        <f>SUMIF('Trip Cancellations'!$B:$B,A133,'Trip Cancellations'!$F:$F)</f>
        <v>0</v>
      </c>
      <c r="AE133" s="4">
        <f t="shared" si="2"/>
        <v>628.96</v>
      </c>
      <c r="AF133" t="s">
        <v>148</v>
      </c>
      <c r="AG133">
        <v>3</v>
      </c>
      <c r="AH133" s="5">
        <v>411.3</v>
      </c>
      <c r="AI133" t="s">
        <v>148</v>
      </c>
    </row>
    <row r="134" spans="1:35">
      <c r="A134" t="s">
        <v>379</v>
      </c>
      <c r="B134" t="s">
        <v>376</v>
      </c>
      <c r="C134" t="s">
        <v>182</v>
      </c>
      <c r="D134" t="s">
        <v>194</v>
      </c>
      <c r="E134" t="s">
        <v>139</v>
      </c>
      <c r="F134" t="s">
        <v>157</v>
      </c>
      <c r="G134" s="3">
        <v>46168</v>
      </c>
      <c r="H134" s="3">
        <v>46176</v>
      </c>
      <c r="I134" s="3">
        <v>46180</v>
      </c>
      <c r="J134" t="s">
        <v>141</v>
      </c>
      <c r="K134" t="s">
        <v>182</v>
      </c>
      <c r="L134" t="s">
        <v>225</v>
      </c>
      <c r="M134" t="s">
        <v>152</v>
      </c>
      <c r="N134" t="s">
        <v>153</v>
      </c>
      <c r="O134">
        <v>1018</v>
      </c>
      <c r="P134">
        <v>8</v>
      </c>
      <c r="Q134" t="s">
        <v>145</v>
      </c>
      <c r="R134" t="s">
        <v>236</v>
      </c>
      <c r="S134" t="s">
        <v>173</v>
      </c>
      <c r="T134" s="4">
        <v>416.91</v>
      </c>
      <c r="U134" s="4">
        <v>0</v>
      </c>
      <c r="V134" s="4">
        <v>3</v>
      </c>
      <c r="W134" s="4">
        <v>523.25</v>
      </c>
      <c r="X134" s="4">
        <v>45.53</v>
      </c>
      <c r="Y134" s="4">
        <v>985.69</v>
      </c>
      <c r="Z134" s="4" t="s">
        <v>147</v>
      </c>
      <c r="AA134" s="4" t="s">
        <v>147</v>
      </c>
      <c r="AB134" s="4">
        <f>SUMIF('Trip Changes'!$B:$B,A134,'Trip Changes'!$E:$E)</f>
        <v>0</v>
      </c>
      <c r="AC134" s="4">
        <f>SUMIF('Trip Cancellations'!$B:$B,A134,'Trip Cancellations'!$E:$E)</f>
        <v>0</v>
      </c>
      <c r="AD134" s="4">
        <f>SUMIF('Trip Cancellations'!$B:$B,A134,'Trip Cancellations'!$F:$F)</f>
        <v>0</v>
      </c>
      <c r="AE134" s="4">
        <f t="shared" si="2"/>
        <v>985.69</v>
      </c>
      <c r="AF134" t="s">
        <v>148</v>
      </c>
      <c r="AG134">
        <v>3</v>
      </c>
      <c r="AH134" s="5">
        <v>152.69999999999999</v>
      </c>
      <c r="AI134" t="s">
        <v>147</v>
      </c>
    </row>
    <row r="135" spans="1:35">
      <c r="A135" t="s">
        <v>380</v>
      </c>
      <c r="B135" t="s">
        <v>381</v>
      </c>
      <c r="C135" t="s">
        <v>182</v>
      </c>
      <c r="D135" t="s">
        <v>168</v>
      </c>
      <c r="E135" t="s">
        <v>169</v>
      </c>
      <c r="F135" t="s">
        <v>140</v>
      </c>
      <c r="G135" s="3">
        <v>46173</v>
      </c>
      <c r="H135" s="3">
        <v>46189</v>
      </c>
      <c r="I135" s="3">
        <v>46192</v>
      </c>
      <c r="J135" t="s">
        <v>141</v>
      </c>
      <c r="K135" t="s">
        <v>182</v>
      </c>
      <c r="L135" t="s">
        <v>199</v>
      </c>
      <c r="M135" t="s">
        <v>152</v>
      </c>
      <c r="N135" t="s">
        <v>153</v>
      </c>
      <c r="O135">
        <v>1170</v>
      </c>
      <c r="P135">
        <v>16</v>
      </c>
      <c r="Q135" t="s">
        <v>159</v>
      </c>
      <c r="R135" t="s">
        <v>291</v>
      </c>
      <c r="S135" t="s">
        <v>164</v>
      </c>
      <c r="T135" s="4">
        <v>150</v>
      </c>
      <c r="U135" s="4">
        <v>0</v>
      </c>
      <c r="V135" s="4">
        <v>2</v>
      </c>
      <c r="W135" s="4">
        <v>357.6</v>
      </c>
      <c r="X135" s="4">
        <v>141.32</v>
      </c>
      <c r="Y135" s="4">
        <v>648.91999999999996</v>
      </c>
      <c r="Z135" s="4" t="s">
        <v>147</v>
      </c>
      <c r="AA135" s="4" t="s">
        <v>147</v>
      </c>
      <c r="AB135" s="4">
        <f>SUMIF('Trip Changes'!$B:$B,A135,'Trip Changes'!$E:$E)</f>
        <v>0</v>
      </c>
      <c r="AC135" s="4">
        <f>SUMIF('Trip Cancellations'!$B:$B,A135,'Trip Cancellations'!$E:$E)</f>
        <v>0</v>
      </c>
      <c r="AD135" s="4">
        <f>SUMIF('Trip Cancellations'!$B:$B,A135,'Trip Cancellations'!$F:$F)</f>
        <v>0</v>
      </c>
      <c r="AE135" s="4">
        <f t="shared" si="2"/>
        <v>648.91999999999996</v>
      </c>
      <c r="AF135" t="s">
        <v>148</v>
      </c>
      <c r="AG135">
        <v>5</v>
      </c>
      <c r="AH135" s="5">
        <v>175.5</v>
      </c>
      <c r="AI135" t="s">
        <v>148</v>
      </c>
    </row>
    <row r="136" spans="1:35">
      <c r="A136" t="s">
        <v>382</v>
      </c>
      <c r="B136" t="s">
        <v>381</v>
      </c>
      <c r="C136" t="s">
        <v>182</v>
      </c>
      <c r="D136" t="s">
        <v>168</v>
      </c>
      <c r="E136" t="s">
        <v>169</v>
      </c>
      <c r="F136" t="s">
        <v>157</v>
      </c>
      <c r="G136" s="3">
        <v>46199</v>
      </c>
      <c r="H136" s="3">
        <v>46209</v>
      </c>
      <c r="I136" s="3">
        <v>46211</v>
      </c>
      <c r="J136" t="s">
        <v>150</v>
      </c>
      <c r="K136" t="s">
        <v>182</v>
      </c>
      <c r="L136" t="s">
        <v>151</v>
      </c>
      <c r="M136" t="s">
        <v>152</v>
      </c>
      <c r="N136" t="s">
        <v>153</v>
      </c>
      <c r="O136">
        <v>3070</v>
      </c>
      <c r="P136">
        <v>10</v>
      </c>
      <c r="Q136" t="s">
        <v>159</v>
      </c>
      <c r="R136" t="s">
        <v>154</v>
      </c>
      <c r="S136" t="s">
        <v>187</v>
      </c>
      <c r="T136" s="4">
        <v>287.44</v>
      </c>
      <c r="U136" s="4">
        <v>0</v>
      </c>
      <c r="V136" s="4">
        <v>1</v>
      </c>
      <c r="W136" s="4">
        <v>144.82</v>
      </c>
      <c r="X136" s="4">
        <v>93.06</v>
      </c>
      <c r="Y136" s="4">
        <v>525.32000000000005</v>
      </c>
      <c r="Z136" s="4" t="s">
        <v>147</v>
      </c>
      <c r="AA136" s="4" t="s">
        <v>147</v>
      </c>
      <c r="AB136" s="4">
        <f>SUMIF('Trip Changes'!$B:$B,A136,'Trip Changes'!$E:$E)</f>
        <v>0</v>
      </c>
      <c r="AC136" s="4">
        <f>SUMIF('Trip Cancellations'!$B:$B,A136,'Trip Cancellations'!$E:$E)</f>
        <v>0</v>
      </c>
      <c r="AD136" s="4">
        <f>SUMIF('Trip Cancellations'!$B:$B,A136,'Trip Cancellations'!$F:$F)</f>
        <v>0</v>
      </c>
      <c r="AE136" s="4">
        <f t="shared" si="2"/>
        <v>525.32000000000005</v>
      </c>
      <c r="AF136" t="s">
        <v>148</v>
      </c>
      <c r="AG136">
        <v>3</v>
      </c>
      <c r="AH136" s="5">
        <v>460.5</v>
      </c>
      <c r="AI136" t="s">
        <v>147</v>
      </c>
    </row>
    <row r="137" spans="1:35">
      <c r="A137" t="s">
        <v>383</v>
      </c>
      <c r="B137" t="s">
        <v>381</v>
      </c>
      <c r="C137" t="s">
        <v>182</v>
      </c>
      <c r="D137" t="s">
        <v>168</v>
      </c>
      <c r="E137" t="s">
        <v>169</v>
      </c>
      <c r="F137" t="s">
        <v>140</v>
      </c>
      <c r="G137" s="3">
        <v>46203</v>
      </c>
      <c r="H137" s="3">
        <v>46207</v>
      </c>
      <c r="I137" s="3">
        <v>46210</v>
      </c>
      <c r="J137" t="s">
        <v>150</v>
      </c>
      <c r="K137" t="s">
        <v>182</v>
      </c>
      <c r="L137" t="s">
        <v>151</v>
      </c>
      <c r="M137" t="s">
        <v>152</v>
      </c>
      <c r="N137" t="s">
        <v>153</v>
      </c>
      <c r="O137">
        <v>1160</v>
      </c>
      <c r="P137">
        <v>4</v>
      </c>
      <c r="Q137" t="s">
        <v>159</v>
      </c>
      <c r="R137" t="s">
        <v>172</v>
      </c>
      <c r="S137" t="s">
        <v>164</v>
      </c>
      <c r="T137" s="4">
        <v>754.87</v>
      </c>
      <c r="U137" s="4">
        <v>0</v>
      </c>
      <c r="V137" s="4">
        <v>2</v>
      </c>
      <c r="W137" s="4">
        <v>323.86</v>
      </c>
      <c r="X137" s="4">
        <v>51.4</v>
      </c>
      <c r="Y137" s="4">
        <v>1130.1300000000001</v>
      </c>
      <c r="Z137" s="4" t="s">
        <v>147</v>
      </c>
      <c r="AA137" s="4" t="s">
        <v>147</v>
      </c>
      <c r="AB137" s="4">
        <f>SUMIF('Trip Changes'!$B:$B,A137,'Trip Changes'!$E:$E)</f>
        <v>0</v>
      </c>
      <c r="AC137" s="4">
        <f>SUMIF('Trip Cancellations'!$B:$B,A137,'Trip Cancellations'!$E:$E)</f>
        <v>0</v>
      </c>
      <c r="AD137" s="4">
        <f>SUMIF('Trip Cancellations'!$B:$B,A137,'Trip Cancellations'!$F:$F)</f>
        <v>0</v>
      </c>
      <c r="AE137" s="4">
        <f t="shared" si="2"/>
        <v>1130.1300000000001</v>
      </c>
      <c r="AF137" t="s">
        <v>148</v>
      </c>
      <c r="AG137">
        <v>4</v>
      </c>
      <c r="AH137" s="5">
        <v>174</v>
      </c>
      <c r="AI137" t="s">
        <v>147</v>
      </c>
    </row>
    <row r="138" spans="1:35">
      <c r="A138" t="s">
        <v>384</v>
      </c>
      <c r="B138" t="s">
        <v>381</v>
      </c>
      <c r="C138" t="s">
        <v>182</v>
      </c>
      <c r="D138" t="s">
        <v>168</v>
      </c>
      <c r="E138" t="s">
        <v>169</v>
      </c>
      <c r="F138" t="s">
        <v>162</v>
      </c>
      <c r="G138" s="3">
        <v>46175</v>
      </c>
      <c r="H138" s="3">
        <v>46196</v>
      </c>
      <c r="I138" s="3">
        <v>46199</v>
      </c>
      <c r="J138" t="s">
        <v>141</v>
      </c>
      <c r="K138" t="s">
        <v>182</v>
      </c>
      <c r="L138" t="s">
        <v>233</v>
      </c>
      <c r="M138" t="s">
        <v>152</v>
      </c>
      <c r="N138" t="s">
        <v>153</v>
      </c>
      <c r="O138">
        <v>3062</v>
      </c>
      <c r="P138">
        <v>21</v>
      </c>
      <c r="Q138" t="s">
        <v>159</v>
      </c>
      <c r="R138" t="s">
        <v>160</v>
      </c>
      <c r="S138" t="s">
        <v>164</v>
      </c>
      <c r="T138" s="4">
        <v>402.54</v>
      </c>
      <c r="U138" s="4">
        <v>0</v>
      </c>
      <c r="V138" s="4">
        <v>2</v>
      </c>
      <c r="W138" s="4">
        <v>421.14</v>
      </c>
      <c r="X138" s="4">
        <v>78.040000000000006</v>
      </c>
      <c r="Y138" s="4">
        <v>901.72</v>
      </c>
      <c r="Z138" s="4" t="s">
        <v>147</v>
      </c>
      <c r="AA138" s="4" t="s">
        <v>147</v>
      </c>
      <c r="AB138" s="4">
        <f>SUMIF('Trip Changes'!$B:$B,A138,'Trip Changes'!$E:$E)</f>
        <v>0</v>
      </c>
      <c r="AC138" s="4">
        <f>SUMIF('Trip Cancellations'!$B:$B,A138,'Trip Cancellations'!$E:$E)</f>
        <v>0</v>
      </c>
      <c r="AD138" s="4">
        <f>SUMIF('Trip Cancellations'!$B:$B,A138,'Trip Cancellations'!$F:$F)</f>
        <v>0</v>
      </c>
      <c r="AE138" s="4">
        <f t="shared" si="2"/>
        <v>901.72</v>
      </c>
      <c r="AF138" t="s">
        <v>148</v>
      </c>
      <c r="AG138">
        <v>5</v>
      </c>
      <c r="AH138" s="5">
        <v>459.3</v>
      </c>
      <c r="AI138" t="s">
        <v>148</v>
      </c>
    </row>
    <row r="139" spans="1:35">
      <c r="A139" t="s">
        <v>385</v>
      </c>
      <c r="B139" t="s">
        <v>386</v>
      </c>
      <c r="C139" t="s">
        <v>182</v>
      </c>
      <c r="D139" t="s">
        <v>248</v>
      </c>
      <c r="E139" t="s">
        <v>169</v>
      </c>
      <c r="F139" t="s">
        <v>140</v>
      </c>
      <c r="G139" s="3">
        <v>46230</v>
      </c>
      <c r="H139" s="3">
        <v>46234</v>
      </c>
      <c r="I139" s="3">
        <v>46237</v>
      </c>
      <c r="J139" t="s">
        <v>150</v>
      </c>
      <c r="K139" t="s">
        <v>182</v>
      </c>
      <c r="L139" t="s">
        <v>142</v>
      </c>
      <c r="M139" t="s">
        <v>143</v>
      </c>
      <c r="N139" t="s">
        <v>153</v>
      </c>
      <c r="O139">
        <v>1290</v>
      </c>
      <c r="P139">
        <v>4</v>
      </c>
      <c r="Q139" t="s">
        <v>159</v>
      </c>
      <c r="R139" t="s">
        <v>176</v>
      </c>
      <c r="S139" t="s">
        <v>195</v>
      </c>
      <c r="T139" s="4">
        <v>283.86</v>
      </c>
      <c r="U139" s="4">
        <v>0</v>
      </c>
      <c r="V139" s="4">
        <v>2</v>
      </c>
      <c r="W139" s="4">
        <v>330.24</v>
      </c>
      <c r="X139" s="4">
        <v>83.57</v>
      </c>
      <c r="Y139" s="4">
        <v>697.67</v>
      </c>
      <c r="Z139" s="4" t="s">
        <v>147</v>
      </c>
      <c r="AA139" s="4" t="s">
        <v>147</v>
      </c>
      <c r="AB139" s="4">
        <f>SUMIF('Trip Changes'!$B:$B,A139,'Trip Changes'!$E:$E)</f>
        <v>0</v>
      </c>
      <c r="AC139" s="4">
        <f>SUMIF('Trip Cancellations'!$B:$B,A139,'Trip Cancellations'!$E:$E)</f>
        <v>0</v>
      </c>
      <c r="AD139" s="4">
        <f>SUMIF('Trip Cancellations'!$B:$B,A139,'Trip Cancellations'!$F:$F)</f>
        <v>0</v>
      </c>
      <c r="AE139" s="4">
        <f t="shared" si="2"/>
        <v>697.67</v>
      </c>
      <c r="AF139" t="s">
        <v>148</v>
      </c>
      <c r="AG139">
        <v>5</v>
      </c>
      <c r="AH139" s="5">
        <v>193.5</v>
      </c>
      <c r="AI139" t="s">
        <v>148</v>
      </c>
    </row>
    <row r="140" spans="1:35">
      <c r="A140" t="s">
        <v>387</v>
      </c>
      <c r="B140" t="s">
        <v>386</v>
      </c>
      <c r="C140" t="s">
        <v>182</v>
      </c>
      <c r="D140" t="s">
        <v>248</v>
      </c>
      <c r="E140" t="s">
        <v>169</v>
      </c>
      <c r="F140" t="s">
        <v>181</v>
      </c>
      <c r="G140" s="3">
        <v>46206</v>
      </c>
      <c r="H140" s="3">
        <v>46210</v>
      </c>
      <c r="I140" s="3">
        <v>46214</v>
      </c>
      <c r="J140" t="s">
        <v>150</v>
      </c>
      <c r="K140" t="s">
        <v>182</v>
      </c>
      <c r="L140" t="s">
        <v>199</v>
      </c>
      <c r="M140" t="s">
        <v>152</v>
      </c>
      <c r="N140" t="s">
        <v>153</v>
      </c>
      <c r="O140">
        <v>3510</v>
      </c>
      <c r="P140">
        <v>4</v>
      </c>
      <c r="Q140" t="s">
        <v>145</v>
      </c>
      <c r="R140" t="s">
        <v>200</v>
      </c>
      <c r="S140" t="s">
        <v>155</v>
      </c>
      <c r="T140" s="4">
        <v>642.78</v>
      </c>
      <c r="U140" s="4">
        <v>0</v>
      </c>
      <c r="V140" s="4">
        <v>3</v>
      </c>
      <c r="W140" s="4">
        <v>674.15</v>
      </c>
      <c r="X140" s="4">
        <v>56.48</v>
      </c>
      <c r="Y140" s="4">
        <v>1373.41</v>
      </c>
      <c r="Z140" s="4" t="s">
        <v>147</v>
      </c>
      <c r="AA140" s="4" t="s">
        <v>147</v>
      </c>
      <c r="AB140" s="4">
        <f>SUMIF('Trip Changes'!$B:$B,A140,'Trip Changes'!$E:$E)</f>
        <v>0</v>
      </c>
      <c r="AC140" s="4">
        <f>SUMIF('Trip Cancellations'!$B:$B,A140,'Trip Cancellations'!$E:$E)</f>
        <v>0</v>
      </c>
      <c r="AD140" s="4">
        <f>SUMIF('Trip Cancellations'!$B:$B,A140,'Trip Cancellations'!$F:$F)</f>
        <v>0</v>
      </c>
      <c r="AE140" s="4">
        <f t="shared" si="2"/>
        <v>1373.41</v>
      </c>
      <c r="AF140" t="s">
        <v>148</v>
      </c>
      <c r="AG140">
        <v>4</v>
      </c>
      <c r="AH140" s="5">
        <v>526.5</v>
      </c>
      <c r="AI140" t="s">
        <v>148</v>
      </c>
    </row>
    <row r="141" spans="1:35">
      <c r="A141" t="s">
        <v>388</v>
      </c>
      <c r="B141" t="s">
        <v>386</v>
      </c>
      <c r="C141" t="s">
        <v>182</v>
      </c>
      <c r="D141" t="s">
        <v>248</v>
      </c>
      <c r="E141" t="s">
        <v>169</v>
      </c>
      <c r="F141" t="s">
        <v>162</v>
      </c>
      <c r="G141" s="3">
        <v>46163</v>
      </c>
      <c r="H141" s="3">
        <v>46171</v>
      </c>
      <c r="I141" s="3">
        <v>46174</v>
      </c>
      <c r="J141" t="s">
        <v>163</v>
      </c>
      <c r="K141" t="s">
        <v>182</v>
      </c>
      <c r="L141" t="s">
        <v>233</v>
      </c>
      <c r="M141" t="s">
        <v>152</v>
      </c>
      <c r="N141" t="s">
        <v>153</v>
      </c>
      <c r="O141">
        <v>3506</v>
      </c>
      <c r="P141">
        <v>8</v>
      </c>
      <c r="Q141" t="s">
        <v>145</v>
      </c>
      <c r="R141" t="s">
        <v>160</v>
      </c>
      <c r="S141" t="s">
        <v>187</v>
      </c>
      <c r="T141" s="4">
        <v>285.7</v>
      </c>
      <c r="U141" s="4">
        <v>0</v>
      </c>
      <c r="V141" s="4">
        <v>2</v>
      </c>
      <c r="W141" s="4">
        <v>451.44</v>
      </c>
      <c r="X141" s="4">
        <v>111.1</v>
      </c>
      <c r="Y141" s="4">
        <v>848.24</v>
      </c>
      <c r="Z141" s="4" t="s">
        <v>147</v>
      </c>
      <c r="AA141" s="4" t="s">
        <v>147</v>
      </c>
      <c r="AB141" s="4">
        <f>SUMIF('Trip Changes'!$B:$B,A141,'Trip Changes'!$E:$E)</f>
        <v>0</v>
      </c>
      <c r="AC141" s="4">
        <f>SUMIF('Trip Cancellations'!$B:$B,A141,'Trip Cancellations'!$E:$E)</f>
        <v>0</v>
      </c>
      <c r="AD141" s="4">
        <f>SUMIF('Trip Cancellations'!$B:$B,A141,'Trip Cancellations'!$F:$F)</f>
        <v>0</v>
      </c>
      <c r="AE141" s="4">
        <f t="shared" si="2"/>
        <v>848.24</v>
      </c>
      <c r="AF141" t="s">
        <v>148</v>
      </c>
      <c r="AG141">
        <v>4</v>
      </c>
      <c r="AH141" s="5">
        <v>525.9</v>
      </c>
      <c r="AI141" t="s">
        <v>148</v>
      </c>
    </row>
    <row r="142" spans="1:35">
      <c r="A142" t="s">
        <v>389</v>
      </c>
      <c r="B142" t="s">
        <v>386</v>
      </c>
      <c r="C142" t="s">
        <v>182</v>
      </c>
      <c r="D142" t="s">
        <v>248</v>
      </c>
      <c r="E142" t="s">
        <v>169</v>
      </c>
      <c r="F142" t="s">
        <v>157</v>
      </c>
      <c r="G142" s="3">
        <v>46228</v>
      </c>
      <c r="H142" s="3">
        <v>46234</v>
      </c>
      <c r="I142" s="3">
        <v>46238</v>
      </c>
      <c r="J142" t="s">
        <v>150</v>
      </c>
      <c r="K142" t="s">
        <v>182</v>
      </c>
      <c r="L142" t="s">
        <v>151</v>
      </c>
      <c r="M142" t="s">
        <v>152</v>
      </c>
      <c r="N142" t="s">
        <v>153</v>
      </c>
      <c r="O142">
        <v>2092</v>
      </c>
      <c r="P142">
        <v>6</v>
      </c>
      <c r="Q142" t="s">
        <v>145</v>
      </c>
      <c r="R142" t="s">
        <v>154</v>
      </c>
      <c r="S142" t="s">
        <v>187</v>
      </c>
      <c r="T142" s="4">
        <v>198.17</v>
      </c>
      <c r="U142" s="4">
        <v>0</v>
      </c>
      <c r="V142" s="4">
        <v>3</v>
      </c>
      <c r="W142" s="4">
        <v>394.41</v>
      </c>
      <c r="X142" s="4">
        <v>113.31</v>
      </c>
      <c r="Y142" s="4">
        <v>705.89</v>
      </c>
      <c r="Z142" s="4" t="s">
        <v>148</v>
      </c>
      <c r="AA142" s="4" t="s">
        <v>147</v>
      </c>
      <c r="AB142" s="4">
        <f>SUMIF('Trip Changes'!$B:$B,A142,'Trip Changes'!$E:$E)</f>
        <v>142.97999999999999</v>
      </c>
      <c r="AC142" s="4">
        <f>SUMIF('Trip Cancellations'!$B:$B,A142,'Trip Cancellations'!$E:$E)</f>
        <v>0</v>
      </c>
      <c r="AD142" s="4">
        <f>SUMIF('Trip Cancellations'!$B:$B,A142,'Trip Cancellations'!$F:$F)</f>
        <v>0</v>
      </c>
      <c r="AE142" s="4">
        <f t="shared" si="2"/>
        <v>848.87</v>
      </c>
      <c r="AF142" t="s">
        <v>147</v>
      </c>
      <c r="AG142">
        <v>5</v>
      </c>
      <c r="AH142" s="5">
        <v>313.8</v>
      </c>
      <c r="AI142" t="s">
        <v>148</v>
      </c>
    </row>
    <row r="143" spans="1:35">
      <c r="A143" t="s">
        <v>390</v>
      </c>
      <c r="B143" t="s">
        <v>386</v>
      </c>
      <c r="C143" t="s">
        <v>182</v>
      </c>
      <c r="D143" t="s">
        <v>248</v>
      </c>
      <c r="E143" t="s">
        <v>169</v>
      </c>
      <c r="F143" t="s">
        <v>140</v>
      </c>
      <c r="G143" s="3">
        <v>46135</v>
      </c>
      <c r="H143" s="3">
        <v>46149</v>
      </c>
      <c r="I143" s="3">
        <v>46153</v>
      </c>
      <c r="J143" t="s">
        <v>163</v>
      </c>
      <c r="K143" t="s">
        <v>182</v>
      </c>
      <c r="L143" t="s">
        <v>227</v>
      </c>
      <c r="M143" t="s">
        <v>152</v>
      </c>
      <c r="N143" t="s">
        <v>153</v>
      </c>
      <c r="O143">
        <v>1746</v>
      </c>
      <c r="P143">
        <v>14</v>
      </c>
      <c r="Q143" t="s">
        <v>145</v>
      </c>
      <c r="R143" t="s">
        <v>236</v>
      </c>
      <c r="S143" t="s">
        <v>164</v>
      </c>
      <c r="T143" s="4">
        <v>480.73</v>
      </c>
      <c r="U143" s="4">
        <v>0</v>
      </c>
      <c r="V143" s="4">
        <v>3</v>
      </c>
      <c r="W143" s="4">
        <v>451.1</v>
      </c>
      <c r="X143" s="4">
        <v>94.12</v>
      </c>
      <c r="Y143" s="4">
        <v>1025.95</v>
      </c>
      <c r="Z143" s="4" t="s">
        <v>147</v>
      </c>
      <c r="AA143" s="4" t="s">
        <v>147</v>
      </c>
      <c r="AB143" s="4">
        <f>SUMIF('Trip Changes'!$B:$B,A143,'Trip Changes'!$E:$E)</f>
        <v>0</v>
      </c>
      <c r="AC143" s="4">
        <f>SUMIF('Trip Cancellations'!$B:$B,A143,'Trip Cancellations'!$E:$E)</f>
        <v>0</v>
      </c>
      <c r="AD143" s="4">
        <f>SUMIF('Trip Cancellations'!$B:$B,A143,'Trip Cancellations'!$F:$F)</f>
        <v>0</v>
      </c>
      <c r="AE143" s="4">
        <f t="shared" si="2"/>
        <v>1025.95</v>
      </c>
      <c r="AF143" t="s">
        <v>148</v>
      </c>
      <c r="AG143">
        <v>4</v>
      </c>
      <c r="AH143" s="5">
        <v>261.89999999999998</v>
      </c>
      <c r="AI143" t="s">
        <v>147</v>
      </c>
    </row>
    <row r="144" spans="1:35">
      <c r="A144" t="s">
        <v>391</v>
      </c>
      <c r="B144" t="s">
        <v>386</v>
      </c>
      <c r="C144" t="s">
        <v>182</v>
      </c>
      <c r="D144" t="s">
        <v>248</v>
      </c>
      <c r="E144" t="s">
        <v>169</v>
      </c>
      <c r="F144" t="s">
        <v>178</v>
      </c>
      <c r="G144" s="3">
        <v>46166</v>
      </c>
      <c r="H144" s="3">
        <v>46191</v>
      </c>
      <c r="I144" s="3">
        <v>46195</v>
      </c>
      <c r="J144" t="s">
        <v>141</v>
      </c>
      <c r="K144" t="s">
        <v>182</v>
      </c>
      <c r="L144" t="s">
        <v>151</v>
      </c>
      <c r="M144" t="s">
        <v>152</v>
      </c>
      <c r="N144" t="s">
        <v>153</v>
      </c>
      <c r="O144">
        <v>1564</v>
      </c>
      <c r="P144">
        <v>25</v>
      </c>
      <c r="Q144" t="s">
        <v>216</v>
      </c>
      <c r="R144" t="s">
        <v>176</v>
      </c>
      <c r="S144" t="s">
        <v>155</v>
      </c>
      <c r="T144" s="4">
        <v>274.35000000000002</v>
      </c>
      <c r="U144" s="4">
        <v>0</v>
      </c>
      <c r="V144" s="4">
        <v>3</v>
      </c>
      <c r="W144" s="4">
        <v>500.06</v>
      </c>
      <c r="X144" s="4">
        <v>102.12</v>
      </c>
      <c r="Y144" s="4">
        <v>876.53</v>
      </c>
      <c r="Z144" s="4" t="s">
        <v>147</v>
      </c>
      <c r="AA144" s="4" t="s">
        <v>147</v>
      </c>
      <c r="AB144" s="4">
        <f>SUMIF('Trip Changes'!$B:$B,A144,'Trip Changes'!$E:$E)</f>
        <v>0</v>
      </c>
      <c r="AC144" s="4">
        <f>SUMIF('Trip Cancellations'!$B:$B,A144,'Trip Cancellations'!$E:$E)</f>
        <v>0</v>
      </c>
      <c r="AD144" s="4">
        <f>SUMIF('Trip Cancellations'!$B:$B,A144,'Trip Cancellations'!$F:$F)</f>
        <v>0</v>
      </c>
      <c r="AE144" s="4">
        <f t="shared" si="2"/>
        <v>876.53</v>
      </c>
      <c r="AF144" t="s">
        <v>148</v>
      </c>
      <c r="AG144">
        <v>4</v>
      </c>
      <c r="AH144" s="5">
        <v>234.6</v>
      </c>
      <c r="AI144" t="s">
        <v>148</v>
      </c>
    </row>
    <row r="145" spans="1:35">
      <c r="A145" t="s">
        <v>392</v>
      </c>
      <c r="B145" t="s">
        <v>386</v>
      </c>
      <c r="C145" t="s">
        <v>182</v>
      </c>
      <c r="D145" t="s">
        <v>248</v>
      </c>
      <c r="E145" t="s">
        <v>169</v>
      </c>
      <c r="F145" t="s">
        <v>140</v>
      </c>
      <c r="G145" s="3">
        <v>46135</v>
      </c>
      <c r="H145" s="3">
        <v>46148</v>
      </c>
      <c r="I145" s="3">
        <v>46151</v>
      </c>
      <c r="J145" t="s">
        <v>163</v>
      </c>
      <c r="K145" t="s">
        <v>182</v>
      </c>
      <c r="L145" t="s">
        <v>227</v>
      </c>
      <c r="M145" t="s">
        <v>152</v>
      </c>
      <c r="N145" t="s">
        <v>153</v>
      </c>
      <c r="O145">
        <v>3492</v>
      </c>
      <c r="P145">
        <v>13</v>
      </c>
      <c r="Q145" t="s">
        <v>216</v>
      </c>
      <c r="R145" t="s">
        <v>236</v>
      </c>
      <c r="S145" t="s">
        <v>164</v>
      </c>
      <c r="T145" s="4">
        <v>464.13</v>
      </c>
      <c r="U145" s="4">
        <v>0</v>
      </c>
      <c r="V145" s="4">
        <v>2</v>
      </c>
      <c r="W145" s="4">
        <v>196.27</v>
      </c>
      <c r="X145" s="4">
        <v>52.44</v>
      </c>
      <c r="Y145" s="4">
        <v>712.84</v>
      </c>
      <c r="Z145" s="4" t="s">
        <v>147</v>
      </c>
      <c r="AA145" s="4" t="s">
        <v>147</v>
      </c>
      <c r="AB145" s="4">
        <f>SUMIF('Trip Changes'!$B:$B,A145,'Trip Changes'!$E:$E)</f>
        <v>0</v>
      </c>
      <c r="AC145" s="4">
        <f>SUMIF('Trip Cancellations'!$B:$B,A145,'Trip Cancellations'!$E:$E)</f>
        <v>0</v>
      </c>
      <c r="AD145" s="4">
        <f>SUMIF('Trip Cancellations'!$B:$B,A145,'Trip Cancellations'!$F:$F)</f>
        <v>0</v>
      </c>
      <c r="AE145" s="4">
        <f t="shared" si="2"/>
        <v>712.84</v>
      </c>
      <c r="AF145" t="s">
        <v>148</v>
      </c>
      <c r="AG145">
        <v>4</v>
      </c>
      <c r="AH145" s="5">
        <v>523.79999999999995</v>
      </c>
      <c r="AI145" t="s">
        <v>147</v>
      </c>
    </row>
    <row r="146" spans="1:35">
      <c r="A146" t="s">
        <v>393</v>
      </c>
      <c r="B146" t="s">
        <v>394</v>
      </c>
      <c r="C146" t="s">
        <v>182</v>
      </c>
      <c r="D146" t="s">
        <v>168</v>
      </c>
      <c r="E146" t="s">
        <v>262</v>
      </c>
      <c r="F146" t="s">
        <v>162</v>
      </c>
      <c r="G146" s="3">
        <v>46119</v>
      </c>
      <c r="H146" s="3">
        <v>46144</v>
      </c>
      <c r="I146" s="3">
        <v>46147</v>
      </c>
      <c r="J146" t="s">
        <v>163</v>
      </c>
      <c r="K146" t="s">
        <v>182</v>
      </c>
      <c r="L146" t="s">
        <v>151</v>
      </c>
      <c r="M146" t="s">
        <v>152</v>
      </c>
      <c r="N146" t="s">
        <v>153</v>
      </c>
      <c r="O146">
        <v>1172</v>
      </c>
      <c r="P146">
        <v>25</v>
      </c>
      <c r="Q146" t="s">
        <v>145</v>
      </c>
      <c r="R146" t="s">
        <v>154</v>
      </c>
      <c r="S146" t="s">
        <v>164</v>
      </c>
      <c r="T146" s="4">
        <v>635.59</v>
      </c>
      <c r="U146" s="4">
        <v>0</v>
      </c>
      <c r="V146" s="4">
        <v>2</v>
      </c>
      <c r="W146" s="4">
        <v>322.32</v>
      </c>
      <c r="X146" s="4">
        <v>89.44</v>
      </c>
      <c r="Y146" s="4">
        <v>1047.3499999999999</v>
      </c>
      <c r="Z146" s="4" t="s">
        <v>147</v>
      </c>
      <c r="AA146" s="4" t="s">
        <v>147</v>
      </c>
      <c r="AB146" s="4">
        <f>SUMIF('Trip Changes'!$B:$B,A146,'Trip Changes'!$E:$E)</f>
        <v>0</v>
      </c>
      <c r="AC146" s="4">
        <f>SUMIF('Trip Cancellations'!$B:$B,A146,'Trip Cancellations'!$E:$E)</f>
        <v>0</v>
      </c>
      <c r="AD146" s="4">
        <f>SUMIF('Trip Cancellations'!$B:$B,A146,'Trip Cancellations'!$F:$F)</f>
        <v>0</v>
      </c>
      <c r="AE146" s="4">
        <f t="shared" si="2"/>
        <v>1047.3499999999999</v>
      </c>
      <c r="AF146" t="s">
        <v>147</v>
      </c>
      <c r="AG146">
        <v>4</v>
      </c>
      <c r="AH146" s="5">
        <v>175.8</v>
      </c>
      <c r="AI146" t="s">
        <v>148</v>
      </c>
    </row>
    <row r="147" spans="1:35">
      <c r="A147" t="s">
        <v>395</v>
      </c>
      <c r="B147" t="s">
        <v>394</v>
      </c>
      <c r="C147" t="s">
        <v>182</v>
      </c>
      <c r="D147" t="s">
        <v>168</v>
      </c>
      <c r="E147" t="s">
        <v>262</v>
      </c>
      <c r="F147" t="s">
        <v>189</v>
      </c>
      <c r="G147" s="3">
        <v>46161</v>
      </c>
      <c r="H147" s="3">
        <v>46181</v>
      </c>
      <c r="I147" s="3">
        <v>46182</v>
      </c>
      <c r="J147" t="s">
        <v>141</v>
      </c>
      <c r="K147" t="s">
        <v>182</v>
      </c>
      <c r="L147" t="s">
        <v>182</v>
      </c>
      <c r="M147" t="s">
        <v>143</v>
      </c>
      <c r="N147" t="s">
        <v>144</v>
      </c>
      <c r="O147">
        <v>1090</v>
      </c>
      <c r="P147">
        <v>20</v>
      </c>
      <c r="Q147" t="s">
        <v>145</v>
      </c>
      <c r="T147" s="4">
        <v>0</v>
      </c>
      <c r="U147" s="4">
        <v>206.41</v>
      </c>
      <c r="V147" s="4">
        <v>0</v>
      </c>
      <c r="W147" s="4">
        <v>0</v>
      </c>
      <c r="X147" s="4">
        <v>51.37</v>
      </c>
      <c r="Y147" s="4">
        <v>257.77999999999997</v>
      </c>
      <c r="Z147" s="4" t="s">
        <v>147</v>
      </c>
      <c r="AA147" s="4" t="s">
        <v>147</v>
      </c>
      <c r="AB147" s="4">
        <f>SUMIF('Trip Changes'!$B:$B,A147,'Trip Changes'!$E:$E)</f>
        <v>0</v>
      </c>
      <c r="AC147" s="4">
        <f>SUMIF('Trip Cancellations'!$B:$B,A147,'Trip Cancellations'!$E:$E)</f>
        <v>0</v>
      </c>
      <c r="AD147" s="4">
        <f>SUMIF('Trip Cancellations'!$B:$B,A147,'Trip Cancellations'!$F:$F)</f>
        <v>0</v>
      </c>
      <c r="AE147" s="4">
        <f t="shared" si="2"/>
        <v>257.77999999999997</v>
      </c>
      <c r="AF147" t="s">
        <v>148</v>
      </c>
      <c r="AG147">
        <v>5</v>
      </c>
      <c r="AH147" s="5">
        <v>43.6</v>
      </c>
      <c r="AI147" t="s">
        <v>147</v>
      </c>
    </row>
    <row r="148" spans="1:35">
      <c r="A148" t="s">
        <v>396</v>
      </c>
      <c r="B148" t="s">
        <v>394</v>
      </c>
      <c r="C148" t="s">
        <v>182</v>
      </c>
      <c r="D148" t="s">
        <v>168</v>
      </c>
      <c r="E148" t="s">
        <v>262</v>
      </c>
      <c r="F148" t="s">
        <v>181</v>
      </c>
      <c r="G148" s="3">
        <v>46139</v>
      </c>
      <c r="H148" s="3">
        <v>46162</v>
      </c>
      <c r="I148" s="3">
        <v>46164</v>
      </c>
      <c r="J148" t="s">
        <v>163</v>
      </c>
      <c r="K148" t="s">
        <v>182</v>
      </c>
      <c r="L148" t="s">
        <v>233</v>
      </c>
      <c r="M148" t="s">
        <v>152</v>
      </c>
      <c r="N148" t="s">
        <v>153</v>
      </c>
      <c r="O148">
        <v>1860</v>
      </c>
      <c r="P148">
        <v>23</v>
      </c>
      <c r="Q148" t="s">
        <v>145</v>
      </c>
      <c r="R148" t="s">
        <v>176</v>
      </c>
      <c r="S148" t="s">
        <v>164</v>
      </c>
      <c r="T148" s="4">
        <v>417.56</v>
      </c>
      <c r="U148" s="4">
        <v>0</v>
      </c>
      <c r="V148" s="4">
        <v>1</v>
      </c>
      <c r="W148" s="4">
        <v>139.83000000000001</v>
      </c>
      <c r="X148" s="4">
        <v>119.58</v>
      </c>
      <c r="Y148" s="4">
        <v>676.97</v>
      </c>
      <c r="Z148" s="4" t="s">
        <v>147</v>
      </c>
      <c r="AA148" s="4" t="s">
        <v>147</v>
      </c>
      <c r="AB148" s="4">
        <f>SUMIF('Trip Changes'!$B:$B,A148,'Trip Changes'!$E:$E)</f>
        <v>0</v>
      </c>
      <c r="AC148" s="4">
        <f>SUMIF('Trip Cancellations'!$B:$B,A148,'Trip Cancellations'!$E:$E)</f>
        <v>0</v>
      </c>
      <c r="AD148" s="4">
        <f>SUMIF('Trip Cancellations'!$B:$B,A148,'Trip Cancellations'!$F:$F)</f>
        <v>0</v>
      </c>
      <c r="AE148" s="4">
        <f t="shared" si="2"/>
        <v>676.97</v>
      </c>
      <c r="AF148" t="s">
        <v>148</v>
      </c>
      <c r="AG148">
        <v>5</v>
      </c>
      <c r="AH148" s="5">
        <v>279</v>
      </c>
      <c r="AI148" t="s">
        <v>147</v>
      </c>
    </row>
    <row r="149" spans="1:35">
      <c r="A149" t="s">
        <v>397</v>
      </c>
      <c r="B149" t="s">
        <v>394</v>
      </c>
      <c r="C149" t="s">
        <v>182</v>
      </c>
      <c r="D149" t="s">
        <v>168</v>
      </c>
      <c r="E149" t="s">
        <v>262</v>
      </c>
      <c r="F149" t="s">
        <v>189</v>
      </c>
      <c r="G149" s="3">
        <v>46229</v>
      </c>
      <c r="H149" s="3">
        <v>46232</v>
      </c>
      <c r="I149" s="3">
        <v>46235</v>
      </c>
      <c r="J149" t="s">
        <v>150</v>
      </c>
      <c r="K149" t="s">
        <v>182</v>
      </c>
      <c r="L149" t="s">
        <v>199</v>
      </c>
      <c r="M149" t="s">
        <v>152</v>
      </c>
      <c r="N149" t="s">
        <v>153</v>
      </c>
      <c r="O149">
        <v>2168</v>
      </c>
      <c r="P149">
        <v>3</v>
      </c>
      <c r="Q149" t="s">
        <v>216</v>
      </c>
      <c r="R149" t="s">
        <v>291</v>
      </c>
      <c r="S149" t="s">
        <v>155</v>
      </c>
      <c r="T149" s="4">
        <v>417.67</v>
      </c>
      <c r="U149" s="4">
        <v>0</v>
      </c>
      <c r="V149" s="4">
        <v>2</v>
      </c>
      <c r="W149" s="4">
        <v>308.97000000000003</v>
      </c>
      <c r="X149" s="4">
        <v>92.84</v>
      </c>
      <c r="Y149" s="4">
        <v>819.48</v>
      </c>
      <c r="Z149" s="4" t="s">
        <v>147</v>
      </c>
      <c r="AA149" s="4" t="s">
        <v>147</v>
      </c>
      <c r="AB149" s="4">
        <f>SUMIF('Trip Changes'!$B:$B,A149,'Trip Changes'!$E:$E)</f>
        <v>0</v>
      </c>
      <c r="AC149" s="4">
        <f>SUMIF('Trip Cancellations'!$B:$B,A149,'Trip Cancellations'!$E:$E)</f>
        <v>0</v>
      </c>
      <c r="AD149" s="4">
        <f>SUMIF('Trip Cancellations'!$B:$B,A149,'Trip Cancellations'!$F:$F)</f>
        <v>0</v>
      </c>
      <c r="AE149" s="4">
        <f t="shared" si="2"/>
        <v>819.48</v>
      </c>
      <c r="AF149" t="s">
        <v>148</v>
      </c>
      <c r="AG149">
        <v>5</v>
      </c>
      <c r="AH149" s="5">
        <v>325.2</v>
      </c>
      <c r="AI149" t="s">
        <v>147</v>
      </c>
    </row>
    <row r="150" spans="1:35">
      <c r="A150" t="s">
        <v>398</v>
      </c>
      <c r="B150" t="s">
        <v>399</v>
      </c>
      <c r="C150" t="s">
        <v>193</v>
      </c>
      <c r="D150" t="s">
        <v>168</v>
      </c>
      <c r="E150" t="s">
        <v>262</v>
      </c>
      <c r="F150" t="s">
        <v>157</v>
      </c>
      <c r="G150" s="3">
        <v>46196</v>
      </c>
      <c r="H150" s="3">
        <v>46207</v>
      </c>
      <c r="I150" s="3">
        <v>46210</v>
      </c>
      <c r="J150" t="s">
        <v>150</v>
      </c>
      <c r="K150" t="s">
        <v>193</v>
      </c>
      <c r="L150" t="s">
        <v>199</v>
      </c>
      <c r="M150" t="s">
        <v>152</v>
      </c>
      <c r="N150" t="s">
        <v>153</v>
      </c>
      <c r="O150">
        <v>2456</v>
      </c>
      <c r="P150">
        <v>11</v>
      </c>
      <c r="Q150" t="s">
        <v>216</v>
      </c>
      <c r="R150" t="s">
        <v>291</v>
      </c>
      <c r="S150" t="s">
        <v>187</v>
      </c>
      <c r="T150" s="4">
        <v>565.6</v>
      </c>
      <c r="U150" s="4">
        <v>0</v>
      </c>
      <c r="V150" s="4">
        <v>2</v>
      </c>
      <c r="W150" s="4">
        <v>396.93</v>
      </c>
      <c r="X150" s="4">
        <v>39.25</v>
      </c>
      <c r="Y150" s="4">
        <v>1001.78</v>
      </c>
      <c r="Z150" s="4" t="s">
        <v>147</v>
      </c>
      <c r="AA150" s="4" t="s">
        <v>147</v>
      </c>
      <c r="AB150" s="4">
        <f>SUMIF('Trip Changes'!$B:$B,A150,'Trip Changes'!$E:$E)</f>
        <v>0</v>
      </c>
      <c r="AC150" s="4">
        <f>SUMIF('Trip Cancellations'!$B:$B,A150,'Trip Cancellations'!$E:$E)</f>
        <v>0</v>
      </c>
      <c r="AD150" s="4">
        <f>SUMIF('Trip Cancellations'!$B:$B,A150,'Trip Cancellations'!$F:$F)</f>
        <v>0</v>
      </c>
      <c r="AE150" s="4">
        <f t="shared" si="2"/>
        <v>1001.78</v>
      </c>
      <c r="AF150" t="s">
        <v>148</v>
      </c>
      <c r="AG150">
        <v>5</v>
      </c>
      <c r="AH150" s="5">
        <v>368.4</v>
      </c>
      <c r="AI150" t="s">
        <v>147</v>
      </c>
    </row>
    <row r="151" spans="1:35">
      <c r="A151" t="s">
        <v>400</v>
      </c>
      <c r="B151" t="s">
        <v>399</v>
      </c>
      <c r="C151" t="s">
        <v>193</v>
      </c>
      <c r="D151" t="s">
        <v>168</v>
      </c>
      <c r="E151" t="s">
        <v>262</v>
      </c>
      <c r="F151" t="s">
        <v>140</v>
      </c>
      <c r="G151" s="3">
        <v>46219</v>
      </c>
      <c r="H151" s="3">
        <v>46231</v>
      </c>
      <c r="I151" s="3">
        <v>46235</v>
      </c>
      <c r="J151" t="s">
        <v>150</v>
      </c>
      <c r="K151" t="s">
        <v>193</v>
      </c>
      <c r="L151" t="s">
        <v>171</v>
      </c>
      <c r="M151" t="s">
        <v>152</v>
      </c>
      <c r="N151" t="s">
        <v>153</v>
      </c>
      <c r="O151">
        <v>2620</v>
      </c>
      <c r="P151">
        <v>12</v>
      </c>
      <c r="Q151" t="s">
        <v>159</v>
      </c>
      <c r="R151" t="s">
        <v>176</v>
      </c>
      <c r="S151" t="s">
        <v>173</v>
      </c>
      <c r="T151" s="4">
        <v>429.41</v>
      </c>
      <c r="U151" s="4">
        <v>0</v>
      </c>
      <c r="V151" s="4">
        <v>3</v>
      </c>
      <c r="W151" s="4">
        <v>592.96</v>
      </c>
      <c r="X151" s="4">
        <v>97.98</v>
      </c>
      <c r="Y151" s="4">
        <v>1120.3499999999999</v>
      </c>
      <c r="Z151" s="4" t="s">
        <v>148</v>
      </c>
      <c r="AA151" s="4" t="s">
        <v>147</v>
      </c>
      <c r="AB151" s="4">
        <f>SUMIF('Trip Changes'!$B:$B,A151,'Trip Changes'!$E:$E)</f>
        <v>36.72</v>
      </c>
      <c r="AC151" s="4">
        <f>SUMIF('Trip Cancellations'!$B:$B,A151,'Trip Cancellations'!$E:$E)</f>
        <v>0</v>
      </c>
      <c r="AD151" s="4">
        <f>SUMIF('Trip Cancellations'!$B:$B,A151,'Trip Cancellations'!$F:$F)</f>
        <v>0</v>
      </c>
      <c r="AE151" s="4">
        <f t="shared" si="2"/>
        <v>1157.07</v>
      </c>
      <c r="AF151" t="s">
        <v>148</v>
      </c>
      <c r="AG151">
        <v>4</v>
      </c>
      <c r="AH151" s="5">
        <v>393</v>
      </c>
      <c r="AI151" t="s">
        <v>148</v>
      </c>
    </row>
    <row r="152" spans="1:35">
      <c r="A152" t="s">
        <v>401</v>
      </c>
      <c r="B152" t="s">
        <v>399</v>
      </c>
      <c r="C152" t="s">
        <v>193</v>
      </c>
      <c r="D152" t="s">
        <v>168</v>
      </c>
      <c r="E152" t="s">
        <v>262</v>
      </c>
      <c r="F152" t="s">
        <v>181</v>
      </c>
      <c r="G152" s="3">
        <v>46209</v>
      </c>
      <c r="H152" s="3">
        <v>46232</v>
      </c>
      <c r="I152" s="3">
        <v>46233</v>
      </c>
      <c r="J152" t="s">
        <v>150</v>
      </c>
      <c r="K152" t="s">
        <v>193</v>
      </c>
      <c r="L152" t="s">
        <v>203</v>
      </c>
      <c r="M152" t="s">
        <v>143</v>
      </c>
      <c r="N152" t="s">
        <v>144</v>
      </c>
      <c r="O152">
        <v>1004</v>
      </c>
      <c r="P152">
        <v>23</v>
      </c>
      <c r="Q152" t="s">
        <v>145</v>
      </c>
      <c r="T152" s="4">
        <v>0</v>
      </c>
      <c r="U152" s="4">
        <v>154.63</v>
      </c>
      <c r="V152" s="4">
        <v>0</v>
      </c>
      <c r="W152" s="4">
        <v>0</v>
      </c>
      <c r="X152" s="4">
        <v>32.770000000000003</v>
      </c>
      <c r="Y152" s="4">
        <v>187.4</v>
      </c>
      <c r="Z152" s="4" t="s">
        <v>147</v>
      </c>
      <c r="AA152" s="4" t="s">
        <v>147</v>
      </c>
      <c r="AB152" s="4">
        <f>SUMIF('Trip Changes'!$B:$B,A152,'Trip Changes'!$E:$E)</f>
        <v>0</v>
      </c>
      <c r="AC152" s="4">
        <f>SUMIF('Trip Cancellations'!$B:$B,A152,'Trip Cancellations'!$E:$E)</f>
        <v>0</v>
      </c>
      <c r="AD152" s="4">
        <f>SUMIF('Trip Cancellations'!$B:$B,A152,'Trip Cancellations'!$F:$F)</f>
        <v>0</v>
      </c>
      <c r="AE152" s="4">
        <f t="shared" si="2"/>
        <v>187.4</v>
      </c>
      <c r="AF152" t="s">
        <v>148</v>
      </c>
      <c r="AG152">
        <v>4</v>
      </c>
      <c r="AH152" s="5">
        <v>40.200000000000003</v>
      </c>
      <c r="AI152" t="s">
        <v>147</v>
      </c>
    </row>
    <row r="153" spans="1:35">
      <c r="A153" t="s">
        <v>402</v>
      </c>
      <c r="B153" t="s">
        <v>403</v>
      </c>
      <c r="C153" t="s">
        <v>193</v>
      </c>
      <c r="D153" t="s">
        <v>248</v>
      </c>
      <c r="E153" t="s">
        <v>139</v>
      </c>
      <c r="F153" t="s">
        <v>189</v>
      </c>
      <c r="G153" s="3">
        <v>46226</v>
      </c>
      <c r="H153" s="3">
        <v>46227</v>
      </c>
      <c r="I153" s="3">
        <v>46229</v>
      </c>
      <c r="J153" t="s">
        <v>150</v>
      </c>
      <c r="K153" t="s">
        <v>193</v>
      </c>
      <c r="L153" t="s">
        <v>182</v>
      </c>
      <c r="M153" t="s">
        <v>143</v>
      </c>
      <c r="N153" t="s">
        <v>144</v>
      </c>
      <c r="O153">
        <v>638</v>
      </c>
      <c r="P153">
        <v>1</v>
      </c>
      <c r="Q153" t="s">
        <v>145</v>
      </c>
      <c r="S153" t="s">
        <v>195</v>
      </c>
      <c r="T153" s="4">
        <v>0</v>
      </c>
      <c r="U153" s="4">
        <v>175.22</v>
      </c>
      <c r="V153" s="4">
        <v>1</v>
      </c>
      <c r="W153" s="4">
        <v>186.12</v>
      </c>
      <c r="X153" s="4">
        <v>85.01</v>
      </c>
      <c r="Y153" s="4">
        <v>446.35</v>
      </c>
      <c r="Z153" s="4" t="s">
        <v>147</v>
      </c>
      <c r="AA153" s="4" t="s">
        <v>147</v>
      </c>
      <c r="AB153" s="4">
        <f>SUMIF('Trip Changes'!$B:$B,A153,'Trip Changes'!$E:$E)</f>
        <v>0</v>
      </c>
      <c r="AC153" s="4">
        <f>SUMIF('Trip Cancellations'!$B:$B,A153,'Trip Cancellations'!$E:$E)</f>
        <v>0</v>
      </c>
      <c r="AD153" s="4">
        <f>SUMIF('Trip Cancellations'!$B:$B,A153,'Trip Cancellations'!$F:$F)</f>
        <v>0</v>
      </c>
      <c r="AE153" s="4">
        <f t="shared" si="2"/>
        <v>446.35</v>
      </c>
      <c r="AF153" t="s">
        <v>147</v>
      </c>
      <c r="AG153">
        <v>4</v>
      </c>
      <c r="AH153" s="5">
        <v>25.5</v>
      </c>
      <c r="AI153" t="s">
        <v>147</v>
      </c>
    </row>
    <row r="154" spans="1:35">
      <c r="A154" t="s">
        <v>404</v>
      </c>
      <c r="B154" t="s">
        <v>403</v>
      </c>
      <c r="C154" t="s">
        <v>193</v>
      </c>
      <c r="D154" t="s">
        <v>248</v>
      </c>
      <c r="E154" t="s">
        <v>139</v>
      </c>
      <c r="F154" t="s">
        <v>189</v>
      </c>
      <c r="G154" s="3">
        <v>46181</v>
      </c>
      <c r="H154" s="3">
        <v>46201</v>
      </c>
      <c r="I154" s="3">
        <v>46203</v>
      </c>
      <c r="J154" t="s">
        <v>141</v>
      </c>
      <c r="K154" t="s">
        <v>193</v>
      </c>
      <c r="L154" t="s">
        <v>199</v>
      </c>
      <c r="M154" t="s">
        <v>152</v>
      </c>
      <c r="N154" t="s">
        <v>153</v>
      </c>
      <c r="O154">
        <v>1846</v>
      </c>
      <c r="P154">
        <v>20</v>
      </c>
      <c r="Q154" t="s">
        <v>216</v>
      </c>
      <c r="R154" t="s">
        <v>200</v>
      </c>
      <c r="S154" t="s">
        <v>190</v>
      </c>
      <c r="T154" s="4">
        <v>363.61</v>
      </c>
      <c r="U154" s="4">
        <v>0</v>
      </c>
      <c r="V154" s="4">
        <v>1</v>
      </c>
      <c r="W154" s="4">
        <v>75.14</v>
      </c>
      <c r="X154" s="4">
        <v>43.17</v>
      </c>
      <c r="Y154" s="4">
        <v>481.92</v>
      </c>
      <c r="Z154" s="4" t="s">
        <v>147</v>
      </c>
      <c r="AA154" s="4" t="s">
        <v>147</v>
      </c>
      <c r="AB154" s="4">
        <f>SUMIF('Trip Changes'!$B:$B,A154,'Trip Changes'!$E:$E)</f>
        <v>0</v>
      </c>
      <c r="AC154" s="4">
        <f>SUMIF('Trip Cancellations'!$B:$B,A154,'Trip Cancellations'!$E:$E)</f>
        <v>0</v>
      </c>
      <c r="AD154" s="4">
        <f>SUMIF('Trip Cancellations'!$B:$B,A154,'Trip Cancellations'!$F:$F)</f>
        <v>0</v>
      </c>
      <c r="AE154" s="4">
        <f t="shared" si="2"/>
        <v>481.92</v>
      </c>
      <c r="AF154" t="s">
        <v>147</v>
      </c>
      <c r="AG154">
        <v>4</v>
      </c>
      <c r="AH154" s="5">
        <v>276.89999999999998</v>
      </c>
      <c r="AI154" t="s">
        <v>148</v>
      </c>
    </row>
    <row r="155" spans="1:35">
      <c r="A155" t="s">
        <v>405</v>
      </c>
      <c r="B155" t="s">
        <v>403</v>
      </c>
      <c r="C155" t="s">
        <v>193</v>
      </c>
      <c r="D155" t="s">
        <v>248</v>
      </c>
      <c r="E155" t="s">
        <v>139</v>
      </c>
      <c r="F155" t="s">
        <v>140</v>
      </c>
      <c r="G155" s="3">
        <v>46140</v>
      </c>
      <c r="H155" s="3">
        <v>46158</v>
      </c>
      <c r="I155" s="3">
        <v>46163</v>
      </c>
      <c r="J155" t="s">
        <v>163</v>
      </c>
      <c r="K155" t="s">
        <v>193</v>
      </c>
      <c r="L155" t="s">
        <v>199</v>
      </c>
      <c r="M155" t="s">
        <v>152</v>
      </c>
      <c r="N155" t="s">
        <v>153</v>
      </c>
      <c r="O155">
        <v>2492</v>
      </c>
      <c r="P155">
        <v>18</v>
      </c>
      <c r="Q155" t="s">
        <v>145</v>
      </c>
      <c r="R155" t="s">
        <v>200</v>
      </c>
      <c r="S155" t="s">
        <v>164</v>
      </c>
      <c r="T155" s="4">
        <v>453.72</v>
      </c>
      <c r="U155" s="4">
        <v>0</v>
      </c>
      <c r="V155" s="4">
        <v>4</v>
      </c>
      <c r="W155" s="4">
        <v>535.44000000000005</v>
      </c>
      <c r="X155" s="4">
        <v>71.19</v>
      </c>
      <c r="Y155" s="4">
        <v>1060.3499999999999</v>
      </c>
      <c r="Z155" s="4" t="s">
        <v>147</v>
      </c>
      <c r="AA155" s="4" t="s">
        <v>147</v>
      </c>
      <c r="AB155" s="4">
        <f>SUMIF('Trip Changes'!$B:$B,A155,'Trip Changes'!$E:$E)</f>
        <v>0</v>
      </c>
      <c r="AC155" s="4">
        <f>SUMIF('Trip Cancellations'!$B:$B,A155,'Trip Cancellations'!$E:$E)</f>
        <v>0</v>
      </c>
      <c r="AD155" s="4">
        <f>SUMIF('Trip Cancellations'!$B:$B,A155,'Trip Cancellations'!$F:$F)</f>
        <v>0</v>
      </c>
      <c r="AE155" s="4">
        <f t="shared" si="2"/>
        <v>1060.3499999999999</v>
      </c>
      <c r="AF155" t="s">
        <v>148</v>
      </c>
      <c r="AG155">
        <v>4</v>
      </c>
      <c r="AH155" s="5">
        <v>373.8</v>
      </c>
      <c r="AI155" t="s">
        <v>148</v>
      </c>
    </row>
    <row r="156" spans="1:35">
      <c r="A156" t="s">
        <v>406</v>
      </c>
      <c r="B156" t="s">
        <v>403</v>
      </c>
      <c r="C156" t="s">
        <v>193</v>
      </c>
      <c r="D156" t="s">
        <v>248</v>
      </c>
      <c r="E156" t="s">
        <v>139</v>
      </c>
      <c r="F156" t="s">
        <v>207</v>
      </c>
      <c r="G156" s="3">
        <v>46188</v>
      </c>
      <c r="H156" s="3">
        <v>46214</v>
      </c>
      <c r="I156" s="3">
        <v>46219</v>
      </c>
      <c r="J156" t="s">
        <v>150</v>
      </c>
      <c r="K156" t="s">
        <v>193</v>
      </c>
      <c r="L156" t="s">
        <v>158</v>
      </c>
      <c r="M156" t="s">
        <v>152</v>
      </c>
      <c r="N156" t="s">
        <v>153</v>
      </c>
      <c r="O156">
        <v>3140</v>
      </c>
      <c r="P156">
        <v>26</v>
      </c>
      <c r="Q156" t="s">
        <v>216</v>
      </c>
      <c r="R156" t="s">
        <v>154</v>
      </c>
      <c r="S156" t="s">
        <v>164</v>
      </c>
      <c r="T156" s="4">
        <v>524.4</v>
      </c>
      <c r="U156" s="4">
        <v>0</v>
      </c>
      <c r="V156" s="4">
        <v>4</v>
      </c>
      <c r="W156" s="4">
        <v>769.23</v>
      </c>
      <c r="X156" s="4">
        <v>47</v>
      </c>
      <c r="Y156" s="4">
        <v>1340.63</v>
      </c>
      <c r="Z156" s="4" t="s">
        <v>147</v>
      </c>
      <c r="AA156" s="4" t="s">
        <v>147</v>
      </c>
      <c r="AB156" s="4">
        <f>SUMIF('Trip Changes'!$B:$B,A156,'Trip Changes'!$E:$E)</f>
        <v>0</v>
      </c>
      <c r="AC156" s="4">
        <f>SUMIF('Trip Cancellations'!$B:$B,A156,'Trip Cancellations'!$E:$E)</f>
        <v>0</v>
      </c>
      <c r="AD156" s="4">
        <f>SUMIF('Trip Cancellations'!$B:$B,A156,'Trip Cancellations'!$F:$F)</f>
        <v>0</v>
      </c>
      <c r="AE156" s="4">
        <f t="shared" si="2"/>
        <v>1340.63</v>
      </c>
      <c r="AF156" t="s">
        <v>147</v>
      </c>
      <c r="AG156">
        <v>4</v>
      </c>
      <c r="AH156" s="5">
        <v>471</v>
      </c>
      <c r="AI156" t="s">
        <v>147</v>
      </c>
    </row>
    <row r="157" spans="1:35">
      <c r="A157" t="s">
        <v>407</v>
      </c>
      <c r="B157" t="s">
        <v>403</v>
      </c>
      <c r="C157" t="s">
        <v>193</v>
      </c>
      <c r="D157" t="s">
        <v>248</v>
      </c>
      <c r="E157" t="s">
        <v>139</v>
      </c>
      <c r="F157" t="s">
        <v>189</v>
      </c>
      <c r="G157" s="3">
        <v>46136</v>
      </c>
      <c r="H157" s="3">
        <v>46148</v>
      </c>
      <c r="I157" s="3">
        <v>46153</v>
      </c>
      <c r="J157" t="s">
        <v>163</v>
      </c>
      <c r="K157" t="s">
        <v>193</v>
      </c>
      <c r="L157" t="s">
        <v>185</v>
      </c>
      <c r="M157" t="s">
        <v>152</v>
      </c>
      <c r="N157" t="s">
        <v>153</v>
      </c>
      <c r="O157">
        <v>10582</v>
      </c>
      <c r="P157">
        <v>12</v>
      </c>
      <c r="Q157" t="s">
        <v>216</v>
      </c>
      <c r="R157" t="s">
        <v>186</v>
      </c>
      <c r="S157" t="s">
        <v>164</v>
      </c>
      <c r="T157" s="4">
        <v>1130.92</v>
      </c>
      <c r="U157" s="4">
        <v>0</v>
      </c>
      <c r="V157" s="4">
        <v>4</v>
      </c>
      <c r="W157" s="4">
        <v>589.73</v>
      </c>
      <c r="X157" s="4">
        <v>66.19</v>
      </c>
      <c r="Y157" s="4">
        <v>1786.84</v>
      </c>
      <c r="Z157" s="4" t="s">
        <v>148</v>
      </c>
      <c r="AA157" s="4" t="s">
        <v>148</v>
      </c>
      <c r="AB157" s="4">
        <f>SUMIF('Trip Changes'!$B:$B,A157,'Trip Changes'!$E:$E)</f>
        <v>58.23</v>
      </c>
      <c r="AC157" s="4">
        <f>SUMIF('Trip Cancellations'!$B:$B,A157,'Trip Cancellations'!$E:$E)</f>
        <v>81.45</v>
      </c>
      <c r="AD157" s="4">
        <f>SUMIF('Trip Cancellations'!$B:$B,A157,'Trip Cancellations'!$F:$F)</f>
        <v>1290.49</v>
      </c>
      <c r="AE157" s="4">
        <f t="shared" si="2"/>
        <v>636.03</v>
      </c>
      <c r="AF157" t="s">
        <v>148</v>
      </c>
      <c r="AG157">
        <v>3</v>
      </c>
      <c r="AH157" s="5">
        <v>1587.3</v>
      </c>
      <c r="AI157" t="s">
        <v>148</v>
      </c>
    </row>
    <row r="158" spans="1:35">
      <c r="A158" t="s">
        <v>408</v>
      </c>
      <c r="B158" t="s">
        <v>409</v>
      </c>
      <c r="C158" t="s">
        <v>307</v>
      </c>
      <c r="D158" t="s">
        <v>248</v>
      </c>
      <c r="E158" t="s">
        <v>268</v>
      </c>
      <c r="F158" t="s">
        <v>140</v>
      </c>
      <c r="G158" s="3">
        <v>46180</v>
      </c>
      <c r="H158" s="3">
        <v>46181</v>
      </c>
      <c r="I158" s="3">
        <v>46184</v>
      </c>
      <c r="J158" t="s">
        <v>141</v>
      </c>
      <c r="K158" t="s">
        <v>307</v>
      </c>
      <c r="L158" t="s">
        <v>142</v>
      </c>
      <c r="M158" t="s">
        <v>143</v>
      </c>
      <c r="N158" t="s">
        <v>144</v>
      </c>
      <c r="O158">
        <v>918</v>
      </c>
      <c r="P158">
        <v>1</v>
      </c>
      <c r="Q158" t="s">
        <v>159</v>
      </c>
      <c r="S158" t="s">
        <v>164</v>
      </c>
      <c r="T158" s="4">
        <v>0</v>
      </c>
      <c r="U158" s="4">
        <v>99</v>
      </c>
      <c r="V158" s="4">
        <v>2</v>
      </c>
      <c r="W158" s="4">
        <v>381.06</v>
      </c>
      <c r="X158" s="4">
        <v>53.52</v>
      </c>
      <c r="Y158" s="4">
        <v>533.58000000000004</v>
      </c>
      <c r="Z158" s="4" t="s">
        <v>148</v>
      </c>
      <c r="AA158" s="4" t="s">
        <v>147</v>
      </c>
      <c r="AB158" s="4">
        <f>SUMIF('Trip Changes'!$B:$B,A158,'Trip Changes'!$E:$E)</f>
        <v>148.11000000000001</v>
      </c>
      <c r="AC158" s="4">
        <f>SUMIF('Trip Cancellations'!$B:$B,A158,'Trip Cancellations'!$E:$E)</f>
        <v>0</v>
      </c>
      <c r="AD158" s="4">
        <f>SUMIF('Trip Cancellations'!$B:$B,A158,'Trip Cancellations'!$F:$F)</f>
        <v>0</v>
      </c>
      <c r="AE158" s="4">
        <f t="shared" si="2"/>
        <v>681.69</v>
      </c>
      <c r="AF158" t="s">
        <v>148</v>
      </c>
      <c r="AG158">
        <v>3</v>
      </c>
      <c r="AH158" s="5">
        <v>36.700000000000003</v>
      </c>
      <c r="AI158" t="s">
        <v>147</v>
      </c>
    </row>
    <row r="159" spans="1:35">
      <c r="A159" t="s">
        <v>410</v>
      </c>
      <c r="B159" t="s">
        <v>409</v>
      </c>
      <c r="C159" t="s">
        <v>307</v>
      </c>
      <c r="D159" t="s">
        <v>248</v>
      </c>
      <c r="E159" t="s">
        <v>268</v>
      </c>
      <c r="F159" t="s">
        <v>170</v>
      </c>
      <c r="G159" s="3">
        <v>46209</v>
      </c>
      <c r="H159" s="3">
        <v>46230</v>
      </c>
      <c r="I159" s="3">
        <v>46233</v>
      </c>
      <c r="J159" t="s">
        <v>150</v>
      </c>
      <c r="K159" t="s">
        <v>307</v>
      </c>
      <c r="L159" t="s">
        <v>142</v>
      </c>
      <c r="M159" t="s">
        <v>143</v>
      </c>
      <c r="N159" t="s">
        <v>144</v>
      </c>
      <c r="O159">
        <v>794</v>
      </c>
      <c r="P159">
        <v>21</v>
      </c>
      <c r="Q159" t="s">
        <v>159</v>
      </c>
      <c r="S159" t="s">
        <v>155</v>
      </c>
      <c r="T159" s="4">
        <v>0</v>
      </c>
      <c r="U159" s="4">
        <v>259.08</v>
      </c>
      <c r="V159" s="4">
        <v>2</v>
      </c>
      <c r="W159" s="4">
        <v>248.32</v>
      </c>
      <c r="X159" s="4">
        <v>62.66</v>
      </c>
      <c r="Y159" s="4">
        <v>570.05999999999995</v>
      </c>
      <c r="Z159" s="4" t="s">
        <v>147</v>
      </c>
      <c r="AA159" s="4" t="s">
        <v>147</v>
      </c>
      <c r="AB159" s="4">
        <f>SUMIF('Trip Changes'!$B:$B,A159,'Trip Changes'!$E:$E)</f>
        <v>0</v>
      </c>
      <c r="AC159" s="4">
        <f>SUMIF('Trip Cancellations'!$B:$B,A159,'Trip Cancellations'!$E:$E)</f>
        <v>0</v>
      </c>
      <c r="AD159" s="4">
        <f>SUMIF('Trip Cancellations'!$B:$B,A159,'Trip Cancellations'!$F:$F)</f>
        <v>0</v>
      </c>
      <c r="AE159" s="4">
        <f t="shared" si="2"/>
        <v>570.05999999999995</v>
      </c>
      <c r="AF159" t="s">
        <v>148</v>
      </c>
      <c r="AG159">
        <v>4</v>
      </c>
      <c r="AH159" s="5">
        <v>31.8</v>
      </c>
      <c r="AI159" t="s">
        <v>148</v>
      </c>
    </row>
    <row r="160" spans="1:35">
      <c r="A160" t="s">
        <v>411</v>
      </c>
      <c r="B160" t="s">
        <v>409</v>
      </c>
      <c r="C160" t="s">
        <v>307</v>
      </c>
      <c r="D160" t="s">
        <v>248</v>
      </c>
      <c r="E160" t="s">
        <v>268</v>
      </c>
      <c r="F160" t="s">
        <v>157</v>
      </c>
      <c r="G160" s="3">
        <v>46127</v>
      </c>
      <c r="H160" s="3">
        <v>46157</v>
      </c>
      <c r="I160" s="3">
        <v>46160</v>
      </c>
      <c r="J160" t="s">
        <v>163</v>
      </c>
      <c r="K160" t="s">
        <v>307</v>
      </c>
      <c r="L160" t="s">
        <v>225</v>
      </c>
      <c r="M160" t="s">
        <v>152</v>
      </c>
      <c r="N160" t="s">
        <v>153</v>
      </c>
      <c r="O160">
        <v>1134</v>
      </c>
      <c r="P160">
        <v>30</v>
      </c>
      <c r="Q160" t="s">
        <v>145</v>
      </c>
      <c r="R160" t="s">
        <v>236</v>
      </c>
      <c r="S160" t="s">
        <v>164</v>
      </c>
      <c r="T160" s="4">
        <v>308.76</v>
      </c>
      <c r="U160" s="4">
        <v>0</v>
      </c>
      <c r="V160" s="4">
        <v>2</v>
      </c>
      <c r="W160" s="4">
        <v>426.6</v>
      </c>
      <c r="X160" s="4">
        <v>101.08</v>
      </c>
      <c r="Y160" s="4">
        <v>836.44</v>
      </c>
      <c r="Z160" s="4" t="s">
        <v>147</v>
      </c>
      <c r="AA160" s="4" t="s">
        <v>147</v>
      </c>
      <c r="AB160" s="4">
        <f>SUMIF('Trip Changes'!$B:$B,A160,'Trip Changes'!$E:$E)</f>
        <v>0</v>
      </c>
      <c r="AC160" s="4">
        <f>SUMIF('Trip Cancellations'!$B:$B,A160,'Trip Cancellations'!$E:$E)</f>
        <v>0</v>
      </c>
      <c r="AD160" s="4">
        <f>SUMIF('Trip Cancellations'!$B:$B,A160,'Trip Cancellations'!$F:$F)</f>
        <v>0</v>
      </c>
      <c r="AE160" s="4">
        <f t="shared" si="2"/>
        <v>836.44</v>
      </c>
      <c r="AF160" t="s">
        <v>148</v>
      </c>
      <c r="AG160">
        <v>5</v>
      </c>
      <c r="AH160" s="5">
        <v>170.1</v>
      </c>
      <c r="AI160" t="s">
        <v>148</v>
      </c>
    </row>
    <row r="161" spans="1:35">
      <c r="A161" t="s">
        <v>412</v>
      </c>
      <c r="B161" t="s">
        <v>413</v>
      </c>
      <c r="C161" t="s">
        <v>167</v>
      </c>
      <c r="D161" t="s">
        <v>204</v>
      </c>
      <c r="E161" t="s">
        <v>139</v>
      </c>
      <c r="F161" t="s">
        <v>140</v>
      </c>
      <c r="G161" s="3">
        <v>46146</v>
      </c>
      <c r="H161" s="3">
        <v>46161</v>
      </c>
      <c r="I161" s="3">
        <v>46163</v>
      </c>
      <c r="J161" t="s">
        <v>163</v>
      </c>
      <c r="K161" t="s">
        <v>167</v>
      </c>
      <c r="L161" t="s">
        <v>182</v>
      </c>
      <c r="M161" t="s">
        <v>143</v>
      </c>
      <c r="N161" t="s">
        <v>153</v>
      </c>
      <c r="O161">
        <v>366</v>
      </c>
      <c r="P161">
        <v>15</v>
      </c>
      <c r="Q161" t="s">
        <v>159</v>
      </c>
      <c r="R161" t="s">
        <v>176</v>
      </c>
      <c r="S161" t="s">
        <v>195</v>
      </c>
      <c r="T161" s="4">
        <v>243.38</v>
      </c>
      <c r="U161" s="4">
        <v>0</v>
      </c>
      <c r="V161" s="4">
        <v>1</v>
      </c>
      <c r="W161" s="4">
        <v>71.3</v>
      </c>
      <c r="X161" s="4">
        <v>87.01</v>
      </c>
      <c r="Y161" s="4">
        <v>401.69</v>
      </c>
      <c r="Z161" s="4" t="s">
        <v>147</v>
      </c>
      <c r="AA161" s="4" t="s">
        <v>147</v>
      </c>
      <c r="AB161" s="4">
        <f>SUMIF('Trip Changes'!$B:$B,A161,'Trip Changes'!$E:$E)</f>
        <v>0</v>
      </c>
      <c r="AC161" s="4">
        <f>SUMIF('Trip Cancellations'!$B:$B,A161,'Trip Cancellations'!$E:$E)</f>
        <v>0</v>
      </c>
      <c r="AD161" s="4">
        <f>SUMIF('Trip Cancellations'!$B:$B,A161,'Trip Cancellations'!$F:$F)</f>
        <v>0</v>
      </c>
      <c r="AE161" s="4">
        <f t="shared" si="2"/>
        <v>401.69</v>
      </c>
      <c r="AF161" t="s">
        <v>148</v>
      </c>
      <c r="AG161">
        <v>5</v>
      </c>
      <c r="AH161" s="5">
        <v>54.9</v>
      </c>
      <c r="AI161" t="s">
        <v>147</v>
      </c>
    </row>
    <row r="162" spans="1:35">
      <c r="A162" t="s">
        <v>414</v>
      </c>
      <c r="B162" t="s">
        <v>413</v>
      </c>
      <c r="C162" t="s">
        <v>167</v>
      </c>
      <c r="D162" t="s">
        <v>204</v>
      </c>
      <c r="E162" t="s">
        <v>139</v>
      </c>
      <c r="F162" t="s">
        <v>140</v>
      </c>
      <c r="G162" s="3">
        <v>46204</v>
      </c>
      <c r="H162" s="3">
        <v>46228</v>
      </c>
      <c r="I162" s="3">
        <v>46232</v>
      </c>
      <c r="J162" t="s">
        <v>150</v>
      </c>
      <c r="K162" t="s">
        <v>167</v>
      </c>
      <c r="L162" t="s">
        <v>175</v>
      </c>
      <c r="M162" t="s">
        <v>152</v>
      </c>
      <c r="N162" t="s">
        <v>153</v>
      </c>
      <c r="O162">
        <v>1120</v>
      </c>
      <c r="P162">
        <v>24</v>
      </c>
      <c r="Q162" t="s">
        <v>207</v>
      </c>
      <c r="R162" t="s">
        <v>176</v>
      </c>
      <c r="S162" t="s">
        <v>164</v>
      </c>
      <c r="T162" s="4">
        <v>388.77</v>
      </c>
      <c r="U162" s="4">
        <v>0</v>
      </c>
      <c r="V162" s="4">
        <v>3</v>
      </c>
      <c r="W162" s="4">
        <v>511.41</v>
      </c>
      <c r="X162" s="4">
        <v>55.63</v>
      </c>
      <c r="Y162" s="4">
        <v>955.81</v>
      </c>
      <c r="Z162" s="4" t="s">
        <v>147</v>
      </c>
      <c r="AA162" s="4" t="s">
        <v>147</v>
      </c>
      <c r="AB162" s="4">
        <f>SUMIF('Trip Changes'!$B:$B,A162,'Trip Changes'!$E:$E)</f>
        <v>0</v>
      </c>
      <c r="AC162" s="4">
        <f>SUMIF('Trip Cancellations'!$B:$B,A162,'Trip Cancellations'!$E:$E)</f>
        <v>0</v>
      </c>
      <c r="AD162" s="4">
        <f>SUMIF('Trip Cancellations'!$B:$B,A162,'Trip Cancellations'!$F:$F)</f>
        <v>0</v>
      </c>
      <c r="AE162" s="4">
        <f t="shared" si="2"/>
        <v>955.81</v>
      </c>
      <c r="AF162" t="s">
        <v>147</v>
      </c>
      <c r="AG162">
        <v>4</v>
      </c>
      <c r="AH162" s="5">
        <v>168</v>
      </c>
      <c r="AI162" t="s">
        <v>147</v>
      </c>
    </row>
    <row r="163" spans="1:35">
      <c r="A163" t="s">
        <v>415</v>
      </c>
      <c r="B163" t="s">
        <v>413</v>
      </c>
      <c r="C163" t="s">
        <v>167</v>
      </c>
      <c r="D163" t="s">
        <v>204</v>
      </c>
      <c r="E163" t="s">
        <v>139</v>
      </c>
      <c r="F163" t="s">
        <v>162</v>
      </c>
      <c r="G163" s="3">
        <v>46169</v>
      </c>
      <c r="H163" s="3">
        <v>46192</v>
      </c>
      <c r="I163" s="3">
        <v>46197</v>
      </c>
      <c r="J163" t="s">
        <v>141</v>
      </c>
      <c r="K163" t="s">
        <v>167</v>
      </c>
      <c r="L163" t="s">
        <v>199</v>
      </c>
      <c r="M163" t="s">
        <v>152</v>
      </c>
      <c r="N163" t="s">
        <v>153</v>
      </c>
      <c r="O163">
        <v>2976</v>
      </c>
      <c r="P163">
        <v>23</v>
      </c>
      <c r="Q163" t="s">
        <v>145</v>
      </c>
      <c r="R163" t="s">
        <v>200</v>
      </c>
      <c r="S163" t="s">
        <v>155</v>
      </c>
      <c r="T163" s="4">
        <v>414.5</v>
      </c>
      <c r="U163" s="4">
        <v>0</v>
      </c>
      <c r="V163" s="4">
        <v>4</v>
      </c>
      <c r="W163" s="4">
        <v>548.95000000000005</v>
      </c>
      <c r="X163" s="4">
        <v>75.62</v>
      </c>
      <c r="Y163" s="4">
        <v>1039.07</v>
      </c>
      <c r="Z163" s="4" t="s">
        <v>147</v>
      </c>
      <c r="AA163" s="4" t="s">
        <v>147</v>
      </c>
      <c r="AB163" s="4">
        <f>SUMIF('Trip Changes'!$B:$B,A163,'Trip Changes'!$E:$E)</f>
        <v>0</v>
      </c>
      <c r="AC163" s="4">
        <f>SUMIF('Trip Cancellations'!$B:$B,A163,'Trip Cancellations'!$E:$E)</f>
        <v>0</v>
      </c>
      <c r="AD163" s="4">
        <f>SUMIF('Trip Cancellations'!$B:$B,A163,'Trip Cancellations'!$F:$F)</f>
        <v>0</v>
      </c>
      <c r="AE163" s="4">
        <f t="shared" si="2"/>
        <v>1039.07</v>
      </c>
      <c r="AF163" t="s">
        <v>148</v>
      </c>
      <c r="AG163">
        <v>4</v>
      </c>
      <c r="AH163" s="5">
        <v>446.4</v>
      </c>
      <c r="AI163" t="s">
        <v>147</v>
      </c>
    </row>
    <row r="164" spans="1:35">
      <c r="A164" t="s">
        <v>416</v>
      </c>
      <c r="B164" t="s">
        <v>417</v>
      </c>
      <c r="C164" t="s">
        <v>307</v>
      </c>
      <c r="D164" t="s">
        <v>168</v>
      </c>
      <c r="E164" t="s">
        <v>268</v>
      </c>
      <c r="F164" t="s">
        <v>140</v>
      </c>
      <c r="G164" s="3">
        <v>46180</v>
      </c>
      <c r="H164" s="3">
        <v>46209</v>
      </c>
      <c r="I164" s="3">
        <v>46214</v>
      </c>
      <c r="J164" t="s">
        <v>150</v>
      </c>
      <c r="K164" t="s">
        <v>307</v>
      </c>
      <c r="L164" t="s">
        <v>305</v>
      </c>
      <c r="M164" t="s">
        <v>152</v>
      </c>
      <c r="N164" t="s">
        <v>153</v>
      </c>
      <c r="O164">
        <v>11884</v>
      </c>
      <c r="P164">
        <v>29</v>
      </c>
      <c r="Q164" t="s">
        <v>159</v>
      </c>
      <c r="R164" t="s">
        <v>154</v>
      </c>
      <c r="S164" t="s">
        <v>155</v>
      </c>
      <c r="T164" s="4">
        <v>1260.0899999999999</v>
      </c>
      <c r="U164" s="4">
        <v>0</v>
      </c>
      <c r="V164" s="4">
        <v>4</v>
      </c>
      <c r="W164" s="4">
        <v>842.17</v>
      </c>
      <c r="X164" s="4">
        <v>84.08</v>
      </c>
      <c r="Y164" s="4">
        <v>2186.34</v>
      </c>
      <c r="Z164" s="4" t="s">
        <v>147</v>
      </c>
      <c r="AA164" s="4" t="s">
        <v>147</v>
      </c>
      <c r="AB164" s="4">
        <f>SUMIF('Trip Changes'!$B:$B,A164,'Trip Changes'!$E:$E)</f>
        <v>0</v>
      </c>
      <c r="AC164" s="4">
        <f>SUMIF('Trip Cancellations'!$B:$B,A164,'Trip Cancellations'!$E:$E)</f>
        <v>0</v>
      </c>
      <c r="AD164" s="4">
        <f>SUMIF('Trip Cancellations'!$B:$B,A164,'Trip Cancellations'!$F:$F)</f>
        <v>0</v>
      </c>
      <c r="AE164" s="4">
        <f t="shared" si="2"/>
        <v>2186.34</v>
      </c>
      <c r="AF164" t="s">
        <v>148</v>
      </c>
      <c r="AG164">
        <v>5</v>
      </c>
      <c r="AH164" s="5">
        <v>1782.6</v>
      </c>
      <c r="AI164" t="s">
        <v>147</v>
      </c>
    </row>
    <row r="165" spans="1:35">
      <c r="A165" t="s">
        <v>418</v>
      </c>
      <c r="B165" t="s">
        <v>417</v>
      </c>
      <c r="C165" t="s">
        <v>307</v>
      </c>
      <c r="D165" t="s">
        <v>168</v>
      </c>
      <c r="E165" t="s">
        <v>268</v>
      </c>
      <c r="F165" t="s">
        <v>178</v>
      </c>
      <c r="G165" s="3">
        <v>46163</v>
      </c>
      <c r="H165" s="3">
        <v>46167</v>
      </c>
      <c r="I165" s="3">
        <v>46170</v>
      </c>
      <c r="J165" t="s">
        <v>163</v>
      </c>
      <c r="K165" t="s">
        <v>307</v>
      </c>
      <c r="L165" t="s">
        <v>225</v>
      </c>
      <c r="M165" t="s">
        <v>152</v>
      </c>
      <c r="N165" t="s">
        <v>153</v>
      </c>
      <c r="O165">
        <v>3290</v>
      </c>
      <c r="P165">
        <v>4</v>
      </c>
      <c r="Q165" t="s">
        <v>145</v>
      </c>
      <c r="R165" t="s">
        <v>236</v>
      </c>
      <c r="S165" t="s">
        <v>190</v>
      </c>
      <c r="T165" s="4">
        <v>614.39</v>
      </c>
      <c r="U165" s="4">
        <v>0</v>
      </c>
      <c r="V165" s="4">
        <v>2</v>
      </c>
      <c r="W165" s="4">
        <v>305.27999999999997</v>
      </c>
      <c r="X165" s="4">
        <v>69.89</v>
      </c>
      <c r="Y165" s="4">
        <v>989.56</v>
      </c>
      <c r="Z165" s="4" t="s">
        <v>147</v>
      </c>
      <c r="AA165" s="4" t="s">
        <v>147</v>
      </c>
      <c r="AB165" s="4">
        <f>SUMIF('Trip Changes'!$B:$B,A165,'Trip Changes'!$E:$E)</f>
        <v>0</v>
      </c>
      <c r="AC165" s="4">
        <f>SUMIF('Trip Cancellations'!$B:$B,A165,'Trip Cancellations'!$E:$E)</f>
        <v>0</v>
      </c>
      <c r="AD165" s="4">
        <f>SUMIF('Trip Cancellations'!$B:$B,A165,'Trip Cancellations'!$F:$F)</f>
        <v>0</v>
      </c>
      <c r="AE165" s="4">
        <f t="shared" si="2"/>
        <v>989.56</v>
      </c>
      <c r="AF165" t="s">
        <v>148</v>
      </c>
      <c r="AG165">
        <v>3</v>
      </c>
      <c r="AH165" s="5">
        <v>493.5</v>
      </c>
      <c r="AI165" t="s">
        <v>147</v>
      </c>
    </row>
    <row r="166" spans="1:35">
      <c r="A166" t="s">
        <v>419</v>
      </c>
      <c r="B166" t="s">
        <v>417</v>
      </c>
      <c r="C166" t="s">
        <v>307</v>
      </c>
      <c r="D166" t="s">
        <v>168</v>
      </c>
      <c r="E166" t="s">
        <v>268</v>
      </c>
      <c r="F166" t="s">
        <v>178</v>
      </c>
      <c r="G166" s="3">
        <v>46202</v>
      </c>
      <c r="H166" s="3">
        <v>46231</v>
      </c>
      <c r="I166" s="3">
        <v>46235</v>
      </c>
      <c r="J166" t="s">
        <v>150</v>
      </c>
      <c r="K166" t="s">
        <v>307</v>
      </c>
      <c r="L166" t="s">
        <v>158</v>
      </c>
      <c r="M166" t="s">
        <v>152</v>
      </c>
      <c r="N166" t="s">
        <v>153</v>
      </c>
      <c r="O166">
        <v>2672</v>
      </c>
      <c r="P166">
        <v>29</v>
      </c>
      <c r="Q166" t="s">
        <v>159</v>
      </c>
      <c r="R166" t="s">
        <v>160</v>
      </c>
      <c r="S166" t="s">
        <v>155</v>
      </c>
      <c r="T166" s="4">
        <v>286.83999999999997</v>
      </c>
      <c r="U166" s="4">
        <v>0</v>
      </c>
      <c r="V166" s="4">
        <v>3</v>
      </c>
      <c r="W166" s="4">
        <v>632.88</v>
      </c>
      <c r="X166" s="4">
        <v>54.81</v>
      </c>
      <c r="Y166" s="4">
        <v>974.53</v>
      </c>
      <c r="Z166" s="4" t="s">
        <v>147</v>
      </c>
      <c r="AA166" s="4" t="s">
        <v>147</v>
      </c>
      <c r="AB166" s="4">
        <f>SUMIF('Trip Changes'!$B:$B,A166,'Trip Changes'!$E:$E)</f>
        <v>0</v>
      </c>
      <c r="AC166" s="4">
        <f>SUMIF('Trip Cancellations'!$B:$B,A166,'Trip Cancellations'!$E:$E)</f>
        <v>0</v>
      </c>
      <c r="AD166" s="4">
        <f>SUMIF('Trip Cancellations'!$B:$B,A166,'Trip Cancellations'!$F:$F)</f>
        <v>0</v>
      </c>
      <c r="AE166" s="4">
        <f t="shared" si="2"/>
        <v>974.53</v>
      </c>
      <c r="AF166" t="s">
        <v>148</v>
      </c>
      <c r="AG166">
        <v>4</v>
      </c>
      <c r="AH166" s="5">
        <v>400.8</v>
      </c>
      <c r="AI166" t="s">
        <v>147</v>
      </c>
    </row>
    <row r="167" spans="1:35">
      <c r="A167" t="s">
        <v>420</v>
      </c>
      <c r="B167" t="s">
        <v>417</v>
      </c>
      <c r="C167" t="s">
        <v>307</v>
      </c>
      <c r="D167" t="s">
        <v>168</v>
      </c>
      <c r="E167" t="s">
        <v>268</v>
      </c>
      <c r="F167" t="s">
        <v>162</v>
      </c>
      <c r="G167" s="3">
        <v>46185</v>
      </c>
      <c r="H167" s="3">
        <v>46194</v>
      </c>
      <c r="I167" s="3">
        <v>46197</v>
      </c>
      <c r="J167" t="s">
        <v>141</v>
      </c>
      <c r="K167" t="s">
        <v>307</v>
      </c>
      <c r="L167" t="s">
        <v>142</v>
      </c>
      <c r="M167" t="s">
        <v>143</v>
      </c>
      <c r="N167" t="s">
        <v>144</v>
      </c>
      <c r="O167">
        <v>970</v>
      </c>
      <c r="P167">
        <v>9</v>
      </c>
      <c r="Q167" t="s">
        <v>145</v>
      </c>
      <c r="S167" t="s">
        <v>146</v>
      </c>
      <c r="T167" s="4">
        <v>0</v>
      </c>
      <c r="U167" s="4">
        <v>177.3</v>
      </c>
      <c r="V167" s="4">
        <v>2</v>
      </c>
      <c r="W167" s="4">
        <v>190.46</v>
      </c>
      <c r="X167" s="4">
        <v>56.52</v>
      </c>
      <c r="Y167" s="4">
        <v>424.28</v>
      </c>
      <c r="Z167" s="4" t="s">
        <v>147</v>
      </c>
      <c r="AA167" s="4" t="s">
        <v>147</v>
      </c>
      <c r="AB167" s="4">
        <f>SUMIF('Trip Changes'!$B:$B,A167,'Trip Changes'!$E:$E)</f>
        <v>0</v>
      </c>
      <c r="AC167" s="4">
        <f>SUMIF('Trip Cancellations'!$B:$B,A167,'Trip Cancellations'!$E:$E)</f>
        <v>0</v>
      </c>
      <c r="AD167" s="4">
        <f>SUMIF('Trip Cancellations'!$B:$B,A167,'Trip Cancellations'!$F:$F)</f>
        <v>0</v>
      </c>
      <c r="AE167" s="4">
        <f t="shared" si="2"/>
        <v>424.28</v>
      </c>
      <c r="AF167" t="s">
        <v>148</v>
      </c>
      <c r="AG167">
        <v>5</v>
      </c>
      <c r="AH167" s="5">
        <v>38.799999999999997</v>
      </c>
      <c r="AI167" t="s">
        <v>148</v>
      </c>
    </row>
    <row r="168" spans="1:35">
      <c r="A168" t="s">
        <v>421</v>
      </c>
      <c r="B168" t="s">
        <v>417</v>
      </c>
      <c r="C168" t="s">
        <v>307</v>
      </c>
      <c r="D168" t="s">
        <v>168</v>
      </c>
      <c r="E168" t="s">
        <v>268</v>
      </c>
      <c r="F168" t="s">
        <v>140</v>
      </c>
      <c r="G168" s="3">
        <v>46226</v>
      </c>
      <c r="H168" s="3">
        <v>46234</v>
      </c>
      <c r="I168" s="3">
        <v>46237</v>
      </c>
      <c r="J168" t="s">
        <v>150</v>
      </c>
      <c r="K168" t="s">
        <v>307</v>
      </c>
      <c r="L168" t="s">
        <v>182</v>
      </c>
      <c r="M168" t="s">
        <v>143</v>
      </c>
      <c r="N168" t="s">
        <v>144</v>
      </c>
      <c r="O168">
        <v>710</v>
      </c>
      <c r="P168">
        <v>8</v>
      </c>
      <c r="Q168" t="s">
        <v>145</v>
      </c>
      <c r="S168" t="s">
        <v>155</v>
      </c>
      <c r="T168" s="4">
        <v>0</v>
      </c>
      <c r="U168" s="4">
        <v>179.33</v>
      </c>
      <c r="V168" s="4">
        <v>2</v>
      </c>
      <c r="W168" s="4">
        <v>345.12</v>
      </c>
      <c r="X168" s="4">
        <v>20</v>
      </c>
      <c r="Y168" s="4">
        <v>544.45000000000005</v>
      </c>
      <c r="Z168" s="4" t="s">
        <v>148</v>
      </c>
      <c r="AA168" s="4" t="s">
        <v>147</v>
      </c>
      <c r="AB168" s="4">
        <f>SUMIF('Trip Changes'!$B:$B,A168,'Trip Changes'!$E:$E)</f>
        <v>113.53</v>
      </c>
      <c r="AC168" s="4">
        <f>SUMIF('Trip Cancellations'!$B:$B,A168,'Trip Cancellations'!$E:$E)</f>
        <v>0</v>
      </c>
      <c r="AD168" s="4">
        <f>SUMIF('Trip Cancellations'!$B:$B,A168,'Trip Cancellations'!$F:$F)</f>
        <v>0</v>
      </c>
      <c r="AE168" s="4">
        <f t="shared" si="2"/>
        <v>657.98</v>
      </c>
      <c r="AF168" t="s">
        <v>148</v>
      </c>
      <c r="AG168">
        <v>3</v>
      </c>
      <c r="AH168" s="5">
        <v>28.4</v>
      </c>
      <c r="AI168" t="s">
        <v>148</v>
      </c>
    </row>
    <row r="169" spans="1:35">
      <c r="A169" t="s">
        <v>422</v>
      </c>
      <c r="B169" t="s">
        <v>417</v>
      </c>
      <c r="C169" t="s">
        <v>307</v>
      </c>
      <c r="D169" t="s">
        <v>168</v>
      </c>
      <c r="E169" t="s">
        <v>268</v>
      </c>
      <c r="F169" t="s">
        <v>140</v>
      </c>
      <c r="G169" s="3">
        <v>46124</v>
      </c>
      <c r="H169" s="3">
        <v>46148</v>
      </c>
      <c r="I169" s="3">
        <v>46149</v>
      </c>
      <c r="J169" t="s">
        <v>163</v>
      </c>
      <c r="K169" t="s">
        <v>307</v>
      </c>
      <c r="L169" t="s">
        <v>182</v>
      </c>
      <c r="M169" t="s">
        <v>143</v>
      </c>
      <c r="N169" t="s">
        <v>144</v>
      </c>
      <c r="O169">
        <v>788</v>
      </c>
      <c r="P169">
        <v>24</v>
      </c>
      <c r="Q169" t="s">
        <v>207</v>
      </c>
      <c r="T169" s="4">
        <v>0</v>
      </c>
      <c r="U169" s="4">
        <v>243.64</v>
      </c>
      <c r="V169" s="4">
        <v>0</v>
      </c>
      <c r="W169" s="4">
        <v>0</v>
      </c>
      <c r="X169" s="4">
        <v>78.38</v>
      </c>
      <c r="Y169" s="4">
        <v>322.02</v>
      </c>
      <c r="Z169" s="4" t="s">
        <v>147</v>
      </c>
      <c r="AA169" s="4" t="s">
        <v>147</v>
      </c>
      <c r="AB169" s="4">
        <f>SUMIF('Trip Changes'!$B:$B,A169,'Trip Changes'!$E:$E)</f>
        <v>0</v>
      </c>
      <c r="AC169" s="4">
        <f>SUMIF('Trip Cancellations'!$B:$B,A169,'Trip Cancellations'!$E:$E)</f>
        <v>0</v>
      </c>
      <c r="AD169" s="4">
        <f>SUMIF('Trip Cancellations'!$B:$B,A169,'Trip Cancellations'!$F:$F)</f>
        <v>0</v>
      </c>
      <c r="AE169" s="4">
        <f t="shared" si="2"/>
        <v>322.02</v>
      </c>
      <c r="AF169" t="s">
        <v>148</v>
      </c>
      <c r="AG169">
        <v>3</v>
      </c>
      <c r="AH169" s="5">
        <v>31.5</v>
      </c>
      <c r="AI169" t="s">
        <v>147</v>
      </c>
    </row>
    <row r="170" spans="1:35">
      <c r="A170" t="s">
        <v>423</v>
      </c>
      <c r="B170" t="s">
        <v>424</v>
      </c>
      <c r="C170" t="s">
        <v>257</v>
      </c>
      <c r="D170" t="s">
        <v>248</v>
      </c>
      <c r="E170" t="s">
        <v>249</v>
      </c>
      <c r="F170" t="s">
        <v>162</v>
      </c>
      <c r="G170" s="3">
        <v>46140</v>
      </c>
      <c r="H170" s="3">
        <v>46146</v>
      </c>
      <c r="I170" s="3">
        <v>46150</v>
      </c>
      <c r="J170" t="s">
        <v>163</v>
      </c>
      <c r="K170" t="s">
        <v>257</v>
      </c>
      <c r="L170" t="s">
        <v>209</v>
      </c>
      <c r="M170" t="s">
        <v>152</v>
      </c>
      <c r="N170" t="s">
        <v>153</v>
      </c>
      <c r="O170">
        <v>3578</v>
      </c>
      <c r="P170">
        <v>6</v>
      </c>
      <c r="Q170" t="s">
        <v>145</v>
      </c>
      <c r="R170" t="s">
        <v>176</v>
      </c>
      <c r="S170" t="s">
        <v>187</v>
      </c>
      <c r="T170" s="4">
        <v>509.02</v>
      </c>
      <c r="U170" s="4">
        <v>0</v>
      </c>
      <c r="V170" s="4">
        <v>3</v>
      </c>
      <c r="W170" s="4">
        <v>564.38</v>
      </c>
      <c r="X170" s="4">
        <v>80.010000000000005</v>
      </c>
      <c r="Y170" s="4">
        <v>1153.4100000000001</v>
      </c>
      <c r="Z170" s="4" t="s">
        <v>147</v>
      </c>
      <c r="AA170" s="4" t="s">
        <v>147</v>
      </c>
      <c r="AB170" s="4">
        <f>SUMIF('Trip Changes'!$B:$B,A170,'Trip Changes'!$E:$E)</f>
        <v>0</v>
      </c>
      <c r="AC170" s="4">
        <f>SUMIF('Trip Cancellations'!$B:$B,A170,'Trip Cancellations'!$E:$E)</f>
        <v>0</v>
      </c>
      <c r="AD170" s="4">
        <f>SUMIF('Trip Cancellations'!$B:$B,A170,'Trip Cancellations'!$F:$F)</f>
        <v>0</v>
      </c>
      <c r="AE170" s="4">
        <f t="shared" si="2"/>
        <v>1153.4100000000001</v>
      </c>
      <c r="AF170" t="s">
        <v>148</v>
      </c>
      <c r="AG170">
        <v>4</v>
      </c>
      <c r="AH170" s="5">
        <v>536.70000000000005</v>
      </c>
      <c r="AI170" t="s">
        <v>148</v>
      </c>
    </row>
    <row r="171" spans="1:35">
      <c r="A171" t="s">
        <v>425</v>
      </c>
      <c r="B171" t="s">
        <v>424</v>
      </c>
      <c r="C171" t="s">
        <v>257</v>
      </c>
      <c r="D171" t="s">
        <v>248</v>
      </c>
      <c r="E171" t="s">
        <v>249</v>
      </c>
      <c r="F171" t="s">
        <v>178</v>
      </c>
      <c r="G171" s="3">
        <v>46146</v>
      </c>
      <c r="H171" s="3">
        <v>46177</v>
      </c>
      <c r="I171" s="3">
        <v>46181</v>
      </c>
      <c r="J171" t="s">
        <v>141</v>
      </c>
      <c r="K171" t="s">
        <v>257</v>
      </c>
      <c r="L171" t="s">
        <v>199</v>
      </c>
      <c r="M171" t="s">
        <v>152</v>
      </c>
      <c r="N171" t="s">
        <v>153</v>
      </c>
      <c r="O171">
        <v>2302</v>
      </c>
      <c r="P171">
        <v>31</v>
      </c>
      <c r="Q171" t="s">
        <v>145</v>
      </c>
      <c r="R171" t="s">
        <v>200</v>
      </c>
      <c r="S171" t="s">
        <v>155</v>
      </c>
      <c r="T171" s="4">
        <v>433.76</v>
      </c>
      <c r="U171" s="4">
        <v>0</v>
      </c>
      <c r="V171" s="4">
        <v>3</v>
      </c>
      <c r="W171" s="4">
        <v>599.97</v>
      </c>
      <c r="X171" s="4">
        <v>59.63</v>
      </c>
      <c r="Y171" s="4">
        <v>1093.3599999999999</v>
      </c>
      <c r="Z171" s="4" t="s">
        <v>147</v>
      </c>
      <c r="AA171" s="4" t="s">
        <v>147</v>
      </c>
      <c r="AB171" s="4">
        <f>SUMIF('Trip Changes'!$B:$B,A171,'Trip Changes'!$E:$E)</f>
        <v>0</v>
      </c>
      <c r="AC171" s="4">
        <f>SUMIF('Trip Cancellations'!$B:$B,A171,'Trip Cancellations'!$E:$E)</f>
        <v>0</v>
      </c>
      <c r="AD171" s="4">
        <f>SUMIF('Trip Cancellations'!$B:$B,A171,'Trip Cancellations'!$F:$F)</f>
        <v>0</v>
      </c>
      <c r="AE171" s="4">
        <f t="shared" si="2"/>
        <v>1093.3599999999999</v>
      </c>
      <c r="AF171" t="s">
        <v>148</v>
      </c>
      <c r="AG171">
        <v>5</v>
      </c>
      <c r="AH171" s="5">
        <v>345.3</v>
      </c>
      <c r="AI171" t="s">
        <v>148</v>
      </c>
    </row>
    <row r="172" spans="1:35">
      <c r="A172" t="s">
        <v>426</v>
      </c>
      <c r="B172" t="s">
        <v>424</v>
      </c>
      <c r="C172" t="s">
        <v>257</v>
      </c>
      <c r="D172" t="s">
        <v>248</v>
      </c>
      <c r="E172" t="s">
        <v>249</v>
      </c>
      <c r="F172" t="s">
        <v>140</v>
      </c>
      <c r="G172" s="3">
        <v>46145</v>
      </c>
      <c r="H172" s="3">
        <v>46160</v>
      </c>
      <c r="I172" s="3">
        <v>46164</v>
      </c>
      <c r="J172" t="s">
        <v>163</v>
      </c>
      <c r="K172" t="s">
        <v>257</v>
      </c>
      <c r="L172" t="s">
        <v>179</v>
      </c>
      <c r="M172" t="s">
        <v>152</v>
      </c>
      <c r="N172" t="s">
        <v>153</v>
      </c>
      <c r="O172">
        <v>14486</v>
      </c>
      <c r="P172">
        <v>15</v>
      </c>
      <c r="Q172" t="s">
        <v>207</v>
      </c>
      <c r="R172" t="s">
        <v>154</v>
      </c>
      <c r="S172" t="s">
        <v>173</v>
      </c>
      <c r="T172" s="4">
        <v>967.42</v>
      </c>
      <c r="U172" s="4">
        <v>0</v>
      </c>
      <c r="V172" s="4">
        <v>3</v>
      </c>
      <c r="W172" s="4">
        <v>553.72</v>
      </c>
      <c r="X172" s="4">
        <v>99.51</v>
      </c>
      <c r="Y172" s="4">
        <v>1620.65</v>
      </c>
      <c r="Z172" s="4" t="s">
        <v>147</v>
      </c>
      <c r="AA172" s="4" t="s">
        <v>147</v>
      </c>
      <c r="AB172" s="4">
        <f>SUMIF('Trip Changes'!$B:$B,A172,'Trip Changes'!$E:$E)</f>
        <v>0</v>
      </c>
      <c r="AC172" s="4">
        <f>SUMIF('Trip Cancellations'!$B:$B,A172,'Trip Cancellations'!$E:$E)</f>
        <v>0</v>
      </c>
      <c r="AD172" s="4">
        <f>SUMIF('Trip Cancellations'!$B:$B,A172,'Trip Cancellations'!$F:$F)</f>
        <v>0</v>
      </c>
      <c r="AE172" s="4">
        <f t="shared" si="2"/>
        <v>1620.65</v>
      </c>
      <c r="AF172" t="s">
        <v>148</v>
      </c>
      <c r="AG172">
        <v>4</v>
      </c>
      <c r="AH172" s="5">
        <v>2172.9</v>
      </c>
      <c r="AI172" t="s">
        <v>148</v>
      </c>
    </row>
    <row r="173" spans="1:35">
      <c r="A173" t="s">
        <v>427</v>
      </c>
      <c r="B173" t="s">
        <v>424</v>
      </c>
      <c r="C173" t="s">
        <v>257</v>
      </c>
      <c r="D173" t="s">
        <v>248</v>
      </c>
      <c r="E173" t="s">
        <v>249</v>
      </c>
      <c r="F173" t="s">
        <v>140</v>
      </c>
      <c r="G173" s="3">
        <v>46148</v>
      </c>
      <c r="H173" s="3">
        <v>46149</v>
      </c>
      <c r="I173" s="3">
        <v>46156</v>
      </c>
      <c r="J173" t="s">
        <v>163</v>
      </c>
      <c r="K173" t="s">
        <v>257</v>
      </c>
      <c r="L173" t="s">
        <v>283</v>
      </c>
      <c r="M173" t="s">
        <v>152</v>
      </c>
      <c r="N173" t="s">
        <v>153</v>
      </c>
      <c r="O173">
        <v>10852</v>
      </c>
      <c r="P173">
        <v>1</v>
      </c>
      <c r="Q173" t="s">
        <v>159</v>
      </c>
      <c r="R173" t="s">
        <v>186</v>
      </c>
      <c r="S173" t="s">
        <v>164</v>
      </c>
      <c r="T173" s="4">
        <v>883.83</v>
      </c>
      <c r="U173" s="4">
        <v>0</v>
      </c>
      <c r="V173" s="4">
        <v>6</v>
      </c>
      <c r="W173" s="4">
        <v>1454.87</v>
      </c>
      <c r="X173" s="4">
        <v>97.1</v>
      </c>
      <c r="Y173" s="4">
        <v>2435.8000000000002</v>
      </c>
      <c r="Z173" s="4" t="s">
        <v>147</v>
      </c>
      <c r="AA173" s="4" t="s">
        <v>148</v>
      </c>
      <c r="AB173" s="4">
        <f>SUMIF('Trip Changes'!$B:$B,A173,'Trip Changes'!$E:$E)</f>
        <v>0</v>
      </c>
      <c r="AC173" s="4">
        <f>SUMIF('Trip Cancellations'!$B:$B,A173,'Trip Cancellations'!$E:$E)</f>
        <v>146</v>
      </c>
      <c r="AD173" s="4">
        <f>SUMIF('Trip Cancellations'!$B:$B,A173,'Trip Cancellations'!$F:$F)</f>
        <v>2104.83</v>
      </c>
      <c r="AE173" s="4">
        <f t="shared" si="2"/>
        <v>476.97000000000025</v>
      </c>
      <c r="AF173" t="s">
        <v>148</v>
      </c>
      <c r="AG173">
        <v>4</v>
      </c>
      <c r="AH173" s="5">
        <v>1627.8</v>
      </c>
      <c r="AI173" t="s">
        <v>148</v>
      </c>
    </row>
    <row r="174" spans="1:35">
      <c r="A174" t="s">
        <v>428</v>
      </c>
      <c r="B174" t="s">
        <v>429</v>
      </c>
      <c r="C174" t="s">
        <v>182</v>
      </c>
      <c r="D174" t="s">
        <v>204</v>
      </c>
      <c r="E174" t="s">
        <v>139</v>
      </c>
      <c r="F174" t="s">
        <v>178</v>
      </c>
      <c r="G174" s="3">
        <v>46204</v>
      </c>
      <c r="H174" s="3">
        <v>46213</v>
      </c>
      <c r="I174" s="3">
        <v>46217</v>
      </c>
      <c r="J174" t="s">
        <v>150</v>
      </c>
      <c r="K174" t="s">
        <v>182</v>
      </c>
      <c r="L174" t="s">
        <v>240</v>
      </c>
      <c r="M174" t="s">
        <v>152</v>
      </c>
      <c r="N174" t="s">
        <v>153</v>
      </c>
      <c r="O174">
        <v>16564</v>
      </c>
      <c r="P174">
        <v>9</v>
      </c>
      <c r="Q174" t="s">
        <v>145</v>
      </c>
      <c r="R174" t="s">
        <v>154</v>
      </c>
      <c r="S174" t="s">
        <v>164</v>
      </c>
      <c r="T174" s="4">
        <v>1676.71</v>
      </c>
      <c r="U174" s="4">
        <v>0</v>
      </c>
      <c r="V174" s="4">
        <v>3</v>
      </c>
      <c r="W174" s="4">
        <v>553.89</v>
      </c>
      <c r="X174" s="4">
        <v>85.32</v>
      </c>
      <c r="Y174" s="4">
        <v>2315.92</v>
      </c>
      <c r="Z174" s="4" t="s">
        <v>147</v>
      </c>
      <c r="AA174" s="4" t="s">
        <v>147</v>
      </c>
      <c r="AB174" s="4">
        <f>SUMIF('Trip Changes'!$B:$B,A174,'Trip Changes'!$E:$E)</f>
        <v>0</v>
      </c>
      <c r="AC174" s="4">
        <f>SUMIF('Trip Cancellations'!$B:$B,A174,'Trip Cancellations'!$E:$E)</f>
        <v>0</v>
      </c>
      <c r="AD174" s="4">
        <f>SUMIF('Trip Cancellations'!$B:$B,A174,'Trip Cancellations'!$F:$F)</f>
        <v>0</v>
      </c>
      <c r="AE174" s="4">
        <f t="shared" si="2"/>
        <v>2315.92</v>
      </c>
      <c r="AF174" t="s">
        <v>148</v>
      </c>
      <c r="AG174">
        <v>4</v>
      </c>
      <c r="AH174" s="5">
        <v>2484.6</v>
      </c>
      <c r="AI174" t="s">
        <v>147</v>
      </c>
    </row>
    <row r="175" spans="1:35">
      <c r="A175" t="s">
        <v>430</v>
      </c>
      <c r="B175" t="s">
        <v>429</v>
      </c>
      <c r="C175" t="s">
        <v>182</v>
      </c>
      <c r="D175" t="s">
        <v>204</v>
      </c>
      <c r="E175" t="s">
        <v>139</v>
      </c>
      <c r="F175" t="s">
        <v>140</v>
      </c>
      <c r="G175" s="3">
        <v>46211</v>
      </c>
      <c r="H175" s="3">
        <v>46212</v>
      </c>
      <c r="I175" s="3">
        <v>46215</v>
      </c>
      <c r="J175" t="s">
        <v>150</v>
      </c>
      <c r="K175" t="s">
        <v>182</v>
      </c>
      <c r="L175" t="s">
        <v>199</v>
      </c>
      <c r="M175" t="s">
        <v>152</v>
      </c>
      <c r="N175" t="s">
        <v>153</v>
      </c>
      <c r="O175">
        <v>1906</v>
      </c>
      <c r="P175">
        <v>1</v>
      </c>
      <c r="Q175" t="s">
        <v>145</v>
      </c>
      <c r="R175" t="s">
        <v>200</v>
      </c>
      <c r="S175" t="s">
        <v>164</v>
      </c>
      <c r="T175" s="4">
        <v>405.71</v>
      </c>
      <c r="U175" s="4">
        <v>0</v>
      </c>
      <c r="V175" s="4">
        <v>2</v>
      </c>
      <c r="W175" s="4">
        <v>299.52999999999997</v>
      </c>
      <c r="X175" s="4">
        <v>76.34</v>
      </c>
      <c r="Y175" s="4">
        <v>781.58</v>
      </c>
      <c r="Z175" s="4" t="s">
        <v>148</v>
      </c>
      <c r="AA175" s="4" t="s">
        <v>147</v>
      </c>
      <c r="AB175" s="4">
        <f>SUMIF('Trip Changes'!$B:$B,A175,'Trip Changes'!$E:$E)</f>
        <v>126.62</v>
      </c>
      <c r="AC175" s="4">
        <f>SUMIF('Trip Cancellations'!$B:$B,A175,'Trip Cancellations'!$E:$E)</f>
        <v>0</v>
      </c>
      <c r="AD175" s="4">
        <f>SUMIF('Trip Cancellations'!$B:$B,A175,'Trip Cancellations'!$F:$F)</f>
        <v>0</v>
      </c>
      <c r="AE175" s="4">
        <f t="shared" si="2"/>
        <v>908.2</v>
      </c>
      <c r="AF175" t="s">
        <v>148</v>
      </c>
      <c r="AG175">
        <v>5</v>
      </c>
      <c r="AH175" s="5">
        <v>285.89999999999998</v>
      </c>
      <c r="AI175" t="s">
        <v>148</v>
      </c>
    </row>
    <row r="176" spans="1:35">
      <c r="A176" t="s">
        <v>431</v>
      </c>
      <c r="B176" t="s">
        <v>429</v>
      </c>
      <c r="C176" t="s">
        <v>182</v>
      </c>
      <c r="D176" t="s">
        <v>204</v>
      </c>
      <c r="E176" t="s">
        <v>139</v>
      </c>
      <c r="F176" t="s">
        <v>162</v>
      </c>
      <c r="G176" s="3">
        <v>46159</v>
      </c>
      <c r="H176" s="3">
        <v>46163</v>
      </c>
      <c r="I176" s="3">
        <v>46166</v>
      </c>
      <c r="J176" t="s">
        <v>163</v>
      </c>
      <c r="K176" t="s">
        <v>182</v>
      </c>
      <c r="L176" t="s">
        <v>182</v>
      </c>
      <c r="M176" t="s">
        <v>143</v>
      </c>
      <c r="N176" t="s">
        <v>144</v>
      </c>
      <c r="O176">
        <v>692</v>
      </c>
      <c r="P176">
        <v>4</v>
      </c>
      <c r="Q176" t="s">
        <v>159</v>
      </c>
      <c r="S176" t="s">
        <v>195</v>
      </c>
      <c r="T176" s="4">
        <v>0</v>
      </c>
      <c r="U176" s="4">
        <v>143.02000000000001</v>
      </c>
      <c r="V176" s="4">
        <v>2</v>
      </c>
      <c r="W176" s="4">
        <v>206.13</v>
      </c>
      <c r="X176" s="4">
        <v>78.34</v>
      </c>
      <c r="Y176" s="4">
        <v>427.49</v>
      </c>
      <c r="Z176" s="4" t="s">
        <v>147</v>
      </c>
      <c r="AA176" s="4" t="s">
        <v>147</v>
      </c>
      <c r="AB176" s="4">
        <f>SUMIF('Trip Changes'!$B:$B,A176,'Trip Changes'!$E:$E)</f>
        <v>0</v>
      </c>
      <c r="AC176" s="4">
        <f>SUMIF('Trip Cancellations'!$B:$B,A176,'Trip Cancellations'!$E:$E)</f>
        <v>0</v>
      </c>
      <c r="AD176" s="4">
        <f>SUMIF('Trip Cancellations'!$B:$B,A176,'Trip Cancellations'!$F:$F)</f>
        <v>0</v>
      </c>
      <c r="AE176" s="4">
        <f t="shared" si="2"/>
        <v>427.49</v>
      </c>
      <c r="AF176" t="s">
        <v>148</v>
      </c>
      <c r="AG176">
        <v>5</v>
      </c>
      <c r="AH176" s="5">
        <v>27.7</v>
      </c>
      <c r="AI176" t="s">
        <v>148</v>
      </c>
    </row>
    <row r="177" spans="1:35">
      <c r="A177" t="s">
        <v>432</v>
      </c>
      <c r="B177" t="s">
        <v>429</v>
      </c>
      <c r="C177" t="s">
        <v>182</v>
      </c>
      <c r="D177" t="s">
        <v>204</v>
      </c>
      <c r="E177" t="s">
        <v>139</v>
      </c>
      <c r="F177" t="s">
        <v>140</v>
      </c>
      <c r="G177" s="3">
        <v>46196</v>
      </c>
      <c r="H177" s="3">
        <v>46228</v>
      </c>
      <c r="I177" s="3">
        <v>46231</v>
      </c>
      <c r="J177" t="s">
        <v>150</v>
      </c>
      <c r="K177" t="s">
        <v>182</v>
      </c>
      <c r="L177" t="s">
        <v>233</v>
      </c>
      <c r="M177" t="s">
        <v>152</v>
      </c>
      <c r="N177" t="s">
        <v>153</v>
      </c>
      <c r="O177">
        <v>2004</v>
      </c>
      <c r="P177">
        <v>32</v>
      </c>
      <c r="Q177" t="s">
        <v>145</v>
      </c>
      <c r="R177" t="s">
        <v>154</v>
      </c>
      <c r="S177" t="s">
        <v>155</v>
      </c>
      <c r="T177" s="4">
        <v>336.11</v>
      </c>
      <c r="U177" s="4">
        <v>0</v>
      </c>
      <c r="V177" s="4">
        <v>2</v>
      </c>
      <c r="W177" s="4">
        <v>292.89999999999998</v>
      </c>
      <c r="X177" s="4">
        <v>69.91</v>
      </c>
      <c r="Y177" s="4">
        <v>698.92</v>
      </c>
      <c r="Z177" s="4" t="s">
        <v>147</v>
      </c>
      <c r="AA177" s="4" t="s">
        <v>147</v>
      </c>
      <c r="AB177" s="4">
        <f>SUMIF('Trip Changes'!$B:$B,A177,'Trip Changes'!$E:$E)</f>
        <v>0</v>
      </c>
      <c r="AC177" s="4">
        <f>SUMIF('Trip Cancellations'!$B:$B,A177,'Trip Cancellations'!$E:$E)</f>
        <v>0</v>
      </c>
      <c r="AD177" s="4">
        <f>SUMIF('Trip Cancellations'!$B:$B,A177,'Trip Cancellations'!$F:$F)</f>
        <v>0</v>
      </c>
      <c r="AE177" s="4">
        <f t="shared" si="2"/>
        <v>698.92</v>
      </c>
      <c r="AF177" t="s">
        <v>148</v>
      </c>
      <c r="AG177">
        <v>5</v>
      </c>
      <c r="AH177" s="5">
        <v>300.60000000000002</v>
      </c>
      <c r="AI177" t="s">
        <v>148</v>
      </c>
    </row>
    <row r="178" spans="1:35">
      <c r="A178" t="s">
        <v>433</v>
      </c>
      <c r="B178" t="s">
        <v>429</v>
      </c>
      <c r="C178" t="s">
        <v>182</v>
      </c>
      <c r="D178" t="s">
        <v>204</v>
      </c>
      <c r="E178" t="s">
        <v>139</v>
      </c>
      <c r="F178" t="s">
        <v>157</v>
      </c>
      <c r="G178" s="3">
        <v>46207</v>
      </c>
      <c r="H178" s="3">
        <v>46220</v>
      </c>
      <c r="I178" s="3">
        <v>46222</v>
      </c>
      <c r="J178" t="s">
        <v>150</v>
      </c>
      <c r="K178" t="s">
        <v>182</v>
      </c>
      <c r="L178" t="s">
        <v>151</v>
      </c>
      <c r="M178" t="s">
        <v>152</v>
      </c>
      <c r="N178" t="s">
        <v>153</v>
      </c>
      <c r="O178">
        <v>1904</v>
      </c>
      <c r="P178">
        <v>13</v>
      </c>
      <c r="Q178" t="s">
        <v>159</v>
      </c>
      <c r="R178" t="s">
        <v>172</v>
      </c>
      <c r="S178" t="s">
        <v>155</v>
      </c>
      <c r="T178" s="4">
        <v>206.2</v>
      </c>
      <c r="U178" s="4">
        <v>0</v>
      </c>
      <c r="V178" s="4">
        <v>1</v>
      </c>
      <c r="W178" s="4">
        <v>188.08</v>
      </c>
      <c r="X178" s="4">
        <v>54.43</v>
      </c>
      <c r="Y178" s="4">
        <v>448.71</v>
      </c>
      <c r="Z178" s="4" t="s">
        <v>147</v>
      </c>
      <c r="AA178" s="4" t="s">
        <v>147</v>
      </c>
      <c r="AB178" s="4">
        <f>SUMIF('Trip Changes'!$B:$B,A178,'Trip Changes'!$E:$E)</f>
        <v>0</v>
      </c>
      <c r="AC178" s="4">
        <f>SUMIF('Trip Cancellations'!$B:$B,A178,'Trip Cancellations'!$E:$E)</f>
        <v>0</v>
      </c>
      <c r="AD178" s="4">
        <f>SUMIF('Trip Cancellations'!$B:$B,A178,'Trip Cancellations'!$F:$F)</f>
        <v>0</v>
      </c>
      <c r="AE178" s="4">
        <f t="shared" si="2"/>
        <v>448.71</v>
      </c>
      <c r="AF178" t="s">
        <v>148</v>
      </c>
      <c r="AG178">
        <v>4</v>
      </c>
      <c r="AH178" s="5">
        <v>285.60000000000002</v>
      </c>
      <c r="AI178" t="s">
        <v>148</v>
      </c>
    </row>
    <row r="179" spans="1:35">
      <c r="A179" t="s">
        <v>434</v>
      </c>
      <c r="B179" t="s">
        <v>435</v>
      </c>
      <c r="C179" t="s">
        <v>182</v>
      </c>
      <c r="D179" t="s">
        <v>230</v>
      </c>
      <c r="E179" t="s">
        <v>139</v>
      </c>
      <c r="F179" t="s">
        <v>189</v>
      </c>
      <c r="G179" s="3">
        <v>46144</v>
      </c>
      <c r="H179" s="3">
        <v>46160</v>
      </c>
      <c r="I179" s="3">
        <v>46165</v>
      </c>
      <c r="J179" t="s">
        <v>163</v>
      </c>
      <c r="K179" t="s">
        <v>182</v>
      </c>
      <c r="L179" t="s">
        <v>227</v>
      </c>
      <c r="M179" t="s">
        <v>152</v>
      </c>
      <c r="N179" t="s">
        <v>153</v>
      </c>
      <c r="O179">
        <v>2782</v>
      </c>
      <c r="P179">
        <v>16</v>
      </c>
      <c r="Q179" t="s">
        <v>145</v>
      </c>
      <c r="R179" t="s">
        <v>172</v>
      </c>
      <c r="S179" t="s">
        <v>155</v>
      </c>
      <c r="T179" s="4">
        <v>330.18</v>
      </c>
      <c r="U179" s="4">
        <v>0</v>
      </c>
      <c r="V179" s="4">
        <v>4</v>
      </c>
      <c r="W179" s="4">
        <v>847.33</v>
      </c>
      <c r="X179" s="4">
        <v>83.53</v>
      </c>
      <c r="Y179" s="4">
        <v>1261.04</v>
      </c>
      <c r="Z179" s="4" t="s">
        <v>147</v>
      </c>
      <c r="AA179" s="4" t="s">
        <v>147</v>
      </c>
      <c r="AB179" s="4">
        <f>SUMIF('Trip Changes'!$B:$B,A179,'Trip Changes'!$E:$E)</f>
        <v>0</v>
      </c>
      <c r="AC179" s="4">
        <f>SUMIF('Trip Cancellations'!$B:$B,A179,'Trip Cancellations'!$E:$E)</f>
        <v>0</v>
      </c>
      <c r="AD179" s="4">
        <f>SUMIF('Trip Cancellations'!$B:$B,A179,'Trip Cancellations'!$F:$F)</f>
        <v>0</v>
      </c>
      <c r="AE179" s="4">
        <f t="shared" si="2"/>
        <v>1261.04</v>
      </c>
      <c r="AF179" t="s">
        <v>148</v>
      </c>
      <c r="AG179">
        <v>4</v>
      </c>
      <c r="AH179" s="5">
        <v>417.3</v>
      </c>
      <c r="AI179" t="s">
        <v>147</v>
      </c>
    </row>
    <row r="180" spans="1:35">
      <c r="A180" t="s">
        <v>436</v>
      </c>
      <c r="B180" t="s">
        <v>435</v>
      </c>
      <c r="C180" t="s">
        <v>182</v>
      </c>
      <c r="D180" t="s">
        <v>230</v>
      </c>
      <c r="E180" t="s">
        <v>139</v>
      </c>
      <c r="F180" t="s">
        <v>162</v>
      </c>
      <c r="G180" s="3">
        <v>46233</v>
      </c>
      <c r="H180" s="3">
        <v>46234</v>
      </c>
      <c r="I180" s="3">
        <v>46239</v>
      </c>
      <c r="J180" t="s">
        <v>150</v>
      </c>
      <c r="K180" t="s">
        <v>182</v>
      </c>
      <c r="L180" t="s">
        <v>185</v>
      </c>
      <c r="M180" t="s">
        <v>152</v>
      </c>
      <c r="N180" t="s">
        <v>153</v>
      </c>
      <c r="O180">
        <v>11632</v>
      </c>
      <c r="P180">
        <v>1</v>
      </c>
      <c r="Q180" t="s">
        <v>159</v>
      </c>
      <c r="R180" t="s">
        <v>154</v>
      </c>
      <c r="S180" t="s">
        <v>164</v>
      </c>
      <c r="T180" s="4">
        <v>1114.52</v>
      </c>
      <c r="U180" s="4">
        <v>0</v>
      </c>
      <c r="V180" s="4">
        <v>4</v>
      </c>
      <c r="W180" s="4">
        <v>515.28</v>
      </c>
      <c r="X180" s="4">
        <v>88.33</v>
      </c>
      <c r="Y180" s="4">
        <v>1718.13</v>
      </c>
      <c r="Z180" s="4" t="s">
        <v>147</v>
      </c>
      <c r="AA180" s="4" t="s">
        <v>147</v>
      </c>
      <c r="AB180" s="4">
        <f>SUMIF('Trip Changes'!$B:$B,A180,'Trip Changes'!$E:$E)</f>
        <v>0</v>
      </c>
      <c r="AC180" s="4">
        <f>SUMIF('Trip Cancellations'!$B:$B,A180,'Trip Cancellations'!$E:$E)</f>
        <v>0</v>
      </c>
      <c r="AD180" s="4">
        <f>SUMIF('Trip Cancellations'!$B:$B,A180,'Trip Cancellations'!$F:$F)</f>
        <v>0</v>
      </c>
      <c r="AE180" s="4">
        <f t="shared" si="2"/>
        <v>1718.13</v>
      </c>
      <c r="AF180" t="s">
        <v>148</v>
      </c>
      <c r="AG180">
        <v>4</v>
      </c>
      <c r="AH180" s="5">
        <v>1744.8</v>
      </c>
      <c r="AI180" t="s">
        <v>148</v>
      </c>
    </row>
    <row r="181" spans="1:35">
      <c r="A181" t="s">
        <v>437</v>
      </c>
      <c r="B181" t="s">
        <v>435</v>
      </c>
      <c r="C181" t="s">
        <v>182</v>
      </c>
      <c r="D181" t="s">
        <v>230</v>
      </c>
      <c r="E181" t="s">
        <v>139</v>
      </c>
      <c r="F181" t="s">
        <v>189</v>
      </c>
      <c r="G181" s="3">
        <v>46189</v>
      </c>
      <c r="H181" s="3">
        <v>46212</v>
      </c>
      <c r="I181" s="3">
        <v>46216</v>
      </c>
      <c r="J181" t="s">
        <v>150</v>
      </c>
      <c r="K181" t="s">
        <v>182</v>
      </c>
      <c r="L181" t="s">
        <v>225</v>
      </c>
      <c r="M181" t="s">
        <v>152</v>
      </c>
      <c r="N181" t="s">
        <v>153</v>
      </c>
      <c r="O181">
        <v>2786</v>
      </c>
      <c r="P181">
        <v>23</v>
      </c>
      <c r="Q181" t="s">
        <v>145</v>
      </c>
      <c r="R181" t="s">
        <v>154</v>
      </c>
      <c r="S181" t="s">
        <v>164</v>
      </c>
      <c r="T181" s="4">
        <v>381.66</v>
      </c>
      <c r="U181" s="4">
        <v>0</v>
      </c>
      <c r="V181" s="4">
        <v>3</v>
      </c>
      <c r="W181" s="4">
        <v>443.64</v>
      </c>
      <c r="X181" s="4">
        <v>120.7</v>
      </c>
      <c r="Y181" s="4">
        <v>946</v>
      </c>
      <c r="Z181" s="4" t="s">
        <v>147</v>
      </c>
      <c r="AA181" s="4" t="s">
        <v>147</v>
      </c>
      <c r="AB181" s="4">
        <f>SUMIF('Trip Changes'!$B:$B,A181,'Trip Changes'!$E:$E)</f>
        <v>0</v>
      </c>
      <c r="AC181" s="4">
        <f>SUMIF('Trip Cancellations'!$B:$B,A181,'Trip Cancellations'!$E:$E)</f>
        <v>0</v>
      </c>
      <c r="AD181" s="4">
        <f>SUMIF('Trip Cancellations'!$B:$B,A181,'Trip Cancellations'!$F:$F)</f>
        <v>0</v>
      </c>
      <c r="AE181" s="4">
        <f t="shared" si="2"/>
        <v>946</v>
      </c>
      <c r="AF181" t="s">
        <v>148</v>
      </c>
      <c r="AG181">
        <v>5</v>
      </c>
      <c r="AH181" s="5">
        <v>417.9</v>
      </c>
      <c r="AI181" t="s">
        <v>148</v>
      </c>
    </row>
    <row r="182" spans="1:35">
      <c r="A182" t="s">
        <v>438</v>
      </c>
      <c r="B182" t="s">
        <v>435</v>
      </c>
      <c r="C182" t="s">
        <v>182</v>
      </c>
      <c r="D182" t="s">
        <v>230</v>
      </c>
      <c r="E182" t="s">
        <v>139</v>
      </c>
      <c r="F182" t="s">
        <v>181</v>
      </c>
      <c r="G182" s="3">
        <v>46163</v>
      </c>
      <c r="H182" s="3">
        <v>46192</v>
      </c>
      <c r="I182" s="3">
        <v>46196</v>
      </c>
      <c r="J182" t="s">
        <v>141</v>
      </c>
      <c r="K182" t="s">
        <v>182</v>
      </c>
      <c r="L182" t="s">
        <v>227</v>
      </c>
      <c r="M182" t="s">
        <v>152</v>
      </c>
      <c r="N182" t="s">
        <v>153</v>
      </c>
      <c r="O182">
        <v>1072</v>
      </c>
      <c r="P182">
        <v>29</v>
      </c>
      <c r="Q182" t="s">
        <v>159</v>
      </c>
      <c r="R182" t="s">
        <v>154</v>
      </c>
      <c r="S182" t="s">
        <v>173</v>
      </c>
      <c r="T182" s="4">
        <v>547.16</v>
      </c>
      <c r="U182" s="4">
        <v>0</v>
      </c>
      <c r="V182" s="4">
        <v>3</v>
      </c>
      <c r="W182" s="4">
        <v>638.25</v>
      </c>
      <c r="X182" s="4">
        <v>89.36</v>
      </c>
      <c r="Y182" s="4">
        <v>1274.77</v>
      </c>
      <c r="Z182" s="4" t="s">
        <v>147</v>
      </c>
      <c r="AA182" s="4" t="s">
        <v>147</v>
      </c>
      <c r="AB182" s="4">
        <f>SUMIF('Trip Changes'!$B:$B,A182,'Trip Changes'!$E:$E)</f>
        <v>0</v>
      </c>
      <c r="AC182" s="4">
        <f>SUMIF('Trip Cancellations'!$B:$B,A182,'Trip Cancellations'!$E:$E)</f>
        <v>0</v>
      </c>
      <c r="AD182" s="4">
        <f>SUMIF('Trip Cancellations'!$B:$B,A182,'Trip Cancellations'!$F:$F)</f>
        <v>0</v>
      </c>
      <c r="AE182" s="4">
        <f t="shared" si="2"/>
        <v>1274.77</v>
      </c>
      <c r="AF182" t="s">
        <v>148</v>
      </c>
      <c r="AG182">
        <v>4</v>
      </c>
      <c r="AH182" s="5">
        <v>160.80000000000001</v>
      </c>
      <c r="AI182" t="s">
        <v>148</v>
      </c>
    </row>
    <row r="183" spans="1:35">
      <c r="A183" t="s">
        <v>439</v>
      </c>
      <c r="B183" t="s">
        <v>440</v>
      </c>
      <c r="C183" t="s">
        <v>182</v>
      </c>
      <c r="D183" t="s">
        <v>204</v>
      </c>
      <c r="E183" t="s">
        <v>262</v>
      </c>
      <c r="F183" t="s">
        <v>162</v>
      </c>
      <c r="G183" s="3">
        <v>46166</v>
      </c>
      <c r="H183" s="3">
        <v>46182</v>
      </c>
      <c r="I183" s="3">
        <v>46189</v>
      </c>
      <c r="J183" t="s">
        <v>141</v>
      </c>
      <c r="K183" t="s">
        <v>182</v>
      </c>
      <c r="L183" t="s">
        <v>179</v>
      </c>
      <c r="M183" t="s">
        <v>152</v>
      </c>
      <c r="N183" t="s">
        <v>153</v>
      </c>
      <c r="O183">
        <v>17048</v>
      </c>
      <c r="P183">
        <v>16</v>
      </c>
      <c r="Q183" t="s">
        <v>159</v>
      </c>
      <c r="R183" t="s">
        <v>441</v>
      </c>
      <c r="S183" t="s">
        <v>187</v>
      </c>
      <c r="T183" s="4">
        <v>1329.15</v>
      </c>
      <c r="U183" s="4">
        <v>0</v>
      </c>
      <c r="V183" s="4">
        <v>6</v>
      </c>
      <c r="W183" s="4">
        <v>916.13</v>
      </c>
      <c r="X183" s="4">
        <v>60.64</v>
      </c>
      <c r="Y183" s="4">
        <v>2305.92</v>
      </c>
      <c r="Z183" s="4" t="s">
        <v>147</v>
      </c>
      <c r="AA183" s="4" t="s">
        <v>147</v>
      </c>
      <c r="AB183" s="4">
        <f>SUMIF('Trip Changes'!$B:$B,A183,'Trip Changes'!$E:$E)</f>
        <v>0</v>
      </c>
      <c r="AC183" s="4">
        <f>SUMIF('Trip Cancellations'!$B:$B,A183,'Trip Cancellations'!$E:$E)</f>
        <v>0</v>
      </c>
      <c r="AD183" s="4">
        <f>SUMIF('Trip Cancellations'!$B:$B,A183,'Trip Cancellations'!$F:$F)</f>
        <v>0</v>
      </c>
      <c r="AE183" s="4">
        <f t="shared" si="2"/>
        <v>2305.92</v>
      </c>
      <c r="AF183" t="s">
        <v>148</v>
      </c>
      <c r="AG183">
        <v>4</v>
      </c>
      <c r="AH183" s="5">
        <v>2557.1999999999998</v>
      </c>
      <c r="AI183" t="s">
        <v>148</v>
      </c>
    </row>
    <row r="184" spans="1:35">
      <c r="A184" t="s">
        <v>442</v>
      </c>
      <c r="B184" t="s">
        <v>440</v>
      </c>
      <c r="C184" t="s">
        <v>182</v>
      </c>
      <c r="D184" t="s">
        <v>204</v>
      </c>
      <c r="E184" t="s">
        <v>262</v>
      </c>
      <c r="F184" t="s">
        <v>140</v>
      </c>
      <c r="G184" s="3">
        <v>46194</v>
      </c>
      <c r="H184" s="3">
        <v>46195</v>
      </c>
      <c r="I184" s="3">
        <v>46197</v>
      </c>
      <c r="J184" t="s">
        <v>141</v>
      </c>
      <c r="K184" t="s">
        <v>182</v>
      </c>
      <c r="L184" t="s">
        <v>175</v>
      </c>
      <c r="M184" t="s">
        <v>152</v>
      </c>
      <c r="N184" t="s">
        <v>153</v>
      </c>
      <c r="O184">
        <v>2664</v>
      </c>
      <c r="P184">
        <v>1</v>
      </c>
      <c r="Q184" t="s">
        <v>145</v>
      </c>
      <c r="R184" t="s">
        <v>154</v>
      </c>
      <c r="S184" t="s">
        <v>164</v>
      </c>
      <c r="T184" s="4">
        <v>551.66999999999996</v>
      </c>
      <c r="U184" s="4">
        <v>0</v>
      </c>
      <c r="V184" s="4">
        <v>1</v>
      </c>
      <c r="W184" s="4">
        <v>109.59</v>
      </c>
      <c r="X184" s="4">
        <v>34.659999999999997</v>
      </c>
      <c r="Y184" s="4">
        <v>695.92</v>
      </c>
      <c r="Z184" s="4" t="s">
        <v>147</v>
      </c>
      <c r="AA184" s="4" t="s">
        <v>147</v>
      </c>
      <c r="AB184" s="4">
        <f>SUMIF('Trip Changes'!$B:$B,A184,'Trip Changes'!$E:$E)</f>
        <v>0</v>
      </c>
      <c r="AC184" s="4">
        <f>SUMIF('Trip Cancellations'!$B:$B,A184,'Trip Cancellations'!$E:$E)</f>
        <v>0</v>
      </c>
      <c r="AD184" s="4">
        <f>SUMIF('Trip Cancellations'!$B:$B,A184,'Trip Cancellations'!$F:$F)</f>
        <v>0</v>
      </c>
      <c r="AE184" s="4">
        <f t="shared" si="2"/>
        <v>695.92</v>
      </c>
      <c r="AF184" t="s">
        <v>148</v>
      </c>
      <c r="AG184">
        <v>4</v>
      </c>
      <c r="AH184" s="5">
        <v>399.6</v>
      </c>
      <c r="AI184" t="s">
        <v>147</v>
      </c>
    </row>
    <row r="185" spans="1:35">
      <c r="A185" t="s">
        <v>443</v>
      </c>
      <c r="B185" t="s">
        <v>444</v>
      </c>
      <c r="C185" t="s">
        <v>193</v>
      </c>
      <c r="D185" t="s">
        <v>248</v>
      </c>
      <c r="E185" t="s">
        <v>169</v>
      </c>
      <c r="F185" t="s">
        <v>170</v>
      </c>
      <c r="G185" s="3">
        <v>46170</v>
      </c>
      <c r="H185" s="3">
        <v>46196</v>
      </c>
      <c r="I185" s="3">
        <v>46198</v>
      </c>
      <c r="J185" t="s">
        <v>141</v>
      </c>
      <c r="K185" t="s">
        <v>193</v>
      </c>
      <c r="L185" t="s">
        <v>171</v>
      </c>
      <c r="M185" t="s">
        <v>152</v>
      </c>
      <c r="N185" t="s">
        <v>153</v>
      </c>
      <c r="O185">
        <v>1730</v>
      </c>
      <c r="P185">
        <v>26</v>
      </c>
      <c r="Q185" t="s">
        <v>145</v>
      </c>
      <c r="R185" t="s">
        <v>176</v>
      </c>
      <c r="S185" t="s">
        <v>187</v>
      </c>
      <c r="T185" s="4">
        <v>375.89</v>
      </c>
      <c r="U185" s="4">
        <v>0</v>
      </c>
      <c r="V185" s="4">
        <v>1</v>
      </c>
      <c r="W185" s="4">
        <v>167.16</v>
      </c>
      <c r="X185" s="4">
        <v>97.08</v>
      </c>
      <c r="Y185" s="4">
        <v>640.13</v>
      </c>
      <c r="Z185" s="4" t="s">
        <v>147</v>
      </c>
      <c r="AA185" s="4" t="s">
        <v>147</v>
      </c>
      <c r="AB185" s="4">
        <f>SUMIF('Trip Changes'!$B:$B,A185,'Trip Changes'!$E:$E)</f>
        <v>0</v>
      </c>
      <c r="AC185" s="4">
        <f>SUMIF('Trip Cancellations'!$B:$B,A185,'Trip Cancellations'!$E:$E)</f>
        <v>0</v>
      </c>
      <c r="AD185" s="4">
        <f>SUMIF('Trip Cancellations'!$B:$B,A185,'Trip Cancellations'!$F:$F)</f>
        <v>0</v>
      </c>
      <c r="AE185" s="4">
        <f t="shared" si="2"/>
        <v>640.13</v>
      </c>
      <c r="AF185" t="s">
        <v>148</v>
      </c>
      <c r="AG185">
        <v>4</v>
      </c>
      <c r="AH185" s="5">
        <v>259.5</v>
      </c>
      <c r="AI185" t="s">
        <v>148</v>
      </c>
    </row>
    <row r="186" spans="1:35">
      <c r="A186" t="s">
        <v>445</v>
      </c>
      <c r="B186" t="s">
        <v>444</v>
      </c>
      <c r="C186" t="s">
        <v>193</v>
      </c>
      <c r="D186" t="s">
        <v>248</v>
      </c>
      <c r="E186" t="s">
        <v>169</v>
      </c>
      <c r="F186" t="s">
        <v>162</v>
      </c>
      <c r="G186" s="3">
        <v>46152</v>
      </c>
      <c r="H186" s="3">
        <v>46169</v>
      </c>
      <c r="I186" s="3">
        <v>46172</v>
      </c>
      <c r="J186" t="s">
        <v>163</v>
      </c>
      <c r="K186" t="s">
        <v>193</v>
      </c>
      <c r="L186" t="s">
        <v>225</v>
      </c>
      <c r="M186" t="s">
        <v>152</v>
      </c>
      <c r="N186" t="s">
        <v>153</v>
      </c>
      <c r="O186">
        <v>1438</v>
      </c>
      <c r="P186">
        <v>17</v>
      </c>
      <c r="Q186" t="s">
        <v>145</v>
      </c>
      <c r="R186" t="s">
        <v>236</v>
      </c>
      <c r="S186" t="s">
        <v>155</v>
      </c>
      <c r="T186" s="4">
        <v>291.06</v>
      </c>
      <c r="U186" s="4">
        <v>0</v>
      </c>
      <c r="V186" s="4">
        <v>2</v>
      </c>
      <c r="W186" s="4">
        <v>388.71</v>
      </c>
      <c r="X186" s="4">
        <v>83.25</v>
      </c>
      <c r="Y186" s="4">
        <v>763.02</v>
      </c>
      <c r="Z186" s="4" t="s">
        <v>147</v>
      </c>
      <c r="AA186" s="4" t="s">
        <v>147</v>
      </c>
      <c r="AB186" s="4">
        <f>SUMIF('Trip Changes'!$B:$B,A186,'Trip Changes'!$E:$E)</f>
        <v>0</v>
      </c>
      <c r="AC186" s="4">
        <f>SUMIF('Trip Cancellations'!$B:$B,A186,'Trip Cancellations'!$E:$E)</f>
        <v>0</v>
      </c>
      <c r="AD186" s="4">
        <f>SUMIF('Trip Cancellations'!$B:$B,A186,'Trip Cancellations'!$F:$F)</f>
        <v>0</v>
      </c>
      <c r="AE186" s="4">
        <f t="shared" si="2"/>
        <v>763.02</v>
      </c>
      <c r="AF186" t="s">
        <v>148</v>
      </c>
      <c r="AG186">
        <v>5</v>
      </c>
      <c r="AH186" s="5">
        <v>215.7</v>
      </c>
      <c r="AI186" t="s">
        <v>147</v>
      </c>
    </row>
    <row r="187" spans="1:35">
      <c r="A187" t="s">
        <v>446</v>
      </c>
      <c r="B187" t="s">
        <v>444</v>
      </c>
      <c r="C187" t="s">
        <v>193</v>
      </c>
      <c r="D187" t="s">
        <v>248</v>
      </c>
      <c r="E187" t="s">
        <v>169</v>
      </c>
      <c r="F187" t="s">
        <v>162</v>
      </c>
      <c r="G187" s="3">
        <v>46128</v>
      </c>
      <c r="H187" s="3">
        <v>46151</v>
      </c>
      <c r="I187" s="3">
        <v>46157</v>
      </c>
      <c r="J187" t="s">
        <v>163</v>
      </c>
      <c r="K187" t="s">
        <v>193</v>
      </c>
      <c r="L187" t="s">
        <v>223</v>
      </c>
      <c r="M187" t="s">
        <v>152</v>
      </c>
      <c r="N187" t="s">
        <v>153</v>
      </c>
      <c r="O187">
        <v>18902</v>
      </c>
      <c r="P187">
        <v>23</v>
      </c>
      <c r="Q187" t="s">
        <v>145</v>
      </c>
      <c r="R187" t="s">
        <v>154</v>
      </c>
      <c r="S187" t="s">
        <v>173</v>
      </c>
      <c r="T187" s="4">
        <v>1304.3499999999999</v>
      </c>
      <c r="U187" s="4">
        <v>0</v>
      </c>
      <c r="V187" s="4">
        <v>5</v>
      </c>
      <c r="W187" s="4">
        <v>773.53</v>
      </c>
      <c r="X187" s="4">
        <v>117.72</v>
      </c>
      <c r="Y187" s="4">
        <v>2195.6</v>
      </c>
      <c r="Z187" s="4" t="s">
        <v>147</v>
      </c>
      <c r="AA187" s="4" t="s">
        <v>147</v>
      </c>
      <c r="AB187" s="4">
        <f>SUMIF('Trip Changes'!$B:$B,A187,'Trip Changes'!$E:$E)</f>
        <v>0</v>
      </c>
      <c r="AC187" s="4">
        <f>SUMIF('Trip Cancellations'!$B:$B,A187,'Trip Cancellations'!$E:$E)</f>
        <v>0</v>
      </c>
      <c r="AD187" s="4">
        <f>SUMIF('Trip Cancellations'!$B:$B,A187,'Trip Cancellations'!$F:$F)</f>
        <v>0</v>
      </c>
      <c r="AE187" s="4">
        <f t="shared" si="2"/>
        <v>2195.6</v>
      </c>
      <c r="AF187" t="s">
        <v>148</v>
      </c>
      <c r="AG187">
        <v>5</v>
      </c>
      <c r="AH187" s="5">
        <v>2835.3</v>
      </c>
      <c r="AI187" t="s">
        <v>147</v>
      </c>
    </row>
    <row r="188" spans="1:35">
      <c r="A188" t="s">
        <v>447</v>
      </c>
      <c r="B188" t="s">
        <v>448</v>
      </c>
      <c r="C188" t="s">
        <v>257</v>
      </c>
      <c r="D188" t="s">
        <v>168</v>
      </c>
      <c r="E188" t="s">
        <v>268</v>
      </c>
      <c r="F188" t="s">
        <v>140</v>
      </c>
      <c r="G188" s="3">
        <v>46219</v>
      </c>
      <c r="H188" s="3">
        <v>46220</v>
      </c>
      <c r="I188" s="3">
        <v>46224</v>
      </c>
      <c r="J188" t="s">
        <v>150</v>
      </c>
      <c r="K188" t="s">
        <v>257</v>
      </c>
      <c r="L188" t="s">
        <v>225</v>
      </c>
      <c r="M188" t="s">
        <v>152</v>
      </c>
      <c r="N188" t="s">
        <v>153</v>
      </c>
      <c r="O188">
        <v>1814</v>
      </c>
      <c r="P188">
        <v>1</v>
      </c>
      <c r="Q188" t="s">
        <v>145</v>
      </c>
      <c r="R188" t="s">
        <v>236</v>
      </c>
      <c r="S188" t="s">
        <v>155</v>
      </c>
      <c r="T188" s="4">
        <v>385.31</v>
      </c>
      <c r="U188" s="4">
        <v>0</v>
      </c>
      <c r="V188" s="4">
        <v>3</v>
      </c>
      <c r="W188" s="4">
        <v>328.54</v>
      </c>
      <c r="X188" s="4">
        <v>84.63</v>
      </c>
      <c r="Y188" s="4">
        <v>798.48</v>
      </c>
      <c r="Z188" s="4" t="s">
        <v>147</v>
      </c>
      <c r="AA188" s="4" t="s">
        <v>147</v>
      </c>
      <c r="AB188" s="4">
        <f>SUMIF('Trip Changes'!$B:$B,A188,'Trip Changes'!$E:$E)</f>
        <v>0</v>
      </c>
      <c r="AC188" s="4">
        <f>SUMIF('Trip Cancellations'!$B:$B,A188,'Trip Cancellations'!$E:$E)</f>
        <v>0</v>
      </c>
      <c r="AD188" s="4">
        <f>SUMIF('Trip Cancellations'!$B:$B,A188,'Trip Cancellations'!$F:$F)</f>
        <v>0</v>
      </c>
      <c r="AE188" s="4">
        <f t="shared" si="2"/>
        <v>798.48</v>
      </c>
      <c r="AF188" t="s">
        <v>148</v>
      </c>
      <c r="AG188">
        <v>4</v>
      </c>
      <c r="AH188" s="5">
        <v>272.10000000000002</v>
      </c>
      <c r="AI188" t="s">
        <v>148</v>
      </c>
    </row>
    <row r="189" spans="1:35">
      <c r="A189" t="s">
        <v>449</v>
      </c>
      <c r="B189" t="s">
        <v>448</v>
      </c>
      <c r="C189" t="s">
        <v>257</v>
      </c>
      <c r="D189" t="s">
        <v>168</v>
      </c>
      <c r="E189" t="s">
        <v>268</v>
      </c>
      <c r="F189" t="s">
        <v>140</v>
      </c>
      <c r="G189" s="3">
        <v>46214</v>
      </c>
      <c r="H189" s="3">
        <v>46233</v>
      </c>
      <c r="I189" s="3">
        <v>46238</v>
      </c>
      <c r="J189" t="s">
        <v>150</v>
      </c>
      <c r="K189" t="s">
        <v>257</v>
      </c>
      <c r="L189" t="s">
        <v>209</v>
      </c>
      <c r="M189" t="s">
        <v>152</v>
      </c>
      <c r="N189" t="s">
        <v>153</v>
      </c>
      <c r="O189">
        <v>3160</v>
      </c>
      <c r="P189">
        <v>19</v>
      </c>
      <c r="Q189" t="s">
        <v>145</v>
      </c>
      <c r="R189" t="s">
        <v>154</v>
      </c>
      <c r="S189" t="s">
        <v>164</v>
      </c>
      <c r="T189" s="4">
        <v>327.85</v>
      </c>
      <c r="U189" s="4">
        <v>0</v>
      </c>
      <c r="V189" s="4">
        <v>4</v>
      </c>
      <c r="W189" s="4">
        <v>927.41</v>
      </c>
      <c r="X189" s="4">
        <v>87.04</v>
      </c>
      <c r="Y189" s="4">
        <v>1342.3</v>
      </c>
      <c r="Z189" s="4" t="s">
        <v>147</v>
      </c>
      <c r="AA189" s="4" t="s">
        <v>147</v>
      </c>
      <c r="AB189" s="4">
        <f>SUMIF('Trip Changes'!$B:$B,A189,'Trip Changes'!$E:$E)</f>
        <v>0</v>
      </c>
      <c r="AC189" s="4">
        <f>SUMIF('Trip Cancellations'!$B:$B,A189,'Trip Cancellations'!$E:$E)</f>
        <v>0</v>
      </c>
      <c r="AD189" s="4">
        <f>SUMIF('Trip Cancellations'!$B:$B,A189,'Trip Cancellations'!$F:$F)</f>
        <v>0</v>
      </c>
      <c r="AE189" s="4">
        <f t="shared" si="2"/>
        <v>1342.3</v>
      </c>
      <c r="AF189" t="s">
        <v>148</v>
      </c>
      <c r="AG189">
        <v>5</v>
      </c>
      <c r="AH189" s="5">
        <v>474</v>
      </c>
      <c r="AI189" t="s">
        <v>147</v>
      </c>
    </row>
    <row r="190" spans="1:35">
      <c r="A190" t="s">
        <v>450</v>
      </c>
      <c r="B190" t="s">
        <v>448</v>
      </c>
      <c r="C190" t="s">
        <v>257</v>
      </c>
      <c r="D190" t="s">
        <v>168</v>
      </c>
      <c r="E190" t="s">
        <v>268</v>
      </c>
      <c r="F190" t="s">
        <v>181</v>
      </c>
      <c r="G190" s="3">
        <v>46189</v>
      </c>
      <c r="H190" s="3">
        <v>46205</v>
      </c>
      <c r="I190" s="3">
        <v>46207</v>
      </c>
      <c r="J190" t="s">
        <v>150</v>
      </c>
      <c r="K190" t="s">
        <v>257</v>
      </c>
      <c r="L190" t="s">
        <v>182</v>
      </c>
      <c r="M190" t="s">
        <v>143</v>
      </c>
      <c r="N190" t="s">
        <v>144</v>
      </c>
      <c r="O190">
        <v>532</v>
      </c>
      <c r="P190">
        <v>16</v>
      </c>
      <c r="Q190" t="s">
        <v>159</v>
      </c>
      <c r="S190" t="s">
        <v>155</v>
      </c>
      <c r="T190" s="4">
        <v>0</v>
      </c>
      <c r="U190" s="4">
        <v>223.08</v>
      </c>
      <c r="V190" s="4">
        <v>1</v>
      </c>
      <c r="W190" s="4">
        <v>135.41999999999999</v>
      </c>
      <c r="X190" s="4">
        <v>53.64</v>
      </c>
      <c r="Y190" s="4">
        <v>412.14</v>
      </c>
      <c r="Z190" s="4" t="s">
        <v>147</v>
      </c>
      <c r="AA190" s="4" t="s">
        <v>147</v>
      </c>
      <c r="AB190" s="4">
        <f>SUMIF('Trip Changes'!$B:$B,A190,'Trip Changes'!$E:$E)</f>
        <v>0</v>
      </c>
      <c r="AC190" s="4">
        <f>SUMIF('Trip Cancellations'!$B:$B,A190,'Trip Cancellations'!$E:$E)</f>
        <v>0</v>
      </c>
      <c r="AD190" s="4">
        <f>SUMIF('Trip Cancellations'!$B:$B,A190,'Trip Cancellations'!$F:$F)</f>
        <v>0</v>
      </c>
      <c r="AE190" s="4">
        <f t="shared" si="2"/>
        <v>412.14</v>
      </c>
      <c r="AF190" t="s">
        <v>148</v>
      </c>
      <c r="AG190">
        <v>4</v>
      </c>
      <c r="AH190" s="5">
        <v>21.3</v>
      </c>
      <c r="AI190" t="s">
        <v>148</v>
      </c>
    </row>
    <row r="191" spans="1:35">
      <c r="A191" t="s">
        <v>451</v>
      </c>
      <c r="B191" t="s">
        <v>452</v>
      </c>
      <c r="C191" t="s">
        <v>182</v>
      </c>
      <c r="D191" t="s">
        <v>168</v>
      </c>
      <c r="E191" t="s">
        <v>169</v>
      </c>
      <c r="F191" t="s">
        <v>140</v>
      </c>
      <c r="G191" s="3">
        <v>46150</v>
      </c>
      <c r="H191" s="3">
        <v>46168</v>
      </c>
      <c r="I191" s="3">
        <v>46171</v>
      </c>
      <c r="J191" t="s">
        <v>163</v>
      </c>
      <c r="K191" t="s">
        <v>182</v>
      </c>
      <c r="L191" t="s">
        <v>151</v>
      </c>
      <c r="M191" t="s">
        <v>152</v>
      </c>
      <c r="N191" t="s">
        <v>153</v>
      </c>
      <c r="O191">
        <v>3514</v>
      </c>
      <c r="P191">
        <v>18</v>
      </c>
      <c r="Q191" t="s">
        <v>145</v>
      </c>
      <c r="R191" t="s">
        <v>154</v>
      </c>
      <c r="S191" t="s">
        <v>187</v>
      </c>
      <c r="T191" s="4">
        <v>359.65</v>
      </c>
      <c r="U191" s="4">
        <v>0</v>
      </c>
      <c r="V191" s="4">
        <v>2</v>
      </c>
      <c r="W191" s="4">
        <v>382.55</v>
      </c>
      <c r="X191" s="4">
        <v>100.93</v>
      </c>
      <c r="Y191" s="4">
        <v>843.13</v>
      </c>
      <c r="Z191" s="4" t="s">
        <v>147</v>
      </c>
      <c r="AA191" s="4" t="s">
        <v>147</v>
      </c>
      <c r="AB191" s="4">
        <f>SUMIF('Trip Changes'!$B:$B,A191,'Trip Changes'!$E:$E)</f>
        <v>0</v>
      </c>
      <c r="AC191" s="4">
        <f>SUMIF('Trip Cancellations'!$B:$B,A191,'Trip Cancellations'!$E:$E)</f>
        <v>0</v>
      </c>
      <c r="AD191" s="4">
        <f>SUMIF('Trip Cancellations'!$B:$B,A191,'Trip Cancellations'!$F:$F)</f>
        <v>0</v>
      </c>
      <c r="AE191" s="4">
        <f t="shared" si="2"/>
        <v>843.13</v>
      </c>
      <c r="AF191" t="s">
        <v>148</v>
      </c>
      <c r="AG191">
        <v>5</v>
      </c>
      <c r="AH191" s="5">
        <v>527.1</v>
      </c>
      <c r="AI191" t="s">
        <v>147</v>
      </c>
    </row>
    <row r="192" spans="1:35">
      <c r="A192" t="s">
        <v>453</v>
      </c>
      <c r="B192" t="s">
        <v>452</v>
      </c>
      <c r="C192" t="s">
        <v>182</v>
      </c>
      <c r="D192" t="s">
        <v>168</v>
      </c>
      <c r="E192" t="s">
        <v>169</v>
      </c>
      <c r="F192" t="s">
        <v>178</v>
      </c>
      <c r="G192" s="3">
        <v>46228</v>
      </c>
      <c r="H192" s="3">
        <v>46229</v>
      </c>
      <c r="I192" s="3">
        <v>46232</v>
      </c>
      <c r="J192" t="s">
        <v>150</v>
      </c>
      <c r="K192" t="s">
        <v>182</v>
      </c>
      <c r="L192" t="s">
        <v>142</v>
      </c>
      <c r="M192" t="s">
        <v>143</v>
      </c>
      <c r="N192" t="s">
        <v>153</v>
      </c>
      <c r="O192">
        <v>1174</v>
      </c>
      <c r="P192">
        <v>1</v>
      </c>
      <c r="Q192" t="s">
        <v>145</v>
      </c>
      <c r="R192" t="s">
        <v>176</v>
      </c>
      <c r="S192" t="s">
        <v>164</v>
      </c>
      <c r="T192" s="4">
        <v>397.33</v>
      </c>
      <c r="U192" s="4">
        <v>0</v>
      </c>
      <c r="V192" s="4">
        <v>2</v>
      </c>
      <c r="W192" s="4">
        <v>376.82</v>
      </c>
      <c r="X192" s="4">
        <v>53.05</v>
      </c>
      <c r="Y192" s="4">
        <v>827.2</v>
      </c>
      <c r="Z192" s="4" t="s">
        <v>147</v>
      </c>
      <c r="AA192" s="4" t="s">
        <v>147</v>
      </c>
      <c r="AB192" s="4">
        <f>SUMIF('Trip Changes'!$B:$B,A192,'Trip Changes'!$E:$E)</f>
        <v>0</v>
      </c>
      <c r="AC192" s="4">
        <f>SUMIF('Trip Cancellations'!$B:$B,A192,'Trip Cancellations'!$E:$E)</f>
        <v>0</v>
      </c>
      <c r="AD192" s="4">
        <f>SUMIF('Trip Cancellations'!$B:$B,A192,'Trip Cancellations'!$F:$F)</f>
        <v>0</v>
      </c>
      <c r="AE192" s="4">
        <f t="shared" si="2"/>
        <v>827.2</v>
      </c>
      <c r="AF192" t="s">
        <v>148</v>
      </c>
      <c r="AG192">
        <v>5</v>
      </c>
      <c r="AH192" s="5">
        <v>176.1</v>
      </c>
      <c r="AI192" t="s">
        <v>148</v>
      </c>
    </row>
    <row r="193" spans="1:35">
      <c r="A193" t="s">
        <v>454</v>
      </c>
      <c r="B193" t="s">
        <v>452</v>
      </c>
      <c r="C193" t="s">
        <v>182</v>
      </c>
      <c r="D193" t="s">
        <v>168</v>
      </c>
      <c r="E193" t="s">
        <v>169</v>
      </c>
      <c r="F193" t="s">
        <v>162</v>
      </c>
      <c r="G193" s="3">
        <v>46212</v>
      </c>
      <c r="H193" s="3">
        <v>46230</v>
      </c>
      <c r="I193" s="3">
        <v>46235</v>
      </c>
      <c r="J193" t="s">
        <v>150</v>
      </c>
      <c r="K193" t="s">
        <v>182</v>
      </c>
      <c r="L193" t="s">
        <v>283</v>
      </c>
      <c r="M193" t="s">
        <v>152</v>
      </c>
      <c r="N193" t="s">
        <v>153</v>
      </c>
      <c r="O193">
        <v>11052</v>
      </c>
      <c r="P193">
        <v>18</v>
      </c>
      <c r="Q193" t="s">
        <v>145</v>
      </c>
      <c r="R193" t="s">
        <v>186</v>
      </c>
      <c r="S193" t="s">
        <v>164</v>
      </c>
      <c r="T193" s="4">
        <v>1091.74</v>
      </c>
      <c r="U193" s="4">
        <v>0</v>
      </c>
      <c r="V193" s="4">
        <v>4</v>
      </c>
      <c r="W193" s="4">
        <v>520.58000000000004</v>
      </c>
      <c r="X193" s="4">
        <v>114.08</v>
      </c>
      <c r="Y193" s="4">
        <v>1726.4</v>
      </c>
      <c r="Z193" s="4" t="s">
        <v>148</v>
      </c>
      <c r="AA193" s="4" t="s">
        <v>148</v>
      </c>
      <c r="AB193" s="4">
        <f>SUMIF('Trip Changes'!$B:$B,A193,'Trip Changes'!$E:$E)</f>
        <v>15</v>
      </c>
      <c r="AC193" s="4">
        <f>SUMIF('Trip Cancellations'!$B:$B,A193,'Trip Cancellations'!$E:$E)</f>
        <v>93.69</v>
      </c>
      <c r="AD193" s="4">
        <f>SUMIF('Trip Cancellations'!$B:$B,A193,'Trip Cancellations'!$F:$F)</f>
        <v>806.16</v>
      </c>
      <c r="AE193" s="4">
        <f t="shared" si="2"/>
        <v>1028.9300000000003</v>
      </c>
      <c r="AF193" t="s">
        <v>147</v>
      </c>
      <c r="AG193">
        <v>2</v>
      </c>
      <c r="AH193" s="5">
        <v>1657.8</v>
      </c>
      <c r="AI193" t="s">
        <v>148</v>
      </c>
    </row>
    <row r="194" spans="1:35">
      <c r="A194" t="s">
        <v>455</v>
      </c>
      <c r="B194" t="s">
        <v>452</v>
      </c>
      <c r="C194" t="s">
        <v>182</v>
      </c>
      <c r="D194" t="s">
        <v>168</v>
      </c>
      <c r="E194" t="s">
        <v>169</v>
      </c>
      <c r="F194" t="s">
        <v>140</v>
      </c>
      <c r="G194" s="3">
        <v>46193</v>
      </c>
      <c r="H194" s="3">
        <v>46198</v>
      </c>
      <c r="I194" s="3">
        <v>46202</v>
      </c>
      <c r="J194" t="s">
        <v>141</v>
      </c>
      <c r="K194" t="s">
        <v>182</v>
      </c>
      <c r="L194" t="s">
        <v>199</v>
      </c>
      <c r="M194" t="s">
        <v>152</v>
      </c>
      <c r="N194" t="s">
        <v>153</v>
      </c>
      <c r="O194">
        <v>1214</v>
      </c>
      <c r="P194">
        <v>5</v>
      </c>
      <c r="Q194" t="s">
        <v>145</v>
      </c>
      <c r="R194" t="s">
        <v>200</v>
      </c>
      <c r="S194" t="s">
        <v>173</v>
      </c>
      <c r="T194" s="4">
        <v>618.29999999999995</v>
      </c>
      <c r="U194" s="4">
        <v>0</v>
      </c>
      <c r="V194" s="4">
        <v>3</v>
      </c>
      <c r="W194" s="4">
        <v>704.35</v>
      </c>
      <c r="X194" s="4">
        <v>57.79</v>
      </c>
      <c r="Y194" s="4">
        <v>1380.44</v>
      </c>
      <c r="Z194" s="4" t="s">
        <v>147</v>
      </c>
      <c r="AA194" s="4" t="s">
        <v>147</v>
      </c>
      <c r="AB194" s="4">
        <f>SUMIF('Trip Changes'!$B:$B,A194,'Trip Changes'!$E:$E)</f>
        <v>0</v>
      </c>
      <c r="AC194" s="4">
        <f>SUMIF('Trip Cancellations'!$B:$B,A194,'Trip Cancellations'!$E:$E)</f>
        <v>0</v>
      </c>
      <c r="AD194" s="4">
        <f>SUMIF('Trip Cancellations'!$B:$B,A194,'Trip Cancellations'!$F:$F)</f>
        <v>0</v>
      </c>
      <c r="AE194" s="4">
        <f t="shared" ref="AE194:AE257" si="3">Y194+AB194+AC194-AD194</f>
        <v>1380.44</v>
      </c>
      <c r="AF194" t="s">
        <v>148</v>
      </c>
      <c r="AG194">
        <v>3</v>
      </c>
      <c r="AH194" s="5">
        <v>182.1</v>
      </c>
      <c r="AI194" t="s">
        <v>147</v>
      </c>
    </row>
    <row r="195" spans="1:35">
      <c r="A195" t="s">
        <v>456</v>
      </c>
      <c r="B195" t="s">
        <v>457</v>
      </c>
      <c r="C195" t="s">
        <v>182</v>
      </c>
      <c r="D195" t="s">
        <v>204</v>
      </c>
      <c r="E195" t="s">
        <v>268</v>
      </c>
      <c r="F195" t="s">
        <v>189</v>
      </c>
      <c r="G195" s="3">
        <v>46224</v>
      </c>
      <c r="H195" s="3">
        <v>46233</v>
      </c>
      <c r="I195" s="3">
        <v>46234</v>
      </c>
      <c r="J195" t="s">
        <v>150</v>
      </c>
      <c r="K195" t="s">
        <v>182</v>
      </c>
      <c r="L195" t="s">
        <v>182</v>
      </c>
      <c r="M195" t="s">
        <v>143</v>
      </c>
      <c r="N195" t="s">
        <v>144</v>
      </c>
      <c r="O195">
        <v>536</v>
      </c>
      <c r="P195">
        <v>9</v>
      </c>
      <c r="Q195" t="s">
        <v>145</v>
      </c>
      <c r="T195" s="4">
        <v>0</v>
      </c>
      <c r="U195" s="4">
        <v>121.9</v>
      </c>
      <c r="V195" s="4">
        <v>0</v>
      </c>
      <c r="W195" s="4">
        <v>0</v>
      </c>
      <c r="X195" s="4">
        <v>67.239999999999995</v>
      </c>
      <c r="Y195" s="4">
        <v>189.14</v>
      </c>
      <c r="Z195" s="4" t="s">
        <v>147</v>
      </c>
      <c r="AA195" s="4" t="s">
        <v>147</v>
      </c>
      <c r="AB195" s="4">
        <f>SUMIF('Trip Changes'!$B:$B,A195,'Trip Changes'!$E:$E)</f>
        <v>0</v>
      </c>
      <c r="AC195" s="4">
        <f>SUMIF('Trip Cancellations'!$B:$B,A195,'Trip Cancellations'!$E:$E)</f>
        <v>0</v>
      </c>
      <c r="AD195" s="4">
        <f>SUMIF('Trip Cancellations'!$B:$B,A195,'Trip Cancellations'!$F:$F)</f>
        <v>0</v>
      </c>
      <c r="AE195" s="4">
        <f t="shared" si="3"/>
        <v>189.14</v>
      </c>
      <c r="AF195" t="s">
        <v>148</v>
      </c>
      <c r="AG195">
        <v>4</v>
      </c>
      <c r="AH195" s="5">
        <v>21.4</v>
      </c>
      <c r="AI195" t="s">
        <v>147</v>
      </c>
    </row>
    <row r="196" spans="1:35">
      <c r="A196" t="s">
        <v>458</v>
      </c>
      <c r="B196" t="s">
        <v>457</v>
      </c>
      <c r="C196" t="s">
        <v>182</v>
      </c>
      <c r="D196" t="s">
        <v>204</v>
      </c>
      <c r="E196" t="s">
        <v>268</v>
      </c>
      <c r="F196" t="s">
        <v>178</v>
      </c>
      <c r="G196" s="3">
        <v>46172</v>
      </c>
      <c r="H196" s="3">
        <v>46173</v>
      </c>
      <c r="I196" s="3">
        <v>46175</v>
      </c>
      <c r="J196" t="s">
        <v>163</v>
      </c>
      <c r="K196" t="s">
        <v>182</v>
      </c>
      <c r="L196" t="s">
        <v>307</v>
      </c>
      <c r="M196" t="s">
        <v>143</v>
      </c>
      <c r="N196" t="s">
        <v>153</v>
      </c>
      <c r="O196">
        <v>378</v>
      </c>
      <c r="P196">
        <v>1</v>
      </c>
      <c r="Q196" t="s">
        <v>159</v>
      </c>
      <c r="R196" t="s">
        <v>176</v>
      </c>
      <c r="S196" t="s">
        <v>195</v>
      </c>
      <c r="T196" s="4">
        <v>512.52</v>
      </c>
      <c r="U196" s="4">
        <v>0</v>
      </c>
      <c r="V196" s="4">
        <v>1</v>
      </c>
      <c r="W196" s="4">
        <v>171.34</v>
      </c>
      <c r="X196" s="4">
        <v>43.9</v>
      </c>
      <c r="Y196" s="4">
        <v>727.76</v>
      </c>
      <c r="Z196" s="4" t="s">
        <v>147</v>
      </c>
      <c r="AA196" s="4" t="s">
        <v>147</v>
      </c>
      <c r="AB196" s="4">
        <f>SUMIF('Trip Changes'!$B:$B,A196,'Trip Changes'!$E:$E)</f>
        <v>0</v>
      </c>
      <c r="AC196" s="4">
        <f>SUMIF('Trip Cancellations'!$B:$B,A196,'Trip Cancellations'!$E:$E)</f>
        <v>0</v>
      </c>
      <c r="AD196" s="4">
        <f>SUMIF('Trip Cancellations'!$B:$B,A196,'Trip Cancellations'!$F:$F)</f>
        <v>0</v>
      </c>
      <c r="AE196" s="4">
        <f t="shared" si="3"/>
        <v>727.76</v>
      </c>
      <c r="AF196" t="s">
        <v>148</v>
      </c>
      <c r="AG196">
        <v>5</v>
      </c>
      <c r="AH196" s="5">
        <v>56.7</v>
      </c>
      <c r="AI196" t="s">
        <v>147</v>
      </c>
    </row>
    <row r="197" spans="1:35">
      <c r="A197" t="s">
        <v>459</v>
      </c>
      <c r="B197" t="s">
        <v>457</v>
      </c>
      <c r="C197" t="s">
        <v>182</v>
      </c>
      <c r="D197" t="s">
        <v>204</v>
      </c>
      <c r="E197" t="s">
        <v>268</v>
      </c>
      <c r="F197" t="s">
        <v>162</v>
      </c>
      <c r="G197" s="3">
        <v>46194</v>
      </c>
      <c r="H197" s="3">
        <v>46215</v>
      </c>
      <c r="I197" s="3">
        <v>46221</v>
      </c>
      <c r="J197" t="s">
        <v>150</v>
      </c>
      <c r="K197" t="s">
        <v>182</v>
      </c>
      <c r="L197" t="s">
        <v>199</v>
      </c>
      <c r="M197" t="s">
        <v>152</v>
      </c>
      <c r="N197" t="s">
        <v>153</v>
      </c>
      <c r="O197">
        <v>2476</v>
      </c>
      <c r="P197">
        <v>21</v>
      </c>
      <c r="Q197" t="s">
        <v>216</v>
      </c>
      <c r="R197" t="s">
        <v>291</v>
      </c>
      <c r="S197" t="s">
        <v>173</v>
      </c>
      <c r="T197" s="4">
        <v>266.48</v>
      </c>
      <c r="U197" s="4">
        <v>0</v>
      </c>
      <c r="V197" s="4">
        <v>5</v>
      </c>
      <c r="W197" s="4">
        <v>996.13</v>
      </c>
      <c r="X197" s="4">
        <v>82.03</v>
      </c>
      <c r="Y197" s="4">
        <v>1344.64</v>
      </c>
      <c r="Z197" s="4" t="s">
        <v>147</v>
      </c>
      <c r="AA197" s="4" t="s">
        <v>147</v>
      </c>
      <c r="AB197" s="4">
        <f>SUMIF('Trip Changes'!$B:$B,A197,'Trip Changes'!$E:$E)</f>
        <v>0</v>
      </c>
      <c r="AC197" s="4">
        <f>SUMIF('Trip Cancellations'!$B:$B,A197,'Trip Cancellations'!$E:$E)</f>
        <v>0</v>
      </c>
      <c r="AD197" s="4">
        <f>SUMIF('Trip Cancellations'!$B:$B,A197,'Trip Cancellations'!$F:$F)</f>
        <v>0</v>
      </c>
      <c r="AE197" s="4">
        <f t="shared" si="3"/>
        <v>1344.64</v>
      </c>
      <c r="AF197" t="s">
        <v>148</v>
      </c>
      <c r="AG197">
        <v>5</v>
      </c>
      <c r="AH197" s="5">
        <v>371.4</v>
      </c>
      <c r="AI197" t="s">
        <v>148</v>
      </c>
    </row>
    <row r="198" spans="1:35">
      <c r="A198" t="s">
        <v>460</v>
      </c>
      <c r="B198" t="s">
        <v>457</v>
      </c>
      <c r="C198" t="s">
        <v>182</v>
      </c>
      <c r="D198" t="s">
        <v>204</v>
      </c>
      <c r="E198" t="s">
        <v>268</v>
      </c>
      <c r="F198" t="s">
        <v>140</v>
      </c>
      <c r="G198" s="3">
        <v>46192</v>
      </c>
      <c r="H198" s="3">
        <v>46209</v>
      </c>
      <c r="I198" s="3">
        <v>46212</v>
      </c>
      <c r="J198" t="s">
        <v>150</v>
      </c>
      <c r="K198" t="s">
        <v>182</v>
      </c>
      <c r="L198" t="s">
        <v>151</v>
      </c>
      <c r="M198" t="s">
        <v>152</v>
      </c>
      <c r="N198" t="s">
        <v>153</v>
      </c>
      <c r="O198">
        <v>1958</v>
      </c>
      <c r="P198">
        <v>17</v>
      </c>
      <c r="Q198" t="s">
        <v>145</v>
      </c>
      <c r="R198" t="s">
        <v>154</v>
      </c>
      <c r="S198" t="s">
        <v>187</v>
      </c>
      <c r="T198" s="4">
        <v>288.8</v>
      </c>
      <c r="U198" s="4">
        <v>0</v>
      </c>
      <c r="V198" s="4">
        <v>2</v>
      </c>
      <c r="W198" s="4">
        <v>399.83</v>
      </c>
      <c r="X198" s="4">
        <v>99.18</v>
      </c>
      <c r="Y198" s="4">
        <v>787.81</v>
      </c>
      <c r="Z198" s="4" t="s">
        <v>147</v>
      </c>
      <c r="AA198" s="4" t="s">
        <v>147</v>
      </c>
      <c r="AB198" s="4">
        <f>SUMIF('Trip Changes'!$B:$B,A198,'Trip Changes'!$E:$E)</f>
        <v>0</v>
      </c>
      <c r="AC198" s="4">
        <f>SUMIF('Trip Cancellations'!$B:$B,A198,'Trip Cancellations'!$E:$E)</f>
        <v>0</v>
      </c>
      <c r="AD198" s="4">
        <f>SUMIF('Trip Cancellations'!$B:$B,A198,'Trip Cancellations'!$F:$F)</f>
        <v>0</v>
      </c>
      <c r="AE198" s="4">
        <f t="shared" si="3"/>
        <v>787.81</v>
      </c>
      <c r="AF198" t="s">
        <v>148</v>
      </c>
      <c r="AG198">
        <v>4</v>
      </c>
      <c r="AH198" s="5">
        <v>293.7</v>
      </c>
      <c r="AI198" t="s">
        <v>147</v>
      </c>
    </row>
    <row r="199" spans="1:35">
      <c r="A199" t="s">
        <v>461</v>
      </c>
      <c r="B199" t="s">
        <v>462</v>
      </c>
      <c r="C199" t="s">
        <v>193</v>
      </c>
      <c r="D199" t="s">
        <v>248</v>
      </c>
      <c r="E199" t="s">
        <v>262</v>
      </c>
      <c r="F199" t="s">
        <v>178</v>
      </c>
      <c r="G199" s="3">
        <v>46116</v>
      </c>
      <c r="H199" s="3">
        <v>46144</v>
      </c>
      <c r="I199" s="3">
        <v>46152</v>
      </c>
      <c r="J199" t="s">
        <v>163</v>
      </c>
      <c r="K199" t="s">
        <v>193</v>
      </c>
      <c r="L199" t="s">
        <v>179</v>
      </c>
      <c r="M199" t="s">
        <v>152</v>
      </c>
      <c r="N199" t="s">
        <v>153</v>
      </c>
      <c r="O199">
        <v>19892</v>
      </c>
      <c r="P199">
        <v>28</v>
      </c>
      <c r="Q199" t="s">
        <v>145</v>
      </c>
      <c r="R199" t="s">
        <v>154</v>
      </c>
      <c r="S199" t="s">
        <v>187</v>
      </c>
      <c r="T199" s="4">
        <v>1516.32</v>
      </c>
      <c r="U199" s="4">
        <v>0</v>
      </c>
      <c r="V199" s="4">
        <v>7</v>
      </c>
      <c r="W199" s="4">
        <v>1299.0899999999999</v>
      </c>
      <c r="X199" s="4">
        <v>64.84</v>
      </c>
      <c r="Y199" s="4">
        <v>2880.25</v>
      </c>
      <c r="Z199" s="4" t="s">
        <v>147</v>
      </c>
      <c r="AA199" s="4" t="s">
        <v>147</v>
      </c>
      <c r="AB199" s="4">
        <f>SUMIF('Trip Changes'!$B:$B,A199,'Trip Changes'!$E:$E)</f>
        <v>0</v>
      </c>
      <c r="AC199" s="4">
        <f>SUMIF('Trip Cancellations'!$B:$B,A199,'Trip Cancellations'!$E:$E)</f>
        <v>0</v>
      </c>
      <c r="AD199" s="4">
        <f>SUMIF('Trip Cancellations'!$B:$B,A199,'Trip Cancellations'!$F:$F)</f>
        <v>0</v>
      </c>
      <c r="AE199" s="4">
        <f t="shared" si="3"/>
        <v>2880.25</v>
      </c>
      <c r="AF199" t="s">
        <v>148</v>
      </c>
      <c r="AG199">
        <v>5</v>
      </c>
      <c r="AH199" s="5">
        <v>2983.8</v>
      </c>
      <c r="AI199" t="s">
        <v>147</v>
      </c>
    </row>
    <row r="200" spans="1:35">
      <c r="A200" t="s">
        <v>463</v>
      </c>
      <c r="B200" t="s">
        <v>462</v>
      </c>
      <c r="C200" t="s">
        <v>193</v>
      </c>
      <c r="D200" t="s">
        <v>248</v>
      </c>
      <c r="E200" t="s">
        <v>262</v>
      </c>
      <c r="F200" t="s">
        <v>162</v>
      </c>
      <c r="G200" s="3">
        <v>46173</v>
      </c>
      <c r="H200" s="3">
        <v>46184</v>
      </c>
      <c r="I200" s="3">
        <v>46189</v>
      </c>
      <c r="J200" t="s">
        <v>141</v>
      </c>
      <c r="K200" t="s">
        <v>193</v>
      </c>
      <c r="L200" t="s">
        <v>158</v>
      </c>
      <c r="M200" t="s">
        <v>152</v>
      </c>
      <c r="N200" t="s">
        <v>153</v>
      </c>
      <c r="O200">
        <v>3068</v>
      </c>
      <c r="P200">
        <v>11</v>
      </c>
      <c r="Q200" t="s">
        <v>145</v>
      </c>
      <c r="R200" t="s">
        <v>236</v>
      </c>
      <c r="S200" t="s">
        <v>187</v>
      </c>
      <c r="T200" s="4">
        <v>250.32</v>
      </c>
      <c r="U200" s="4">
        <v>0</v>
      </c>
      <c r="V200" s="4">
        <v>4</v>
      </c>
      <c r="W200" s="4">
        <v>844</v>
      </c>
      <c r="X200" s="4">
        <v>74.77</v>
      </c>
      <c r="Y200" s="4">
        <v>1169.0899999999999</v>
      </c>
      <c r="Z200" s="4" t="s">
        <v>147</v>
      </c>
      <c r="AA200" s="4" t="s">
        <v>147</v>
      </c>
      <c r="AB200" s="4">
        <f>SUMIF('Trip Changes'!$B:$B,A200,'Trip Changes'!$E:$E)</f>
        <v>0</v>
      </c>
      <c r="AC200" s="4">
        <f>SUMIF('Trip Cancellations'!$B:$B,A200,'Trip Cancellations'!$E:$E)</f>
        <v>0</v>
      </c>
      <c r="AD200" s="4">
        <f>SUMIF('Trip Cancellations'!$B:$B,A200,'Trip Cancellations'!$F:$F)</f>
        <v>0</v>
      </c>
      <c r="AE200" s="4">
        <f t="shared" si="3"/>
        <v>1169.0899999999999</v>
      </c>
      <c r="AF200" t="s">
        <v>148</v>
      </c>
      <c r="AG200">
        <v>4</v>
      </c>
      <c r="AH200" s="5">
        <v>460.2</v>
      </c>
      <c r="AI200" t="s">
        <v>147</v>
      </c>
    </row>
    <row r="201" spans="1:35">
      <c r="A201" t="s">
        <v>464</v>
      </c>
      <c r="B201" t="s">
        <v>462</v>
      </c>
      <c r="C201" t="s">
        <v>193</v>
      </c>
      <c r="D201" t="s">
        <v>248</v>
      </c>
      <c r="E201" t="s">
        <v>262</v>
      </c>
      <c r="F201" t="s">
        <v>189</v>
      </c>
      <c r="G201" s="3">
        <v>46183</v>
      </c>
      <c r="H201" s="3">
        <v>46202</v>
      </c>
      <c r="I201" s="3">
        <v>46206</v>
      </c>
      <c r="J201" t="s">
        <v>141</v>
      </c>
      <c r="K201" t="s">
        <v>193</v>
      </c>
      <c r="L201" t="s">
        <v>185</v>
      </c>
      <c r="M201" t="s">
        <v>152</v>
      </c>
      <c r="N201" t="s">
        <v>153</v>
      </c>
      <c r="O201">
        <v>12414</v>
      </c>
      <c r="P201">
        <v>19</v>
      </c>
      <c r="Q201" t="s">
        <v>145</v>
      </c>
      <c r="R201" t="s">
        <v>186</v>
      </c>
      <c r="S201" t="s">
        <v>187</v>
      </c>
      <c r="T201" s="4">
        <v>838.43</v>
      </c>
      <c r="U201" s="4">
        <v>0</v>
      </c>
      <c r="V201" s="4">
        <v>3</v>
      </c>
      <c r="W201" s="4">
        <v>651.28</v>
      </c>
      <c r="X201" s="4">
        <v>148.6</v>
      </c>
      <c r="Y201" s="4">
        <v>1638.31</v>
      </c>
      <c r="Z201" s="4" t="s">
        <v>147</v>
      </c>
      <c r="AA201" s="4" t="s">
        <v>147</v>
      </c>
      <c r="AB201" s="4">
        <f>SUMIF('Trip Changes'!$B:$B,A201,'Trip Changes'!$E:$E)</f>
        <v>0</v>
      </c>
      <c r="AC201" s="4">
        <f>SUMIF('Trip Cancellations'!$B:$B,A201,'Trip Cancellations'!$E:$E)</f>
        <v>0</v>
      </c>
      <c r="AD201" s="4">
        <f>SUMIF('Trip Cancellations'!$B:$B,A201,'Trip Cancellations'!$F:$F)</f>
        <v>0</v>
      </c>
      <c r="AE201" s="4">
        <f t="shared" si="3"/>
        <v>1638.31</v>
      </c>
      <c r="AF201" t="s">
        <v>148</v>
      </c>
      <c r="AG201">
        <v>5</v>
      </c>
      <c r="AH201" s="5">
        <v>1862.1</v>
      </c>
      <c r="AI201" t="s">
        <v>148</v>
      </c>
    </row>
    <row r="202" spans="1:35">
      <c r="A202" t="s">
        <v>465</v>
      </c>
      <c r="B202" t="s">
        <v>466</v>
      </c>
      <c r="C202" t="s">
        <v>167</v>
      </c>
      <c r="D202" t="s">
        <v>168</v>
      </c>
      <c r="E202" t="s">
        <v>249</v>
      </c>
      <c r="F202" t="s">
        <v>157</v>
      </c>
      <c r="G202" s="3">
        <v>46163</v>
      </c>
      <c r="H202" s="3">
        <v>46184</v>
      </c>
      <c r="I202" s="3">
        <v>46187</v>
      </c>
      <c r="J202" t="s">
        <v>141</v>
      </c>
      <c r="K202" t="s">
        <v>167</v>
      </c>
      <c r="L202" t="s">
        <v>182</v>
      </c>
      <c r="M202" t="s">
        <v>143</v>
      </c>
      <c r="N202" t="s">
        <v>144</v>
      </c>
      <c r="O202">
        <v>868</v>
      </c>
      <c r="P202">
        <v>21</v>
      </c>
      <c r="Q202" t="s">
        <v>207</v>
      </c>
      <c r="S202" t="s">
        <v>155</v>
      </c>
      <c r="T202" s="4">
        <v>0</v>
      </c>
      <c r="U202" s="4">
        <v>276.70999999999998</v>
      </c>
      <c r="V202" s="4">
        <v>2</v>
      </c>
      <c r="W202" s="4">
        <v>284.70999999999998</v>
      </c>
      <c r="X202" s="4">
        <v>61.9</v>
      </c>
      <c r="Y202" s="4">
        <v>623.32000000000005</v>
      </c>
      <c r="Z202" s="4" t="s">
        <v>147</v>
      </c>
      <c r="AA202" s="4" t="s">
        <v>147</v>
      </c>
      <c r="AB202" s="4">
        <f>SUMIF('Trip Changes'!$B:$B,A202,'Trip Changes'!$E:$E)</f>
        <v>0</v>
      </c>
      <c r="AC202" s="4">
        <f>SUMIF('Trip Cancellations'!$B:$B,A202,'Trip Cancellations'!$E:$E)</f>
        <v>0</v>
      </c>
      <c r="AD202" s="4">
        <f>SUMIF('Trip Cancellations'!$B:$B,A202,'Trip Cancellations'!$F:$F)</f>
        <v>0</v>
      </c>
      <c r="AE202" s="4">
        <f t="shared" si="3"/>
        <v>623.32000000000005</v>
      </c>
      <c r="AF202" t="s">
        <v>148</v>
      </c>
      <c r="AG202">
        <v>5</v>
      </c>
      <c r="AH202" s="5">
        <v>34.700000000000003</v>
      </c>
      <c r="AI202" t="s">
        <v>148</v>
      </c>
    </row>
    <row r="203" spans="1:35">
      <c r="A203" t="s">
        <v>467</v>
      </c>
      <c r="B203" t="s">
        <v>466</v>
      </c>
      <c r="C203" t="s">
        <v>167</v>
      </c>
      <c r="D203" t="s">
        <v>168</v>
      </c>
      <c r="E203" t="s">
        <v>249</v>
      </c>
      <c r="F203" t="s">
        <v>162</v>
      </c>
      <c r="G203" s="3">
        <v>46168</v>
      </c>
      <c r="H203" s="3">
        <v>46174</v>
      </c>
      <c r="I203" s="3">
        <v>46178</v>
      </c>
      <c r="J203" t="s">
        <v>141</v>
      </c>
      <c r="K203" t="s">
        <v>167</v>
      </c>
      <c r="L203" t="s">
        <v>305</v>
      </c>
      <c r="M203" t="s">
        <v>152</v>
      </c>
      <c r="N203" t="s">
        <v>153</v>
      </c>
      <c r="O203">
        <v>11962</v>
      </c>
      <c r="P203">
        <v>6</v>
      </c>
      <c r="Q203" t="s">
        <v>145</v>
      </c>
      <c r="R203" t="s">
        <v>278</v>
      </c>
      <c r="S203" t="s">
        <v>164</v>
      </c>
      <c r="T203" s="4">
        <v>651.74</v>
      </c>
      <c r="U203" s="4">
        <v>0</v>
      </c>
      <c r="V203" s="4">
        <v>3</v>
      </c>
      <c r="W203" s="4">
        <v>552.17999999999995</v>
      </c>
      <c r="X203" s="4">
        <v>64.28</v>
      </c>
      <c r="Y203" s="4">
        <v>1268.2</v>
      </c>
      <c r="Z203" s="4" t="s">
        <v>147</v>
      </c>
      <c r="AA203" s="4" t="s">
        <v>147</v>
      </c>
      <c r="AB203" s="4">
        <f>SUMIF('Trip Changes'!$B:$B,A203,'Trip Changes'!$E:$E)</f>
        <v>0</v>
      </c>
      <c r="AC203" s="4">
        <f>SUMIF('Trip Cancellations'!$B:$B,A203,'Trip Cancellations'!$E:$E)</f>
        <v>0</v>
      </c>
      <c r="AD203" s="4">
        <f>SUMIF('Trip Cancellations'!$B:$B,A203,'Trip Cancellations'!$F:$F)</f>
        <v>0</v>
      </c>
      <c r="AE203" s="4">
        <f t="shared" si="3"/>
        <v>1268.2</v>
      </c>
      <c r="AF203" t="s">
        <v>148</v>
      </c>
      <c r="AG203">
        <v>4</v>
      </c>
      <c r="AH203" s="5">
        <v>1794.3</v>
      </c>
      <c r="AI203" t="s">
        <v>148</v>
      </c>
    </row>
    <row r="204" spans="1:35">
      <c r="A204" t="s">
        <v>468</v>
      </c>
      <c r="B204" t="s">
        <v>466</v>
      </c>
      <c r="C204" t="s">
        <v>167</v>
      </c>
      <c r="D204" t="s">
        <v>168</v>
      </c>
      <c r="E204" t="s">
        <v>249</v>
      </c>
      <c r="F204" t="s">
        <v>170</v>
      </c>
      <c r="G204" s="3">
        <v>46146</v>
      </c>
      <c r="H204" s="3">
        <v>46161</v>
      </c>
      <c r="I204" s="3">
        <v>46166</v>
      </c>
      <c r="J204" t="s">
        <v>163</v>
      </c>
      <c r="K204" t="s">
        <v>167</v>
      </c>
      <c r="L204" t="s">
        <v>151</v>
      </c>
      <c r="M204" t="s">
        <v>152</v>
      </c>
      <c r="N204" t="s">
        <v>153</v>
      </c>
      <c r="O204">
        <v>3524</v>
      </c>
      <c r="P204">
        <v>15</v>
      </c>
      <c r="Q204" t="s">
        <v>145</v>
      </c>
      <c r="R204" t="s">
        <v>172</v>
      </c>
      <c r="S204" t="s">
        <v>173</v>
      </c>
      <c r="T204" s="4">
        <v>323.08</v>
      </c>
      <c r="U204" s="4">
        <v>0</v>
      </c>
      <c r="V204" s="4">
        <v>4</v>
      </c>
      <c r="W204" s="4">
        <v>847.9</v>
      </c>
      <c r="X204" s="4">
        <v>96.92</v>
      </c>
      <c r="Y204" s="4">
        <v>1267.9000000000001</v>
      </c>
      <c r="Z204" s="4" t="s">
        <v>148</v>
      </c>
      <c r="AA204" s="4" t="s">
        <v>148</v>
      </c>
      <c r="AB204" s="4">
        <f>SUMIF('Trip Changes'!$B:$B,A204,'Trip Changes'!$E:$E)</f>
        <v>154.64999999999998</v>
      </c>
      <c r="AC204" s="4">
        <f>SUMIF('Trip Cancellations'!$B:$B,A204,'Trip Cancellations'!$E:$E)</f>
        <v>74.67</v>
      </c>
      <c r="AD204" s="4">
        <f>SUMIF('Trip Cancellations'!$B:$B,A204,'Trip Cancellations'!$F:$F)</f>
        <v>585.49</v>
      </c>
      <c r="AE204" s="4">
        <f t="shared" si="3"/>
        <v>911.73000000000025</v>
      </c>
      <c r="AF204" t="s">
        <v>148</v>
      </c>
      <c r="AG204">
        <v>2</v>
      </c>
      <c r="AH204" s="5">
        <v>528.6</v>
      </c>
      <c r="AI204" t="s">
        <v>148</v>
      </c>
    </row>
    <row r="205" spans="1:35">
      <c r="A205" t="s">
        <v>469</v>
      </c>
      <c r="B205" t="s">
        <v>466</v>
      </c>
      <c r="C205" t="s">
        <v>167</v>
      </c>
      <c r="D205" t="s">
        <v>168</v>
      </c>
      <c r="E205" t="s">
        <v>249</v>
      </c>
      <c r="F205" t="s">
        <v>162</v>
      </c>
      <c r="G205" s="3">
        <v>46178</v>
      </c>
      <c r="H205" s="3">
        <v>46204</v>
      </c>
      <c r="I205" s="3">
        <v>46209</v>
      </c>
      <c r="J205" t="s">
        <v>150</v>
      </c>
      <c r="K205" t="s">
        <v>167</v>
      </c>
      <c r="L205" t="s">
        <v>283</v>
      </c>
      <c r="M205" t="s">
        <v>152</v>
      </c>
      <c r="N205" t="s">
        <v>153</v>
      </c>
      <c r="O205">
        <v>10902</v>
      </c>
      <c r="P205">
        <v>26</v>
      </c>
      <c r="Q205" t="s">
        <v>145</v>
      </c>
      <c r="R205" t="s">
        <v>154</v>
      </c>
      <c r="S205" t="s">
        <v>155</v>
      </c>
      <c r="T205" s="4">
        <v>1057.9000000000001</v>
      </c>
      <c r="U205" s="4">
        <v>0</v>
      </c>
      <c r="V205" s="4">
        <v>4</v>
      </c>
      <c r="W205" s="4">
        <v>894.57</v>
      </c>
      <c r="X205" s="4">
        <v>66.52</v>
      </c>
      <c r="Y205" s="4">
        <v>2018.99</v>
      </c>
      <c r="Z205" s="4" t="s">
        <v>147</v>
      </c>
      <c r="AA205" s="4" t="s">
        <v>147</v>
      </c>
      <c r="AB205" s="4">
        <f>SUMIF('Trip Changes'!$B:$B,A205,'Trip Changes'!$E:$E)</f>
        <v>0</v>
      </c>
      <c r="AC205" s="4">
        <f>SUMIF('Trip Cancellations'!$B:$B,A205,'Trip Cancellations'!$E:$E)</f>
        <v>0</v>
      </c>
      <c r="AD205" s="4">
        <f>SUMIF('Trip Cancellations'!$B:$B,A205,'Trip Cancellations'!$F:$F)</f>
        <v>0</v>
      </c>
      <c r="AE205" s="4">
        <f t="shared" si="3"/>
        <v>2018.99</v>
      </c>
      <c r="AF205" t="s">
        <v>148</v>
      </c>
      <c r="AG205">
        <v>5</v>
      </c>
      <c r="AH205" s="5">
        <v>1635.3</v>
      </c>
      <c r="AI205" t="s">
        <v>148</v>
      </c>
    </row>
    <row r="206" spans="1:35">
      <c r="A206" t="s">
        <v>470</v>
      </c>
      <c r="B206" t="s">
        <v>466</v>
      </c>
      <c r="C206" t="s">
        <v>167</v>
      </c>
      <c r="D206" t="s">
        <v>168</v>
      </c>
      <c r="E206" t="s">
        <v>249</v>
      </c>
      <c r="F206" t="s">
        <v>140</v>
      </c>
      <c r="G206" s="3">
        <v>46198</v>
      </c>
      <c r="H206" s="3">
        <v>46207</v>
      </c>
      <c r="I206" s="3">
        <v>46210</v>
      </c>
      <c r="J206" t="s">
        <v>150</v>
      </c>
      <c r="K206" t="s">
        <v>167</v>
      </c>
      <c r="L206" t="s">
        <v>193</v>
      </c>
      <c r="M206" t="s">
        <v>143</v>
      </c>
      <c r="N206" t="s">
        <v>144</v>
      </c>
      <c r="O206">
        <v>1108</v>
      </c>
      <c r="P206">
        <v>9</v>
      </c>
      <c r="Q206" t="s">
        <v>216</v>
      </c>
      <c r="S206" t="s">
        <v>146</v>
      </c>
      <c r="T206" s="4">
        <v>0</v>
      </c>
      <c r="U206" s="4">
        <v>216.27</v>
      </c>
      <c r="V206" s="4">
        <v>2</v>
      </c>
      <c r="W206" s="4">
        <v>202.57</v>
      </c>
      <c r="X206" s="4">
        <v>77.31</v>
      </c>
      <c r="Y206" s="4">
        <v>496.15</v>
      </c>
      <c r="Z206" s="4" t="s">
        <v>147</v>
      </c>
      <c r="AA206" s="4" t="s">
        <v>147</v>
      </c>
      <c r="AB206" s="4">
        <f>SUMIF('Trip Changes'!$B:$B,A206,'Trip Changes'!$E:$E)</f>
        <v>0</v>
      </c>
      <c r="AC206" s="4">
        <f>SUMIF('Trip Cancellations'!$B:$B,A206,'Trip Cancellations'!$E:$E)</f>
        <v>0</v>
      </c>
      <c r="AD206" s="4">
        <f>SUMIF('Trip Cancellations'!$B:$B,A206,'Trip Cancellations'!$F:$F)</f>
        <v>0</v>
      </c>
      <c r="AE206" s="4">
        <f t="shared" si="3"/>
        <v>496.15</v>
      </c>
      <c r="AF206" t="s">
        <v>147</v>
      </c>
      <c r="AG206">
        <v>5</v>
      </c>
      <c r="AH206" s="5">
        <v>44.3</v>
      </c>
      <c r="AI206" t="s">
        <v>147</v>
      </c>
    </row>
    <row r="207" spans="1:35">
      <c r="A207" t="s">
        <v>471</v>
      </c>
      <c r="B207" t="s">
        <v>466</v>
      </c>
      <c r="C207" t="s">
        <v>167</v>
      </c>
      <c r="D207" t="s">
        <v>168</v>
      </c>
      <c r="E207" t="s">
        <v>249</v>
      </c>
      <c r="F207" t="s">
        <v>170</v>
      </c>
      <c r="G207" s="3">
        <v>46153</v>
      </c>
      <c r="H207" s="3">
        <v>46161</v>
      </c>
      <c r="I207" s="3">
        <v>46165</v>
      </c>
      <c r="J207" t="s">
        <v>163</v>
      </c>
      <c r="K207" t="s">
        <v>167</v>
      </c>
      <c r="L207" t="s">
        <v>225</v>
      </c>
      <c r="M207" t="s">
        <v>152</v>
      </c>
      <c r="N207" t="s">
        <v>153</v>
      </c>
      <c r="O207">
        <v>3098</v>
      </c>
      <c r="P207">
        <v>8</v>
      </c>
      <c r="Q207" t="s">
        <v>145</v>
      </c>
      <c r="R207" t="s">
        <v>236</v>
      </c>
      <c r="S207" t="s">
        <v>164</v>
      </c>
      <c r="T207" s="4">
        <v>454.66</v>
      </c>
      <c r="U207" s="4">
        <v>0</v>
      </c>
      <c r="V207" s="4">
        <v>3</v>
      </c>
      <c r="W207" s="4">
        <v>623.57000000000005</v>
      </c>
      <c r="X207" s="4">
        <v>34.61</v>
      </c>
      <c r="Y207" s="4">
        <v>1112.8399999999999</v>
      </c>
      <c r="Z207" s="4" t="s">
        <v>147</v>
      </c>
      <c r="AA207" s="4" t="s">
        <v>147</v>
      </c>
      <c r="AB207" s="4">
        <f>SUMIF('Trip Changes'!$B:$B,A207,'Trip Changes'!$E:$E)</f>
        <v>0</v>
      </c>
      <c r="AC207" s="4">
        <f>SUMIF('Trip Cancellations'!$B:$B,A207,'Trip Cancellations'!$E:$E)</f>
        <v>0</v>
      </c>
      <c r="AD207" s="4">
        <f>SUMIF('Trip Cancellations'!$B:$B,A207,'Trip Cancellations'!$F:$F)</f>
        <v>0</v>
      </c>
      <c r="AE207" s="4">
        <f t="shared" si="3"/>
        <v>1112.8399999999999</v>
      </c>
      <c r="AF207" t="s">
        <v>148</v>
      </c>
      <c r="AG207">
        <v>4</v>
      </c>
      <c r="AH207" s="5">
        <v>464.7</v>
      </c>
      <c r="AI207" t="s">
        <v>147</v>
      </c>
    </row>
    <row r="208" spans="1:35">
      <c r="A208" t="s">
        <v>472</v>
      </c>
      <c r="B208" t="s">
        <v>466</v>
      </c>
      <c r="C208" t="s">
        <v>167</v>
      </c>
      <c r="D208" t="s">
        <v>168</v>
      </c>
      <c r="E208" t="s">
        <v>249</v>
      </c>
      <c r="F208" t="s">
        <v>170</v>
      </c>
      <c r="G208" s="3">
        <v>46166</v>
      </c>
      <c r="H208" s="3">
        <v>46185</v>
      </c>
      <c r="I208" s="3">
        <v>46187</v>
      </c>
      <c r="J208" t="s">
        <v>141</v>
      </c>
      <c r="K208" t="s">
        <v>167</v>
      </c>
      <c r="L208" t="s">
        <v>193</v>
      </c>
      <c r="M208" t="s">
        <v>143</v>
      </c>
      <c r="N208" t="s">
        <v>153</v>
      </c>
      <c r="O208">
        <v>1272</v>
      </c>
      <c r="P208">
        <v>19</v>
      </c>
      <c r="Q208" t="s">
        <v>145</v>
      </c>
      <c r="R208" t="s">
        <v>176</v>
      </c>
      <c r="S208" t="s">
        <v>146</v>
      </c>
      <c r="T208" s="4">
        <v>148.77000000000001</v>
      </c>
      <c r="U208" s="4">
        <v>0</v>
      </c>
      <c r="V208" s="4">
        <v>1</v>
      </c>
      <c r="W208" s="4">
        <v>141.96</v>
      </c>
      <c r="X208" s="4">
        <v>61.13</v>
      </c>
      <c r="Y208" s="4">
        <v>351.86</v>
      </c>
      <c r="Z208" s="4" t="s">
        <v>147</v>
      </c>
      <c r="AA208" s="4" t="s">
        <v>147</v>
      </c>
      <c r="AB208" s="4">
        <f>SUMIF('Trip Changes'!$B:$B,A208,'Trip Changes'!$E:$E)</f>
        <v>0</v>
      </c>
      <c r="AC208" s="4">
        <f>SUMIF('Trip Cancellations'!$B:$B,A208,'Trip Cancellations'!$E:$E)</f>
        <v>0</v>
      </c>
      <c r="AD208" s="4">
        <f>SUMIF('Trip Cancellations'!$B:$B,A208,'Trip Cancellations'!$F:$F)</f>
        <v>0</v>
      </c>
      <c r="AE208" s="4">
        <f t="shared" si="3"/>
        <v>351.86</v>
      </c>
      <c r="AF208" t="s">
        <v>148</v>
      </c>
      <c r="AG208">
        <v>4</v>
      </c>
      <c r="AH208" s="5">
        <v>190.8</v>
      </c>
      <c r="AI208" t="s">
        <v>148</v>
      </c>
    </row>
    <row r="209" spans="1:35">
      <c r="A209" t="s">
        <v>473</v>
      </c>
      <c r="B209" t="s">
        <v>474</v>
      </c>
      <c r="C209" t="s">
        <v>182</v>
      </c>
      <c r="D209" t="s">
        <v>230</v>
      </c>
      <c r="E209" t="s">
        <v>205</v>
      </c>
      <c r="F209" t="s">
        <v>157</v>
      </c>
      <c r="G209" s="3">
        <v>46113</v>
      </c>
      <c r="H209" s="3">
        <v>46146</v>
      </c>
      <c r="I209" s="3">
        <v>46152</v>
      </c>
      <c r="J209" t="s">
        <v>163</v>
      </c>
      <c r="K209" t="s">
        <v>182</v>
      </c>
      <c r="L209" t="s">
        <v>179</v>
      </c>
      <c r="M209" t="s">
        <v>152</v>
      </c>
      <c r="N209" t="s">
        <v>153</v>
      </c>
      <c r="O209">
        <v>19990</v>
      </c>
      <c r="P209">
        <v>33</v>
      </c>
      <c r="Q209" t="s">
        <v>145</v>
      </c>
      <c r="R209" t="s">
        <v>154</v>
      </c>
      <c r="S209" t="s">
        <v>155</v>
      </c>
      <c r="T209" s="4">
        <v>1683.81</v>
      </c>
      <c r="U209" s="4">
        <v>0</v>
      </c>
      <c r="V209" s="4">
        <v>5</v>
      </c>
      <c r="W209" s="4">
        <v>848.1</v>
      </c>
      <c r="X209" s="4">
        <v>110.33</v>
      </c>
      <c r="Y209" s="4">
        <v>2642.24</v>
      </c>
      <c r="Z209" s="4" t="s">
        <v>147</v>
      </c>
      <c r="AA209" s="4" t="s">
        <v>147</v>
      </c>
      <c r="AB209" s="4">
        <f>SUMIF('Trip Changes'!$B:$B,A209,'Trip Changes'!$E:$E)</f>
        <v>0</v>
      </c>
      <c r="AC209" s="4">
        <f>SUMIF('Trip Cancellations'!$B:$B,A209,'Trip Cancellations'!$E:$E)</f>
        <v>0</v>
      </c>
      <c r="AD209" s="4">
        <f>SUMIF('Trip Cancellations'!$B:$B,A209,'Trip Cancellations'!$F:$F)</f>
        <v>0</v>
      </c>
      <c r="AE209" s="4">
        <f t="shared" si="3"/>
        <v>2642.24</v>
      </c>
      <c r="AF209" t="s">
        <v>148</v>
      </c>
      <c r="AG209">
        <v>4</v>
      </c>
      <c r="AH209" s="5">
        <v>2998.5</v>
      </c>
      <c r="AI209" t="s">
        <v>147</v>
      </c>
    </row>
    <row r="210" spans="1:35">
      <c r="A210" t="s">
        <v>475</v>
      </c>
      <c r="B210" t="s">
        <v>474</v>
      </c>
      <c r="C210" t="s">
        <v>182</v>
      </c>
      <c r="D210" t="s">
        <v>230</v>
      </c>
      <c r="E210" t="s">
        <v>205</v>
      </c>
      <c r="F210" t="s">
        <v>162</v>
      </c>
      <c r="G210" s="3">
        <v>46128</v>
      </c>
      <c r="H210" s="3">
        <v>46158</v>
      </c>
      <c r="I210" s="3">
        <v>46161</v>
      </c>
      <c r="J210" t="s">
        <v>163</v>
      </c>
      <c r="K210" t="s">
        <v>182</v>
      </c>
      <c r="L210" t="s">
        <v>225</v>
      </c>
      <c r="M210" t="s">
        <v>152</v>
      </c>
      <c r="N210" t="s">
        <v>153</v>
      </c>
      <c r="O210">
        <v>2204</v>
      </c>
      <c r="P210">
        <v>30</v>
      </c>
      <c r="Q210" t="s">
        <v>159</v>
      </c>
      <c r="R210" t="s">
        <v>236</v>
      </c>
      <c r="S210" t="s">
        <v>190</v>
      </c>
      <c r="T210" s="4">
        <v>150</v>
      </c>
      <c r="U210" s="4">
        <v>0</v>
      </c>
      <c r="V210" s="4">
        <v>2</v>
      </c>
      <c r="W210" s="4">
        <v>337.18</v>
      </c>
      <c r="X210" s="4">
        <v>71.84</v>
      </c>
      <c r="Y210" s="4">
        <v>559.02</v>
      </c>
      <c r="Z210" s="4" t="s">
        <v>148</v>
      </c>
      <c r="AA210" s="4" t="s">
        <v>147</v>
      </c>
      <c r="AB210" s="4">
        <f>SUMIF('Trip Changes'!$B:$B,A210,'Trip Changes'!$E:$E)</f>
        <v>82.21</v>
      </c>
      <c r="AC210" s="4">
        <f>SUMIF('Trip Cancellations'!$B:$B,A210,'Trip Cancellations'!$E:$E)</f>
        <v>0</v>
      </c>
      <c r="AD210" s="4">
        <f>SUMIF('Trip Cancellations'!$B:$B,A210,'Trip Cancellations'!$F:$F)</f>
        <v>0</v>
      </c>
      <c r="AE210" s="4">
        <f t="shared" si="3"/>
        <v>641.23</v>
      </c>
      <c r="AF210" t="s">
        <v>148</v>
      </c>
      <c r="AG210">
        <v>4</v>
      </c>
      <c r="AH210" s="5">
        <v>330.6</v>
      </c>
      <c r="AI210" t="s">
        <v>147</v>
      </c>
    </row>
    <row r="211" spans="1:35">
      <c r="A211" t="s">
        <v>476</v>
      </c>
      <c r="B211" t="s">
        <v>474</v>
      </c>
      <c r="C211" t="s">
        <v>182</v>
      </c>
      <c r="D211" t="s">
        <v>230</v>
      </c>
      <c r="E211" t="s">
        <v>205</v>
      </c>
      <c r="F211" t="s">
        <v>207</v>
      </c>
      <c r="G211" s="3">
        <v>46122</v>
      </c>
      <c r="H211" s="3">
        <v>46161</v>
      </c>
      <c r="I211" s="3">
        <v>46163</v>
      </c>
      <c r="J211" t="s">
        <v>163</v>
      </c>
      <c r="K211" t="s">
        <v>182</v>
      </c>
      <c r="L211" t="s">
        <v>193</v>
      </c>
      <c r="M211" t="s">
        <v>143</v>
      </c>
      <c r="N211" t="s">
        <v>144</v>
      </c>
      <c r="O211">
        <v>590</v>
      </c>
      <c r="P211">
        <v>39</v>
      </c>
      <c r="Q211" t="s">
        <v>159</v>
      </c>
      <c r="S211" t="s">
        <v>195</v>
      </c>
      <c r="T211" s="4">
        <v>0</v>
      </c>
      <c r="U211" s="4">
        <v>333.91</v>
      </c>
      <c r="V211" s="4">
        <v>1</v>
      </c>
      <c r="W211" s="4">
        <v>182.32</v>
      </c>
      <c r="X211" s="4">
        <v>20</v>
      </c>
      <c r="Y211" s="4">
        <v>536.23</v>
      </c>
      <c r="Z211" s="4" t="s">
        <v>147</v>
      </c>
      <c r="AA211" s="4" t="s">
        <v>147</v>
      </c>
      <c r="AB211" s="4">
        <f>SUMIF('Trip Changes'!$B:$B,A211,'Trip Changes'!$E:$E)</f>
        <v>0</v>
      </c>
      <c r="AC211" s="4">
        <f>SUMIF('Trip Cancellations'!$B:$B,A211,'Trip Cancellations'!$E:$E)</f>
        <v>0</v>
      </c>
      <c r="AD211" s="4">
        <f>SUMIF('Trip Cancellations'!$B:$B,A211,'Trip Cancellations'!$F:$F)</f>
        <v>0</v>
      </c>
      <c r="AE211" s="4">
        <f t="shared" si="3"/>
        <v>536.23</v>
      </c>
      <c r="AF211" t="s">
        <v>148</v>
      </c>
      <c r="AG211">
        <v>4</v>
      </c>
      <c r="AH211" s="5">
        <v>23.6</v>
      </c>
      <c r="AI211" t="s">
        <v>148</v>
      </c>
    </row>
    <row r="212" spans="1:35">
      <c r="A212" t="s">
        <v>477</v>
      </c>
      <c r="B212" t="s">
        <v>474</v>
      </c>
      <c r="C212" t="s">
        <v>182</v>
      </c>
      <c r="D212" t="s">
        <v>230</v>
      </c>
      <c r="E212" t="s">
        <v>205</v>
      </c>
      <c r="F212" t="s">
        <v>162</v>
      </c>
      <c r="G212" s="3">
        <v>46153</v>
      </c>
      <c r="H212" s="3">
        <v>46190</v>
      </c>
      <c r="I212" s="3">
        <v>46193</v>
      </c>
      <c r="J212" t="s">
        <v>141</v>
      </c>
      <c r="K212" t="s">
        <v>182</v>
      </c>
      <c r="L212" t="s">
        <v>175</v>
      </c>
      <c r="M212" t="s">
        <v>152</v>
      </c>
      <c r="N212" t="s">
        <v>153</v>
      </c>
      <c r="O212">
        <v>3288</v>
      </c>
      <c r="P212">
        <v>37</v>
      </c>
      <c r="Q212" t="s">
        <v>159</v>
      </c>
      <c r="R212" t="s">
        <v>154</v>
      </c>
      <c r="S212" t="s">
        <v>155</v>
      </c>
      <c r="T212" s="4">
        <v>553.85</v>
      </c>
      <c r="U212" s="4">
        <v>0</v>
      </c>
      <c r="V212" s="4">
        <v>2</v>
      </c>
      <c r="W212" s="4">
        <v>349.2</v>
      </c>
      <c r="X212" s="4">
        <v>25.05</v>
      </c>
      <c r="Y212" s="4">
        <v>928.1</v>
      </c>
      <c r="Z212" s="4" t="s">
        <v>147</v>
      </c>
      <c r="AA212" s="4" t="s">
        <v>147</v>
      </c>
      <c r="AB212" s="4">
        <f>SUMIF('Trip Changes'!$B:$B,A212,'Trip Changes'!$E:$E)</f>
        <v>0</v>
      </c>
      <c r="AC212" s="4">
        <f>SUMIF('Trip Cancellations'!$B:$B,A212,'Trip Cancellations'!$E:$E)</f>
        <v>0</v>
      </c>
      <c r="AD212" s="4">
        <f>SUMIF('Trip Cancellations'!$B:$B,A212,'Trip Cancellations'!$F:$F)</f>
        <v>0</v>
      </c>
      <c r="AE212" s="4">
        <f t="shared" si="3"/>
        <v>928.1</v>
      </c>
      <c r="AF212" t="s">
        <v>148</v>
      </c>
      <c r="AG212">
        <v>5</v>
      </c>
      <c r="AH212" s="5">
        <v>493.2</v>
      </c>
      <c r="AI212" t="s">
        <v>147</v>
      </c>
    </row>
    <row r="213" spans="1:35">
      <c r="A213" t="s">
        <v>478</v>
      </c>
      <c r="B213" t="s">
        <v>474</v>
      </c>
      <c r="C213" t="s">
        <v>182</v>
      </c>
      <c r="D213" t="s">
        <v>230</v>
      </c>
      <c r="E213" t="s">
        <v>205</v>
      </c>
      <c r="F213" t="s">
        <v>162</v>
      </c>
      <c r="G213" s="3">
        <v>46149</v>
      </c>
      <c r="H213" s="3">
        <v>46155</v>
      </c>
      <c r="I213" s="3">
        <v>46158</v>
      </c>
      <c r="J213" t="s">
        <v>163</v>
      </c>
      <c r="K213" t="s">
        <v>182</v>
      </c>
      <c r="L213" t="s">
        <v>185</v>
      </c>
      <c r="M213" t="s">
        <v>152</v>
      </c>
      <c r="N213" t="s">
        <v>153</v>
      </c>
      <c r="O213">
        <v>10098</v>
      </c>
      <c r="P213">
        <v>6</v>
      </c>
      <c r="Q213" t="s">
        <v>216</v>
      </c>
      <c r="R213" t="s">
        <v>154</v>
      </c>
      <c r="S213" t="s">
        <v>155</v>
      </c>
      <c r="T213" s="4">
        <v>959.88</v>
      </c>
      <c r="U213" s="4">
        <v>0</v>
      </c>
      <c r="V213" s="4">
        <v>2</v>
      </c>
      <c r="W213" s="4">
        <v>321.39999999999998</v>
      </c>
      <c r="X213" s="4">
        <v>147.66</v>
      </c>
      <c r="Y213" s="4">
        <v>1428.94</v>
      </c>
      <c r="Z213" s="4" t="s">
        <v>147</v>
      </c>
      <c r="AA213" s="4" t="s">
        <v>147</v>
      </c>
      <c r="AB213" s="4">
        <f>SUMIF('Trip Changes'!$B:$B,A213,'Trip Changes'!$E:$E)</f>
        <v>0</v>
      </c>
      <c r="AC213" s="4">
        <f>SUMIF('Trip Cancellations'!$B:$B,A213,'Trip Cancellations'!$E:$E)</f>
        <v>0</v>
      </c>
      <c r="AD213" s="4">
        <f>SUMIF('Trip Cancellations'!$B:$B,A213,'Trip Cancellations'!$F:$F)</f>
        <v>0</v>
      </c>
      <c r="AE213" s="4">
        <f t="shared" si="3"/>
        <v>1428.94</v>
      </c>
      <c r="AF213" t="s">
        <v>147</v>
      </c>
      <c r="AG213">
        <v>5</v>
      </c>
      <c r="AH213" s="5">
        <v>1514.7</v>
      </c>
      <c r="AI213" t="s">
        <v>147</v>
      </c>
    </row>
    <row r="214" spans="1:35">
      <c r="A214" t="s">
        <v>479</v>
      </c>
      <c r="B214" t="s">
        <v>474</v>
      </c>
      <c r="C214" t="s">
        <v>182</v>
      </c>
      <c r="D214" t="s">
        <v>230</v>
      </c>
      <c r="E214" t="s">
        <v>205</v>
      </c>
      <c r="F214" t="s">
        <v>157</v>
      </c>
      <c r="G214" s="3">
        <v>46189</v>
      </c>
      <c r="H214" s="3">
        <v>46199</v>
      </c>
      <c r="I214" s="3">
        <v>46205</v>
      </c>
      <c r="J214" t="s">
        <v>141</v>
      </c>
      <c r="K214" t="s">
        <v>182</v>
      </c>
      <c r="L214" t="s">
        <v>185</v>
      </c>
      <c r="M214" t="s">
        <v>152</v>
      </c>
      <c r="N214" t="s">
        <v>153</v>
      </c>
      <c r="O214">
        <v>10364</v>
      </c>
      <c r="P214">
        <v>10</v>
      </c>
      <c r="Q214" t="s">
        <v>145</v>
      </c>
      <c r="R214" t="s">
        <v>278</v>
      </c>
      <c r="S214" t="s">
        <v>187</v>
      </c>
      <c r="T214" s="4">
        <v>1144.25</v>
      </c>
      <c r="U214" s="4">
        <v>0</v>
      </c>
      <c r="V214" s="4">
        <v>5</v>
      </c>
      <c r="W214" s="4">
        <v>1428.68</v>
      </c>
      <c r="X214" s="4">
        <v>48.39</v>
      </c>
      <c r="Y214" s="4">
        <v>2621.3200000000002</v>
      </c>
      <c r="Z214" s="4" t="s">
        <v>147</v>
      </c>
      <c r="AA214" s="4" t="s">
        <v>147</v>
      </c>
      <c r="AB214" s="4">
        <f>SUMIF('Trip Changes'!$B:$B,A214,'Trip Changes'!$E:$E)</f>
        <v>0</v>
      </c>
      <c r="AC214" s="4">
        <f>SUMIF('Trip Cancellations'!$B:$B,A214,'Trip Cancellations'!$E:$E)</f>
        <v>0</v>
      </c>
      <c r="AD214" s="4">
        <f>SUMIF('Trip Cancellations'!$B:$B,A214,'Trip Cancellations'!$F:$F)</f>
        <v>0</v>
      </c>
      <c r="AE214" s="4">
        <f t="shared" si="3"/>
        <v>2621.3200000000002</v>
      </c>
      <c r="AF214" t="s">
        <v>148</v>
      </c>
      <c r="AG214">
        <v>5</v>
      </c>
      <c r="AH214" s="5">
        <v>1554.6</v>
      </c>
      <c r="AI214" t="s">
        <v>147</v>
      </c>
    </row>
    <row r="215" spans="1:35">
      <c r="A215" t="s">
        <v>480</v>
      </c>
      <c r="B215" t="s">
        <v>481</v>
      </c>
      <c r="C215" t="s">
        <v>182</v>
      </c>
      <c r="D215" t="s">
        <v>168</v>
      </c>
      <c r="E215" t="s">
        <v>139</v>
      </c>
      <c r="F215" t="s">
        <v>140</v>
      </c>
      <c r="G215" s="3">
        <v>46154</v>
      </c>
      <c r="H215" s="3">
        <v>46171</v>
      </c>
      <c r="I215" s="3">
        <v>46174</v>
      </c>
      <c r="J215" t="s">
        <v>163</v>
      </c>
      <c r="K215" t="s">
        <v>182</v>
      </c>
      <c r="L215" t="s">
        <v>171</v>
      </c>
      <c r="M215" t="s">
        <v>152</v>
      </c>
      <c r="N215" t="s">
        <v>153</v>
      </c>
      <c r="O215">
        <v>3134</v>
      </c>
      <c r="P215">
        <v>17</v>
      </c>
      <c r="Q215" t="s">
        <v>145</v>
      </c>
      <c r="R215" t="s">
        <v>172</v>
      </c>
      <c r="S215" t="s">
        <v>187</v>
      </c>
      <c r="T215" s="4">
        <v>392.5</v>
      </c>
      <c r="U215" s="4">
        <v>0</v>
      </c>
      <c r="V215" s="4">
        <v>2</v>
      </c>
      <c r="W215" s="4">
        <v>257.49</v>
      </c>
      <c r="X215" s="4">
        <v>75.900000000000006</v>
      </c>
      <c r="Y215" s="4">
        <v>725.89</v>
      </c>
      <c r="Z215" s="4" t="s">
        <v>147</v>
      </c>
      <c r="AA215" s="4" t="s">
        <v>147</v>
      </c>
      <c r="AB215" s="4">
        <f>SUMIF('Trip Changes'!$B:$B,A215,'Trip Changes'!$E:$E)</f>
        <v>0</v>
      </c>
      <c r="AC215" s="4">
        <f>SUMIF('Trip Cancellations'!$B:$B,A215,'Trip Cancellations'!$E:$E)</f>
        <v>0</v>
      </c>
      <c r="AD215" s="4">
        <f>SUMIF('Trip Cancellations'!$B:$B,A215,'Trip Cancellations'!$F:$F)</f>
        <v>0</v>
      </c>
      <c r="AE215" s="4">
        <f t="shared" si="3"/>
        <v>725.89</v>
      </c>
      <c r="AF215" t="s">
        <v>148</v>
      </c>
      <c r="AG215">
        <v>5</v>
      </c>
      <c r="AH215" s="5">
        <v>470.1</v>
      </c>
      <c r="AI215" t="s">
        <v>147</v>
      </c>
    </row>
    <row r="216" spans="1:35">
      <c r="A216" t="s">
        <v>482</v>
      </c>
      <c r="B216" t="s">
        <v>481</v>
      </c>
      <c r="C216" t="s">
        <v>182</v>
      </c>
      <c r="D216" t="s">
        <v>168</v>
      </c>
      <c r="E216" t="s">
        <v>139</v>
      </c>
      <c r="F216" t="s">
        <v>178</v>
      </c>
      <c r="G216" s="3">
        <v>46222</v>
      </c>
      <c r="H216" s="3">
        <v>46230</v>
      </c>
      <c r="I216" s="3">
        <v>46232</v>
      </c>
      <c r="J216" t="s">
        <v>150</v>
      </c>
      <c r="K216" t="s">
        <v>182</v>
      </c>
      <c r="L216" t="s">
        <v>142</v>
      </c>
      <c r="M216" t="s">
        <v>143</v>
      </c>
      <c r="N216" t="s">
        <v>153</v>
      </c>
      <c r="O216">
        <v>686</v>
      </c>
      <c r="P216">
        <v>8</v>
      </c>
      <c r="Q216" t="s">
        <v>145</v>
      </c>
      <c r="R216" t="s">
        <v>154</v>
      </c>
      <c r="S216" t="s">
        <v>155</v>
      </c>
      <c r="T216" s="4">
        <v>415.09</v>
      </c>
      <c r="U216" s="4">
        <v>0</v>
      </c>
      <c r="V216" s="4">
        <v>1</v>
      </c>
      <c r="W216" s="4">
        <v>135.08000000000001</v>
      </c>
      <c r="X216" s="4">
        <v>44.21</v>
      </c>
      <c r="Y216" s="4">
        <v>594.38</v>
      </c>
      <c r="Z216" s="4" t="s">
        <v>147</v>
      </c>
      <c r="AA216" s="4" t="s">
        <v>147</v>
      </c>
      <c r="AB216" s="4">
        <f>SUMIF('Trip Changes'!$B:$B,A216,'Trip Changes'!$E:$E)</f>
        <v>0</v>
      </c>
      <c r="AC216" s="4">
        <f>SUMIF('Trip Cancellations'!$B:$B,A216,'Trip Cancellations'!$E:$E)</f>
        <v>0</v>
      </c>
      <c r="AD216" s="4">
        <f>SUMIF('Trip Cancellations'!$B:$B,A216,'Trip Cancellations'!$F:$F)</f>
        <v>0</v>
      </c>
      <c r="AE216" s="4">
        <f t="shared" si="3"/>
        <v>594.38</v>
      </c>
      <c r="AF216" t="s">
        <v>148</v>
      </c>
      <c r="AG216">
        <v>4</v>
      </c>
      <c r="AH216" s="5">
        <v>102.9</v>
      </c>
      <c r="AI216" t="s">
        <v>148</v>
      </c>
    </row>
    <row r="217" spans="1:35">
      <c r="A217" t="s">
        <v>483</v>
      </c>
      <c r="B217" t="s">
        <v>481</v>
      </c>
      <c r="C217" t="s">
        <v>182</v>
      </c>
      <c r="D217" t="s">
        <v>168</v>
      </c>
      <c r="E217" t="s">
        <v>139</v>
      </c>
      <c r="F217" t="s">
        <v>170</v>
      </c>
      <c r="G217" s="3">
        <v>46149</v>
      </c>
      <c r="H217" s="3">
        <v>46188</v>
      </c>
      <c r="I217" s="3">
        <v>46190</v>
      </c>
      <c r="J217" t="s">
        <v>141</v>
      </c>
      <c r="K217" t="s">
        <v>182</v>
      </c>
      <c r="L217" t="s">
        <v>142</v>
      </c>
      <c r="M217" t="s">
        <v>143</v>
      </c>
      <c r="N217" t="s">
        <v>144</v>
      </c>
      <c r="O217">
        <v>1014</v>
      </c>
      <c r="P217">
        <v>39</v>
      </c>
      <c r="Q217" t="s">
        <v>159</v>
      </c>
      <c r="S217" t="s">
        <v>195</v>
      </c>
      <c r="T217" s="4">
        <v>0</v>
      </c>
      <c r="U217" s="4">
        <v>137.96</v>
      </c>
      <c r="V217" s="4">
        <v>1</v>
      </c>
      <c r="W217" s="4">
        <v>73.209999999999994</v>
      </c>
      <c r="X217" s="4">
        <v>102.67</v>
      </c>
      <c r="Y217" s="4">
        <v>313.83999999999997</v>
      </c>
      <c r="Z217" s="4" t="s">
        <v>147</v>
      </c>
      <c r="AA217" s="4" t="s">
        <v>147</v>
      </c>
      <c r="AB217" s="4">
        <f>SUMIF('Trip Changes'!$B:$B,A217,'Trip Changes'!$E:$E)</f>
        <v>0</v>
      </c>
      <c r="AC217" s="4">
        <f>SUMIF('Trip Cancellations'!$B:$B,A217,'Trip Cancellations'!$E:$E)</f>
        <v>0</v>
      </c>
      <c r="AD217" s="4">
        <f>SUMIF('Trip Cancellations'!$B:$B,A217,'Trip Cancellations'!$F:$F)</f>
        <v>0</v>
      </c>
      <c r="AE217" s="4">
        <f t="shared" si="3"/>
        <v>313.83999999999997</v>
      </c>
      <c r="AF217" t="s">
        <v>148</v>
      </c>
      <c r="AG217">
        <v>5</v>
      </c>
      <c r="AH217" s="5">
        <v>40.6</v>
      </c>
      <c r="AI217" t="s">
        <v>147</v>
      </c>
    </row>
    <row r="218" spans="1:35">
      <c r="A218" t="s">
        <v>484</v>
      </c>
      <c r="B218" t="s">
        <v>481</v>
      </c>
      <c r="C218" t="s">
        <v>182</v>
      </c>
      <c r="D218" t="s">
        <v>168</v>
      </c>
      <c r="E218" t="s">
        <v>139</v>
      </c>
      <c r="F218" t="s">
        <v>162</v>
      </c>
      <c r="G218" s="3">
        <v>46145</v>
      </c>
      <c r="H218" s="3">
        <v>46166</v>
      </c>
      <c r="I218" s="3">
        <v>46171</v>
      </c>
      <c r="J218" t="s">
        <v>163</v>
      </c>
      <c r="K218" t="s">
        <v>182</v>
      </c>
      <c r="L218" t="s">
        <v>199</v>
      </c>
      <c r="M218" t="s">
        <v>152</v>
      </c>
      <c r="N218" t="s">
        <v>153</v>
      </c>
      <c r="O218">
        <v>3532</v>
      </c>
      <c r="P218">
        <v>21</v>
      </c>
      <c r="Q218" t="s">
        <v>216</v>
      </c>
      <c r="R218" t="s">
        <v>154</v>
      </c>
      <c r="S218" t="s">
        <v>164</v>
      </c>
      <c r="T218" s="4">
        <v>422.98</v>
      </c>
      <c r="U218" s="4">
        <v>0</v>
      </c>
      <c r="V218" s="4">
        <v>4</v>
      </c>
      <c r="W218" s="4">
        <v>839.62</v>
      </c>
      <c r="X218" s="4">
        <v>20.67</v>
      </c>
      <c r="Y218" s="4">
        <v>1283.27</v>
      </c>
      <c r="Z218" s="4" t="s">
        <v>147</v>
      </c>
      <c r="AA218" s="4" t="s">
        <v>147</v>
      </c>
      <c r="AB218" s="4">
        <f>SUMIF('Trip Changes'!$B:$B,A218,'Trip Changes'!$E:$E)</f>
        <v>0</v>
      </c>
      <c r="AC218" s="4">
        <f>SUMIF('Trip Cancellations'!$B:$B,A218,'Trip Cancellations'!$E:$E)</f>
        <v>0</v>
      </c>
      <c r="AD218" s="4">
        <f>SUMIF('Trip Cancellations'!$B:$B,A218,'Trip Cancellations'!$F:$F)</f>
        <v>0</v>
      </c>
      <c r="AE218" s="4">
        <f t="shared" si="3"/>
        <v>1283.27</v>
      </c>
      <c r="AF218" t="s">
        <v>147</v>
      </c>
      <c r="AG218">
        <v>4</v>
      </c>
      <c r="AH218" s="5">
        <v>529.79999999999995</v>
      </c>
      <c r="AI218" t="s">
        <v>147</v>
      </c>
    </row>
    <row r="219" spans="1:35">
      <c r="A219" t="s">
        <v>485</v>
      </c>
      <c r="B219" t="s">
        <v>481</v>
      </c>
      <c r="C219" t="s">
        <v>182</v>
      </c>
      <c r="D219" t="s">
        <v>168</v>
      </c>
      <c r="E219" t="s">
        <v>139</v>
      </c>
      <c r="F219" t="s">
        <v>189</v>
      </c>
      <c r="G219" s="3">
        <v>46194</v>
      </c>
      <c r="H219" s="3">
        <v>46207</v>
      </c>
      <c r="I219" s="3">
        <v>46213</v>
      </c>
      <c r="J219" t="s">
        <v>150</v>
      </c>
      <c r="K219" t="s">
        <v>182</v>
      </c>
      <c r="L219" t="s">
        <v>185</v>
      </c>
      <c r="M219" t="s">
        <v>152</v>
      </c>
      <c r="N219" t="s">
        <v>153</v>
      </c>
      <c r="O219">
        <v>11324</v>
      </c>
      <c r="P219">
        <v>13</v>
      </c>
      <c r="Q219" t="s">
        <v>159</v>
      </c>
      <c r="R219" t="s">
        <v>154</v>
      </c>
      <c r="S219" t="s">
        <v>164</v>
      </c>
      <c r="T219" s="4">
        <v>1080.98</v>
      </c>
      <c r="U219" s="4">
        <v>0</v>
      </c>
      <c r="V219" s="4">
        <v>5</v>
      </c>
      <c r="W219" s="4">
        <v>1334.44</v>
      </c>
      <c r="X219" s="4">
        <v>56.97</v>
      </c>
      <c r="Y219" s="4">
        <v>2472.39</v>
      </c>
      <c r="Z219" s="4" t="s">
        <v>148</v>
      </c>
      <c r="AA219" s="4" t="s">
        <v>147</v>
      </c>
      <c r="AB219" s="4">
        <f>SUMIF('Trip Changes'!$B:$B,A219,'Trip Changes'!$E:$E)</f>
        <v>172.33</v>
      </c>
      <c r="AC219" s="4">
        <f>SUMIF('Trip Cancellations'!$B:$B,A219,'Trip Cancellations'!$E:$E)</f>
        <v>0</v>
      </c>
      <c r="AD219" s="4">
        <f>SUMIF('Trip Cancellations'!$B:$B,A219,'Trip Cancellations'!$F:$F)</f>
        <v>0</v>
      </c>
      <c r="AE219" s="4">
        <f t="shared" si="3"/>
        <v>2644.72</v>
      </c>
      <c r="AF219" t="s">
        <v>148</v>
      </c>
      <c r="AG219">
        <v>4</v>
      </c>
      <c r="AH219" s="5">
        <v>1698.6</v>
      </c>
      <c r="AI219" t="s">
        <v>147</v>
      </c>
    </row>
    <row r="220" spans="1:35">
      <c r="A220" t="s">
        <v>486</v>
      </c>
      <c r="B220" t="s">
        <v>487</v>
      </c>
      <c r="C220" t="s">
        <v>142</v>
      </c>
      <c r="D220" t="s">
        <v>248</v>
      </c>
      <c r="E220" t="s">
        <v>205</v>
      </c>
      <c r="F220" t="s">
        <v>181</v>
      </c>
      <c r="G220" s="3">
        <v>46161</v>
      </c>
      <c r="H220" s="3">
        <v>46166</v>
      </c>
      <c r="I220" s="3">
        <v>46171</v>
      </c>
      <c r="J220" t="s">
        <v>163</v>
      </c>
      <c r="K220" t="s">
        <v>142</v>
      </c>
      <c r="L220" t="s">
        <v>175</v>
      </c>
      <c r="M220" t="s">
        <v>152</v>
      </c>
      <c r="N220" t="s">
        <v>153</v>
      </c>
      <c r="O220">
        <v>2900</v>
      </c>
      <c r="P220">
        <v>5</v>
      </c>
      <c r="Q220" t="s">
        <v>145</v>
      </c>
      <c r="R220" t="s">
        <v>160</v>
      </c>
      <c r="S220" t="s">
        <v>164</v>
      </c>
      <c r="T220" s="4">
        <v>636.80999999999995</v>
      </c>
      <c r="U220" s="4">
        <v>0</v>
      </c>
      <c r="V220" s="4">
        <v>4</v>
      </c>
      <c r="W220" s="4">
        <v>731.13</v>
      </c>
      <c r="X220" s="4">
        <v>87.88</v>
      </c>
      <c r="Y220" s="4">
        <v>1455.82</v>
      </c>
      <c r="Z220" s="4" t="s">
        <v>147</v>
      </c>
      <c r="AA220" s="4" t="s">
        <v>147</v>
      </c>
      <c r="AB220" s="4">
        <f>SUMIF('Trip Changes'!$B:$B,A220,'Trip Changes'!$E:$E)</f>
        <v>0</v>
      </c>
      <c r="AC220" s="4">
        <f>SUMIF('Trip Cancellations'!$B:$B,A220,'Trip Cancellations'!$E:$E)</f>
        <v>0</v>
      </c>
      <c r="AD220" s="4">
        <f>SUMIF('Trip Cancellations'!$B:$B,A220,'Trip Cancellations'!$F:$F)</f>
        <v>0</v>
      </c>
      <c r="AE220" s="4">
        <f t="shared" si="3"/>
        <v>1455.82</v>
      </c>
      <c r="AF220" t="s">
        <v>148</v>
      </c>
      <c r="AG220">
        <v>5</v>
      </c>
      <c r="AH220" s="5">
        <v>435</v>
      </c>
      <c r="AI220" t="s">
        <v>147</v>
      </c>
    </row>
    <row r="221" spans="1:35">
      <c r="A221" t="s">
        <v>488</v>
      </c>
      <c r="B221" t="s">
        <v>487</v>
      </c>
      <c r="C221" t="s">
        <v>142</v>
      </c>
      <c r="D221" t="s">
        <v>248</v>
      </c>
      <c r="E221" t="s">
        <v>205</v>
      </c>
      <c r="F221" t="s">
        <v>207</v>
      </c>
      <c r="G221" s="3">
        <v>46128</v>
      </c>
      <c r="H221" s="3">
        <v>46145</v>
      </c>
      <c r="I221" s="3">
        <v>46150</v>
      </c>
      <c r="J221" t="s">
        <v>163</v>
      </c>
      <c r="K221" t="s">
        <v>142</v>
      </c>
      <c r="L221" t="s">
        <v>233</v>
      </c>
      <c r="M221" t="s">
        <v>152</v>
      </c>
      <c r="N221" t="s">
        <v>153</v>
      </c>
      <c r="O221">
        <v>3592</v>
      </c>
      <c r="P221">
        <v>17</v>
      </c>
      <c r="Q221" t="s">
        <v>145</v>
      </c>
      <c r="R221" t="s">
        <v>154</v>
      </c>
      <c r="S221" t="s">
        <v>187</v>
      </c>
      <c r="T221" s="4">
        <v>272.16000000000003</v>
      </c>
      <c r="U221" s="4">
        <v>0</v>
      </c>
      <c r="V221" s="4">
        <v>4</v>
      </c>
      <c r="W221" s="4">
        <v>385.1</v>
      </c>
      <c r="X221" s="4">
        <v>155.97</v>
      </c>
      <c r="Y221" s="4">
        <v>813.23</v>
      </c>
      <c r="Z221" s="4" t="s">
        <v>147</v>
      </c>
      <c r="AA221" s="4" t="s">
        <v>147</v>
      </c>
      <c r="AB221" s="4">
        <f>SUMIF('Trip Changes'!$B:$B,A221,'Trip Changes'!$E:$E)</f>
        <v>0</v>
      </c>
      <c r="AC221" s="4">
        <f>SUMIF('Trip Cancellations'!$B:$B,A221,'Trip Cancellations'!$E:$E)</f>
        <v>0</v>
      </c>
      <c r="AD221" s="4">
        <f>SUMIF('Trip Cancellations'!$B:$B,A221,'Trip Cancellations'!$F:$F)</f>
        <v>0</v>
      </c>
      <c r="AE221" s="4">
        <f t="shared" si="3"/>
        <v>813.23</v>
      </c>
      <c r="AF221" t="s">
        <v>148</v>
      </c>
      <c r="AG221">
        <v>5</v>
      </c>
      <c r="AH221" s="5">
        <v>538.79999999999995</v>
      </c>
      <c r="AI221" t="s">
        <v>147</v>
      </c>
    </row>
    <row r="222" spans="1:35">
      <c r="A222" t="s">
        <v>489</v>
      </c>
      <c r="B222" t="s">
        <v>487</v>
      </c>
      <c r="C222" t="s">
        <v>142</v>
      </c>
      <c r="D222" t="s">
        <v>248</v>
      </c>
      <c r="E222" t="s">
        <v>205</v>
      </c>
      <c r="F222" t="s">
        <v>140</v>
      </c>
      <c r="G222" s="3">
        <v>46180</v>
      </c>
      <c r="H222" s="3">
        <v>46191</v>
      </c>
      <c r="I222" s="3">
        <v>46193</v>
      </c>
      <c r="J222" t="s">
        <v>141</v>
      </c>
      <c r="K222" t="s">
        <v>142</v>
      </c>
      <c r="L222" t="s">
        <v>227</v>
      </c>
      <c r="M222" t="s">
        <v>152</v>
      </c>
      <c r="N222" t="s">
        <v>153</v>
      </c>
      <c r="O222">
        <v>1964</v>
      </c>
      <c r="P222">
        <v>11</v>
      </c>
      <c r="Q222" t="s">
        <v>159</v>
      </c>
      <c r="R222" t="s">
        <v>236</v>
      </c>
      <c r="S222" t="s">
        <v>173</v>
      </c>
      <c r="T222" s="4">
        <v>529.49</v>
      </c>
      <c r="U222" s="4">
        <v>0</v>
      </c>
      <c r="V222" s="4">
        <v>1</v>
      </c>
      <c r="W222" s="4">
        <v>157.16</v>
      </c>
      <c r="X222" s="4">
        <v>47.38</v>
      </c>
      <c r="Y222" s="4">
        <v>734.03</v>
      </c>
      <c r="Z222" s="4" t="s">
        <v>147</v>
      </c>
      <c r="AA222" s="4" t="s">
        <v>147</v>
      </c>
      <c r="AB222" s="4">
        <f>SUMIF('Trip Changes'!$B:$B,A222,'Trip Changes'!$E:$E)</f>
        <v>0</v>
      </c>
      <c r="AC222" s="4">
        <f>SUMIF('Trip Cancellations'!$B:$B,A222,'Trip Cancellations'!$E:$E)</f>
        <v>0</v>
      </c>
      <c r="AD222" s="4">
        <f>SUMIF('Trip Cancellations'!$B:$B,A222,'Trip Cancellations'!$F:$F)</f>
        <v>0</v>
      </c>
      <c r="AE222" s="4">
        <f t="shared" si="3"/>
        <v>734.03</v>
      </c>
      <c r="AF222" t="s">
        <v>148</v>
      </c>
      <c r="AG222">
        <v>4</v>
      </c>
      <c r="AH222" s="5">
        <v>294.60000000000002</v>
      </c>
      <c r="AI222" t="s">
        <v>148</v>
      </c>
    </row>
    <row r="223" spans="1:35">
      <c r="A223" t="s">
        <v>490</v>
      </c>
      <c r="B223" t="s">
        <v>487</v>
      </c>
      <c r="C223" t="s">
        <v>142</v>
      </c>
      <c r="D223" t="s">
        <v>248</v>
      </c>
      <c r="E223" t="s">
        <v>205</v>
      </c>
      <c r="F223" t="s">
        <v>170</v>
      </c>
      <c r="G223" s="3">
        <v>46135</v>
      </c>
      <c r="H223" s="3">
        <v>46168</v>
      </c>
      <c r="I223" s="3">
        <v>46173</v>
      </c>
      <c r="J223" t="s">
        <v>163</v>
      </c>
      <c r="K223" t="s">
        <v>142</v>
      </c>
      <c r="L223" t="s">
        <v>233</v>
      </c>
      <c r="M223" t="s">
        <v>152</v>
      </c>
      <c r="N223" t="s">
        <v>153</v>
      </c>
      <c r="O223">
        <v>2216</v>
      </c>
      <c r="P223">
        <v>33</v>
      </c>
      <c r="Q223" t="s">
        <v>216</v>
      </c>
      <c r="R223" t="s">
        <v>154</v>
      </c>
      <c r="S223" t="s">
        <v>155</v>
      </c>
      <c r="T223" s="4">
        <v>283.27</v>
      </c>
      <c r="U223" s="4">
        <v>0</v>
      </c>
      <c r="V223" s="4">
        <v>4</v>
      </c>
      <c r="W223" s="4">
        <v>673.94</v>
      </c>
      <c r="X223" s="4">
        <v>103.56</v>
      </c>
      <c r="Y223" s="4">
        <v>1060.77</v>
      </c>
      <c r="Z223" s="4" t="s">
        <v>147</v>
      </c>
      <c r="AA223" s="4" t="s">
        <v>147</v>
      </c>
      <c r="AB223" s="4">
        <f>SUMIF('Trip Changes'!$B:$B,A223,'Trip Changes'!$E:$E)</f>
        <v>0</v>
      </c>
      <c r="AC223" s="4">
        <f>SUMIF('Trip Cancellations'!$B:$B,A223,'Trip Cancellations'!$E:$E)</f>
        <v>0</v>
      </c>
      <c r="AD223" s="4">
        <f>SUMIF('Trip Cancellations'!$B:$B,A223,'Trip Cancellations'!$F:$F)</f>
        <v>0</v>
      </c>
      <c r="AE223" s="4">
        <f t="shared" si="3"/>
        <v>1060.77</v>
      </c>
      <c r="AF223" t="s">
        <v>148</v>
      </c>
      <c r="AG223">
        <v>4</v>
      </c>
      <c r="AH223" s="5">
        <v>332.4</v>
      </c>
      <c r="AI223" t="s">
        <v>148</v>
      </c>
    </row>
    <row r="224" spans="1:35">
      <c r="A224" t="s">
        <v>491</v>
      </c>
      <c r="B224" t="s">
        <v>487</v>
      </c>
      <c r="C224" t="s">
        <v>142</v>
      </c>
      <c r="D224" t="s">
        <v>248</v>
      </c>
      <c r="E224" t="s">
        <v>205</v>
      </c>
      <c r="F224" t="s">
        <v>157</v>
      </c>
      <c r="G224" s="3">
        <v>46200</v>
      </c>
      <c r="H224" s="3">
        <v>46224</v>
      </c>
      <c r="I224" s="3">
        <v>46227</v>
      </c>
      <c r="J224" t="s">
        <v>150</v>
      </c>
      <c r="K224" t="s">
        <v>142</v>
      </c>
      <c r="L224" t="s">
        <v>199</v>
      </c>
      <c r="M224" t="s">
        <v>152</v>
      </c>
      <c r="N224" t="s">
        <v>153</v>
      </c>
      <c r="O224">
        <v>3068</v>
      </c>
      <c r="P224">
        <v>24</v>
      </c>
      <c r="Q224" t="s">
        <v>145</v>
      </c>
      <c r="R224" t="s">
        <v>200</v>
      </c>
      <c r="S224" t="s">
        <v>187</v>
      </c>
      <c r="T224" s="4">
        <v>307.16000000000003</v>
      </c>
      <c r="U224" s="4">
        <v>0</v>
      </c>
      <c r="V224" s="4">
        <v>2</v>
      </c>
      <c r="W224" s="4">
        <v>364.55</v>
      </c>
      <c r="X224" s="4">
        <v>97.11</v>
      </c>
      <c r="Y224" s="4">
        <v>768.82</v>
      </c>
      <c r="Z224" s="4" t="s">
        <v>147</v>
      </c>
      <c r="AA224" s="4" t="s">
        <v>147</v>
      </c>
      <c r="AB224" s="4">
        <f>SUMIF('Trip Changes'!$B:$B,A224,'Trip Changes'!$E:$E)</f>
        <v>0</v>
      </c>
      <c r="AC224" s="4">
        <f>SUMIF('Trip Cancellations'!$B:$B,A224,'Trip Cancellations'!$E:$E)</f>
        <v>0</v>
      </c>
      <c r="AD224" s="4">
        <f>SUMIF('Trip Cancellations'!$B:$B,A224,'Trip Cancellations'!$F:$F)</f>
        <v>0</v>
      </c>
      <c r="AE224" s="4">
        <f t="shared" si="3"/>
        <v>768.82</v>
      </c>
      <c r="AF224" t="s">
        <v>148</v>
      </c>
      <c r="AG224">
        <v>5</v>
      </c>
      <c r="AH224" s="5">
        <v>460.2</v>
      </c>
      <c r="AI224" t="s">
        <v>147</v>
      </c>
    </row>
    <row r="225" spans="1:35">
      <c r="A225" t="s">
        <v>492</v>
      </c>
      <c r="B225" t="s">
        <v>493</v>
      </c>
      <c r="C225" t="s">
        <v>182</v>
      </c>
      <c r="D225" t="s">
        <v>138</v>
      </c>
      <c r="E225" t="s">
        <v>268</v>
      </c>
      <c r="F225" t="s">
        <v>157</v>
      </c>
      <c r="G225" s="3">
        <v>46147</v>
      </c>
      <c r="H225" s="3">
        <v>46159</v>
      </c>
      <c r="I225" s="3">
        <v>46163</v>
      </c>
      <c r="J225" t="s">
        <v>163</v>
      </c>
      <c r="K225" t="s">
        <v>182</v>
      </c>
      <c r="L225" t="s">
        <v>199</v>
      </c>
      <c r="M225" t="s">
        <v>152</v>
      </c>
      <c r="N225" t="s">
        <v>153</v>
      </c>
      <c r="O225">
        <v>2560</v>
      </c>
      <c r="P225">
        <v>12</v>
      </c>
      <c r="Q225" t="s">
        <v>145</v>
      </c>
      <c r="R225" t="s">
        <v>200</v>
      </c>
      <c r="S225" t="s">
        <v>187</v>
      </c>
      <c r="T225" s="4">
        <v>422.24</v>
      </c>
      <c r="U225" s="4">
        <v>0</v>
      </c>
      <c r="V225" s="4">
        <v>3</v>
      </c>
      <c r="W225" s="4">
        <v>733.85</v>
      </c>
      <c r="X225" s="4">
        <v>86.11</v>
      </c>
      <c r="Y225" s="4">
        <v>1242.2</v>
      </c>
      <c r="Z225" s="4" t="s">
        <v>147</v>
      </c>
      <c r="AA225" s="4" t="s">
        <v>147</v>
      </c>
      <c r="AB225" s="4">
        <f>SUMIF('Trip Changes'!$B:$B,A225,'Trip Changes'!$E:$E)</f>
        <v>0</v>
      </c>
      <c r="AC225" s="4">
        <f>SUMIF('Trip Cancellations'!$B:$B,A225,'Trip Cancellations'!$E:$E)</f>
        <v>0</v>
      </c>
      <c r="AD225" s="4">
        <f>SUMIF('Trip Cancellations'!$B:$B,A225,'Trip Cancellations'!$F:$F)</f>
        <v>0</v>
      </c>
      <c r="AE225" s="4">
        <f t="shared" si="3"/>
        <v>1242.2</v>
      </c>
      <c r="AF225" t="s">
        <v>148</v>
      </c>
      <c r="AG225">
        <v>4</v>
      </c>
      <c r="AH225" s="5">
        <v>384</v>
      </c>
      <c r="AI225" t="s">
        <v>148</v>
      </c>
    </row>
    <row r="226" spans="1:35">
      <c r="A226" t="s">
        <v>494</v>
      </c>
      <c r="B226" t="s">
        <v>493</v>
      </c>
      <c r="C226" t="s">
        <v>182</v>
      </c>
      <c r="D226" t="s">
        <v>138</v>
      </c>
      <c r="E226" t="s">
        <v>268</v>
      </c>
      <c r="F226" t="s">
        <v>140</v>
      </c>
      <c r="G226" s="3">
        <v>46206</v>
      </c>
      <c r="H226" s="3">
        <v>46217</v>
      </c>
      <c r="I226" s="3">
        <v>46219</v>
      </c>
      <c r="J226" t="s">
        <v>150</v>
      </c>
      <c r="K226" t="s">
        <v>182</v>
      </c>
      <c r="L226" t="s">
        <v>199</v>
      </c>
      <c r="M226" t="s">
        <v>152</v>
      </c>
      <c r="N226" t="s">
        <v>153</v>
      </c>
      <c r="O226">
        <v>3310</v>
      </c>
      <c r="P226">
        <v>11</v>
      </c>
      <c r="Q226" t="s">
        <v>145</v>
      </c>
      <c r="R226" t="s">
        <v>154</v>
      </c>
      <c r="S226" t="s">
        <v>155</v>
      </c>
      <c r="T226" s="4">
        <v>162</v>
      </c>
      <c r="U226" s="4">
        <v>0</v>
      </c>
      <c r="V226" s="4">
        <v>1</v>
      </c>
      <c r="W226" s="4">
        <v>144.21</v>
      </c>
      <c r="X226" s="4">
        <v>77.650000000000006</v>
      </c>
      <c r="Y226" s="4">
        <v>383.86</v>
      </c>
      <c r="Z226" s="4" t="s">
        <v>147</v>
      </c>
      <c r="AA226" s="4" t="s">
        <v>147</v>
      </c>
      <c r="AB226" s="4">
        <f>SUMIF('Trip Changes'!$B:$B,A226,'Trip Changes'!$E:$E)</f>
        <v>0</v>
      </c>
      <c r="AC226" s="4">
        <f>SUMIF('Trip Cancellations'!$B:$B,A226,'Trip Cancellations'!$E:$E)</f>
        <v>0</v>
      </c>
      <c r="AD226" s="4">
        <f>SUMIF('Trip Cancellations'!$B:$B,A226,'Trip Cancellations'!$F:$F)</f>
        <v>0</v>
      </c>
      <c r="AE226" s="4">
        <f t="shared" si="3"/>
        <v>383.86</v>
      </c>
      <c r="AF226" t="s">
        <v>148</v>
      </c>
      <c r="AG226">
        <v>5</v>
      </c>
      <c r="AH226" s="5">
        <v>496.5</v>
      </c>
      <c r="AI226" t="s">
        <v>147</v>
      </c>
    </row>
    <row r="227" spans="1:35">
      <c r="A227" t="s">
        <v>495</v>
      </c>
      <c r="B227" t="s">
        <v>493</v>
      </c>
      <c r="C227" t="s">
        <v>182</v>
      </c>
      <c r="D227" t="s">
        <v>138</v>
      </c>
      <c r="E227" t="s">
        <v>268</v>
      </c>
      <c r="F227" t="s">
        <v>140</v>
      </c>
      <c r="G227" s="3">
        <v>46132</v>
      </c>
      <c r="H227" s="3">
        <v>46158</v>
      </c>
      <c r="I227" s="3">
        <v>46160</v>
      </c>
      <c r="J227" t="s">
        <v>163</v>
      </c>
      <c r="K227" t="s">
        <v>182</v>
      </c>
      <c r="L227" t="s">
        <v>199</v>
      </c>
      <c r="M227" t="s">
        <v>152</v>
      </c>
      <c r="N227" t="s">
        <v>153</v>
      </c>
      <c r="O227">
        <v>3222</v>
      </c>
      <c r="P227">
        <v>26</v>
      </c>
      <c r="Q227" t="s">
        <v>159</v>
      </c>
      <c r="R227" t="s">
        <v>154</v>
      </c>
      <c r="S227" t="s">
        <v>173</v>
      </c>
      <c r="T227" s="4">
        <v>381.62</v>
      </c>
      <c r="U227" s="4">
        <v>0</v>
      </c>
      <c r="V227" s="4">
        <v>1</v>
      </c>
      <c r="W227" s="4">
        <v>211.42</v>
      </c>
      <c r="X227" s="4">
        <v>95.96</v>
      </c>
      <c r="Y227" s="4">
        <v>689</v>
      </c>
      <c r="Z227" s="4" t="s">
        <v>147</v>
      </c>
      <c r="AA227" s="4" t="s">
        <v>147</v>
      </c>
      <c r="AB227" s="4">
        <f>SUMIF('Trip Changes'!$B:$B,A227,'Trip Changes'!$E:$E)</f>
        <v>0</v>
      </c>
      <c r="AC227" s="4">
        <f>SUMIF('Trip Cancellations'!$B:$B,A227,'Trip Cancellations'!$E:$E)</f>
        <v>0</v>
      </c>
      <c r="AD227" s="4">
        <f>SUMIF('Trip Cancellations'!$B:$B,A227,'Trip Cancellations'!$F:$F)</f>
        <v>0</v>
      </c>
      <c r="AE227" s="4">
        <f t="shared" si="3"/>
        <v>689</v>
      </c>
      <c r="AF227" t="s">
        <v>148</v>
      </c>
      <c r="AG227">
        <v>5</v>
      </c>
      <c r="AH227" s="5">
        <v>483.3</v>
      </c>
      <c r="AI227" t="s">
        <v>147</v>
      </c>
    </row>
    <row r="228" spans="1:35">
      <c r="A228" t="s">
        <v>496</v>
      </c>
      <c r="B228" t="s">
        <v>493</v>
      </c>
      <c r="C228" t="s">
        <v>182</v>
      </c>
      <c r="D228" t="s">
        <v>138</v>
      </c>
      <c r="E228" t="s">
        <v>268</v>
      </c>
      <c r="F228" t="s">
        <v>162</v>
      </c>
      <c r="G228" s="3">
        <v>46184</v>
      </c>
      <c r="H228" s="3">
        <v>46186</v>
      </c>
      <c r="I228" s="3">
        <v>46190</v>
      </c>
      <c r="J228" t="s">
        <v>141</v>
      </c>
      <c r="K228" t="s">
        <v>182</v>
      </c>
      <c r="L228" t="s">
        <v>264</v>
      </c>
      <c r="M228" t="s">
        <v>152</v>
      </c>
      <c r="N228" t="s">
        <v>153</v>
      </c>
      <c r="O228">
        <v>3000</v>
      </c>
      <c r="P228">
        <v>2</v>
      </c>
      <c r="Q228" t="s">
        <v>145</v>
      </c>
      <c r="R228" t="s">
        <v>176</v>
      </c>
      <c r="S228" t="s">
        <v>155</v>
      </c>
      <c r="T228" s="4">
        <v>386.53</v>
      </c>
      <c r="U228" s="4">
        <v>0</v>
      </c>
      <c r="V228" s="4">
        <v>3</v>
      </c>
      <c r="W228" s="4">
        <v>496.61</v>
      </c>
      <c r="X228" s="4">
        <v>89.83</v>
      </c>
      <c r="Y228" s="4">
        <v>972.97</v>
      </c>
      <c r="Z228" s="4" t="s">
        <v>147</v>
      </c>
      <c r="AA228" s="4" t="s">
        <v>147</v>
      </c>
      <c r="AB228" s="4">
        <f>SUMIF('Trip Changes'!$B:$B,A228,'Trip Changes'!$E:$E)</f>
        <v>0</v>
      </c>
      <c r="AC228" s="4">
        <f>SUMIF('Trip Cancellations'!$B:$B,A228,'Trip Cancellations'!$E:$E)</f>
        <v>0</v>
      </c>
      <c r="AD228" s="4">
        <f>SUMIF('Trip Cancellations'!$B:$B,A228,'Trip Cancellations'!$F:$F)</f>
        <v>0</v>
      </c>
      <c r="AE228" s="4">
        <f t="shared" si="3"/>
        <v>972.97</v>
      </c>
      <c r="AF228" t="s">
        <v>148</v>
      </c>
      <c r="AG228">
        <v>4</v>
      </c>
      <c r="AH228" s="5">
        <v>450</v>
      </c>
      <c r="AI228" t="s">
        <v>147</v>
      </c>
    </row>
    <row r="229" spans="1:35">
      <c r="A229" t="s">
        <v>497</v>
      </c>
      <c r="B229" t="s">
        <v>493</v>
      </c>
      <c r="C229" t="s">
        <v>182</v>
      </c>
      <c r="D229" t="s">
        <v>138</v>
      </c>
      <c r="E229" t="s">
        <v>268</v>
      </c>
      <c r="F229" t="s">
        <v>162</v>
      </c>
      <c r="G229" s="3">
        <v>46129</v>
      </c>
      <c r="H229" s="3">
        <v>46160</v>
      </c>
      <c r="I229" s="3">
        <v>46162</v>
      </c>
      <c r="J229" t="s">
        <v>163</v>
      </c>
      <c r="K229" t="s">
        <v>182</v>
      </c>
      <c r="L229" t="s">
        <v>199</v>
      </c>
      <c r="M229" t="s">
        <v>152</v>
      </c>
      <c r="N229" t="s">
        <v>153</v>
      </c>
      <c r="O229">
        <v>1992</v>
      </c>
      <c r="P229">
        <v>31</v>
      </c>
      <c r="Q229" t="s">
        <v>145</v>
      </c>
      <c r="R229" t="s">
        <v>291</v>
      </c>
      <c r="S229" t="s">
        <v>155</v>
      </c>
      <c r="T229" s="4">
        <v>450.23</v>
      </c>
      <c r="U229" s="4">
        <v>0</v>
      </c>
      <c r="V229" s="4">
        <v>1</v>
      </c>
      <c r="W229" s="4">
        <v>160.88</v>
      </c>
      <c r="X229" s="4">
        <v>122.07</v>
      </c>
      <c r="Y229" s="4">
        <v>733.18</v>
      </c>
      <c r="Z229" s="4" t="s">
        <v>147</v>
      </c>
      <c r="AA229" s="4" t="s">
        <v>147</v>
      </c>
      <c r="AB229" s="4">
        <f>SUMIF('Trip Changes'!$B:$B,A229,'Trip Changes'!$E:$E)</f>
        <v>0</v>
      </c>
      <c r="AC229" s="4">
        <f>SUMIF('Trip Cancellations'!$B:$B,A229,'Trip Cancellations'!$E:$E)</f>
        <v>0</v>
      </c>
      <c r="AD229" s="4">
        <f>SUMIF('Trip Cancellations'!$B:$B,A229,'Trip Cancellations'!$F:$F)</f>
        <v>0</v>
      </c>
      <c r="AE229" s="4">
        <f t="shared" si="3"/>
        <v>733.18</v>
      </c>
      <c r="AF229" t="s">
        <v>148</v>
      </c>
      <c r="AG229">
        <v>4</v>
      </c>
      <c r="AH229" s="5">
        <v>298.8</v>
      </c>
      <c r="AI229" t="s">
        <v>148</v>
      </c>
    </row>
    <row r="230" spans="1:35">
      <c r="A230" t="s">
        <v>498</v>
      </c>
      <c r="B230" t="s">
        <v>499</v>
      </c>
      <c r="C230" t="s">
        <v>182</v>
      </c>
      <c r="D230" t="s">
        <v>248</v>
      </c>
      <c r="E230" t="s">
        <v>249</v>
      </c>
      <c r="F230" t="s">
        <v>170</v>
      </c>
      <c r="G230" s="3">
        <v>46181</v>
      </c>
      <c r="H230" s="3">
        <v>46197</v>
      </c>
      <c r="I230" s="3">
        <v>46202</v>
      </c>
      <c r="J230" t="s">
        <v>141</v>
      </c>
      <c r="K230" t="s">
        <v>182</v>
      </c>
      <c r="L230" t="s">
        <v>199</v>
      </c>
      <c r="M230" t="s">
        <v>152</v>
      </c>
      <c r="N230" t="s">
        <v>153</v>
      </c>
      <c r="O230">
        <v>2542</v>
      </c>
      <c r="P230">
        <v>16</v>
      </c>
      <c r="Q230" t="s">
        <v>145</v>
      </c>
      <c r="R230" t="s">
        <v>154</v>
      </c>
      <c r="S230" t="s">
        <v>187</v>
      </c>
      <c r="T230" s="4">
        <v>431.19</v>
      </c>
      <c r="U230" s="4">
        <v>0</v>
      </c>
      <c r="V230" s="4">
        <v>4</v>
      </c>
      <c r="W230" s="4">
        <v>564.04999999999995</v>
      </c>
      <c r="X230" s="4">
        <v>123.99</v>
      </c>
      <c r="Y230" s="4">
        <v>1119.23</v>
      </c>
      <c r="Z230" s="4" t="s">
        <v>147</v>
      </c>
      <c r="AA230" s="4" t="s">
        <v>147</v>
      </c>
      <c r="AB230" s="4">
        <f>SUMIF('Trip Changes'!$B:$B,A230,'Trip Changes'!$E:$E)</f>
        <v>0</v>
      </c>
      <c r="AC230" s="4">
        <f>SUMIF('Trip Cancellations'!$B:$B,A230,'Trip Cancellations'!$E:$E)</f>
        <v>0</v>
      </c>
      <c r="AD230" s="4">
        <f>SUMIF('Trip Cancellations'!$B:$B,A230,'Trip Cancellations'!$F:$F)</f>
        <v>0</v>
      </c>
      <c r="AE230" s="4">
        <f t="shared" si="3"/>
        <v>1119.23</v>
      </c>
      <c r="AF230" t="s">
        <v>148</v>
      </c>
      <c r="AG230">
        <v>5</v>
      </c>
      <c r="AH230" s="5">
        <v>381.3</v>
      </c>
      <c r="AI230" t="s">
        <v>147</v>
      </c>
    </row>
    <row r="231" spans="1:35">
      <c r="A231" t="s">
        <v>500</v>
      </c>
      <c r="B231" t="s">
        <v>499</v>
      </c>
      <c r="C231" t="s">
        <v>182</v>
      </c>
      <c r="D231" t="s">
        <v>248</v>
      </c>
      <c r="E231" t="s">
        <v>249</v>
      </c>
      <c r="F231" t="s">
        <v>162</v>
      </c>
      <c r="G231" s="3">
        <v>46221</v>
      </c>
      <c r="H231" s="3">
        <v>46222</v>
      </c>
      <c r="I231" s="3">
        <v>46226</v>
      </c>
      <c r="J231" t="s">
        <v>150</v>
      </c>
      <c r="K231" t="s">
        <v>182</v>
      </c>
      <c r="L231" t="s">
        <v>225</v>
      </c>
      <c r="M231" t="s">
        <v>152</v>
      </c>
      <c r="N231" t="s">
        <v>153</v>
      </c>
      <c r="O231">
        <v>2968</v>
      </c>
      <c r="P231">
        <v>1</v>
      </c>
      <c r="Q231" t="s">
        <v>159</v>
      </c>
      <c r="R231" t="s">
        <v>154</v>
      </c>
      <c r="S231" t="s">
        <v>155</v>
      </c>
      <c r="T231" s="4">
        <v>294.02</v>
      </c>
      <c r="U231" s="4">
        <v>0</v>
      </c>
      <c r="V231" s="4">
        <v>3</v>
      </c>
      <c r="W231" s="4">
        <v>680.51</v>
      </c>
      <c r="X231" s="4">
        <v>92</v>
      </c>
      <c r="Y231" s="4">
        <v>1066.53</v>
      </c>
      <c r="Z231" s="4" t="s">
        <v>147</v>
      </c>
      <c r="AA231" s="4" t="s">
        <v>147</v>
      </c>
      <c r="AB231" s="4">
        <f>SUMIF('Trip Changes'!$B:$B,A231,'Trip Changes'!$E:$E)</f>
        <v>0</v>
      </c>
      <c r="AC231" s="4">
        <f>SUMIF('Trip Cancellations'!$B:$B,A231,'Trip Cancellations'!$E:$E)</f>
        <v>0</v>
      </c>
      <c r="AD231" s="4">
        <f>SUMIF('Trip Cancellations'!$B:$B,A231,'Trip Cancellations'!$F:$F)</f>
        <v>0</v>
      </c>
      <c r="AE231" s="4">
        <f t="shared" si="3"/>
        <v>1066.53</v>
      </c>
      <c r="AF231" t="s">
        <v>148</v>
      </c>
      <c r="AG231">
        <v>4</v>
      </c>
      <c r="AH231" s="5">
        <v>445.2</v>
      </c>
      <c r="AI231" t="s">
        <v>147</v>
      </c>
    </row>
    <row r="232" spans="1:35">
      <c r="A232" t="s">
        <v>501</v>
      </c>
      <c r="B232" t="s">
        <v>499</v>
      </c>
      <c r="C232" t="s">
        <v>182</v>
      </c>
      <c r="D232" t="s">
        <v>248</v>
      </c>
      <c r="E232" t="s">
        <v>249</v>
      </c>
      <c r="F232" t="s">
        <v>162</v>
      </c>
      <c r="G232" s="3">
        <v>46207</v>
      </c>
      <c r="H232" s="3">
        <v>46222</v>
      </c>
      <c r="I232" s="3">
        <v>46226</v>
      </c>
      <c r="J232" t="s">
        <v>150</v>
      </c>
      <c r="K232" t="s">
        <v>182</v>
      </c>
      <c r="L232" t="s">
        <v>199</v>
      </c>
      <c r="M232" t="s">
        <v>152</v>
      </c>
      <c r="N232" t="s">
        <v>153</v>
      </c>
      <c r="O232">
        <v>3196</v>
      </c>
      <c r="P232">
        <v>15</v>
      </c>
      <c r="Q232" t="s">
        <v>145</v>
      </c>
      <c r="R232" t="s">
        <v>154</v>
      </c>
      <c r="S232" t="s">
        <v>173</v>
      </c>
      <c r="T232" s="4">
        <v>318.86</v>
      </c>
      <c r="U232" s="4">
        <v>0</v>
      </c>
      <c r="V232" s="4">
        <v>3</v>
      </c>
      <c r="W232" s="4">
        <v>370.25</v>
      </c>
      <c r="X232" s="4">
        <v>50.51</v>
      </c>
      <c r="Y232" s="4">
        <v>739.62</v>
      </c>
      <c r="Z232" s="4" t="s">
        <v>147</v>
      </c>
      <c r="AA232" s="4" t="s">
        <v>147</v>
      </c>
      <c r="AB232" s="4">
        <f>SUMIF('Trip Changes'!$B:$B,A232,'Trip Changes'!$E:$E)</f>
        <v>0</v>
      </c>
      <c r="AC232" s="4">
        <f>SUMIF('Trip Cancellations'!$B:$B,A232,'Trip Cancellations'!$E:$E)</f>
        <v>0</v>
      </c>
      <c r="AD232" s="4">
        <f>SUMIF('Trip Cancellations'!$B:$B,A232,'Trip Cancellations'!$F:$F)</f>
        <v>0</v>
      </c>
      <c r="AE232" s="4">
        <f t="shared" si="3"/>
        <v>739.62</v>
      </c>
      <c r="AF232" t="s">
        <v>148</v>
      </c>
      <c r="AG232">
        <v>4</v>
      </c>
      <c r="AH232" s="5">
        <v>479.4</v>
      </c>
      <c r="AI232" t="s">
        <v>147</v>
      </c>
    </row>
    <row r="233" spans="1:35">
      <c r="A233" t="s">
        <v>502</v>
      </c>
      <c r="B233" t="s">
        <v>499</v>
      </c>
      <c r="C233" t="s">
        <v>182</v>
      </c>
      <c r="D233" t="s">
        <v>248</v>
      </c>
      <c r="E233" t="s">
        <v>249</v>
      </c>
      <c r="F233" t="s">
        <v>170</v>
      </c>
      <c r="G233" s="3">
        <v>46120</v>
      </c>
      <c r="H233" s="3">
        <v>46151</v>
      </c>
      <c r="I233" s="3">
        <v>46154</v>
      </c>
      <c r="J233" t="s">
        <v>163</v>
      </c>
      <c r="K233" t="s">
        <v>182</v>
      </c>
      <c r="L233" t="s">
        <v>142</v>
      </c>
      <c r="M233" t="s">
        <v>143</v>
      </c>
      <c r="N233" t="s">
        <v>144</v>
      </c>
      <c r="O233">
        <v>716</v>
      </c>
      <c r="P233">
        <v>31</v>
      </c>
      <c r="Q233" t="s">
        <v>145</v>
      </c>
      <c r="S233" t="s">
        <v>195</v>
      </c>
      <c r="T233" s="4">
        <v>0</v>
      </c>
      <c r="U233" s="4">
        <v>219.05</v>
      </c>
      <c r="V233" s="4">
        <v>2</v>
      </c>
      <c r="W233" s="4">
        <v>169.84</v>
      </c>
      <c r="X233" s="4">
        <v>57.23</v>
      </c>
      <c r="Y233" s="4">
        <v>446.12</v>
      </c>
      <c r="Z233" s="4" t="s">
        <v>147</v>
      </c>
      <c r="AA233" s="4" t="s">
        <v>148</v>
      </c>
      <c r="AB233" s="4">
        <f>SUMIF('Trip Changes'!$B:$B,A233,'Trip Changes'!$E:$E)</f>
        <v>0</v>
      </c>
      <c r="AC233" s="4">
        <f>SUMIF('Trip Cancellations'!$B:$B,A233,'Trip Cancellations'!$E:$E)</f>
        <v>117.97</v>
      </c>
      <c r="AD233" s="4">
        <f>SUMIF('Trip Cancellations'!$B:$B,A233,'Trip Cancellations'!$F:$F)</f>
        <v>350</v>
      </c>
      <c r="AE233" s="4">
        <f t="shared" si="3"/>
        <v>214.09000000000003</v>
      </c>
      <c r="AF233" t="s">
        <v>148</v>
      </c>
      <c r="AG233">
        <v>4</v>
      </c>
      <c r="AH233" s="5">
        <v>28.6</v>
      </c>
      <c r="AI233" t="s">
        <v>148</v>
      </c>
    </row>
    <row r="234" spans="1:35">
      <c r="A234" t="s">
        <v>503</v>
      </c>
      <c r="B234" t="s">
        <v>504</v>
      </c>
      <c r="C234" t="s">
        <v>142</v>
      </c>
      <c r="D234" t="s">
        <v>230</v>
      </c>
      <c r="E234" t="s">
        <v>268</v>
      </c>
      <c r="F234" t="s">
        <v>157</v>
      </c>
      <c r="G234" s="3">
        <v>46127</v>
      </c>
      <c r="H234" s="3">
        <v>46147</v>
      </c>
      <c r="I234" s="3">
        <v>46152</v>
      </c>
      <c r="J234" t="s">
        <v>163</v>
      </c>
      <c r="K234" t="s">
        <v>142</v>
      </c>
      <c r="L234" t="s">
        <v>233</v>
      </c>
      <c r="M234" t="s">
        <v>152</v>
      </c>
      <c r="N234" t="s">
        <v>153</v>
      </c>
      <c r="O234">
        <v>1592</v>
      </c>
      <c r="P234">
        <v>20</v>
      </c>
      <c r="Q234" t="s">
        <v>159</v>
      </c>
      <c r="R234" t="s">
        <v>176</v>
      </c>
      <c r="S234" t="s">
        <v>173</v>
      </c>
      <c r="T234" s="4">
        <v>510.42</v>
      </c>
      <c r="U234" s="4">
        <v>0</v>
      </c>
      <c r="V234" s="4">
        <v>4</v>
      </c>
      <c r="W234" s="4">
        <v>609.30999999999995</v>
      </c>
      <c r="X234" s="4">
        <v>100.77</v>
      </c>
      <c r="Y234" s="4">
        <v>1220.5</v>
      </c>
      <c r="Z234" s="4" t="s">
        <v>147</v>
      </c>
      <c r="AA234" s="4" t="s">
        <v>147</v>
      </c>
      <c r="AB234" s="4">
        <f>SUMIF('Trip Changes'!$B:$B,A234,'Trip Changes'!$E:$E)</f>
        <v>0</v>
      </c>
      <c r="AC234" s="4">
        <f>SUMIF('Trip Cancellations'!$B:$B,A234,'Trip Cancellations'!$E:$E)</f>
        <v>0</v>
      </c>
      <c r="AD234" s="4">
        <f>SUMIF('Trip Cancellations'!$B:$B,A234,'Trip Cancellations'!$F:$F)</f>
        <v>0</v>
      </c>
      <c r="AE234" s="4">
        <f t="shared" si="3"/>
        <v>1220.5</v>
      </c>
      <c r="AF234" t="s">
        <v>148</v>
      </c>
      <c r="AG234">
        <v>4</v>
      </c>
      <c r="AH234" s="5">
        <v>238.8</v>
      </c>
      <c r="AI234" t="s">
        <v>147</v>
      </c>
    </row>
    <row r="235" spans="1:35">
      <c r="A235" t="s">
        <v>505</v>
      </c>
      <c r="B235" t="s">
        <v>504</v>
      </c>
      <c r="C235" t="s">
        <v>142</v>
      </c>
      <c r="D235" t="s">
        <v>230</v>
      </c>
      <c r="E235" t="s">
        <v>268</v>
      </c>
      <c r="F235" t="s">
        <v>140</v>
      </c>
      <c r="G235" s="3">
        <v>46174</v>
      </c>
      <c r="H235" s="3">
        <v>46193</v>
      </c>
      <c r="I235" s="3">
        <v>46198</v>
      </c>
      <c r="J235" t="s">
        <v>141</v>
      </c>
      <c r="K235" t="s">
        <v>142</v>
      </c>
      <c r="L235" t="s">
        <v>233</v>
      </c>
      <c r="M235" t="s">
        <v>152</v>
      </c>
      <c r="N235" t="s">
        <v>153</v>
      </c>
      <c r="O235">
        <v>3550</v>
      </c>
      <c r="P235">
        <v>19</v>
      </c>
      <c r="Q235" t="s">
        <v>159</v>
      </c>
      <c r="R235" t="s">
        <v>176</v>
      </c>
      <c r="S235" t="s">
        <v>164</v>
      </c>
      <c r="T235" s="4">
        <v>540.08000000000004</v>
      </c>
      <c r="U235" s="4">
        <v>0</v>
      </c>
      <c r="V235" s="4">
        <v>4</v>
      </c>
      <c r="W235" s="4">
        <v>701.16</v>
      </c>
      <c r="X235" s="4">
        <v>70.290000000000006</v>
      </c>
      <c r="Y235" s="4">
        <v>1311.53</v>
      </c>
      <c r="Z235" s="4" t="s">
        <v>147</v>
      </c>
      <c r="AA235" s="4" t="s">
        <v>148</v>
      </c>
      <c r="AB235" s="4">
        <f>SUMIF('Trip Changes'!$B:$B,A235,'Trip Changes'!$E:$E)</f>
        <v>0</v>
      </c>
      <c r="AC235" s="4">
        <f>SUMIF('Trip Cancellations'!$B:$B,A235,'Trip Cancellations'!$E:$E)</f>
        <v>136.11000000000001</v>
      </c>
      <c r="AD235" s="4">
        <f>SUMIF('Trip Cancellations'!$B:$B,A235,'Trip Cancellations'!$F:$F)</f>
        <v>930.93</v>
      </c>
      <c r="AE235" s="4">
        <f t="shared" si="3"/>
        <v>516.70999999999992</v>
      </c>
      <c r="AF235" t="s">
        <v>148</v>
      </c>
      <c r="AG235">
        <v>3</v>
      </c>
      <c r="AH235" s="5">
        <v>532.5</v>
      </c>
      <c r="AI235" t="s">
        <v>147</v>
      </c>
    </row>
    <row r="236" spans="1:35">
      <c r="A236" t="s">
        <v>506</v>
      </c>
      <c r="B236" t="s">
        <v>504</v>
      </c>
      <c r="C236" t="s">
        <v>142</v>
      </c>
      <c r="D236" t="s">
        <v>230</v>
      </c>
      <c r="E236" t="s">
        <v>268</v>
      </c>
      <c r="F236" t="s">
        <v>157</v>
      </c>
      <c r="G236" s="3">
        <v>46230</v>
      </c>
      <c r="H236" s="3">
        <v>46234</v>
      </c>
      <c r="I236" s="3">
        <v>46239</v>
      </c>
      <c r="J236" t="s">
        <v>150</v>
      </c>
      <c r="K236" t="s">
        <v>142</v>
      </c>
      <c r="L236" t="s">
        <v>240</v>
      </c>
      <c r="M236" t="s">
        <v>152</v>
      </c>
      <c r="N236" t="s">
        <v>153</v>
      </c>
      <c r="O236">
        <v>21110</v>
      </c>
      <c r="P236">
        <v>4</v>
      </c>
      <c r="Q236" t="s">
        <v>145</v>
      </c>
      <c r="R236" t="s">
        <v>154</v>
      </c>
      <c r="S236" t="s">
        <v>155</v>
      </c>
      <c r="T236" s="4">
        <v>859.35</v>
      </c>
      <c r="U236" s="4">
        <v>0</v>
      </c>
      <c r="V236" s="4">
        <v>4</v>
      </c>
      <c r="W236" s="4">
        <v>700.5</v>
      </c>
      <c r="X236" s="4">
        <v>58.63</v>
      </c>
      <c r="Y236" s="4">
        <v>1618.48</v>
      </c>
      <c r="Z236" s="4" t="s">
        <v>147</v>
      </c>
      <c r="AA236" s="4" t="s">
        <v>147</v>
      </c>
      <c r="AB236" s="4">
        <f>SUMIF('Trip Changes'!$B:$B,A236,'Trip Changes'!$E:$E)</f>
        <v>0</v>
      </c>
      <c r="AC236" s="4">
        <f>SUMIF('Trip Cancellations'!$B:$B,A236,'Trip Cancellations'!$E:$E)</f>
        <v>0</v>
      </c>
      <c r="AD236" s="4">
        <f>SUMIF('Trip Cancellations'!$B:$B,A236,'Trip Cancellations'!$F:$F)</f>
        <v>0</v>
      </c>
      <c r="AE236" s="4">
        <f t="shared" si="3"/>
        <v>1618.48</v>
      </c>
      <c r="AF236" t="s">
        <v>148</v>
      </c>
      <c r="AG236">
        <v>5</v>
      </c>
      <c r="AH236" s="5">
        <v>3166.5</v>
      </c>
      <c r="AI236" t="s">
        <v>147</v>
      </c>
    </row>
    <row r="237" spans="1:35">
      <c r="A237" t="s">
        <v>507</v>
      </c>
      <c r="B237" t="s">
        <v>508</v>
      </c>
      <c r="C237" t="s">
        <v>142</v>
      </c>
      <c r="D237" t="s">
        <v>248</v>
      </c>
      <c r="E237" t="s">
        <v>169</v>
      </c>
      <c r="F237" t="s">
        <v>140</v>
      </c>
      <c r="G237" s="3">
        <v>46163</v>
      </c>
      <c r="H237" s="3">
        <v>46181</v>
      </c>
      <c r="I237" s="3">
        <v>46185</v>
      </c>
      <c r="J237" t="s">
        <v>141</v>
      </c>
      <c r="K237" t="s">
        <v>142</v>
      </c>
      <c r="L237" t="s">
        <v>283</v>
      </c>
      <c r="M237" t="s">
        <v>152</v>
      </c>
      <c r="N237" t="s">
        <v>153</v>
      </c>
      <c r="O237">
        <v>11998</v>
      </c>
      <c r="P237">
        <v>18</v>
      </c>
      <c r="Q237" t="s">
        <v>145</v>
      </c>
      <c r="R237" t="s">
        <v>154</v>
      </c>
      <c r="S237" t="s">
        <v>164</v>
      </c>
      <c r="T237" s="4">
        <v>1322.31</v>
      </c>
      <c r="U237" s="4">
        <v>0</v>
      </c>
      <c r="V237" s="4">
        <v>3</v>
      </c>
      <c r="W237" s="4">
        <v>503.91</v>
      </c>
      <c r="X237" s="4">
        <v>64.760000000000005</v>
      </c>
      <c r="Y237" s="4">
        <v>1890.98</v>
      </c>
      <c r="Z237" s="4" t="s">
        <v>147</v>
      </c>
      <c r="AA237" s="4" t="s">
        <v>147</v>
      </c>
      <c r="AB237" s="4">
        <f>SUMIF('Trip Changes'!$B:$B,A237,'Trip Changes'!$E:$E)</f>
        <v>0</v>
      </c>
      <c r="AC237" s="4">
        <f>SUMIF('Trip Cancellations'!$B:$B,A237,'Trip Cancellations'!$E:$E)</f>
        <v>0</v>
      </c>
      <c r="AD237" s="4">
        <f>SUMIF('Trip Cancellations'!$B:$B,A237,'Trip Cancellations'!$F:$F)</f>
        <v>0</v>
      </c>
      <c r="AE237" s="4">
        <f t="shared" si="3"/>
        <v>1890.98</v>
      </c>
      <c r="AF237" t="s">
        <v>147</v>
      </c>
      <c r="AG237">
        <v>5</v>
      </c>
      <c r="AH237" s="5">
        <v>1799.7</v>
      </c>
      <c r="AI237" t="s">
        <v>148</v>
      </c>
    </row>
    <row r="238" spans="1:35">
      <c r="A238" t="s">
        <v>509</v>
      </c>
      <c r="B238" t="s">
        <v>508</v>
      </c>
      <c r="C238" t="s">
        <v>142</v>
      </c>
      <c r="D238" t="s">
        <v>248</v>
      </c>
      <c r="E238" t="s">
        <v>169</v>
      </c>
      <c r="F238" t="s">
        <v>140</v>
      </c>
      <c r="G238" s="3">
        <v>46131</v>
      </c>
      <c r="H238" s="3">
        <v>46153</v>
      </c>
      <c r="I238" s="3">
        <v>46156</v>
      </c>
      <c r="J238" t="s">
        <v>163</v>
      </c>
      <c r="K238" t="s">
        <v>142</v>
      </c>
      <c r="L238" t="s">
        <v>362</v>
      </c>
      <c r="M238" t="s">
        <v>152</v>
      </c>
      <c r="N238" t="s">
        <v>153</v>
      </c>
      <c r="O238">
        <v>2930</v>
      </c>
      <c r="P238">
        <v>22</v>
      </c>
      <c r="Q238" t="s">
        <v>159</v>
      </c>
      <c r="R238" t="s">
        <v>154</v>
      </c>
      <c r="S238" t="s">
        <v>187</v>
      </c>
      <c r="T238" s="4">
        <v>377.62</v>
      </c>
      <c r="U238" s="4">
        <v>0</v>
      </c>
      <c r="V238" s="4">
        <v>2</v>
      </c>
      <c r="W238" s="4">
        <v>430.07</v>
      </c>
      <c r="X238" s="4">
        <v>111.02</v>
      </c>
      <c r="Y238" s="4">
        <v>918.71</v>
      </c>
      <c r="Z238" s="4" t="s">
        <v>147</v>
      </c>
      <c r="AA238" s="4" t="s">
        <v>147</v>
      </c>
      <c r="AB238" s="4">
        <f>SUMIF('Trip Changes'!$B:$B,A238,'Trip Changes'!$E:$E)</f>
        <v>0</v>
      </c>
      <c r="AC238" s="4">
        <f>SUMIF('Trip Cancellations'!$B:$B,A238,'Trip Cancellations'!$E:$E)</f>
        <v>0</v>
      </c>
      <c r="AD238" s="4">
        <f>SUMIF('Trip Cancellations'!$B:$B,A238,'Trip Cancellations'!$F:$F)</f>
        <v>0</v>
      </c>
      <c r="AE238" s="4">
        <f t="shared" si="3"/>
        <v>918.71</v>
      </c>
      <c r="AF238" t="s">
        <v>148</v>
      </c>
      <c r="AG238">
        <v>4</v>
      </c>
      <c r="AH238" s="5">
        <v>439.5</v>
      </c>
      <c r="AI238" t="s">
        <v>148</v>
      </c>
    </row>
    <row r="239" spans="1:35">
      <c r="A239" t="s">
        <v>510</v>
      </c>
      <c r="B239" t="s">
        <v>511</v>
      </c>
      <c r="C239" t="s">
        <v>282</v>
      </c>
      <c r="D239" t="s">
        <v>168</v>
      </c>
      <c r="E239" t="s">
        <v>268</v>
      </c>
      <c r="F239" t="s">
        <v>170</v>
      </c>
      <c r="G239" s="3">
        <v>46159</v>
      </c>
      <c r="H239" s="3">
        <v>46177</v>
      </c>
      <c r="I239" s="3">
        <v>46182</v>
      </c>
      <c r="J239" t="s">
        <v>141</v>
      </c>
      <c r="K239" t="s">
        <v>282</v>
      </c>
      <c r="L239" t="s">
        <v>305</v>
      </c>
      <c r="M239" t="s">
        <v>152</v>
      </c>
      <c r="N239" t="s">
        <v>153</v>
      </c>
      <c r="O239">
        <v>12142</v>
      </c>
      <c r="P239">
        <v>18</v>
      </c>
      <c r="Q239" t="s">
        <v>145</v>
      </c>
      <c r="R239" t="s">
        <v>186</v>
      </c>
      <c r="S239" t="s">
        <v>164</v>
      </c>
      <c r="T239" s="4">
        <v>1413.49</v>
      </c>
      <c r="U239" s="4">
        <v>0</v>
      </c>
      <c r="V239" s="4">
        <v>4</v>
      </c>
      <c r="W239" s="4">
        <v>789.52</v>
      </c>
      <c r="X239" s="4">
        <v>139.44</v>
      </c>
      <c r="Y239" s="4">
        <v>2342.4499999999998</v>
      </c>
      <c r="Z239" s="4" t="s">
        <v>147</v>
      </c>
      <c r="AA239" s="4" t="s">
        <v>148</v>
      </c>
      <c r="AB239" s="4">
        <f>SUMIF('Trip Changes'!$B:$B,A239,'Trip Changes'!$E:$E)</f>
        <v>0</v>
      </c>
      <c r="AC239" s="4">
        <f>SUMIF('Trip Cancellations'!$B:$B,A239,'Trip Cancellations'!$E:$E)</f>
        <v>52.31</v>
      </c>
      <c r="AD239" s="4">
        <f>SUMIF('Trip Cancellations'!$B:$B,A239,'Trip Cancellations'!$F:$F)</f>
        <v>1101.51</v>
      </c>
      <c r="AE239" s="4">
        <f t="shared" si="3"/>
        <v>1293.2499999999998</v>
      </c>
      <c r="AF239" t="s">
        <v>148</v>
      </c>
      <c r="AG239">
        <v>3</v>
      </c>
      <c r="AH239" s="5">
        <v>1821.3</v>
      </c>
      <c r="AI239" t="s">
        <v>147</v>
      </c>
    </row>
    <row r="240" spans="1:35">
      <c r="A240" t="s">
        <v>512</v>
      </c>
      <c r="B240" t="s">
        <v>511</v>
      </c>
      <c r="C240" t="s">
        <v>282</v>
      </c>
      <c r="D240" t="s">
        <v>168</v>
      </c>
      <c r="E240" t="s">
        <v>268</v>
      </c>
      <c r="F240" t="s">
        <v>207</v>
      </c>
      <c r="G240" s="3">
        <v>46214</v>
      </c>
      <c r="H240" s="3">
        <v>46224</v>
      </c>
      <c r="I240" s="3">
        <v>46228</v>
      </c>
      <c r="J240" t="s">
        <v>150</v>
      </c>
      <c r="K240" t="s">
        <v>282</v>
      </c>
      <c r="L240" t="s">
        <v>225</v>
      </c>
      <c r="M240" t="s">
        <v>152</v>
      </c>
      <c r="N240" t="s">
        <v>153</v>
      </c>
      <c r="O240">
        <v>2754</v>
      </c>
      <c r="P240">
        <v>10</v>
      </c>
      <c r="Q240" t="s">
        <v>145</v>
      </c>
      <c r="R240" t="s">
        <v>154</v>
      </c>
      <c r="S240" t="s">
        <v>173</v>
      </c>
      <c r="T240" s="4">
        <v>476.85</v>
      </c>
      <c r="U240" s="4">
        <v>0</v>
      </c>
      <c r="V240" s="4">
        <v>3</v>
      </c>
      <c r="W240" s="4">
        <v>380.64</v>
      </c>
      <c r="X240" s="4">
        <v>116.5</v>
      </c>
      <c r="Y240" s="4">
        <v>973.99</v>
      </c>
      <c r="Z240" s="4" t="s">
        <v>147</v>
      </c>
      <c r="AA240" s="4" t="s">
        <v>147</v>
      </c>
      <c r="AB240" s="4">
        <f>SUMIF('Trip Changes'!$B:$B,A240,'Trip Changes'!$E:$E)</f>
        <v>0</v>
      </c>
      <c r="AC240" s="4">
        <f>SUMIF('Trip Cancellations'!$B:$B,A240,'Trip Cancellations'!$E:$E)</f>
        <v>0</v>
      </c>
      <c r="AD240" s="4">
        <f>SUMIF('Trip Cancellations'!$B:$B,A240,'Trip Cancellations'!$F:$F)</f>
        <v>0</v>
      </c>
      <c r="AE240" s="4">
        <f t="shared" si="3"/>
        <v>973.99</v>
      </c>
      <c r="AF240" t="s">
        <v>148</v>
      </c>
      <c r="AG240">
        <v>4</v>
      </c>
      <c r="AH240" s="5">
        <v>413.1</v>
      </c>
      <c r="AI240" t="s">
        <v>147</v>
      </c>
    </row>
    <row r="241" spans="1:35">
      <c r="A241" t="s">
        <v>513</v>
      </c>
      <c r="B241" t="s">
        <v>511</v>
      </c>
      <c r="C241" t="s">
        <v>282</v>
      </c>
      <c r="D241" t="s">
        <v>168</v>
      </c>
      <c r="E241" t="s">
        <v>268</v>
      </c>
      <c r="F241" t="s">
        <v>181</v>
      </c>
      <c r="G241" s="3">
        <v>46153</v>
      </c>
      <c r="H241" s="3">
        <v>46174</v>
      </c>
      <c r="I241" s="3">
        <v>46177</v>
      </c>
      <c r="J241" t="s">
        <v>141</v>
      </c>
      <c r="K241" t="s">
        <v>282</v>
      </c>
      <c r="L241" t="s">
        <v>151</v>
      </c>
      <c r="M241" t="s">
        <v>152</v>
      </c>
      <c r="N241" t="s">
        <v>153</v>
      </c>
      <c r="O241">
        <v>3264</v>
      </c>
      <c r="P241">
        <v>21</v>
      </c>
      <c r="Q241" t="s">
        <v>159</v>
      </c>
      <c r="R241" t="s">
        <v>172</v>
      </c>
      <c r="S241" t="s">
        <v>155</v>
      </c>
      <c r="T241" s="4">
        <v>328.93</v>
      </c>
      <c r="U241" s="4">
        <v>0</v>
      </c>
      <c r="V241" s="4">
        <v>2</v>
      </c>
      <c r="W241" s="4">
        <v>372.28</v>
      </c>
      <c r="X241" s="4">
        <v>68.180000000000007</v>
      </c>
      <c r="Y241" s="4">
        <v>769.39</v>
      </c>
      <c r="Z241" s="4" t="s">
        <v>147</v>
      </c>
      <c r="AA241" s="4" t="s">
        <v>147</v>
      </c>
      <c r="AB241" s="4">
        <f>SUMIF('Trip Changes'!$B:$B,A241,'Trip Changes'!$E:$E)</f>
        <v>0</v>
      </c>
      <c r="AC241" s="4">
        <f>SUMIF('Trip Cancellations'!$B:$B,A241,'Trip Cancellations'!$E:$E)</f>
        <v>0</v>
      </c>
      <c r="AD241" s="4">
        <f>SUMIF('Trip Cancellations'!$B:$B,A241,'Trip Cancellations'!$F:$F)</f>
        <v>0</v>
      </c>
      <c r="AE241" s="4">
        <f t="shared" si="3"/>
        <v>769.39</v>
      </c>
      <c r="AF241" t="s">
        <v>148</v>
      </c>
      <c r="AG241">
        <v>4</v>
      </c>
      <c r="AH241" s="5">
        <v>489.6</v>
      </c>
      <c r="AI241" t="s">
        <v>147</v>
      </c>
    </row>
    <row r="242" spans="1:35">
      <c r="A242" t="s">
        <v>514</v>
      </c>
      <c r="B242" t="s">
        <v>515</v>
      </c>
      <c r="C242" t="s">
        <v>137</v>
      </c>
      <c r="D242" t="s">
        <v>168</v>
      </c>
      <c r="E242" t="s">
        <v>268</v>
      </c>
      <c r="F242" t="s">
        <v>162</v>
      </c>
      <c r="G242" s="3">
        <v>46174</v>
      </c>
      <c r="H242" s="3">
        <v>46198</v>
      </c>
      <c r="I242" s="3">
        <v>46203</v>
      </c>
      <c r="J242" t="s">
        <v>141</v>
      </c>
      <c r="K242" t="s">
        <v>137</v>
      </c>
      <c r="L242" t="s">
        <v>233</v>
      </c>
      <c r="M242" t="s">
        <v>152</v>
      </c>
      <c r="N242" t="s">
        <v>153</v>
      </c>
      <c r="O242">
        <v>2954</v>
      </c>
      <c r="P242">
        <v>24</v>
      </c>
      <c r="Q242" t="s">
        <v>159</v>
      </c>
      <c r="R242" t="s">
        <v>160</v>
      </c>
      <c r="S242" t="s">
        <v>164</v>
      </c>
      <c r="T242" s="4">
        <v>455.83</v>
      </c>
      <c r="U242" s="4">
        <v>0</v>
      </c>
      <c r="V242" s="4">
        <v>4</v>
      </c>
      <c r="W242" s="4">
        <v>932.18</v>
      </c>
      <c r="X242" s="4">
        <v>118.12</v>
      </c>
      <c r="Y242" s="4">
        <v>1506.13</v>
      </c>
      <c r="Z242" s="4" t="s">
        <v>147</v>
      </c>
      <c r="AA242" s="4" t="s">
        <v>147</v>
      </c>
      <c r="AB242" s="4">
        <f>SUMIF('Trip Changes'!$B:$B,A242,'Trip Changes'!$E:$E)</f>
        <v>0</v>
      </c>
      <c r="AC242" s="4">
        <f>SUMIF('Trip Cancellations'!$B:$B,A242,'Trip Cancellations'!$E:$E)</f>
        <v>0</v>
      </c>
      <c r="AD242" s="4">
        <f>SUMIF('Trip Cancellations'!$B:$B,A242,'Trip Cancellations'!$F:$F)</f>
        <v>0</v>
      </c>
      <c r="AE242" s="4">
        <f t="shared" si="3"/>
        <v>1506.13</v>
      </c>
      <c r="AF242" t="s">
        <v>147</v>
      </c>
      <c r="AG242">
        <v>4</v>
      </c>
      <c r="AH242" s="5">
        <v>443.1</v>
      </c>
      <c r="AI242" t="s">
        <v>147</v>
      </c>
    </row>
    <row r="243" spans="1:35">
      <c r="A243" t="s">
        <v>516</v>
      </c>
      <c r="B243" t="s">
        <v>515</v>
      </c>
      <c r="C243" t="s">
        <v>137</v>
      </c>
      <c r="D243" t="s">
        <v>168</v>
      </c>
      <c r="E243" t="s">
        <v>268</v>
      </c>
      <c r="F243" t="s">
        <v>157</v>
      </c>
      <c r="G243" s="3">
        <v>46179</v>
      </c>
      <c r="H243" s="3">
        <v>46189</v>
      </c>
      <c r="I243" s="3">
        <v>46192</v>
      </c>
      <c r="J243" t="s">
        <v>141</v>
      </c>
      <c r="K243" t="s">
        <v>137</v>
      </c>
      <c r="L243" t="s">
        <v>193</v>
      </c>
      <c r="M243" t="s">
        <v>143</v>
      </c>
      <c r="N243" t="s">
        <v>144</v>
      </c>
      <c r="O243">
        <v>900</v>
      </c>
      <c r="P243">
        <v>10</v>
      </c>
      <c r="Q243" t="s">
        <v>145</v>
      </c>
      <c r="S243" t="s">
        <v>146</v>
      </c>
      <c r="T243" s="4">
        <v>0</v>
      </c>
      <c r="U243" s="4">
        <v>238.63</v>
      </c>
      <c r="V243" s="4">
        <v>2</v>
      </c>
      <c r="W243" s="4">
        <v>303.93</v>
      </c>
      <c r="X243" s="4">
        <v>45.49</v>
      </c>
      <c r="Y243" s="4">
        <v>588.04999999999995</v>
      </c>
      <c r="Z243" s="4" t="s">
        <v>147</v>
      </c>
      <c r="AA243" s="4" t="s">
        <v>147</v>
      </c>
      <c r="AB243" s="4">
        <f>SUMIF('Trip Changes'!$B:$B,A243,'Trip Changes'!$E:$E)</f>
        <v>0</v>
      </c>
      <c r="AC243" s="4">
        <f>SUMIF('Trip Cancellations'!$B:$B,A243,'Trip Cancellations'!$E:$E)</f>
        <v>0</v>
      </c>
      <c r="AD243" s="4">
        <f>SUMIF('Trip Cancellations'!$B:$B,A243,'Trip Cancellations'!$F:$F)</f>
        <v>0</v>
      </c>
      <c r="AE243" s="4">
        <f t="shared" si="3"/>
        <v>588.04999999999995</v>
      </c>
      <c r="AF243" t="s">
        <v>148</v>
      </c>
      <c r="AG243">
        <v>4</v>
      </c>
      <c r="AH243" s="5">
        <v>36</v>
      </c>
      <c r="AI243" t="s">
        <v>147</v>
      </c>
    </row>
    <row r="244" spans="1:35">
      <c r="A244" t="s">
        <v>517</v>
      </c>
      <c r="B244" t="s">
        <v>518</v>
      </c>
      <c r="C244" t="s">
        <v>142</v>
      </c>
      <c r="D244" t="s">
        <v>168</v>
      </c>
      <c r="E244" t="s">
        <v>262</v>
      </c>
      <c r="F244" t="s">
        <v>157</v>
      </c>
      <c r="G244" s="3">
        <v>46152</v>
      </c>
      <c r="H244" s="3">
        <v>46162</v>
      </c>
      <c r="I244" s="3">
        <v>46168</v>
      </c>
      <c r="J244" t="s">
        <v>163</v>
      </c>
      <c r="K244" t="s">
        <v>142</v>
      </c>
      <c r="L244" t="s">
        <v>179</v>
      </c>
      <c r="M244" t="s">
        <v>152</v>
      </c>
      <c r="N244" t="s">
        <v>153</v>
      </c>
      <c r="O244">
        <v>11950</v>
      </c>
      <c r="P244">
        <v>10</v>
      </c>
      <c r="Q244" t="s">
        <v>145</v>
      </c>
      <c r="R244" t="s">
        <v>441</v>
      </c>
      <c r="S244" t="s">
        <v>187</v>
      </c>
      <c r="T244" s="4">
        <v>1270.32</v>
      </c>
      <c r="U244" s="4">
        <v>0</v>
      </c>
      <c r="V244" s="4">
        <v>5</v>
      </c>
      <c r="W244" s="4">
        <v>530.61</v>
      </c>
      <c r="X244" s="4">
        <v>100.32</v>
      </c>
      <c r="Y244" s="4">
        <v>1901.25</v>
      </c>
      <c r="Z244" s="4" t="s">
        <v>147</v>
      </c>
      <c r="AA244" s="4" t="s">
        <v>147</v>
      </c>
      <c r="AB244" s="4">
        <f>SUMIF('Trip Changes'!$B:$B,A244,'Trip Changes'!$E:$E)</f>
        <v>0</v>
      </c>
      <c r="AC244" s="4">
        <f>SUMIF('Trip Cancellations'!$B:$B,A244,'Trip Cancellations'!$E:$E)</f>
        <v>0</v>
      </c>
      <c r="AD244" s="4">
        <f>SUMIF('Trip Cancellations'!$B:$B,A244,'Trip Cancellations'!$F:$F)</f>
        <v>0</v>
      </c>
      <c r="AE244" s="4">
        <f t="shared" si="3"/>
        <v>1901.25</v>
      </c>
      <c r="AF244" t="s">
        <v>148</v>
      </c>
      <c r="AG244">
        <v>5</v>
      </c>
      <c r="AH244" s="5">
        <v>1792.5</v>
      </c>
      <c r="AI244" t="s">
        <v>148</v>
      </c>
    </row>
    <row r="245" spans="1:35">
      <c r="A245" t="s">
        <v>519</v>
      </c>
      <c r="B245" t="s">
        <v>518</v>
      </c>
      <c r="C245" t="s">
        <v>142</v>
      </c>
      <c r="D245" t="s">
        <v>168</v>
      </c>
      <c r="E245" t="s">
        <v>262</v>
      </c>
      <c r="F245" t="s">
        <v>170</v>
      </c>
      <c r="G245" s="3">
        <v>46182</v>
      </c>
      <c r="H245" s="3">
        <v>46221</v>
      </c>
      <c r="I245" s="3">
        <v>46223</v>
      </c>
      <c r="J245" t="s">
        <v>150</v>
      </c>
      <c r="K245" t="s">
        <v>142</v>
      </c>
      <c r="L245" t="s">
        <v>199</v>
      </c>
      <c r="M245" t="s">
        <v>152</v>
      </c>
      <c r="N245" t="s">
        <v>153</v>
      </c>
      <c r="O245">
        <v>2580</v>
      </c>
      <c r="P245">
        <v>39</v>
      </c>
      <c r="Q245" t="s">
        <v>145</v>
      </c>
      <c r="R245" t="s">
        <v>291</v>
      </c>
      <c r="S245" t="s">
        <v>155</v>
      </c>
      <c r="T245" s="4">
        <v>312.72000000000003</v>
      </c>
      <c r="U245" s="4">
        <v>0</v>
      </c>
      <c r="V245" s="4">
        <v>1</v>
      </c>
      <c r="W245" s="4">
        <v>191.22</v>
      </c>
      <c r="X245" s="4">
        <v>107.41</v>
      </c>
      <c r="Y245" s="4">
        <v>611.35</v>
      </c>
      <c r="Z245" s="4" t="s">
        <v>147</v>
      </c>
      <c r="AA245" s="4" t="s">
        <v>147</v>
      </c>
      <c r="AB245" s="4">
        <f>SUMIF('Trip Changes'!$B:$B,A245,'Trip Changes'!$E:$E)</f>
        <v>0</v>
      </c>
      <c r="AC245" s="4">
        <f>SUMIF('Trip Cancellations'!$B:$B,A245,'Trip Cancellations'!$E:$E)</f>
        <v>0</v>
      </c>
      <c r="AD245" s="4">
        <f>SUMIF('Trip Cancellations'!$B:$B,A245,'Trip Cancellations'!$F:$F)</f>
        <v>0</v>
      </c>
      <c r="AE245" s="4">
        <f t="shared" si="3"/>
        <v>611.35</v>
      </c>
      <c r="AF245" t="s">
        <v>148</v>
      </c>
      <c r="AG245">
        <v>5</v>
      </c>
      <c r="AH245" s="5">
        <v>387</v>
      </c>
      <c r="AI245" t="s">
        <v>148</v>
      </c>
    </row>
    <row r="246" spans="1:35">
      <c r="A246" t="s">
        <v>520</v>
      </c>
      <c r="B246" t="s">
        <v>518</v>
      </c>
      <c r="C246" t="s">
        <v>142</v>
      </c>
      <c r="D246" t="s">
        <v>168</v>
      </c>
      <c r="E246" t="s">
        <v>262</v>
      </c>
      <c r="F246" t="s">
        <v>140</v>
      </c>
      <c r="G246" s="3">
        <v>46140</v>
      </c>
      <c r="H246" s="3">
        <v>46157</v>
      </c>
      <c r="I246" s="3">
        <v>46159</v>
      </c>
      <c r="J246" t="s">
        <v>163</v>
      </c>
      <c r="K246" t="s">
        <v>142</v>
      </c>
      <c r="L246" t="s">
        <v>199</v>
      </c>
      <c r="M246" t="s">
        <v>152</v>
      </c>
      <c r="N246" t="s">
        <v>153</v>
      </c>
      <c r="O246">
        <v>3208</v>
      </c>
      <c r="P246">
        <v>17</v>
      </c>
      <c r="Q246" t="s">
        <v>216</v>
      </c>
      <c r="R246" t="s">
        <v>200</v>
      </c>
      <c r="S246" t="s">
        <v>173</v>
      </c>
      <c r="T246" s="4">
        <v>380.84</v>
      </c>
      <c r="U246" s="4">
        <v>0</v>
      </c>
      <c r="V246" s="4">
        <v>1</v>
      </c>
      <c r="W246" s="4">
        <v>155.21</v>
      </c>
      <c r="X246" s="4">
        <v>72.849999999999994</v>
      </c>
      <c r="Y246" s="4">
        <v>608.9</v>
      </c>
      <c r="Z246" s="4" t="s">
        <v>148</v>
      </c>
      <c r="AA246" s="4" t="s">
        <v>147</v>
      </c>
      <c r="AB246" s="4">
        <f>SUMIF('Trip Changes'!$B:$B,A246,'Trip Changes'!$E:$E)</f>
        <v>323.71000000000004</v>
      </c>
      <c r="AC246" s="4">
        <f>SUMIF('Trip Cancellations'!$B:$B,A246,'Trip Cancellations'!$E:$E)</f>
        <v>0</v>
      </c>
      <c r="AD246" s="4">
        <f>SUMIF('Trip Cancellations'!$B:$B,A246,'Trip Cancellations'!$F:$F)</f>
        <v>0</v>
      </c>
      <c r="AE246" s="4">
        <f t="shared" si="3"/>
        <v>932.61</v>
      </c>
      <c r="AF246" t="s">
        <v>148</v>
      </c>
      <c r="AG246">
        <v>4</v>
      </c>
      <c r="AH246" s="5">
        <v>481.2</v>
      </c>
      <c r="AI246" t="s">
        <v>148</v>
      </c>
    </row>
    <row r="247" spans="1:35">
      <c r="A247" t="s">
        <v>521</v>
      </c>
      <c r="B247" t="s">
        <v>518</v>
      </c>
      <c r="C247" t="s">
        <v>142</v>
      </c>
      <c r="D247" t="s">
        <v>168</v>
      </c>
      <c r="E247" t="s">
        <v>262</v>
      </c>
      <c r="F247" t="s">
        <v>157</v>
      </c>
      <c r="G247" s="3">
        <v>46185</v>
      </c>
      <c r="H247" s="3">
        <v>46196</v>
      </c>
      <c r="I247" s="3">
        <v>46199</v>
      </c>
      <c r="J247" t="s">
        <v>141</v>
      </c>
      <c r="K247" t="s">
        <v>142</v>
      </c>
      <c r="L247" t="s">
        <v>227</v>
      </c>
      <c r="M247" t="s">
        <v>152</v>
      </c>
      <c r="N247" t="s">
        <v>153</v>
      </c>
      <c r="O247">
        <v>2676</v>
      </c>
      <c r="P247">
        <v>11</v>
      </c>
      <c r="Q247" t="s">
        <v>159</v>
      </c>
      <c r="R247" t="s">
        <v>176</v>
      </c>
      <c r="S247" t="s">
        <v>187</v>
      </c>
      <c r="T247" s="4">
        <v>322.93</v>
      </c>
      <c r="U247" s="4">
        <v>0</v>
      </c>
      <c r="V247" s="4">
        <v>2</v>
      </c>
      <c r="W247" s="4">
        <v>356.55</v>
      </c>
      <c r="X247" s="4">
        <v>95.94</v>
      </c>
      <c r="Y247" s="4">
        <v>775.42</v>
      </c>
      <c r="Z247" s="4" t="s">
        <v>147</v>
      </c>
      <c r="AA247" s="4" t="s">
        <v>147</v>
      </c>
      <c r="AB247" s="4">
        <f>SUMIF('Trip Changes'!$B:$B,A247,'Trip Changes'!$E:$E)</f>
        <v>0</v>
      </c>
      <c r="AC247" s="4">
        <f>SUMIF('Trip Cancellations'!$B:$B,A247,'Trip Cancellations'!$E:$E)</f>
        <v>0</v>
      </c>
      <c r="AD247" s="4">
        <f>SUMIF('Trip Cancellations'!$B:$B,A247,'Trip Cancellations'!$F:$F)</f>
        <v>0</v>
      </c>
      <c r="AE247" s="4">
        <f t="shared" si="3"/>
        <v>775.42</v>
      </c>
      <c r="AF247" t="s">
        <v>148</v>
      </c>
      <c r="AG247">
        <v>4</v>
      </c>
      <c r="AH247" s="5">
        <v>401.4</v>
      </c>
      <c r="AI247" t="s">
        <v>148</v>
      </c>
    </row>
    <row r="248" spans="1:35">
      <c r="A248" t="s">
        <v>522</v>
      </c>
      <c r="B248" t="s">
        <v>518</v>
      </c>
      <c r="C248" t="s">
        <v>142</v>
      </c>
      <c r="D248" t="s">
        <v>168</v>
      </c>
      <c r="E248" t="s">
        <v>262</v>
      </c>
      <c r="F248" t="s">
        <v>157</v>
      </c>
      <c r="G248" s="3">
        <v>46189</v>
      </c>
      <c r="H248" s="3">
        <v>46201</v>
      </c>
      <c r="I248" s="3">
        <v>46204</v>
      </c>
      <c r="J248" t="s">
        <v>141</v>
      </c>
      <c r="K248" t="s">
        <v>142</v>
      </c>
      <c r="L248" t="s">
        <v>362</v>
      </c>
      <c r="M248" t="s">
        <v>152</v>
      </c>
      <c r="N248" t="s">
        <v>153</v>
      </c>
      <c r="O248">
        <v>3332</v>
      </c>
      <c r="P248">
        <v>12</v>
      </c>
      <c r="Q248" t="s">
        <v>145</v>
      </c>
      <c r="R248" t="s">
        <v>176</v>
      </c>
      <c r="S248" t="s">
        <v>164</v>
      </c>
      <c r="T248" s="4">
        <v>287.5</v>
      </c>
      <c r="U248" s="4">
        <v>0</v>
      </c>
      <c r="V248" s="4">
        <v>2</v>
      </c>
      <c r="W248" s="4">
        <v>332.9</v>
      </c>
      <c r="X248" s="4">
        <v>59.76</v>
      </c>
      <c r="Y248" s="4">
        <v>680.16</v>
      </c>
      <c r="Z248" s="4" t="s">
        <v>147</v>
      </c>
      <c r="AA248" s="4" t="s">
        <v>147</v>
      </c>
      <c r="AB248" s="4">
        <f>SUMIF('Trip Changes'!$B:$B,A248,'Trip Changes'!$E:$E)</f>
        <v>0</v>
      </c>
      <c r="AC248" s="4">
        <f>SUMIF('Trip Cancellations'!$B:$B,A248,'Trip Cancellations'!$E:$E)</f>
        <v>0</v>
      </c>
      <c r="AD248" s="4">
        <f>SUMIF('Trip Cancellations'!$B:$B,A248,'Trip Cancellations'!$F:$F)</f>
        <v>0</v>
      </c>
      <c r="AE248" s="4">
        <f t="shared" si="3"/>
        <v>680.16</v>
      </c>
      <c r="AF248" t="s">
        <v>148</v>
      </c>
      <c r="AG248">
        <v>4</v>
      </c>
      <c r="AH248" s="5">
        <v>499.8</v>
      </c>
      <c r="AI248" t="s">
        <v>148</v>
      </c>
    </row>
    <row r="249" spans="1:35">
      <c r="A249" t="s">
        <v>523</v>
      </c>
      <c r="B249" t="s">
        <v>518</v>
      </c>
      <c r="C249" t="s">
        <v>142</v>
      </c>
      <c r="D249" t="s">
        <v>168</v>
      </c>
      <c r="E249" t="s">
        <v>262</v>
      </c>
      <c r="F249" t="s">
        <v>170</v>
      </c>
      <c r="G249" s="3">
        <v>46205</v>
      </c>
      <c r="H249" s="3">
        <v>46226</v>
      </c>
      <c r="I249" s="3">
        <v>46228</v>
      </c>
      <c r="J249" t="s">
        <v>150</v>
      </c>
      <c r="K249" t="s">
        <v>142</v>
      </c>
      <c r="L249" t="s">
        <v>182</v>
      </c>
      <c r="M249" t="s">
        <v>143</v>
      </c>
      <c r="N249" t="s">
        <v>144</v>
      </c>
      <c r="O249">
        <v>1040</v>
      </c>
      <c r="P249">
        <v>21</v>
      </c>
      <c r="Q249" t="s">
        <v>145</v>
      </c>
      <c r="S249" t="s">
        <v>146</v>
      </c>
      <c r="T249" s="4">
        <v>0</v>
      </c>
      <c r="U249" s="4">
        <v>90</v>
      </c>
      <c r="V249" s="4">
        <v>1</v>
      </c>
      <c r="W249" s="4">
        <v>140.77000000000001</v>
      </c>
      <c r="X249" s="4">
        <v>20</v>
      </c>
      <c r="Y249" s="4">
        <v>250.77</v>
      </c>
      <c r="Z249" s="4" t="s">
        <v>148</v>
      </c>
      <c r="AA249" s="4" t="s">
        <v>147</v>
      </c>
      <c r="AB249" s="4">
        <f>SUMIF('Trip Changes'!$B:$B,A249,'Trip Changes'!$E:$E)</f>
        <v>15</v>
      </c>
      <c r="AC249" s="4">
        <f>SUMIF('Trip Cancellations'!$B:$B,A249,'Trip Cancellations'!$E:$E)</f>
        <v>0</v>
      </c>
      <c r="AD249" s="4">
        <f>SUMIF('Trip Cancellations'!$B:$B,A249,'Trip Cancellations'!$F:$F)</f>
        <v>0</v>
      </c>
      <c r="AE249" s="4">
        <f t="shared" si="3"/>
        <v>265.77</v>
      </c>
      <c r="AF249" t="s">
        <v>148</v>
      </c>
      <c r="AG249">
        <v>5</v>
      </c>
      <c r="AH249" s="5">
        <v>41.6</v>
      </c>
      <c r="AI249" t="s">
        <v>148</v>
      </c>
    </row>
    <row r="250" spans="1:35">
      <c r="A250" t="s">
        <v>524</v>
      </c>
      <c r="B250" t="s">
        <v>525</v>
      </c>
      <c r="C250" t="s">
        <v>182</v>
      </c>
      <c r="D250" t="s">
        <v>138</v>
      </c>
      <c r="E250" t="s">
        <v>139</v>
      </c>
      <c r="F250" t="s">
        <v>181</v>
      </c>
      <c r="G250" s="3">
        <v>46188</v>
      </c>
      <c r="H250" s="3">
        <v>46211</v>
      </c>
      <c r="I250" s="3">
        <v>46215</v>
      </c>
      <c r="J250" t="s">
        <v>150</v>
      </c>
      <c r="K250" t="s">
        <v>182</v>
      </c>
      <c r="L250" t="s">
        <v>225</v>
      </c>
      <c r="M250" t="s">
        <v>152</v>
      </c>
      <c r="N250" t="s">
        <v>153</v>
      </c>
      <c r="O250">
        <v>2158</v>
      </c>
      <c r="P250">
        <v>23</v>
      </c>
      <c r="Q250" t="s">
        <v>216</v>
      </c>
      <c r="R250" t="s">
        <v>236</v>
      </c>
      <c r="S250" t="s">
        <v>173</v>
      </c>
      <c r="T250" s="4">
        <v>339.73</v>
      </c>
      <c r="U250" s="4">
        <v>0</v>
      </c>
      <c r="V250" s="4">
        <v>3</v>
      </c>
      <c r="W250" s="4">
        <v>624.22</v>
      </c>
      <c r="X250" s="4">
        <v>81.459999999999994</v>
      </c>
      <c r="Y250" s="4">
        <v>1045.4100000000001</v>
      </c>
      <c r="Z250" s="4" t="s">
        <v>147</v>
      </c>
      <c r="AA250" s="4" t="s">
        <v>147</v>
      </c>
      <c r="AB250" s="4">
        <f>SUMIF('Trip Changes'!$B:$B,A250,'Trip Changes'!$E:$E)</f>
        <v>0</v>
      </c>
      <c r="AC250" s="4">
        <f>SUMIF('Trip Cancellations'!$B:$B,A250,'Trip Cancellations'!$E:$E)</f>
        <v>0</v>
      </c>
      <c r="AD250" s="4">
        <f>SUMIF('Trip Cancellations'!$B:$B,A250,'Trip Cancellations'!$F:$F)</f>
        <v>0</v>
      </c>
      <c r="AE250" s="4">
        <f t="shared" si="3"/>
        <v>1045.4100000000001</v>
      </c>
      <c r="AF250" t="s">
        <v>148</v>
      </c>
      <c r="AG250">
        <v>3</v>
      </c>
      <c r="AH250" s="5">
        <v>323.7</v>
      </c>
      <c r="AI250" t="s">
        <v>147</v>
      </c>
    </row>
    <row r="251" spans="1:35">
      <c r="A251" t="s">
        <v>526</v>
      </c>
      <c r="B251" t="s">
        <v>525</v>
      </c>
      <c r="C251" t="s">
        <v>182</v>
      </c>
      <c r="D251" t="s">
        <v>138</v>
      </c>
      <c r="E251" t="s">
        <v>139</v>
      </c>
      <c r="F251" t="s">
        <v>181</v>
      </c>
      <c r="G251" s="3">
        <v>46211</v>
      </c>
      <c r="H251" s="3">
        <v>46232</v>
      </c>
      <c r="I251" s="3">
        <v>46235</v>
      </c>
      <c r="J251" t="s">
        <v>150</v>
      </c>
      <c r="K251" t="s">
        <v>182</v>
      </c>
      <c r="L251" t="s">
        <v>283</v>
      </c>
      <c r="M251" t="s">
        <v>152</v>
      </c>
      <c r="N251" t="s">
        <v>153</v>
      </c>
      <c r="O251">
        <v>12516</v>
      </c>
      <c r="P251">
        <v>21</v>
      </c>
      <c r="Q251" t="s">
        <v>145</v>
      </c>
      <c r="R251" t="s">
        <v>186</v>
      </c>
      <c r="S251" t="s">
        <v>190</v>
      </c>
      <c r="T251" s="4">
        <v>943.94</v>
      </c>
      <c r="U251" s="4">
        <v>0</v>
      </c>
      <c r="V251" s="4">
        <v>2</v>
      </c>
      <c r="W251" s="4">
        <v>304.48</v>
      </c>
      <c r="X251" s="4">
        <v>133.06</v>
      </c>
      <c r="Y251" s="4">
        <v>1381.48</v>
      </c>
      <c r="Z251" s="4" t="s">
        <v>147</v>
      </c>
      <c r="AA251" s="4" t="s">
        <v>147</v>
      </c>
      <c r="AB251" s="4">
        <f>SUMIF('Trip Changes'!$B:$B,A251,'Trip Changes'!$E:$E)</f>
        <v>0</v>
      </c>
      <c r="AC251" s="4">
        <f>SUMIF('Trip Cancellations'!$B:$B,A251,'Trip Cancellations'!$E:$E)</f>
        <v>0</v>
      </c>
      <c r="AD251" s="4">
        <f>SUMIF('Trip Cancellations'!$B:$B,A251,'Trip Cancellations'!$F:$F)</f>
        <v>0</v>
      </c>
      <c r="AE251" s="4">
        <f t="shared" si="3"/>
        <v>1381.48</v>
      </c>
      <c r="AF251" t="s">
        <v>148</v>
      </c>
      <c r="AG251">
        <v>5</v>
      </c>
      <c r="AH251" s="5">
        <v>1877.4</v>
      </c>
      <c r="AI251" t="s">
        <v>147</v>
      </c>
    </row>
    <row r="252" spans="1:35">
      <c r="A252" t="s">
        <v>527</v>
      </c>
      <c r="B252" t="s">
        <v>525</v>
      </c>
      <c r="C252" t="s">
        <v>182</v>
      </c>
      <c r="D252" t="s">
        <v>138</v>
      </c>
      <c r="E252" t="s">
        <v>139</v>
      </c>
      <c r="F252" t="s">
        <v>181</v>
      </c>
      <c r="G252" s="3">
        <v>46177</v>
      </c>
      <c r="H252" s="3">
        <v>46185</v>
      </c>
      <c r="I252" s="3">
        <v>46190</v>
      </c>
      <c r="J252" t="s">
        <v>141</v>
      </c>
      <c r="K252" t="s">
        <v>182</v>
      </c>
      <c r="L252" t="s">
        <v>175</v>
      </c>
      <c r="M252" t="s">
        <v>152</v>
      </c>
      <c r="N252" t="s">
        <v>153</v>
      </c>
      <c r="O252">
        <v>3312</v>
      </c>
      <c r="P252">
        <v>8</v>
      </c>
      <c r="Q252" t="s">
        <v>207</v>
      </c>
      <c r="R252" t="s">
        <v>236</v>
      </c>
      <c r="S252" t="s">
        <v>155</v>
      </c>
      <c r="T252" s="4">
        <v>405.89</v>
      </c>
      <c r="U252" s="4">
        <v>0</v>
      </c>
      <c r="V252" s="4">
        <v>4</v>
      </c>
      <c r="W252" s="4">
        <v>607.84</v>
      </c>
      <c r="X252" s="4">
        <v>110.06</v>
      </c>
      <c r="Y252" s="4">
        <v>1123.79</v>
      </c>
      <c r="Z252" s="4" t="s">
        <v>147</v>
      </c>
      <c r="AA252" s="4" t="s">
        <v>147</v>
      </c>
      <c r="AB252" s="4">
        <f>SUMIF('Trip Changes'!$B:$B,A252,'Trip Changes'!$E:$E)</f>
        <v>0</v>
      </c>
      <c r="AC252" s="4">
        <f>SUMIF('Trip Cancellations'!$B:$B,A252,'Trip Cancellations'!$E:$E)</f>
        <v>0</v>
      </c>
      <c r="AD252" s="4">
        <f>SUMIF('Trip Cancellations'!$B:$B,A252,'Trip Cancellations'!$F:$F)</f>
        <v>0</v>
      </c>
      <c r="AE252" s="4">
        <f t="shared" si="3"/>
        <v>1123.79</v>
      </c>
      <c r="AF252" t="s">
        <v>147</v>
      </c>
      <c r="AG252">
        <v>4</v>
      </c>
      <c r="AH252" s="5">
        <v>496.8</v>
      </c>
      <c r="AI252" t="s">
        <v>148</v>
      </c>
    </row>
    <row r="253" spans="1:35">
      <c r="A253" t="s">
        <v>528</v>
      </c>
      <c r="B253" t="s">
        <v>525</v>
      </c>
      <c r="C253" t="s">
        <v>182</v>
      </c>
      <c r="D253" t="s">
        <v>138</v>
      </c>
      <c r="E253" t="s">
        <v>139</v>
      </c>
      <c r="F253" t="s">
        <v>162</v>
      </c>
      <c r="G253" s="3">
        <v>46123</v>
      </c>
      <c r="H253" s="3">
        <v>46152</v>
      </c>
      <c r="I253" s="3">
        <v>46156</v>
      </c>
      <c r="J253" t="s">
        <v>163</v>
      </c>
      <c r="K253" t="s">
        <v>182</v>
      </c>
      <c r="L253" t="s">
        <v>233</v>
      </c>
      <c r="M253" t="s">
        <v>152</v>
      </c>
      <c r="N253" t="s">
        <v>153</v>
      </c>
      <c r="O253">
        <v>1964</v>
      </c>
      <c r="P253">
        <v>29</v>
      </c>
      <c r="Q253" t="s">
        <v>145</v>
      </c>
      <c r="R253" t="s">
        <v>160</v>
      </c>
      <c r="S253" t="s">
        <v>187</v>
      </c>
      <c r="T253" s="4">
        <v>265.31</v>
      </c>
      <c r="U253" s="4">
        <v>0</v>
      </c>
      <c r="V253" s="4">
        <v>3</v>
      </c>
      <c r="W253" s="4">
        <v>596.89</v>
      </c>
      <c r="X253" s="4">
        <v>61.92</v>
      </c>
      <c r="Y253" s="4">
        <v>924.12</v>
      </c>
      <c r="Z253" s="4" t="s">
        <v>147</v>
      </c>
      <c r="AA253" s="4" t="s">
        <v>147</v>
      </c>
      <c r="AB253" s="4">
        <f>SUMIF('Trip Changes'!$B:$B,A253,'Trip Changes'!$E:$E)</f>
        <v>0</v>
      </c>
      <c r="AC253" s="4">
        <f>SUMIF('Trip Cancellations'!$B:$B,A253,'Trip Cancellations'!$E:$E)</f>
        <v>0</v>
      </c>
      <c r="AD253" s="4">
        <f>SUMIF('Trip Cancellations'!$B:$B,A253,'Trip Cancellations'!$F:$F)</f>
        <v>0</v>
      </c>
      <c r="AE253" s="4">
        <f t="shared" si="3"/>
        <v>924.12</v>
      </c>
      <c r="AF253" t="s">
        <v>148</v>
      </c>
      <c r="AG253">
        <v>5</v>
      </c>
      <c r="AH253" s="5">
        <v>294.60000000000002</v>
      </c>
      <c r="AI253" t="s">
        <v>147</v>
      </c>
    </row>
    <row r="254" spans="1:35">
      <c r="A254" t="s">
        <v>529</v>
      </c>
      <c r="B254" t="s">
        <v>530</v>
      </c>
      <c r="C254" t="s">
        <v>193</v>
      </c>
      <c r="D254" t="s">
        <v>204</v>
      </c>
      <c r="E254" t="s">
        <v>139</v>
      </c>
      <c r="F254" t="s">
        <v>189</v>
      </c>
      <c r="G254" s="3">
        <v>46203</v>
      </c>
      <c r="H254" s="3">
        <v>46232</v>
      </c>
      <c r="I254" s="3">
        <v>46235</v>
      </c>
      <c r="J254" t="s">
        <v>150</v>
      </c>
      <c r="K254" t="s">
        <v>193</v>
      </c>
      <c r="L254" t="s">
        <v>225</v>
      </c>
      <c r="M254" t="s">
        <v>152</v>
      </c>
      <c r="N254" t="s">
        <v>153</v>
      </c>
      <c r="O254">
        <v>2692</v>
      </c>
      <c r="P254">
        <v>29</v>
      </c>
      <c r="Q254" t="s">
        <v>159</v>
      </c>
      <c r="R254" t="s">
        <v>176</v>
      </c>
      <c r="S254" t="s">
        <v>187</v>
      </c>
      <c r="T254" s="4">
        <v>335.29</v>
      </c>
      <c r="U254" s="4">
        <v>0</v>
      </c>
      <c r="V254" s="4">
        <v>2</v>
      </c>
      <c r="W254" s="4">
        <v>369.7</v>
      </c>
      <c r="X254" s="4">
        <v>61.17</v>
      </c>
      <c r="Y254" s="4">
        <v>766.16</v>
      </c>
      <c r="Z254" s="4" t="s">
        <v>147</v>
      </c>
      <c r="AA254" s="4" t="s">
        <v>147</v>
      </c>
      <c r="AB254" s="4">
        <f>SUMIF('Trip Changes'!$B:$B,A254,'Trip Changes'!$E:$E)</f>
        <v>0</v>
      </c>
      <c r="AC254" s="4">
        <f>SUMIF('Trip Cancellations'!$B:$B,A254,'Trip Cancellations'!$E:$E)</f>
        <v>0</v>
      </c>
      <c r="AD254" s="4">
        <f>SUMIF('Trip Cancellations'!$B:$B,A254,'Trip Cancellations'!$F:$F)</f>
        <v>0</v>
      </c>
      <c r="AE254" s="4">
        <f t="shared" si="3"/>
        <v>766.16</v>
      </c>
      <c r="AF254" t="s">
        <v>147</v>
      </c>
      <c r="AG254">
        <v>4</v>
      </c>
      <c r="AH254" s="5">
        <v>403.8</v>
      </c>
      <c r="AI254" t="s">
        <v>147</v>
      </c>
    </row>
    <row r="255" spans="1:35">
      <c r="A255" t="s">
        <v>531</v>
      </c>
      <c r="B255" t="s">
        <v>530</v>
      </c>
      <c r="C255" t="s">
        <v>193</v>
      </c>
      <c r="D255" t="s">
        <v>204</v>
      </c>
      <c r="E255" t="s">
        <v>139</v>
      </c>
      <c r="F255" t="s">
        <v>140</v>
      </c>
      <c r="G255" s="3">
        <v>46222</v>
      </c>
      <c r="H255" s="3">
        <v>46230</v>
      </c>
      <c r="I255" s="3">
        <v>46234</v>
      </c>
      <c r="J255" t="s">
        <v>150</v>
      </c>
      <c r="K255" t="s">
        <v>193</v>
      </c>
      <c r="L255" t="s">
        <v>233</v>
      </c>
      <c r="M255" t="s">
        <v>152</v>
      </c>
      <c r="N255" t="s">
        <v>153</v>
      </c>
      <c r="O255">
        <v>3492</v>
      </c>
      <c r="P255">
        <v>8</v>
      </c>
      <c r="Q255" t="s">
        <v>159</v>
      </c>
      <c r="R255" t="s">
        <v>160</v>
      </c>
      <c r="S255" t="s">
        <v>155</v>
      </c>
      <c r="T255" s="4">
        <v>714.4</v>
      </c>
      <c r="U255" s="4">
        <v>0</v>
      </c>
      <c r="V255" s="4">
        <v>3</v>
      </c>
      <c r="W255" s="4">
        <v>576.21</v>
      </c>
      <c r="X255" s="4">
        <v>36.729999999999997</v>
      </c>
      <c r="Y255" s="4">
        <v>1327.34</v>
      </c>
      <c r="Z255" s="4" t="s">
        <v>147</v>
      </c>
      <c r="AA255" s="4" t="s">
        <v>148</v>
      </c>
      <c r="AB255" s="4">
        <f>SUMIF('Trip Changes'!$B:$B,A255,'Trip Changes'!$E:$E)</f>
        <v>0</v>
      </c>
      <c r="AC255" s="4">
        <f>SUMIF('Trip Cancellations'!$B:$B,A255,'Trip Cancellations'!$E:$E)</f>
        <v>120.12</v>
      </c>
      <c r="AD255" s="4">
        <f>SUMIF('Trip Cancellations'!$B:$B,A255,'Trip Cancellations'!$F:$F)</f>
        <v>645.30999999999995</v>
      </c>
      <c r="AE255" s="4">
        <f t="shared" si="3"/>
        <v>802.15000000000009</v>
      </c>
      <c r="AF255" t="s">
        <v>148</v>
      </c>
      <c r="AG255">
        <v>3</v>
      </c>
      <c r="AH255" s="5">
        <v>523.79999999999995</v>
      </c>
      <c r="AI255" t="s">
        <v>148</v>
      </c>
    </row>
    <row r="256" spans="1:35">
      <c r="A256" t="s">
        <v>532</v>
      </c>
      <c r="B256" t="s">
        <v>530</v>
      </c>
      <c r="C256" t="s">
        <v>193</v>
      </c>
      <c r="D256" t="s">
        <v>204</v>
      </c>
      <c r="E256" t="s">
        <v>139</v>
      </c>
      <c r="F256" t="s">
        <v>140</v>
      </c>
      <c r="G256" s="3">
        <v>46172</v>
      </c>
      <c r="H256" s="3">
        <v>46186</v>
      </c>
      <c r="I256" s="3">
        <v>46190</v>
      </c>
      <c r="J256" t="s">
        <v>141</v>
      </c>
      <c r="K256" t="s">
        <v>193</v>
      </c>
      <c r="L256" t="s">
        <v>175</v>
      </c>
      <c r="M256" t="s">
        <v>152</v>
      </c>
      <c r="N256" t="s">
        <v>153</v>
      </c>
      <c r="O256">
        <v>1066</v>
      </c>
      <c r="P256">
        <v>14</v>
      </c>
      <c r="Q256" t="s">
        <v>145</v>
      </c>
      <c r="R256" t="s">
        <v>160</v>
      </c>
      <c r="S256" t="s">
        <v>155</v>
      </c>
      <c r="T256" s="4">
        <v>569.67999999999995</v>
      </c>
      <c r="U256" s="4">
        <v>0</v>
      </c>
      <c r="V256" s="4">
        <v>3</v>
      </c>
      <c r="W256" s="4">
        <v>339.33</v>
      </c>
      <c r="X256" s="4">
        <v>71.209999999999994</v>
      </c>
      <c r="Y256" s="4">
        <v>980.22</v>
      </c>
      <c r="Z256" s="4" t="s">
        <v>148</v>
      </c>
      <c r="AA256" s="4" t="s">
        <v>147</v>
      </c>
      <c r="AB256" s="4">
        <f>SUMIF('Trip Changes'!$B:$B,A256,'Trip Changes'!$E:$E)</f>
        <v>55.11</v>
      </c>
      <c r="AC256" s="4">
        <f>SUMIF('Trip Cancellations'!$B:$B,A256,'Trip Cancellations'!$E:$E)</f>
        <v>0</v>
      </c>
      <c r="AD256" s="4">
        <f>SUMIF('Trip Cancellations'!$B:$B,A256,'Trip Cancellations'!$F:$F)</f>
        <v>0</v>
      </c>
      <c r="AE256" s="4">
        <f t="shared" si="3"/>
        <v>1035.33</v>
      </c>
      <c r="AF256" t="s">
        <v>148</v>
      </c>
      <c r="AG256">
        <v>3</v>
      </c>
      <c r="AH256" s="5">
        <v>159.9</v>
      </c>
      <c r="AI256" t="s">
        <v>147</v>
      </c>
    </row>
    <row r="257" spans="1:35">
      <c r="A257" t="s">
        <v>533</v>
      </c>
      <c r="B257" t="s">
        <v>530</v>
      </c>
      <c r="C257" t="s">
        <v>193</v>
      </c>
      <c r="D257" t="s">
        <v>204</v>
      </c>
      <c r="E257" t="s">
        <v>139</v>
      </c>
      <c r="F257" t="s">
        <v>170</v>
      </c>
      <c r="G257" s="3">
        <v>46187</v>
      </c>
      <c r="H257" s="3">
        <v>46207</v>
      </c>
      <c r="I257" s="3">
        <v>46212</v>
      </c>
      <c r="J257" t="s">
        <v>150</v>
      </c>
      <c r="K257" t="s">
        <v>193</v>
      </c>
      <c r="L257" t="s">
        <v>225</v>
      </c>
      <c r="M257" t="s">
        <v>152</v>
      </c>
      <c r="N257" t="s">
        <v>153</v>
      </c>
      <c r="O257">
        <v>3502</v>
      </c>
      <c r="P257">
        <v>20</v>
      </c>
      <c r="Q257" t="s">
        <v>159</v>
      </c>
      <c r="R257" t="s">
        <v>154</v>
      </c>
      <c r="S257" t="s">
        <v>187</v>
      </c>
      <c r="T257" s="4">
        <v>378.08</v>
      </c>
      <c r="U257" s="4">
        <v>0</v>
      </c>
      <c r="V257" s="4">
        <v>4</v>
      </c>
      <c r="W257" s="4">
        <v>682.96</v>
      </c>
      <c r="X257" s="4">
        <v>102.07</v>
      </c>
      <c r="Y257" s="4">
        <v>1163.1099999999999</v>
      </c>
      <c r="Z257" s="4" t="s">
        <v>147</v>
      </c>
      <c r="AA257" s="4" t="s">
        <v>147</v>
      </c>
      <c r="AB257" s="4">
        <f>SUMIF('Trip Changes'!$B:$B,A257,'Trip Changes'!$E:$E)</f>
        <v>0</v>
      </c>
      <c r="AC257" s="4">
        <f>SUMIF('Trip Cancellations'!$B:$B,A257,'Trip Cancellations'!$E:$E)</f>
        <v>0</v>
      </c>
      <c r="AD257" s="4">
        <f>SUMIF('Trip Cancellations'!$B:$B,A257,'Trip Cancellations'!$F:$F)</f>
        <v>0</v>
      </c>
      <c r="AE257" s="4">
        <f t="shared" si="3"/>
        <v>1163.1099999999999</v>
      </c>
      <c r="AF257" t="s">
        <v>148</v>
      </c>
      <c r="AG257">
        <v>5</v>
      </c>
      <c r="AH257" s="5">
        <v>525.29999999999995</v>
      </c>
      <c r="AI257" t="s">
        <v>147</v>
      </c>
    </row>
    <row r="258" spans="1:35">
      <c r="A258" t="s">
        <v>534</v>
      </c>
      <c r="B258" t="s">
        <v>535</v>
      </c>
      <c r="C258" t="s">
        <v>182</v>
      </c>
      <c r="D258" t="s">
        <v>204</v>
      </c>
      <c r="E258" t="s">
        <v>139</v>
      </c>
      <c r="F258" t="s">
        <v>189</v>
      </c>
      <c r="G258" s="3">
        <v>46198</v>
      </c>
      <c r="H258" s="3">
        <v>46214</v>
      </c>
      <c r="I258" s="3">
        <v>46218</v>
      </c>
      <c r="J258" t="s">
        <v>150</v>
      </c>
      <c r="K258" t="s">
        <v>182</v>
      </c>
      <c r="L258" t="s">
        <v>158</v>
      </c>
      <c r="M258" t="s">
        <v>152</v>
      </c>
      <c r="N258" t="s">
        <v>153</v>
      </c>
      <c r="O258">
        <v>1526</v>
      </c>
      <c r="P258">
        <v>16</v>
      </c>
      <c r="Q258" t="s">
        <v>145</v>
      </c>
      <c r="R258" t="s">
        <v>154</v>
      </c>
      <c r="S258" t="s">
        <v>155</v>
      </c>
      <c r="T258" s="4">
        <v>644.83000000000004</v>
      </c>
      <c r="U258" s="4">
        <v>0</v>
      </c>
      <c r="V258" s="4">
        <v>3</v>
      </c>
      <c r="W258" s="4">
        <v>564.95000000000005</v>
      </c>
      <c r="X258" s="4">
        <v>84.83</v>
      </c>
      <c r="Y258" s="4">
        <v>1294.6099999999999</v>
      </c>
      <c r="Z258" s="4" t="s">
        <v>148</v>
      </c>
      <c r="AA258" s="4" t="s">
        <v>147</v>
      </c>
      <c r="AB258" s="4">
        <f>SUMIF('Trip Changes'!$B:$B,A258,'Trip Changes'!$E:$E)</f>
        <v>139.12</v>
      </c>
      <c r="AC258" s="4">
        <f>SUMIF('Trip Cancellations'!$B:$B,A258,'Trip Cancellations'!$E:$E)</f>
        <v>0</v>
      </c>
      <c r="AD258" s="4">
        <f>SUMIF('Trip Cancellations'!$B:$B,A258,'Trip Cancellations'!$F:$F)</f>
        <v>0</v>
      </c>
      <c r="AE258" s="4">
        <f t="shared" ref="AE258:AE321" si="4">Y258+AB258+AC258-AD258</f>
        <v>1433.73</v>
      </c>
      <c r="AF258" t="s">
        <v>148</v>
      </c>
      <c r="AG258">
        <v>4</v>
      </c>
      <c r="AH258" s="5">
        <v>228.9</v>
      </c>
      <c r="AI258" t="s">
        <v>147</v>
      </c>
    </row>
    <row r="259" spans="1:35">
      <c r="A259" t="s">
        <v>536</v>
      </c>
      <c r="B259" t="s">
        <v>535</v>
      </c>
      <c r="C259" t="s">
        <v>182</v>
      </c>
      <c r="D259" t="s">
        <v>204</v>
      </c>
      <c r="E259" t="s">
        <v>139</v>
      </c>
      <c r="F259" t="s">
        <v>189</v>
      </c>
      <c r="G259" s="3">
        <v>46217</v>
      </c>
      <c r="H259" s="3">
        <v>46218</v>
      </c>
      <c r="I259" s="3">
        <v>46222</v>
      </c>
      <c r="J259" t="s">
        <v>150</v>
      </c>
      <c r="K259" t="s">
        <v>182</v>
      </c>
      <c r="L259" t="s">
        <v>305</v>
      </c>
      <c r="M259" t="s">
        <v>152</v>
      </c>
      <c r="N259" t="s">
        <v>153</v>
      </c>
      <c r="O259">
        <v>11958</v>
      </c>
      <c r="P259">
        <v>1</v>
      </c>
      <c r="Q259" t="s">
        <v>159</v>
      </c>
      <c r="R259" t="s">
        <v>186</v>
      </c>
      <c r="S259" t="s">
        <v>173</v>
      </c>
      <c r="T259" s="4">
        <v>1629.93</v>
      </c>
      <c r="U259" s="4">
        <v>0</v>
      </c>
      <c r="V259" s="4">
        <v>3</v>
      </c>
      <c r="W259" s="4">
        <v>503.63</v>
      </c>
      <c r="X259" s="4">
        <v>93.29</v>
      </c>
      <c r="Y259" s="4">
        <v>2226.85</v>
      </c>
      <c r="Z259" s="4" t="s">
        <v>148</v>
      </c>
      <c r="AA259" s="4" t="s">
        <v>147</v>
      </c>
      <c r="AB259" s="4">
        <f>SUMIF('Trip Changes'!$B:$B,A259,'Trip Changes'!$E:$E)</f>
        <v>317.31</v>
      </c>
      <c r="AC259" s="4">
        <f>SUMIF('Trip Cancellations'!$B:$B,A259,'Trip Cancellations'!$E:$E)</f>
        <v>0</v>
      </c>
      <c r="AD259" s="4">
        <f>SUMIF('Trip Cancellations'!$B:$B,A259,'Trip Cancellations'!$F:$F)</f>
        <v>0</v>
      </c>
      <c r="AE259" s="4">
        <f t="shared" si="4"/>
        <v>2544.16</v>
      </c>
      <c r="AF259" t="s">
        <v>148</v>
      </c>
      <c r="AG259">
        <v>5</v>
      </c>
      <c r="AH259" s="5">
        <v>1793.7</v>
      </c>
      <c r="AI259" t="s">
        <v>147</v>
      </c>
    </row>
    <row r="260" spans="1:35">
      <c r="A260" t="s">
        <v>537</v>
      </c>
      <c r="B260" t="s">
        <v>535</v>
      </c>
      <c r="C260" t="s">
        <v>182</v>
      </c>
      <c r="D260" t="s">
        <v>204</v>
      </c>
      <c r="E260" t="s">
        <v>139</v>
      </c>
      <c r="F260" t="s">
        <v>170</v>
      </c>
      <c r="G260" s="3">
        <v>46150</v>
      </c>
      <c r="H260" s="3">
        <v>46163</v>
      </c>
      <c r="I260" s="3">
        <v>46167</v>
      </c>
      <c r="J260" t="s">
        <v>163</v>
      </c>
      <c r="K260" t="s">
        <v>182</v>
      </c>
      <c r="L260" t="s">
        <v>175</v>
      </c>
      <c r="M260" t="s">
        <v>152</v>
      </c>
      <c r="N260" t="s">
        <v>153</v>
      </c>
      <c r="O260">
        <v>2422</v>
      </c>
      <c r="P260">
        <v>13</v>
      </c>
      <c r="Q260" t="s">
        <v>145</v>
      </c>
      <c r="R260" t="s">
        <v>172</v>
      </c>
      <c r="S260" t="s">
        <v>155</v>
      </c>
      <c r="T260" s="4">
        <v>353.38</v>
      </c>
      <c r="U260" s="4">
        <v>0</v>
      </c>
      <c r="V260" s="4">
        <v>3</v>
      </c>
      <c r="W260" s="4">
        <v>617.26</v>
      </c>
      <c r="X260" s="4">
        <v>105.58</v>
      </c>
      <c r="Y260" s="4">
        <v>1076.22</v>
      </c>
      <c r="Z260" s="4" t="s">
        <v>147</v>
      </c>
      <c r="AA260" s="4" t="s">
        <v>147</v>
      </c>
      <c r="AB260" s="4">
        <f>SUMIF('Trip Changes'!$B:$B,A260,'Trip Changes'!$E:$E)</f>
        <v>0</v>
      </c>
      <c r="AC260" s="4">
        <f>SUMIF('Trip Cancellations'!$B:$B,A260,'Trip Cancellations'!$E:$E)</f>
        <v>0</v>
      </c>
      <c r="AD260" s="4">
        <f>SUMIF('Trip Cancellations'!$B:$B,A260,'Trip Cancellations'!$F:$F)</f>
        <v>0</v>
      </c>
      <c r="AE260" s="4">
        <f t="shared" si="4"/>
        <v>1076.22</v>
      </c>
      <c r="AF260" t="s">
        <v>148</v>
      </c>
      <c r="AG260">
        <v>4</v>
      </c>
      <c r="AH260" s="5">
        <v>363.3</v>
      </c>
      <c r="AI260" t="s">
        <v>147</v>
      </c>
    </row>
    <row r="261" spans="1:35">
      <c r="A261" t="s">
        <v>538</v>
      </c>
      <c r="B261" t="s">
        <v>535</v>
      </c>
      <c r="C261" t="s">
        <v>182</v>
      </c>
      <c r="D261" t="s">
        <v>204</v>
      </c>
      <c r="E261" t="s">
        <v>139</v>
      </c>
      <c r="F261" t="s">
        <v>207</v>
      </c>
      <c r="G261" s="3">
        <v>46169</v>
      </c>
      <c r="H261" s="3">
        <v>46188</v>
      </c>
      <c r="I261" s="3">
        <v>46192</v>
      </c>
      <c r="J261" t="s">
        <v>141</v>
      </c>
      <c r="K261" t="s">
        <v>182</v>
      </c>
      <c r="L261" t="s">
        <v>225</v>
      </c>
      <c r="M261" t="s">
        <v>152</v>
      </c>
      <c r="N261" t="s">
        <v>153</v>
      </c>
      <c r="O261">
        <v>2304</v>
      </c>
      <c r="P261">
        <v>19</v>
      </c>
      <c r="Q261" t="s">
        <v>159</v>
      </c>
      <c r="R261" t="s">
        <v>176</v>
      </c>
      <c r="S261" t="s">
        <v>190</v>
      </c>
      <c r="T261" s="4">
        <v>415.68</v>
      </c>
      <c r="U261" s="4">
        <v>0</v>
      </c>
      <c r="V261" s="4">
        <v>3</v>
      </c>
      <c r="W261" s="4">
        <v>487.25</v>
      </c>
      <c r="X261" s="4">
        <v>107.3</v>
      </c>
      <c r="Y261" s="4">
        <v>1010.23</v>
      </c>
      <c r="Z261" s="4" t="s">
        <v>147</v>
      </c>
      <c r="AA261" s="4" t="s">
        <v>147</v>
      </c>
      <c r="AB261" s="4">
        <f>SUMIF('Trip Changes'!$B:$B,A261,'Trip Changes'!$E:$E)</f>
        <v>0</v>
      </c>
      <c r="AC261" s="4">
        <f>SUMIF('Trip Cancellations'!$B:$B,A261,'Trip Cancellations'!$E:$E)</f>
        <v>0</v>
      </c>
      <c r="AD261" s="4">
        <f>SUMIF('Trip Cancellations'!$B:$B,A261,'Trip Cancellations'!$F:$F)</f>
        <v>0</v>
      </c>
      <c r="AE261" s="4">
        <f t="shared" si="4"/>
        <v>1010.23</v>
      </c>
      <c r="AF261" t="s">
        <v>148</v>
      </c>
      <c r="AG261">
        <v>5</v>
      </c>
      <c r="AH261" s="5">
        <v>345.6</v>
      </c>
      <c r="AI261" t="s">
        <v>147</v>
      </c>
    </row>
    <row r="262" spans="1:35">
      <c r="A262" t="s">
        <v>539</v>
      </c>
      <c r="B262" t="s">
        <v>535</v>
      </c>
      <c r="C262" t="s">
        <v>182</v>
      </c>
      <c r="D262" t="s">
        <v>204</v>
      </c>
      <c r="E262" t="s">
        <v>139</v>
      </c>
      <c r="F262" t="s">
        <v>189</v>
      </c>
      <c r="G262" s="3">
        <v>46138</v>
      </c>
      <c r="H262" s="3">
        <v>46158</v>
      </c>
      <c r="I262" s="3">
        <v>46160</v>
      </c>
      <c r="J262" t="s">
        <v>163</v>
      </c>
      <c r="K262" t="s">
        <v>182</v>
      </c>
      <c r="L262" t="s">
        <v>209</v>
      </c>
      <c r="M262" t="s">
        <v>152</v>
      </c>
      <c r="N262" t="s">
        <v>153</v>
      </c>
      <c r="O262">
        <v>1620</v>
      </c>
      <c r="P262">
        <v>20</v>
      </c>
      <c r="Q262" t="s">
        <v>159</v>
      </c>
      <c r="R262" t="s">
        <v>154</v>
      </c>
      <c r="S262" t="s">
        <v>187</v>
      </c>
      <c r="T262" s="4">
        <v>290.87</v>
      </c>
      <c r="U262" s="4">
        <v>0</v>
      </c>
      <c r="V262" s="4">
        <v>1</v>
      </c>
      <c r="W262" s="4">
        <v>132.54</v>
      </c>
      <c r="X262" s="4">
        <v>129.12</v>
      </c>
      <c r="Y262" s="4">
        <v>552.53</v>
      </c>
      <c r="Z262" s="4" t="s">
        <v>147</v>
      </c>
      <c r="AA262" s="4" t="s">
        <v>147</v>
      </c>
      <c r="AB262" s="4">
        <f>SUMIF('Trip Changes'!$B:$B,A262,'Trip Changes'!$E:$E)</f>
        <v>0</v>
      </c>
      <c r="AC262" s="4">
        <f>SUMIF('Trip Cancellations'!$B:$B,A262,'Trip Cancellations'!$E:$E)</f>
        <v>0</v>
      </c>
      <c r="AD262" s="4">
        <f>SUMIF('Trip Cancellations'!$B:$B,A262,'Trip Cancellations'!$F:$F)</f>
        <v>0</v>
      </c>
      <c r="AE262" s="4">
        <f t="shared" si="4"/>
        <v>552.53</v>
      </c>
      <c r="AF262" t="s">
        <v>148</v>
      </c>
      <c r="AG262">
        <v>4</v>
      </c>
      <c r="AH262" s="5">
        <v>243</v>
      </c>
      <c r="AI262" t="s">
        <v>147</v>
      </c>
    </row>
    <row r="263" spans="1:35">
      <c r="A263" t="s">
        <v>540</v>
      </c>
      <c r="B263" t="s">
        <v>535</v>
      </c>
      <c r="C263" t="s">
        <v>182</v>
      </c>
      <c r="D263" t="s">
        <v>204</v>
      </c>
      <c r="E263" t="s">
        <v>139</v>
      </c>
      <c r="F263" t="s">
        <v>162</v>
      </c>
      <c r="G263" s="3">
        <v>46198</v>
      </c>
      <c r="H263" s="3">
        <v>46211</v>
      </c>
      <c r="I263" s="3">
        <v>46214</v>
      </c>
      <c r="J263" t="s">
        <v>150</v>
      </c>
      <c r="K263" t="s">
        <v>182</v>
      </c>
      <c r="L263" t="s">
        <v>199</v>
      </c>
      <c r="M263" t="s">
        <v>152</v>
      </c>
      <c r="N263" t="s">
        <v>153</v>
      </c>
      <c r="O263">
        <v>1372</v>
      </c>
      <c r="P263">
        <v>13</v>
      </c>
      <c r="Q263" t="s">
        <v>145</v>
      </c>
      <c r="R263" t="s">
        <v>200</v>
      </c>
      <c r="S263" t="s">
        <v>164</v>
      </c>
      <c r="T263" s="4">
        <v>162</v>
      </c>
      <c r="U263" s="4">
        <v>0</v>
      </c>
      <c r="V263" s="4">
        <v>2</v>
      </c>
      <c r="W263" s="4">
        <v>318.23</v>
      </c>
      <c r="X263" s="4">
        <v>88.59</v>
      </c>
      <c r="Y263" s="4">
        <v>568.82000000000005</v>
      </c>
      <c r="Z263" s="4" t="s">
        <v>147</v>
      </c>
      <c r="AA263" s="4" t="s">
        <v>147</v>
      </c>
      <c r="AB263" s="4">
        <f>SUMIF('Trip Changes'!$B:$B,A263,'Trip Changes'!$E:$E)</f>
        <v>0</v>
      </c>
      <c r="AC263" s="4">
        <f>SUMIF('Trip Cancellations'!$B:$B,A263,'Trip Cancellations'!$E:$E)</f>
        <v>0</v>
      </c>
      <c r="AD263" s="4">
        <f>SUMIF('Trip Cancellations'!$B:$B,A263,'Trip Cancellations'!$F:$F)</f>
        <v>0</v>
      </c>
      <c r="AE263" s="4">
        <f t="shared" si="4"/>
        <v>568.82000000000005</v>
      </c>
      <c r="AF263" t="s">
        <v>148</v>
      </c>
      <c r="AG263">
        <v>3</v>
      </c>
      <c r="AH263" s="5">
        <v>205.8</v>
      </c>
      <c r="AI263" t="s">
        <v>147</v>
      </c>
    </row>
    <row r="264" spans="1:35">
      <c r="A264" t="s">
        <v>541</v>
      </c>
      <c r="B264" t="s">
        <v>535</v>
      </c>
      <c r="C264" t="s">
        <v>182</v>
      </c>
      <c r="D264" t="s">
        <v>204</v>
      </c>
      <c r="E264" t="s">
        <v>139</v>
      </c>
      <c r="F264" t="s">
        <v>181</v>
      </c>
      <c r="G264" s="3">
        <v>46187</v>
      </c>
      <c r="H264" s="3">
        <v>46203</v>
      </c>
      <c r="I264" s="3">
        <v>46205</v>
      </c>
      <c r="J264" t="s">
        <v>141</v>
      </c>
      <c r="K264" t="s">
        <v>182</v>
      </c>
      <c r="L264" t="s">
        <v>193</v>
      </c>
      <c r="M264" t="s">
        <v>143</v>
      </c>
      <c r="N264" t="s">
        <v>144</v>
      </c>
      <c r="O264">
        <v>834</v>
      </c>
      <c r="P264">
        <v>16</v>
      </c>
      <c r="Q264" t="s">
        <v>207</v>
      </c>
      <c r="S264" t="s">
        <v>146</v>
      </c>
      <c r="T264" s="4">
        <v>0</v>
      </c>
      <c r="U264" s="4">
        <v>162.58000000000001</v>
      </c>
      <c r="V264" s="4">
        <v>1</v>
      </c>
      <c r="W264" s="4">
        <v>163.22</v>
      </c>
      <c r="X264" s="4">
        <v>50.74</v>
      </c>
      <c r="Y264" s="4">
        <v>376.54</v>
      </c>
      <c r="Z264" s="4" t="s">
        <v>147</v>
      </c>
      <c r="AA264" s="4" t="s">
        <v>147</v>
      </c>
      <c r="AB264" s="4">
        <f>SUMIF('Trip Changes'!$B:$B,A264,'Trip Changes'!$E:$E)</f>
        <v>0</v>
      </c>
      <c r="AC264" s="4">
        <f>SUMIF('Trip Cancellations'!$B:$B,A264,'Trip Cancellations'!$E:$E)</f>
        <v>0</v>
      </c>
      <c r="AD264" s="4">
        <f>SUMIF('Trip Cancellations'!$B:$B,A264,'Trip Cancellations'!$F:$F)</f>
        <v>0</v>
      </c>
      <c r="AE264" s="4">
        <f t="shared" si="4"/>
        <v>376.54</v>
      </c>
      <c r="AF264" t="s">
        <v>148</v>
      </c>
      <c r="AG264">
        <v>4</v>
      </c>
      <c r="AH264" s="5">
        <v>33.4</v>
      </c>
      <c r="AI264" t="s">
        <v>147</v>
      </c>
    </row>
    <row r="265" spans="1:35">
      <c r="A265" t="s">
        <v>542</v>
      </c>
      <c r="B265" t="s">
        <v>543</v>
      </c>
      <c r="C265" t="s">
        <v>307</v>
      </c>
      <c r="D265" t="s">
        <v>138</v>
      </c>
      <c r="E265" t="s">
        <v>169</v>
      </c>
      <c r="F265" t="s">
        <v>140</v>
      </c>
      <c r="G265" s="3">
        <v>46190</v>
      </c>
      <c r="H265" s="3">
        <v>46229</v>
      </c>
      <c r="I265" s="3">
        <v>46231</v>
      </c>
      <c r="J265" t="s">
        <v>150</v>
      </c>
      <c r="K265" t="s">
        <v>307</v>
      </c>
      <c r="L265" t="s">
        <v>142</v>
      </c>
      <c r="M265" t="s">
        <v>143</v>
      </c>
      <c r="N265" t="s">
        <v>144</v>
      </c>
      <c r="O265">
        <v>578</v>
      </c>
      <c r="P265">
        <v>39</v>
      </c>
      <c r="Q265" t="s">
        <v>145</v>
      </c>
      <c r="S265" t="s">
        <v>195</v>
      </c>
      <c r="T265" s="4">
        <v>0</v>
      </c>
      <c r="U265" s="4">
        <v>237.56</v>
      </c>
      <c r="V265" s="4">
        <v>1</v>
      </c>
      <c r="W265" s="4">
        <v>193.64</v>
      </c>
      <c r="X265" s="4">
        <v>20.36</v>
      </c>
      <c r="Y265" s="4">
        <v>451.56</v>
      </c>
      <c r="Z265" s="4" t="s">
        <v>148</v>
      </c>
      <c r="AA265" s="4" t="s">
        <v>147</v>
      </c>
      <c r="AB265" s="4">
        <f>SUMIF('Trip Changes'!$B:$B,A265,'Trip Changes'!$E:$E)</f>
        <v>63.44</v>
      </c>
      <c r="AC265" s="4">
        <f>SUMIF('Trip Cancellations'!$B:$B,A265,'Trip Cancellations'!$E:$E)</f>
        <v>0</v>
      </c>
      <c r="AD265" s="4">
        <f>SUMIF('Trip Cancellations'!$B:$B,A265,'Trip Cancellations'!$F:$F)</f>
        <v>0</v>
      </c>
      <c r="AE265" s="4">
        <f t="shared" si="4"/>
        <v>515</v>
      </c>
      <c r="AF265" t="s">
        <v>148</v>
      </c>
      <c r="AG265">
        <v>5</v>
      </c>
      <c r="AH265" s="5">
        <v>23.1</v>
      </c>
      <c r="AI265" t="s">
        <v>147</v>
      </c>
    </row>
    <row r="266" spans="1:35">
      <c r="A266" t="s">
        <v>544</v>
      </c>
      <c r="B266" t="s">
        <v>543</v>
      </c>
      <c r="C266" t="s">
        <v>307</v>
      </c>
      <c r="D266" t="s">
        <v>138</v>
      </c>
      <c r="E266" t="s">
        <v>169</v>
      </c>
      <c r="F266" t="s">
        <v>178</v>
      </c>
      <c r="G266" s="3">
        <v>46111</v>
      </c>
      <c r="H266" s="3">
        <v>46154</v>
      </c>
      <c r="I266" s="3">
        <v>46158</v>
      </c>
      <c r="J266" t="s">
        <v>163</v>
      </c>
      <c r="K266" t="s">
        <v>307</v>
      </c>
      <c r="L266" t="s">
        <v>199</v>
      </c>
      <c r="M266" t="s">
        <v>152</v>
      </c>
      <c r="N266" t="s">
        <v>153</v>
      </c>
      <c r="O266">
        <v>1550</v>
      </c>
      <c r="P266">
        <v>43</v>
      </c>
      <c r="Q266" t="s">
        <v>207</v>
      </c>
      <c r="R266" t="s">
        <v>154</v>
      </c>
      <c r="S266" t="s">
        <v>173</v>
      </c>
      <c r="T266" s="4">
        <v>432.76</v>
      </c>
      <c r="U266" s="4">
        <v>0</v>
      </c>
      <c r="V266" s="4">
        <v>3</v>
      </c>
      <c r="W266" s="4">
        <v>534.32000000000005</v>
      </c>
      <c r="X266" s="4">
        <v>129.4</v>
      </c>
      <c r="Y266" s="4">
        <v>1096.48</v>
      </c>
      <c r="Z266" s="4" t="s">
        <v>147</v>
      </c>
      <c r="AA266" s="4" t="s">
        <v>147</v>
      </c>
      <c r="AB266" s="4">
        <f>SUMIF('Trip Changes'!$B:$B,A266,'Trip Changes'!$E:$E)</f>
        <v>0</v>
      </c>
      <c r="AC266" s="4">
        <f>SUMIF('Trip Cancellations'!$B:$B,A266,'Trip Cancellations'!$E:$E)</f>
        <v>0</v>
      </c>
      <c r="AD266" s="4">
        <f>SUMIF('Trip Cancellations'!$B:$B,A266,'Trip Cancellations'!$F:$F)</f>
        <v>0</v>
      </c>
      <c r="AE266" s="4">
        <f t="shared" si="4"/>
        <v>1096.48</v>
      </c>
      <c r="AF266" t="s">
        <v>148</v>
      </c>
      <c r="AG266">
        <v>4</v>
      </c>
      <c r="AH266" s="5">
        <v>232.5</v>
      </c>
      <c r="AI266" t="s">
        <v>148</v>
      </c>
    </row>
    <row r="267" spans="1:35">
      <c r="A267" t="s">
        <v>545</v>
      </c>
      <c r="B267" t="s">
        <v>543</v>
      </c>
      <c r="C267" t="s">
        <v>307</v>
      </c>
      <c r="D267" t="s">
        <v>138</v>
      </c>
      <c r="E267" t="s">
        <v>169</v>
      </c>
      <c r="F267" t="s">
        <v>162</v>
      </c>
      <c r="G267" s="3">
        <v>46155</v>
      </c>
      <c r="H267" s="3">
        <v>46162</v>
      </c>
      <c r="I267" s="3">
        <v>46164</v>
      </c>
      <c r="J267" t="s">
        <v>163</v>
      </c>
      <c r="K267" t="s">
        <v>307</v>
      </c>
      <c r="L267" t="s">
        <v>151</v>
      </c>
      <c r="M267" t="s">
        <v>152</v>
      </c>
      <c r="N267" t="s">
        <v>153</v>
      </c>
      <c r="O267">
        <v>3022</v>
      </c>
      <c r="P267">
        <v>7</v>
      </c>
      <c r="Q267" t="s">
        <v>216</v>
      </c>
      <c r="R267" t="s">
        <v>172</v>
      </c>
      <c r="S267" t="s">
        <v>173</v>
      </c>
      <c r="T267" s="4">
        <v>418.18</v>
      </c>
      <c r="U267" s="4">
        <v>0</v>
      </c>
      <c r="V267" s="4">
        <v>1</v>
      </c>
      <c r="W267" s="4">
        <v>183.44</v>
      </c>
      <c r="X267" s="4">
        <v>122.51</v>
      </c>
      <c r="Y267" s="4">
        <v>724.13</v>
      </c>
      <c r="Z267" s="4" t="s">
        <v>147</v>
      </c>
      <c r="AA267" s="4" t="s">
        <v>147</v>
      </c>
      <c r="AB267" s="4">
        <f>SUMIF('Trip Changes'!$B:$B,A267,'Trip Changes'!$E:$E)</f>
        <v>0</v>
      </c>
      <c r="AC267" s="4">
        <f>SUMIF('Trip Cancellations'!$B:$B,A267,'Trip Cancellations'!$E:$E)</f>
        <v>0</v>
      </c>
      <c r="AD267" s="4">
        <f>SUMIF('Trip Cancellations'!$B:$B,A267,'Trip Cancellations'!$F:$F)</f>
        <v>0</v>
      </c>
      <c r="AE267" s="4">
        <f t="shared" si="4"/>
        <v>724.13</v>
      </c>
      <c r="AF267" t="s">
        <v>148</v>
      </c>
      <c r="AG267">
        <v>2</v>
      </c>
      <c r="AH267" s="5">
        <v>453.3</v>
      </c>
      <c r="AI267" t="s">
        <v>147</v>
      </c>
    </row>
    <row r="268" spans="1:35">
      <c r="A268" t="s">
        <v>546</v>
      </c>
      <c r="B268" t="s">
        <v>543</v>
      </c>
      <c r="C268" t="s">
        <v>307</v>
      </c>
      <c r="D268" t="s">
        <v>138</v>
      </c>
      <c r="E268" t="s">
        <v>169</v>
      </c>
      <c r="F268" t="s">
        <v>189</v>
      </c>
      <c r="G268" s="3">
        <v>46136</v>
      </c>
      <c r="H268" s="3">
        <v>46158</v>
      </c>
      <c r="I268" s="3">
        <v>46160</v>
      </c>
      <c r="J268" t="s">
        <v>163</v>
      </c>
      <c r="K268" t="s">
        <v>307</v>
      </c>
      <c r="L268" t="s">
        <v>215</v>
      </c>
      <c r="M268" t="s">
        <v>152</v>
      </c>
      <c r="N268" t="s">
        <v>153</v>
      </c>
      <c r="O268">
        <v>1522</v>
      </c>
      <c r="P268">
        <v>22</v>
      </c>
      <c r="Q268" t="s">
        <v>145</v>
      </c>
      <c r="R268" t="s">
        <v>236</v>
      </c>
      <c r="S268" t="s">
        <v>155</v>
      </c>
      <c r="T268" s="4">
        <v>524.12</v>
      </c>
      <c r="U268" s="4">
        <v>0</v>
      </c>
      <c r="V268" s="4">
        <v>1</v>
      </c>
      <c r="W268" s="4">
        <v>147.29</v>
      </c>
      <c r="X268" s="4">
        <v>92.95</v>
      </c>
      <c r="Y268" s="4">
        <v>764.36</v>
      </c>
      <c r="Z268" s="4" t="s">
        <v>147</v>
      </c>
      <c r="AA268" s="4" t="s">
        <v>147</v>
      </c>
      <c r="AB268" s="4">
        <f>SUMIF('Trip Changes'!$B:$B,A268,'Trip Changes'!$E:$E)</f>
        <v>0</v>
      </c>
      <c r="AC268" s="4">
        <f>SUMIF('Trip Cancellations'!$B:$B,A268,'Trip Cancellations'!$E:$E)</f>
        <v>0</v>
      </c>
      <c r="AD268" s="4">
        <f>SUMIF('Trip Cancellations'!$B:$B,A268,'Trip Cancellations'!$F:$F)</f>
        <v>0</v>
      </c>
      <c r="AE268" s="4">
        <f t="shared" si="4"/>
        <v>764.36</v>
      </c>
      <c r="AF268" t="s">
        <v>148</v>
      </c>
      <c r="AG268">
        <v>4</v>
      </c>
      <c r="AH268" s="5">
        <v>228.3</v>
      </c>
      <c r="AI268" t="s">
        <v>147</v>
      </c>
    </row>
    <row r="269" spans="1:35">
      <c r="A269" t="s">
        <v>547</v>
      </c>
      <c r="B269" t="s">
        <v>543</v>
      </c>
      <c r="C269" t="s">
        <v>307</v>
      </c>
      <c r="D269" t="s">
        <v>138</v>
      </c>
      <c r="E269" t="s">
        <v>169</v>
      </c>
      <c r="F269" t="s">
        <v>140</v>
      </c>
      <c r="G269" s="3">
        <v>46172</v>
      </c>
      <c r="H269" s="3">
        <v>46185</v>
      </c>
      <c r="I269" s="3">
        <v>46190</v>
      </c>
      <c r="J269" t="s">
        <v>141</v>
      </c>
      <c r="K269" t="s">
        <v>307</v>
      </c>
      <c r="L269" t="s">
        <v>199</v>
      </c>
      <c r="M269" t="s">
        <v>152</v>
      </c>
      <c r="N269" t="s">
        <v>153</v>
      </c>
      <c r="O269">
        <v>1574</v>
      </c>
      <c r="P269">
        <v>13</v>
      </c>
      <c r="Q269" t="s">
        <v>145</v>
      </c>
      <c r="R269" t="s">
        <v>200</v>
      </c>
      <c r="S269" t="s">
        <v>164</v>
      </c>
      <c r="T269" s="4">
        <v>700.48</v>
      </c>
      <c r="U269" s="4">
        <v>0</v>
      </c>
      <c r="V269" s="4">
        <v>4</v>
      </c>
      <c r="W269" s="4">
        <v>526.91</v>
      </c>
      <c r="X269" s="4">
        <v>85.49</v>
      </c>
      <c r="Y269" s="4">
        <v>1312.88</v>
      </c>
      <c r="Z269" s="4" t="s">
        <v>147</v>
      </c>
      <c r="AA269" s="4" t="s">
        <v>147</v>
      </c>
      <c r="AB269" s="4">
        <f>SUMIF('Trip Changes'!$B:$B,A269,'Trip Changes'!$E:$E)</f>
        <v>0</v>
      </c>
      <c r="AC269" s="4">
        <f>SUMIF('Trip Cancellations'!$B:$B,A269,'Trip Cancellations'!$E:$E)</f>
        <v>0</v>
      </c>
      <c r="AD269" s="4">
        <f>SUMIF('Trip Cancellations'!$B:$B,A269,'Trip Cancellations'!$F:$F)</f>
        <v>0</v>
      </c>
      <c r="AE269" s="4">
        <f t="shared" si="4"/>
        <v>1312.88</v>
      </c>
      <c r="AF269" t="s">
        <v>148</v>
      </c>
      <c r="AG269">
        <v>5</v>
      </c>
      <c r="AH269" s="5">
        <v>236.1</v>
      </c>
      <c r="AI269" t="s">
        <v>147</v>
      </c>
    </row>
    <row r="270" spans="1:35">
      <c r="A270" t="s">
        <v>548</v>
      </c>
      <c r="B270" t="s">
        <v>543</v>
      </c>
      <c r="C270" t="s">
        <v>307</v>
      </c>
      <c r="D270" t="s">
        <v>138</v>
      </c>
      <c r="E270" t="s">
        <v>169</v>
      </c>
      <c r="F270" t="s">
        <v>162</v>
      </c>
      <c r="G270" s="3">
        <v>46127</v>
      </c>
      <c r="H270" s="3">
        <v>46162</v>
      </c>
      <c r="I270" s="3">
        <v>46165</v>
      </c>
      <c r="J270" t="s">
        <v>163</v>
      </c>
      <c r="K270" t="s">
        <v>307</v>
      </c>
      <c r="L270" t="s">
        <v>182</v>
      </c>
      <c r="M270" t="s">
        <v>143</v>
      </c>
      <c r="N270" t="s">
        <v>144</v>
      </c>
      <c r="O270">
        <v>998</v>
      </c>
      <c r="P270">
        <v>35</v>
      </c>
      <c r="Q270" t="s">
        <v>145</v>
      </c>
      <c r="S270" t="s">
        <v>146</v>
      </c>
      <c r="T270" s="4">
        <v>0</v>
      </c>
      <c r="U270" s="4">
        <v>105.14</v>
      </c>
      <c r="V270" s="4">
        <v>2</v>
      </c>
      <c r="W270" s="4">
        <v>224.53</v>
      </c>
      <c r="X270" s="4">
        <v>37.54</v>
      </c>
      <c r="Y270" s="4">
        <v>367.21</v>
      </c>
      <c r="Z270" s="4" t="s">
        <v>147</v>
      </c>
      <c r="AA270" s="4" t="s">
        <v>147</v>
      </c>
      <c r="AB270" s="4">
        <f>SUMIF('Trip Changes'!$B:$B,A270,'Trip Changes'!$E:$E)</f>
        <v>0</v>
      </c>
      <c r="AC270" s="4">
        <f>SUMIF('Trip Cancellations'!$B:$B,A270,'Trip Cancellations'!$E:$E)</f>
        <v>0</v>
      </c>
      <c r="AD270" s="4">
        <f>SUMIF('Trip Cancellations'!$B:$B,A270,'Trip Cancellations'!$F:$F)</f>
        <v>0</v>
      </c>
      <c r="AE270" s="4">
        <f t="shared" si="4"/>
        <v>367.21</v>
      </c>
      <c r="AF270" t="s">
        <v>147</v>
      </c>
      <c r="AG270">
        <v>5</v>
      </c>
      <c r="AH270" s="5">
        <v>39.9</v>
      </c>
      <c r="AI270" t="s">
        <v>148</v>
      </c>
    </row>
    <row r="271" spans="1:35">
      <c r="A271" t="s">
        <v>549</v>
      </c>
      <c r="B271" t="s">
        <v>550</v>
      </c>
      <c r="C271" t="s">
        <v>182</v>
      </c>
      <c r="D271" t="s">
        <v>248</v>
      </c>
      <c r="E271" t="s">
        <v>169</v>
      </c>
      <c r="F271" t="s">
        <v>162</v>
      </c>
      <c r="G271" s="3">
        <v>46143</v>
      </c>
      <c r="H271" s="3">
        <v>46183</v>
      </c>
      <c r="I271" s="3">
        <v>46184</v>
      </c>
      <c r="J271" t="s">
        <v>141</v>
      </c>
      <c r="K271" t="s">
        <v>182</v>
      </c>
      <c r="L271" t="s">
        <v>193</v>
      </c>
      <c r="M271" t="s">
        <v>143</v>
      </c>
      <c r="N271" t="s">
        <v>144</v>
      </c>
      <c r="O271">
        <v>1066</v>
      </c>
      <c r="P271">
        <v>40</v>
      </c>
      <c r="Q271" t="s">
        <v>159</v>
      </c>
      <c r="T271" s="4">
        <v>0</v>
      </c>
      <c r="U271" s="4">
        <v>90</v>
      </c>
      <c r="V271" s="4">
        <v>0</v>
      </c>
      <c r="W271" s="4">
        <v>0</v>
      </c>
      <c r="X271" s="4">
        <v>34.659999999999997</v>
      </c>
      <c r="Y271" s="4">
        <v>124.66</v>
      </c>
      <c r="Z271" s="4" t="s">
        <v>147</v>
      </c>
      <c r="AA271" s="4" t="s">
        <v>147</v>
      </c>
      <c r="AB271" s="4">
        <f>SUMIF('Trip Changes'!$B:$B,A271,'Trip Changes'!$E:$E)</f>
        <v>0</v>
      </c>
      <c r="AC271" s="4">
        <f>SUMIF('Trip Cancellations'!$B:$B,A271,'Trip Cancellations'!$E:$E)</f>
        <v>0</v>
      </c>
      <c r="AD271" s="4">
        <f>SUMIF('Trip Cancellations'!$B:$B,A271,'Trip Cancellations'!$F:$F)</f>
        <v>0</v>
      </c>
      <c r="AE271" s="4">
        <f t="shared" si="4"/>
        <v>124.66</v>
      </c>
      <c r="AF271" t="s">
        <v>148</v>
      </c>
      <c r="AG271">
        <v>4</v>
      </c>
      <c r="AH271" s="5">
        <v>42.6</v>
      </c>
      <c r="AI271" t="s">
        <v>147</v>
      </c>
    </row>
    <row r="272" spans="1:35">
      <c r="A272" t="s">
        <v>551</v>
      </c>
      <c r="B272" t="s">
        <v>550</v>
      </c>
      <c r="C272" t="s">
        <v>182</v>
      </c>
      <c r="D272" t="s">
        <v>248</v>
      </c>
      <c r="E272" t="s">
        <v>169</v>
      </c>
      <c r="F272" t="s">
        <v>162</v>
      </c>
      <c r="G272" s="3">
        <v>46182</v>
      </c>
      <c r="H272" s="3">
        <v>46204</v>
      </c>
      <c r="I272" s="3">
        <v>46206</v>
      </c>
      <c r="J272" t="s">
        <v>150</v>
      </c>
      <c r="K272" t="s">
        <v>182</v>
      </c>
      <c r="L272" t="s">
        <v>225</v>
      </c>
      <c r="M272" t="s">
        <v>152</v>
      </c>
      <c r="N272" t="s">
        <v>153</v>
      </c>
      <c r="O272">
        <v>1706</v>
      </c>
      <c r="P272">
        <v>22</v>
      </c>
      <c r="Q272" t="s">
        <v>216</v>
      </c>
      <c r="R272" t="s">
        <v>154</v>
      </c>
      <c r="S272" t="s">
        <v>190</v>
      </c>
      <c r="T272" s="4">
        <v>311.88</v>
      </c>
      <c r="U272" s="4">
        <v>0</v>
      </c>
      <c r="V272" s="4">
        <v>1</v>
      </c>
      <c r="W272" s="4">
        <v>219.56</v>
      </c>
      <c r="X272" s="4">
        <v>46.45</v>
      </c>
      <c r="Y272" s="4">
        <v>577.89</v>
      </c>
      <c r="Z272" s="4" t="s">
        <v>147</v>
      </c>
      <c r="AA272" s="4" t="s">
        <v>147</v>
      </c>
      <c r="AB272" s="4">
        <f>SUMIF('Trip Changes'!$B:$B,A272,'Trip Changes'!$E:$E)</f>
        <v>0</v>
      </c>
      <c r="AC272" s="4">
        <f>SUMIF('Trip Cancellations'!$B:$B,A272,'Trip Cancellations'!$E:$E)</f>
        <v>0</v>
      </c>
      <c r="AD272" s="4">
        <f>SUMIF('Trip Cancellations'!$B:$B,A272,'Trip Cancellations'!$F:$F)</f>
        <v>0</v>
      </c>
      <c r="AE272" s="4">
        <f t="shared" si="4"/>
        <v>577.89</v>
      </c>
      <c r="AF272" t="s">
        <v>148</v>
      </c>
      <c r="AG272">
        <v>5</v>
      </c>
      <c r="AH272" s="5">
        <v>255.9</v>
      </c>
      <c r="AI272" t="s">
        <v>148</v>
      </c>
    </row>
    <row r="273" spans="1:35">
      <c r="A273" t="s">
        <v>552</v>
      </c>
      <c r="B273" t="s">
        <v>550</v>
      </c>
      <c r="C273" t="s">
        <v>182</v>
      </c>
      <c r="D273" t="s">
        <v>248</v>
      </c>
      <c r="E273" t="s">
        <v>169</v>
      </c>
      <c r="F273" t="s">
        <v>178</v>
      </c>
      <c r="G273" s="3">
        <v>46211</v>
      </c>
      <c r="H273" s="3">
        <v>46215</v>
      </c>
      <c r="I273" s="3">
        <v>46218</v>
      </c>
      <c r="J273" t="s">
        <v>150</v>
      </c>
      <c r="K273" t="s">
        <v>182</v>
      </c>
      <c r="L273" t="s">
        <v>182</v>
      </c>
      <c r="M273" t="s">
        <v>143</v>
      </c>
      <c r="N273" t="s">
        <v>144</v>
      </c>
      <c r="O273">
        <v>482</v>
      </c>
      <c r="P273">
        <v>4</v>
      </c>
      <c r="Q273" t="s">
        <v>145</v>
      </c>
      <c r="S273" t="s">
        <v>146</v>
      </c>
      <c r="T273" s="4">
        <v>0</v>
      </c>
      <c r="U273" s="4">
        <v>198.76</v>
      </c>
      <c r="V273" s="4">
        <v>2</v>
      </c>
      <c r="W273" s="4">
        <v>261.26</v>
      </c>
      <c r="X273" s="4">
        <v>32.57</v>
      </c>
      <c r="Y273" s="4">
        <v>492.59</v>
      </c>
      <c r="Z273" s="4" t="s">
        <v>147</v>
      </c>
      <c r="AA273" s="4" t="s">
        <v>147</v>
      </c>
      <c r="AB273" s="4">
        <f>SUMIF('Trip Changes'!$B:$B,A273,'Trip Changes'!$E:$E)</f>
        <v>0</v>
      </c>
      <c r="AC273" s="4">
        <f>SUMIF('Trip Cancellations'!$B:$B,A273,'Trip Cancellations'!$E:$E)</f>
        <v>0</v>
      </c>
      <c r="AD273" s="4">
        <f>SUMIF('Trip Cancellations'!$B:$B,A273,'Trip Cancellations'!$F:$F)</f>
        <v>0</v>
      </c>
      <c r="AE273" s="4">
        <f t="shared" si="4"/>
        <v>492.59</v>
      </c>
      <c r="AF273" t="s">
        <v>148</v>
      </c>
      <c r="AG273">
        <v>4</v>
      </c>
      <c r="AH273" s="5">
        <v>19.3</v>
      </c>
      <c r="AI273" t="s">
        <v>147</v>
      </c>
    </row>
    <row r="274" spans="1:35">
      <c r="A274" t="s">
        <v>553</v>
      </c>
      <c r="B274" t="s">
        <v>550</v>
      </c>
      <c r="C274" t="s">
        <v>182</v>
      </c>
      <c r="D274" t="s">
        <v>248</v>
      </c>
      <c r="E274" t="s">
        <v>169</v>
      </c>
      <c r="F274" t="s">
        <v>140</v>
      </c>
      <c r="G274" s="3">
        <v>46199</v>
      </c>
      <c r="H274" s="3">
        <v>46200</v>
      </c>
      <c r="I274" s="3">
        <v>46201</v>
      </c>
      <c r="J274" t="s">
        <v>141</v>
      </c>
      <c r="K274" t="s">
        <v>182</v>
      </c>
      <c r="L274" t="s">
        <v>203</v>
      </c>
      <c r="M274" t="s">
        <v>143</v>
      </c>
      <c r="N274" t="s">
        <v>144</v>
      </c>
      <c r="O274">
        <v>768</v>
      </c>
      <c r="P274">
        <v>1</v>
      </c>
      <c r="Q274" t="s">
        <v>159</v>
      </c>
      <c r="T274" s="4">
        <v>0</v>
      </c>
      <c r="U274" s="4">
        <v>189.97</v>
      </c>
      <c r="V274" s="4">
        <v>0</v>
      </c>
      <c r="W274" s="4">
        <v>0</v>
      </c>
      <c r="X274" s="4">
        <v>79.31</v>
      </c>
      <c r="Y274" s="4">
        <v>269.27999999999997</v>
      </c>
      <c r="Z274" s="4" t="s">
        <v>147</v>
      </c>
      <c r="AA274" s="4" t="s">
        <v>147</v>
      </c>
      <c r="AB274" s="4">
        <f>SUMIF('Trip Changes'!$B:$B,A274,'Trip Changes'!$E:$E)</f>
        <v>0</v>
      </c>
      <c r="AC274" s="4">
        <f>SUMIF('Trip Cancellations'!$B:$B,A274,'Trip Cancellations'!$E:$E)</f>
        <v>0</v>
      </c>
      <c r="AD274" s="4">
        <f>SUMIF('Trip Cancellations'!$B:$B,A274,'Trip Cancellations'!$F:$F)</f>
        <v>0</v>
      </c>
      <c r="AE274" s="4">
        <f t="shared" si="4"/>
        <v>269.27999999999997</v>
      </c>
      <c r="AF274" t="s">
        <v>148</v>
      </c>
      <c r="AG274">
        <v>5</v>
      </c>
      <c r="AH274" s="5">
        <v>30.7</v>
      </c>
      <c r="AI274" t="s">
        <v>148</v>
      </c>
    </row>
    <row r="275" spans="1:35">
      <c r="A275" t="s">
        <v>554</v>
      </c>
      <c r="B275" t="s">
        <v>550</v>
      </c>
      <c r="C275" t="s">
        <v>182</v>
      </c>
      <c r="D275" t="s">
        <v>248</v>
      </c>
      <c r="E275" t="s">
        <v>169</v>
      </c>
      <c r="F275" t="s">
        <v>189</v>
      </c>
      <c r="G275" s="3">
        <v>46157</v>
      </c>
      <c r="H275" s="3">
        <v>46174</v>
      </c>
      <c r="I275" s="3">
        <v>46178</v>
      </c>
      <c r="J275" t="s">
        <v>141</v>
      </c>
      <c r="K275" t="s">
        <v>182</v>
      </c>
      <c r="L275" t="s">
        <v>175</v>
      </c>
      <c r="M275" t="s">
        <v>152</v>
      </c>
      <c r="N275" t="s">
        <v>153</v>
      </c>
      <c r="O275">
        <v>1932</v>
      </c>
      <c r="P275">
        <v>17</v>
      </c>
      <c r="Q275" t="s">
        <v>145</v>
      </c>
      <c r="R275" t="s">
        <v>154</v>
      </c>
      <c r="S275" t="s">
        <v>155</v>
      </c>
      <c r="T275" s="4">
        <v>159.47</v>
      </c>
      <c r="U275" s="4">
        <v>0</v>
      </c>
      <c r="V275" s="4">
        <v>3</v>
      </c>
      <c r="W275" s="4">
        <v>479.98</v>
      </c>
      <c r="X275" s="4">
        <v>86.52</v>
      </c>
      <c r="Y275" s="4">
        <v>725.97</v>
      </c>
      <c r="Z275" s="4" t="s">
        <v>147</v>
      </c>
      <c r="AA275" s="4" t="s">
        <v>147</v>
      </c>
      <c r="AB275" s="4">
        <f>SUMIF('Trip Changes'!$B:$B,A275,'Trip Changes'!$E:$E)</f>
        <v>0</v>
      </c>
      <c r="AC275" s="4">
        <f>SUMIF('Trip Cancellations'!$B:$B,A275,'Trip Cancellations'!$E:$E)</f>
        <v>0</v>
      </c>
      <c r="AD275" s="4">
        <f>SUMIF('Trip Cancellations'!$B:$B,A275,'Trip Cancellations'!$F:$F)</f>
        <v>0</v>
      </c>
      <c r="AE275" s="4">
        <f t="shared" si="4"/>
        <v>725.97</v>
      </c>
      <c r="AF275" t="s">
        <v>148</v>
      </c>
      <c r="AG275">
        <v>4</v>
      </c>
      <c r="AH275" s="5">
        <v>289.8</v>
      </c>
      <c r="AI275" t="s">
        <v>148</v>
      </c>
    </row>
    <row r="276" spans="1:35">
      <c r="A276" t="s">
        <v>555</v>
      </c>
      <c r="B276" t="s">
        <v>556</v>
      </c>
      <c r="C276" t="s">
        <v>282</v>
      </c>
      <c r="D276" t="s">
        <v>248</v>
      </c>
      <c r="E276" t="s">
        <v>169</v>
      </c>
      <c r="F276" t="s">
        <v>170</v>
      </c>
      <c r="G276" s="3">
        <v>46205</v>
      </c>
      <c r="H276" s="3">
        <v>46219</v>
      </c>
      <c r="I276" s="3">
        <v>46221</v>
      </c>
      <c r="J276" t="s">
        <v>150</v>
      </c>
      <c r="K276" t="s">
        <v>282</v>
      </c>
      <c r="L276" t="s">
        <v>182</v>
      </c>
      <c r="M276" t="s">
        <v>143</v>
      </c>
      <c r="N276" t="s">
        <v>144</v>
      </c>
      <c r="O276">
        <v>528</v>
      </c>
      <c r="P276">
        <v>14</v>
      </c>
      <c r="Q276" t="s">
        <v>145</v>
      </c>
      <c r="S276" t="s">
        <v>164</v>
      </c>
      <c r="T276" s="4">
        <v>0</v>
      </c>
      <c r="U276" s="4">
        <v>260.55</v>
      </c>
      <c r="V276" s="4">
        <v>1</v>
      </c>
      <c r="W276" s="4">
        <v>135.62</v>
      </c>
      <c r="X276" s="4">
        <v>60.42</v>
      </c>
      <c r="Y276" s="4">
        <v>456.59</v>
      </c>
      <c r="Z276" s="4" t="s">
        <v>147</v>
      </c>
      <c r="AA276" s="4" t="s">
        <v>147</v>
      </c>
      <c r="AB276" s="4">
        <f>SUMIF('Trip Changes'!$B:$B,A276,'Trip Changes'!$E:$E)</f>
        <v>0</v>
      </c>
      <c r="AC276" s="4">
        <f>SUMIF('Trip Cancellations'!$B:$B,A276,'Trip Cancellations'!$E:$E)</f>
        <v>0</v>
      </c>
      <c r="AD276" s="4">
        <f>SUMIF('Trip Cancellations'!$B:$B,A276,'Trip Cancellations'!$F:$F)</f>
        <v>0</v>
      </c>
      <c r="AE276" s="4">
        <f t="shared" si="4"/>
        <v>456.59</v>
      </c>
      <c r="AF276" t="s">
        <v>148</v>
      </c>
      <c r="AG276">
        <v>4</v>
      </c>
      <c r="AH276" s="5">
        <v>21.1</v>
      </c>
      <c r="AI276" t="s">
        <v>147</v>
      </c>
    </row>
    <row r="277" spans="1:35">
      <c r="A277" t="s">
        <v>557</v>
      </c>
      <c r="B277" t="s">
        <v>556</v>
      </c>
      <c r="C277" t="s">
        <v>282</v>
      </c>
      <c r="D277" t="s">
        <v>248</v>
      </c>
      <c r="E277" t="s">
        <v>169</v>
      </c>
      <c r="F277" t="s">
        <v>157</v>
      </c>
      <c r="G277" s="3">
        <v>46220</v>
      </c>
      <c r="H277" s="3">
        <v>46229</v>
      </c>
      <c r="I277" s="3">
        <v>46235</v>
      </c>
      <c r="J277" t="s">
        <v>150</v>
      </c>
      <c r="K277" t="s">
        <v>282</v>
      </c>
      <c r="L277" t="s">
        <v>185</v>
      </c>
      <c r="M277" t="s">
        <v>152</v>
      </c>
      <c r="N277" t="s">
        <v>153</v>
      </c>
      <c r="O277">
        <v>12772</v>
      </c>
      <c r="P277">
        <v>9</v>
      </c>
      <c r="Q277" t="s">
        <v>145</v>
      </c>
      <c r="R277" t="s">
        <v>154</v>
      </c>
      <c r="S277" t="s">
        <v>164</v>
      </c>
      <c r="T277" s="4">
        <v>1533.08</v>
      </c>
      <c r="U277" s="4">
        <v>0</v>
      </c>
      <c r="V277" s="4">
        <v>5</v>
      </c>
      <c r="W277" s="4">
        <v>706.98</v>
      </c>
      <c r="X277" s="4">
        <v>87.14</v>
      </c>
      <c r="Y277" s="4">
        <v>2327.1999999999998</v>
      </c>
      <c r="Z277" s="4" t="s">
        <v>147</v>
      </c>
      <c r="AA277" s="4" t="s">
        <v>147</v>
      </c>
      <c r="AB277" s="4">
        <f>SUMIF('Trip Changes'!$B:$B,A277,'Trip Changes'!$E:$E)</f>
        <v>0</v>
      </c>
      <c r="AC277" s="4">
        <f>SUMIF('Trip Cancellations'!$B:$B,A277,'Trip Cancellations'!$E:$E)</f>
        <v>0</v>
      </c>
      <c r="AD277" s="4">
        <f>SUMIF('Trip Cancellations'!$B:$B,A277,'Trip Cancellations'!$F:$F)</f>
        <v>0</v>
      </c>
      <c r="AE277" s="4">
        <f t="shared" si="4"/>
        <v>2327.1999999999998</v>
      </c>
      <c r="AF277" t="s">
        <v>148</v>
      </c>
      <c r="AG277">
        <v>5</v>
      </c>
      <c r="AH277" s="5">
        <v>1915.8</v>
      </c>
      <c r="AI277" t="s">
        <v>147</v>
      </c>
    </row>
    <row r="278" spans="1:35">
      <c r="A278" t="s">
        <v>558</v>
      </c>
      <c r="B278" t="s">
        <v>559</v>
      </c>
      <c r="C278" t="s">
        <v>182</v>
      </c>
      <c r="D278" t="s">
        <v>204</v>
      </c>
      <c r="E278" t="s">
        <v>139</v>
      </c>
      <c r="F278" t="s">
        <v>181</v>
      </c>
      <c r="G278" s="3">
        <v>46159</v>
      </c>
      <c r="H278" s="3">
        <v>46173</v>
      </c>
      <c r="I278" s="3">
        <v>46179</v>
      </c>
      <c r="J278" t="s">
        <v>163</v>
      </c>
      <c r="K278" t="s">
        <v>182</v>
      </c>
      <c r="L278" t="s">
        <v>179</v>
      </c>
      <c r="M278" t="s">
        <v>152</v>
      </c>
      <c r="N278" t="s">
        <v>153</v>
      </c>
      <c r="O278">
        <v>17320</v>
      </c>
      <c r="P278">
        <v>14</v>
      </c>
      <c r="Q278" t="s">
        <v>145</v>
      </c>
      <c r="R278" t="s">
        <v>154</v>
      </c>
      <c r="S278" t="s">
        <v>187</v>
      </c>
      <c r="T278" s="4">
        <v>650</v>
      </c>
      <c r="U278" s="4">
        <v>0</v>
      </c>
      <c r="V278" s="4">
        <v>5</v>
      </c>
      <c r="W278" s="4">
        <v>864.94</v>
      </c>
      <c r="X278" s="4">
        <v>20.63</v>
      </c>
      <c r="Y278" s="4">
        <v>1535.57</v>
      </c>
      <c r="Z278" s="4" t="s">
        <v>147</v>
      </c>
      <c r="AA278" s="4" t="s">
        <v>147</v>
      </c>
      <c r="AB278" s="4">
        <f>SUMIF('Trip Changes'!$B:$B,A278,'Trip Changes'!$E:$E)</f>
        <v>0</v>
      </c>
      <c r="AC278" s="4">
        <f>SUMIF('Trip Cancellations'!$B:$B,A278,'Trip Cancellations'!$E:$E)</f>
        <v>0</v>
      </c>
      <c r="AD278" s="4">
        <f>SUMIF('Trip Cancellations'!$B:$B,A278,'Trip Cancellations'!$F:$F)</f>
        <v>0</v>
      </c>
      <c r="AE278" s="4">
        <f t="shared" si="4"/>
        <v>1535.57</v>
      </c>
      <c r="AF278" t="s">
        <v>148</v>
      </c>
      <c r="AG278">
        <v>4</v>
      </c>
      <c r="AH278" s="5">
        <v>2598</v>
      </c>
      <c r="AI278" t="s">
        <v>147</v>
      </c>
    </row>
    <row r="279" spans="1:35">
      <c r="A279" t="s">
        <v>560</v>
      </c>
      <c r="B279" t="s">
        <v>561</v>
      </c>
      <c r="C279" t="s">
        <v>182</v>
      </c>
      <c r="D279" t="s">
        <v>168</v>
      </c>
      <c r="E279" t="s">
        <v>169</v>
      </c>
      <c r="F279" t="s">
        <v>189</v>
      </c>
      <c r="G279" s="3">
        <v>46177</v>
      </c>
      <c r="H279" s="3">
        <v>46188</v>
      </c>
      <c r="I279" s="3">
        <v>46196</v>
      </c>
      <c r="J279" t="s">
        <v>141</v>
      </c>
      <c r="K279" t="s">
        <v>182</v>
      </c>
      <c r="L279" t="s">
        <v>179</v>
      </c>
      <c r="M279" t="s">
        <v>152</v>
      </c>
      <c r="N279" t="s">
        <v>153</v>
      </c>
      <c r="O279">
        <v>20818</v>
      </c>
      <c r="P279">
        <v>11</v>
      </c>
      <c r="Q279" t="s">
        <v>207</v>
      </c>
      <c r="R279" t="s">
        <v>154</v>
      </c>
      <c r="S279" t="s">
        <v>164</v>
      </c>
      <c r="T279" s="4">
        <v>2147.48</v>
      </c>
      <c r="U279" s="4">
        <v>0</v>
      </c>
      <c r="V279" s="4">
        <v>7</v>
      </c>
      <c r="W279" s="4">
        <v>1195.52</v>
      </c>
      <c r="X279" s="4">
        <v>38.15</v>
      </c>
      <c r="Y279" s="4">
        <v>3381.15</v>
      </c>
      <c r="Z279" s="4" t="s">
        <v>147</v>
      </c>
      <c r="AA279" s="4" t="s">
        <v>147</v>
      </c>
      <c r="AB279" s="4">
        <f>SUMIF('Trip Changes'!$B:$B,A279,'Trip Changes'!$E:$E)</f>
        <v>0</v>
      </c>
      <c r="AC279" s="4">
        <f>SUMIF('Trip Cancellations'!$B:$B,A279,'Trip Cancellations'!$E:$E)</f>
        <v>0</v>
      </c>
      <c r="AD279" s="4">
        <f>SUMIF('Trip Cancellations'!$B:$B,A279,'Trip Cancellations'!$F:$F)</f>
        <v>0</v>
      </c>
      <c r="AE279" s="4">
        <f t="shared" si="4"/>
        <v>3381.15</v>
      </c>
      <c r="AF279" t="s">
        <v>148</v>
      </c>
      <c r="AG279">
        <v>3</v>
      </c>
      <c r="AH279" s="5">
        <v>3122.7</v>
      </c>
      <c r="AI279" t="s">
        <v>147</v>
      </c>
    </row>
    <row r="280" spans="1:35">
      <c r="A280" t="s">
        <v>562</v>
      </c>
      <c r="B280" t="s">
        <v>561</v>
      </c>
      <c r="C280" t="s">
        <v>182</v>
      </c>
      <c r="D280" t="s">
        <v>168</v>
      </c>
      <c r="E280" t="s">
        <v>169</v>
      </c>
      <c r="F280" t="s">
        <v>170</v>
      </c>
      <c r="G280" s="3">
        <v>46152</v>
      </c>
      <c r="H280" s="3">
        <v>46165</v>
      </c>
      <c r="I280" s="3">
        <v>46168</v>
      </c>
      <c r="J280" t="s">
        <v>163</v>
      </c>
      <c r="K280" t="s">
        <v>182</v>
      </c>
      <c r="L280" t="s">
        <v>233</v>
      </c>
      <c r="M280" t="s">
        <v>152</v>
      </c>
      <c r="N280" t="s">
        <v>153</v>
      </c>
      <c r="O280">
        <v>1486</v>
      </c>
      <c r="P280">
        <v>13</v>
      </c>
      <c r="Q280" t="s">
        <v>145</v>
      </c>
      <c r="R280" t="s">
        <v>154</v>
      </c>
      <c r="S280" t="s">
        <v>190</v>
      </c>
      <c r="T280" s="4">
        <v>509.58</v>
      </c>
      <c r="U280" s="4">
        <v>0</v>
      </c>
      <c r="V280" s="4">
        <v>2</v>
      </c>
      <c r="W280" s="4">
        <v>370.72</v>
      </c>
      <c r="X280" s="4">
        <v>30.5</v>
      </c>
      <c r="Y280" s="4">
        <v>910.8</v>
      </c>
      <c r="Z280" s="4" t="s">
        <v>147</v>
      </c>
      <c r="AA280" s="4" t="s">
        <v>147</v>
      </c>
      <c r="AB280" s="4">
        <f>SUMIF('Trip Changes'!$B:$B,A280,'Trip Changes'!$E:$E)</f>
        <v>0</v>
      </c>
      <c r="AC280" s="4">
        <f>SUMIF('Trip Cancellations'!$B:$B,A280,'Trip Cancellations'!$E:$E)</f>
        <v>0</v>
      </c>
      <c r="AD280" s="4">
        <f>SUMIF('Trip Cancellations'!$B:$B,A280,'Trip Cancellations'!$F:$F)</f>
        <v>0</v>
      </c>
      <c r="AE280" s="4">
        <f t="shared" si="4"/>
        <v>910.8</v>
      </c>
      <c r="AF280" t="s">
        <v>148</v>
      </c>
      <c r="AG280">
        <v>4</v>
      </c>
      <c r="AH280" s="5">
        <v>222.9</v>
      </c>
      <c r="AI280" t="s">
        <v>148</v>
      </c>
    </row>
    <row r="281" spans="1:35">
      <c r="A281" t="s">
        <v>563</v>
      </c>
      <c r="B281" t="s">
        <v>564</v>
      </c>
      <c r="C281" t="s">
        <v>182</v>
      </c>
      <c r="D281" t="s">
        <v>248</v>
      </c>
      <c r="E281" t="s">
        <v>249</v>
      </c>
      <c r="F281" t="s">
        <v>207</v>
      </c>
      <c r="G281" s="3">
        <v>46169</v>
      </c>
      <c r="H281" s="3">
        <v>46183</v>
      </c>
      <c r="I281" s="3">
        <v>46185</v>
      </c>
      <c r="J281" t="s">
        <v>141</v>
      </c>
      <c r="K281" t="s">
        <v>182</v>
      </c>
      <c r="L281" t="s">
        <v>233</v>
      </c>
      <c r="M281" t="s">
        <v>152</v>
      </c>
      <c r="N281" t="s">
        <v>153</v>
      </c>
      <c r="O281">
        <v>3326</v>
      </c>
      <c r="P281">
        <v>14</v>
      </c>
      <c r="Q281" t="s">
        <v>207</v>
      </c>
      <c r="R281" t="s">
        <v>160</v>
      </c>
      <c r="S281" t="s">
        <v>164</v>
      </c>
      <c r="T281" s="4">
        <v>156.02000000000001</v>
      </c>
      <c r="U281" s="4">
        <v>0</v>
      </c>
      <c r="V281" s="4">
        <v>1</v>
      </c>
      <c r="W281" s="4">
        <v>174.72</v>
      </c>
      <c r="X281" s="4">
        <v>134.77000000000001</v>
      </c>
      <c r="Y281" s="4">
        <v>465.51</v>
      </c>
      <c r="Z281" s="4" t="s">
        <v>147</v>
      </c>
      <c r="AA281" s="4" t="s">
        <v>147</v>
      </c>
      <c r="AB281" s="4">
        <f>SUMIF('Trip Changes'!$B:$B,A281,'Trip Changes'!$E:$E)</f>
        <v>0</v>
      </c>
      <c r="AC281" s="4">
        <f>SUMIF('Trip Cancellations'!$B:$B,A281,'Trip Cancellations'!$E:$E)</f>
        <v>0</v>
      </c>
      <c r="AD281" s="4">
        <f>SUMIF('Trip Cancellations'!$B:$B,A281,'Trip Cancellations'!$F:$F)</f>
        <v>0</v>
      </c>
      <c r="AE281" s="4">
        <f t="shared" si="4"/>
        <v>465.51</v>
      </c>
      <c r="AF281" t="s">
        <v>148</v>
      </c>
      <c r="AG281">
        <v>4</v>
      </c>
      <c r="AH281" s="5">
        <v>498.9</v>
      </c>
      <c r="AI281" t="s">
        <v>147</v>
      </c>
    </row>
    <row r="282" spans="1:35">
      <c r="A282" t="s">
        <v>565</v>
      </c>
      <c r="B282" t="s">
        <v>564</v>
      </c>
      <c r="C282" t="s">
        <v>182</v>
      </c>
      <c r="D282" t="s">
        <v>248</v>
      </c>
      <c r="E282" t="s">
        <v>249</v>
      </c>
      <c r="F282" t="s">
        <v>157</v>
      </c>
      <c r="G282" s="3">
        <v>46213</v>
      </c>
      <c r="H282" s="3">
        <v>46234</v>
      </c>
      <c r="I282" s="3">
        <v>46236</v>
      </c>
      <c r="J282" t="s">
        <v>150</v>
      </c>
      <c r="K282" t="s">
        <v>182</v>
      </c>
      <c r="L282" t="s">
        <v>225</v>
      </c>
      <c r="M282" t="s">
        <v>152</v>
      </c>
      <c r="N282" t="s">
        <v>153</v>
      </c>
      <c r="O282">
        <v>2298</v>
      </c>
      <c r="P282">
        <v>21</v>
      </c>
      <c r="Q282" t="s">
        <v>159</v>
      </c>
      <c r="R282" t="s">
        <v>154</v>
      </c>
      <c r="S282" t="s">
        <v>155</v>
      </c>
      <c r="T282" s="4">
        <v>351.88</v>
      </c>
      <c r="U282" s="4">
        <v>0</v>
      </c>
      <c r="V282" s="4">
        <v>1</v>
      </c>
      <c r="W282" s="4">
        <v>198.05</v>
      </c>
      <c r="X282" s="4">
        <v>76.540000000000006</v>
      </c>
      <c r="Y282" s="4">
        <v>626.47</v>
      </c>
      <c r="Z282" s="4" t="s">
        <v>147</v>
      </c>
      <c r="AA282" s="4" t="s">
        <v>147</v>
      </c>
      <c r="AB282" s="4">
        <f>SUMIF('Trip Changes'!$B:$B,A282,'Trip Changes'!$E:$E)</f>
        <v>0</v>
      </c>
      <c r="AC282" s="4">
        <f>SUMIF('Trip Cancellations'!$B:$B,A282,'Trip Cancellations'!$E:$E)</f>
        <v>0</v>
      </c>
      <c r="AD282" s="4">
        <f>SUMIF('Trip Cancellations'!$B:$B,A282,'Trip Cancellations'!$F:$F)</f>
        <v>0</v>
      </c>
      <c r="AE282" s="4">
        <f t="shared" si="4"/>
        <v>626.47</v>
      </c>
      <c r="AF282" t="s">
        <v>148</v>
      </c>
      <c r="AG282">
        <v>5</v>
      </c>
      <c r="AH282" s="5">
        <v>344.7</v>
      </c>
      <c r="AI282" t="s">
        <v>147</v>
      </c>
    </row>
    <row r="283" spans="1:35">
      <c r="A283" t="s">
        <v>566</v>
      </c>
      <c r="B283" t="s">
        <v>564</v>
      </c>
      <c r="C283" t="s">
        <v>182</v>
      </c>
      <c r="D283" t="s">
        <v>248</v>
      </c>
      <c r="E283" t="s">
        <v>249</v>
      </c>
      <c r="F283" t="s">
        <v>140</v>
      </c>
      <c r="G283" s="3">
        <v>46165</v>
      </c>
      <c r="H283" s="3">
        <v>46179</v>
      </c>
      <c r="I283" s="3">
        <v>46181</v>
      </c>
      <c r="J283" t="s">
        <v>141</v>
      </c>
      <c r="K283" t="s">
        <v>182</v>
      </c>
      <c r="L283" t="s">
        <v>225</v>
      </c>
      <c r="M283" t="s">
        <v>152</v>
      </c>
      <c r="N283" t="s">
        <v>153</v>
      </c>
      <c r="O283">
        <v>2924</v>
      </c>
      <c r="P283">
        <v>14</v>
      </c>
      <c r="Q283" t="s">
        <v>145</v>
      </c>
      <c r="R283" t="s">
        <v>176</v>
      </c>
      <c r="S283" t="s">
        <v>164</v>
      </c>
      <c r="T283" s="4">
        <v>224.19</v>
      </c>
      <c r="U283" s="4">
        <v>0</v>
      </c>
      <c r="V283" s="4">
        <v>1</v>
      </c>
      <c r="W283" s="4">
        <v>184.52</v>
      </c>
      <c r="X283" s="4">
        <v>136.6</v>
      </c>
      <c r="Y283" s="4">
        <v>545.30999999999995</v>
      </c>
      <c r="Z283" s="4" t="s">
        <v>147</v>
      </c>
      <c r="AA283" s="4" t="s">
        <v>147</v>
      </c>
      <c r="AB283" s="4">
        <f>SUMIF('Trip Changes'!$B:$B,A283,'Trip Changes'!$E:$E)</f>
        <v>0</v>
      </c>
      <c r="AC283" s="4">
        <f>SUMIF('Trip Cancellations'!$B:$B,A283,'Trip Cancellations'!$E:$E)</f>
        <v>0</v>
      </c>
      <c r="AD283" s="4">
        <f>SUMIF('Trip Cancellations'!$B:$B,A283,'Trip Cancellations'!$F:$F)</f>
        <v>0</v>
      </c>
      <c r="AE283" s="4">
        <f t="shared" si="4"/>
        <v>545.30999999999995</v>
      </c>
      <c r="AF283" t="s">
        <v>148</v>
      </c>
      <c r="AG283">
        <v>4</v>
      </c>
      <c r="AH283" s="5">
        <v>438.6</v>
      </c>
      <c r="AI283" t="s">
        <v>147</v>
      </c>
    </row>
    <row r="284" spans="1:35">
      <c r="A284" t="s">
        <v>567</v>
      </c>
      <c r="B284" t="s">
        <v>564</v>
      </c>
      <c r="C284" t="s">
        <v>182</v>
      </c>
      <c r="D284" t="s">
        <v>248</v>
      </c>
      <c r="E284" t="s">
        <v>249</v>
      </c>
      <c r="F284" t="s">
        <v>181</v>
      </c>
      <c r="G284" s="3">
        <v>46216</v>
      </c>
      <c r="H284" s="3">
        <v>46221</v>
      </c>
      <c r="I284" s="3">
        <v>46224</v>
      </c>
      <c r="J284" t="s">
        <v>150</v>
      </c>
      <c r="K284" t="s">
        <v>182</v>
      </c>
      <c r="L284" t="s">
        <v>185</v>
      </c>
      <c r="M284" t="s">
        <v>152</v>
      </c>
      <c r="N284" t="s">
        <v>153</v>
      </c>
      <c r="O284">
        <v>11688</v>
      </c>
      <c r="P284">
        <v>5</v>
      </c>
      <c r="Q284" t="s">
        <v>216</v>
      </c>
      <c r="R284" t="s">
        <v>154</v>
      </c>
      <c r="S284" t="s">
        <v>173</v>
      </c>
      <c r="T284" s="4">
        <v>1232.75</v>
      </c>
      <c r="U284" s="4">
        <v>0</v>
      </c>
      <c r="V284" s="4">
        <v>2</v>
      </c>
      <c r="W284" s="4">
        <v>263.52999999999997</v>
      </c>
      <c r="X284" s="4">
        <v>88.13</v>
      </c>
      <c r="Y284" s="4">
        <v>1584.41</v>
      </c>
      <c r="Z284" s="4" t="s">
        <v>147</v>
      </c>
      <c r="AA284" s="4" t="s">
        <v>147</v>
      </c>
      <c r="AB284" s="4">
        <f>SUMIF('Trip Changes'!$B:$B,A284,'Trip Changes'!$E:$E)</f>
        <v>0</v>
      </c>
      <c r="AC284" s="4">
        <f>SUMIF('Trip Cancellations'!$B:$B,A284,'Trip Cancellations'!$E:$E)</f>
        <v>0</v>
      </c>
      <c r="AD284" s="4">
        <f>SUMIF('Trip Cancellations'!$B:$B,A284,'Trip Cancellations'!$F:$F)</f>
        <v>0</v>
      </c>
      <c r="AE284" s="4">
        <f t="shared" si="4"/>
        <v>1584.41</v>
      </c>
      <c r="AF284" t="s">
        <v>148</v>
      </c>
      <c r="AG284">
        <v>5</v>
      </c>
      <c r="AH284" s="5">
        <v>1753.2</v>
      </c>
      <c r="AI284" t="s">
        <v>147</v>
      </c>
    </row>
    <row r="285" spans="1:35">
      <c r="A285" t="s">
        <v>568</v>
      </c>
      <c r="B285" t="s">
        <v>569</v>
      </c>
      <c r="C285" t="s">
        <v>203</v>
      </c>
      <c r="D285" t="s">
        <v>230</v>
      </c>
      <c r="E285" t="s">
        <v>169</v>
      </c>
      <c r="F285" t="s">
        <v>162</v>
      </c>
      <c r="G285" s="3">
        <v>46188</v>
      </c>
      <c r="H285" s="3">
        <v>46213</v>
      </c>
      <c r="I285" s="3">
        <v>46215</v>
      </c>
      <c r="J285" t="s">
        <v>150</v>
      </c>
      <c r="K285" t="s">
        <v>203</v>
      </c>
      <c r="L285" t="s">
        <v>233</v>
      </c>
      <c r="M285" t="s">
        <v>152</v>
      </c>
      <c r="N285" t="s">
        <v>153</v>
      </c>
      <c r="O285">
        <v>2638</v>
      </c>
      <c r="P285">
        <v>25</v>
      </c>
      <c r="Q285" t="s">
        <v>145</v>
      </c>
      <c r="R285" t="s">
        <v>160</v>
      </c>
      <c r="S285" t="s">
        <v>173</v>
      </c>
      <c r="T285" s="4">
        <v>249.21</v>
      </c>
      <c r="U285" s="4">
        <v>0</v>
      </c>
      <c r="V285" s="4">
        <v>1</v>
      </c>
      <c r="W285" s="4">
        <v>255.29</v>
      </c>
      <c r="X285" s="4">
        <v>103.47</v>
      </c>
      <c r="Y285" s="4">
        <v>607.97</v>
      </c>
      <c r="Z285" s="4" t="s">
        <v>147</v>
      </c>
      <c r="AA285" s="4" t="s">
        <v>147</v>
      </c>
      <c r="AB285" s="4">
        <f>SUMIF('Trip Changes'!$B:$B,A285,'Trip Changes'!$E:$E)</f>
        <v>0</v>
      </c>
      <c r="AC285" s="4">
        <f>SUMIF('Trip Cancellations'!$B:$B,A285,'Trip Cancellations'!$E:$E)</f>
        <v>0</v>
      </c>
      <c r="AD285" s="4">
        <f>SUMIF('Trip Cancellations'!$B:$B,A285,'Trip Cancellations'!$F:$F)</f>
        <v>0</v>
      </c>
      <c r="AE285" s="4">
        <f t="shared" si="4"/>
        <v>607.97</v>
      </c>
      <c r="AF285" t="s">
        <v>148</v>
      </c>
      <c r="AG285">
        <v>4</v>
      </c>
      <c r="AH285" s="5">
        <v>395.7</v>
      </c>
      <c r="AI285" t="s">
        <v>148</v>
      </c>
    </row>
    <row r="286" spans="1:35">
      <c r="A286" t="s">
        <v>570</v>
      </c>
      <c r="B286" t="s">
        <v>569</v>
      </c>
      <c r="C286" t="s">
        <v>203</v>
      </c>
      <c r="D286" t="s">
        <v>230</v>
      </c>
      <c r="E286" t="s">
        <v>169</v>
      </c>
      <c r="F286" t="s">
        <v>140</v>
      </c>
      <c r="G286" s="3">
        <v>46153</v>
      </c>
      <c r="H286" s="3">
        <v>46162</v>
      </c>
      <c r="I286" s="3">
        <v>46167</v>
      </c>
      <c r="J286" t="s">
        <v>163</v>
      </c>
      <c r="K286" t="s">
        <v>203</v>
      </c>
      <c r="L286" t="s">
        <v>227</v>
      </c>
      <c r="M286" t="s">
        <v>152</v>
      </c>
      <c r="N286" t="s">
        <v>153</v>
      </c>
      <c r="O286">
        <v>3122</v>
      </c>
      <c r="P286">
        <v>9</v>
      </c>
      <c r="Q286" t="s">
        <v>145</v>
      </c>
      <c r="R286" t="s">
        <v>172</v>
      </c>
      <c r="S286" t="s">
        <v>173</v>
      </c>
      <c r="T286" s="4">
        <v>368.85</v>
      </c>
      <c r="U286" s="4">
        <v>0</v>
      </c>
      <c r="V286" s="4">
        <v>4</v>
      </c>
      <c r="W286" s="4">
        <v>891.67</v>
      </c>
      <c r="X286" s="4">
        <v>34.630000000000003</v>
      </c>
      <c r="Y286" s="4">
        <v>1295.1500000000001</v>
      </c>
      <c r="Z286" s="4" t="s">
        <v>147</v>
      </c>
      <c r="AA286" s="4" t="s">
        <v>147</v>
      </c>
      <c r="AB286" s="4">
        <f>SUMIF('Trip Changes'!$B:$B,A286,'Trip Changes'!$E:$E)</f>
        <v>0</v>
      </c>
      <c r="AC286" s="4">
        <f>SUMIF('Trip Cancellations'!$B:$B,A286,'Trip Cancellations'!$E:$E)</f>
        <v>0</v>
      </c>
      <c r="AD286" s="4">
        <f>SUMIF('Trip Cancellations'!$B:$B,A286,'Trip Cancellations'!$F:$F)</f>
        <v>0</v>
      </c>
      <c r="AE286" s="4">
        <f t="shared" si="4"/>
        <v>1295.1500000000001</v>
      </c>
      <c r="AF286" t="s">
        <v>148</v>
      </c>
      <c r="AG286">
        <v>4</v>
      </c>
      <c r="AH286" s="5">
        <v>468.3</v>
      </c>
      <c r="AI286" t="s">
        <v>147</v>
      </c>
    </row>
    <row r="287" spans="1:35">
      <c r="A287" t="s">
        <v>571</v>
      </c>
      <c r="B287" t="s">
        <v>569</v>
      </c>
      <c r="C287" t="s">
        <v>203</v>
      </c>
      <c r="D287" t="s">
        <v>230</v>
      </c>
      <c r="E287" t="s">
        <v>169</v>
      </c>
      <c r="F287" t="s">
        <v>140</v>
      </c>
      <c r="G287" s="3">
        <v>46141</v>
      </c>
      <c r="H287" s="3">
        <v>46167</v>
      </c>
      <c r="I287" s="3">
        <v>46170</v>
      </c>
      <c r="J287" t="s">
        <v>163</v>
      </c>
      <c r="K287" t="s">
        <v>203</v>
      </c>
      <c r="L287" t="s">
        <v>151</v>
      </c>
      <c r="M287" t="s">
        <v>152</v>
      </c>
      <c r="N287" t="s">
        <v>153</v>
      </c>
      <c r="O287">
        <v>1784</v>
      </c>
      <c r="P287">
        <v>26</v>
      </c>
      <c r="Q287" t="s">
        <v>145</v>
      </c>
      <c r="R287" t="s">
        <v>172</v>
      </c>
      <c r="S287" t="s">
        <v>164</v>
      </c>
      <c r="T287" s="4">
        <v>362.75</v>
      </c>
      <c r="U287" s="4">
        <v>0</v>
      </c>
      <c r="V287" s="4">
        <v>2</v>
      </c>
      <c r="W287" s="4">
        <v>379.1</v>
      </c>
      <c r="X287" s="4">
        <v>107.32</v>
      </c>
      <c r="Y287" s="4">
        <v>849.17</v>
      </c>
      <c r="Z287" s="4" t="s">
        <v>147</v>
      </c>
      <c r="AA287" s="4" t="s">
        <v>148</v>
      </c>
      <c r="AB287" s="4">
        <f>SUMIF('Trip Changes'!$B:$B,A287,'Trip Changes'!$E:$E)</f>
        <v>0</v>
      </c>
      <c r="AC287" s="4">
        <f>SUMIF('Trip Cancellations'!$B:$B,A287,'Trip Cancellations'!$E:$E)</f>
        <v>38.340000000000003</v>
      </c>
      <c r="AD287" s="4">
        <f>SUMIF('Trip Cancellations'!$B:$B,A287,'Trip Cancellations'!$F:$F)</f>
        <v>0</v>
      </c>
      <c r="AE287" s="4">
        <f t="shared" si="4"/>
        <v>887.51</v>
      </c>
      <c r="AF287" t="s">
        <v>148</v>
      </c>
      <c r="AG287">
        <v>4</v>
      </c>
      <c r="AH287" s="5">
        <v>267.60000000000002</v>
      </c>
      <c r="AI287" t="s">
        <v>148</v>
      </c>
    </row>
    <row r="288" spans="1:35">
      <c r="A288" t="s">
        <v>572</v>
      </c>
      <c r="B288" t="s">
        <v>569</v>
      </c>
      <c r="C288" t="s">
        <v>203</v>
      </c>
      <c r="D288" t="s">
        <v>230</v>
      </c>
      <c r="E288" t="s">
        <v>169</v>
      </c>
      <c r="F288" t="s">
        <v>207</v>
      </c>
      <c r="G288" s="3">
        <v>46219</v>
      </c>
      <c r="H288" s="3">
        <v>46221</v>
      </c>
      <c r="I288" s="3">
        <v>46224</v>
      </c>
      <c r="J288" t="s">
        <v>150</v>
      </c>
      <c r="K288" t="s">
        <v>203</v>
      </c>
      <c r="L288" t="s">
        <v>185</v>
      </c>
      <c r="M288" t="s">
        <v>152</v>
      </c>
      <c r="N288" t="s">
        <v>153</v>
      </c>
      <c r="O288">
        <v>12164</v>
      </c>
      <c r="P288">
        <v>2</v>
      </c>
      <c r="Q288" t="s">
        <v>145</v>
      </c>
      <c r="R288" t="s">
        <v>186</v>
      </c>
      <c r="S288" t="s">
        <v>155</v>
      </c>
      <c r="T288" s="4">
        <v>808.78</v>
      </c>
      <c r="U288" s="4">
        <v>0</v>
      </c>
      <c r="V288" s="4">
        <v>2</v>
      </c>
      <c r="W288" s="4">
        <v>332.03</v>
      </c>
      <c r="X288" s="4">
        <v>75.42</v>
      </c>
      <c r="Y288" s="4">
        <v>1216.23</v>
      </c>
      <c r="Z288" s="4" t="s">
        <v>147</v>
      </c>
      <c r="AA288" s="4" t="s">
        <v>147</v>
      </c>
      <c r="AB288" s="4">
        <f>SUMIF('Trip Changes'!$B:$B,A288,'Trip Changes'!$E:$E)</f>
        <v>0</v>
      </c>
      <c r="AC288" s="4">
        <f>SUMIF('Trip Cancellations'!$B:$B,A288,'Trip Cancellations'!$E:$E)</f>
        <v>0</v>
      </c>
      <c r="AD288" s="4">
        <f>SUMIF('Trip Cancellations'!$B:$B,A288,'Trip Cancellations'!$F:$F)</f>
        <v>0</v>
      </c>
      <c r="AE288" s="4">
        <f t="shared" si="4"/>
        <v>1216.23</v>
      </c>
      <c r="AF288" t="s">
        <v>148</v>
      </c>
      <c r="AG288">
        <v>4</v>
      </c>
      <c r="AH288" s="5">
        <v>1824.6</v>
      </c>
      <c r="AI288" t="s">
        <v>147</v>
      </c>
    </row>
    <row r="289" spans="1:35">
      <c r="A289" t="s">
        <v>573</v>
      </c>
      <c r="B289" t="s">
        <v>574</v>
      </c>
      <c r="C289" t="s">
        <v>182</v>
      </c>
      <c r="D289" t="s">
        <v>248</v>
      </c>
      <c r="E289" t="s">
        <v>268</v>
      </c>
      <c r="F289" t="s">
        <v>181</v>
      </c>
      <c r="G289" s="3">
        <v>46211</v>
      </c>
      <c r="H289" s="3">
        <v>46229</v>
      </c>
      <c r="I289" s="3">
        <v>46232</v>
      </c>
      <c r="J289" t="s">
        <v>150</v>
      </c>
      <c r="K289" t="s">
        <v>182</v>
      </c>
      <c r="L289" t="s">
        <v>215</v>
      </c>
      <c r="M289" t="s">
        <v>152</v>
      </c>
      <c r="N289" t="s">
        <v>153</v>
      </c>
      <c r="O289">
        <v>1292</v>
      </c>
      <c r="P289">
        <v>18</v>
      </c>
      <c r="Q289" t="s">
        <v>145</v>
      </c>
      <c r="R289" t="s">
        <v>176</v>
      </c>
      <c r="S289" t="s">
        <v>155</v>
      </c>
      <c r="T289" s="4">
        <v>304.7</v>
      </c>
      <c r="U289" s="4">
        <v>0</v>
      </c>
      <c r="V289" s="4">
        <v>2</v>
      </c>
      <c r="W289" s="4">
        <v>317.68</v>
      </c>
      <c r="X289" s="4">
        <v>65.62</v>
      </c>
      <c r="Y289" s="4">
        <v>688</v>
      </c>
      <c r="Z289" s="4" t="s">
        <v>147</v>
      </c>
      <c r="AA289" s="4" t="s">
        <v>147</v>
      </c>
      <c r="AB289" s="4">
        <f>SUMIF('Trip Changes'!$B:$B,A289,'Trip Changes'!$E:$E)</f>
        <v>0</v>
      </c>
      <c r="AC289" s="4">
        <f>SUMIF('Trip Cancellations'!$B:$B,A289,'Trip Cancellations'!$E:$E)</f>
        <v>0</v>
      </c>
      <c r="AD289" s="4">
        <f>SUMIF('Trip Cancellations'!$B:$B,A289,'Trip Cancellations'!$F:$F)</f>
        <v>0</v>
      </c>
      <c r="AE289" s="4">
        <f t="shared" si="4"/>
        <v>688</v>
      </c>
      <c r="AF289" t="s">
        <v>147</v>
      </c>
      <c r="AG289">
        <v>4</v>
      </c>
      <c r="AH289" s="5">
        <v>193.8</v>
      </c>
      <c r="AI289" t="s">
        <v>147</v>
      </c>
    </row>
    <row r="290" spans="1:35">
      <c r="A290" t="s">
        <v>575</v>
      </c>
      <c r="B290" t="s">
        <v>576</v>
      </c>
      <c r="C290" t="s">
        <v>203</v>
      </c>
      <c r="D290" t="s">
        <v>168</v>
      </c>
      <c r="E290" t="s">
        <v>169</v>
      </c>
      <c r="F290" t="s">
        <v>189</v>
      </c>
      <c r="G290" s="3">
        <v>46163</v>
      </c>
      <c r="H290" s="3">
        <v>46174</v>
      </c>
      <c r="I290" s="3">
        <v>46178</v>
      </c>
      <c r="J290" t="s">
        <v>141</v>
      </c>
      <c r="K290" t="s">
        <v>203</v>
      </c>
      <c r="L290" t="s">
        <v>225</v>
      </c>
      <c r="M290" t="s">
        <v>152</v>
      </c>
      <c r="N290" t="s">
        <v>153</v>
      </c>
      <c r="O290">
        <v>2248</v>
      </c>
      <c r="P290">
        <v>11</v>
      </c>
      <c r="Q290" t="s">
        <v>159</v>
      </c>
      <c r="R290" t="s">
        <v>236</v>
      </c>
      <c r="S290" t="s">
        <v>164</v>
      </c>
      <c r="T290" s="4">
        <v>529.96</v>
      </c>
      <c r="U290" s="4">
        <v>0</v>
      </c>
      <c r="V290" s="4">
        <v>3</v>
      </c>
      <c r="W290" s="4">
        <v>624.52</v>
      </c>
      <c r="X290" s="4">
        <v>101.7</v>
      </c>
      <c r="Y290" s="4">
        <v>1256.18</v>
      </c>
      <c r="Z290" s="4" t="s">
        <v>147</v>
      </c>
      <c r="AA290" s="4" t="s">
        <v>147</v>
      </c>
      <c r="AB290" s="4">
        <f>SUMIF('Trip Changes'!$B:$B,A290,'Trip Changes'!$E:$E)</f>
        <v>0</v>
      </c>
      <c r="AC290" s="4">
        <f>SUMIF('Trip Cancellations'!$B:$B,A290,'Trip Cancellations'!$E:$E)</f>
        <v>0</v>
      </c>
      <c r="AD290" s="4">
        <f>SUMIF('Trip Cancellations'!$B:$B,A290,'Trip Cancellations'!$F:$F)</f>
        <v>0</v>
      </c>
      <c r="AE290" s="4">
        <f t="shared" si="4"/>
        <v>1256.18</v>
      </c>
      <c r="AF290" t="s">
        <v>148</v>
      </c>
      <c r="AG290">
        <v>5</v>
      </c>
      <c r="AH290" s="5">
        <v>337.2</v>
      </c>
      <c r="AI290" t="s">
        <v>147</v>
      </c>
    </row>
    <row r="291" spans="1:35">
      <c r="A291" t="s">
        <v>577</v>
      </c>
      <c r="B291" t="s">
        <v>576</v>
      </c>
      <c r="C291" t="s">
        <v>203</v>
      </c>
      <c r="D291" t="s">
        <v>168</v>
      </c>
      <c r="E291" t="s">
        <v>169</v>
      </c>
      <c r="F291" t="s">
        <v>170</v>
      </c>
      <c r="G291" s="3">
        <v>46219</v>
      </c>
      <c r="H291" s="3">
        <v>46233</v>
      </c>
      <c r="I291" s="3">
        <v>46237</v>
      </c>
      <c r="J291" t="s">
        <v>150</v>
      </c>
      <c r="K291" t="s">
        <v>203</v>
      </c>
      <c r="L291" t="s">
        <v>185</v>
      </c>
      <c r="M291" t="s">
        <v>152</v>
      </c>
      <c r="N291" t="s">
        <v>153</v>
      </c>
      <c r="O291">
        <v>10232</v>
      </c>
      <c r="P291">
        <v>14</v>
      </c>
      <c r="Q291" t="s">
        <v>145</v>
      </c>
      <c r="R291" t="s">
        <v>154</v>
      </c>
      <c r="S291" t="s">
        <v>173</v>
      </c>
      <c r="T291" s="4">
        <v>1270.8800000000001</v>
      </c>
      <c r="U291" s="4">
        <v>0</v>
      </c>
      <c r="V291" s="4">
        <v>3</v>
      </c>
      <c r="W291" s="4">
        <v>562.62</v>
      </c>
      <c r="X291" s="4">
        <v>50.57</v>
      </c>
      <c r="Y291" s="4">
        <v>1884.07</v>
      </c>
      <c r="Z291" s="4" t="s">
        <v>147</v>
      </c>
      <c r="AA291" s="4" t="s">
        <v>147</v>
      </c>
      <c r="AB291" s="4">
        <f>SUMIF('Trip Changes'!$B:$B,A291,'Trip Changes'!$E:$E)</f>
        <v>0</v>
      </c>
      <c r="AC291" s="4">
        <f>SUMIF('Trip Cancellations'!$B:$B,A291,'Trip Cancellations'!$E:$E)</f>
        <v>0</v>
      </c>
      <c r="AD291" s="4">
        <f>SUMIF('Trip Cancellations'!$B:$B,A291,'Trip Cancellations'!$F:$F)</f>
        <v>0</v>
      </c>
      <c r="AE291" s="4">
        <f t="shared" si="4"/>
        <v>1884.07</v>
      </c>
      <c r="AF291" t="s">
        <v>148</v>
      </c>
      <c r="AG291">
        <v>4</v>
      </c>
      <c r="AH291" s="5">
        <v>1534.8</v>
      </c>
      <c r="AI291" t="s">
        <v>147</v>
      </c>
    </row>
    <row r="292" spans="1:35">
      <c r="A292" t="s">
        <v>578</v>
      </c>
      <c r="B292" t="s">
        <v>576</v>
      </c>
      <c r="C292" t="s">
        <v>203</v>
      </c>
      <c r="D292" t="s">
        <v>168</v>
      </c>
      <c r="E292" t="s">
        <v>169</v>
      </c>
      <c r="F292" t="s">
        <v>181</v>
      </c>
      <c r="G292" s="3">
        <v>46147</v>
      </c>
      <c r="H292" s="3">
        <v>46152</v>
      </c>
      <c r="I292" s="3">
        <v>46155</v>
      </c>
      <c r="J292" t="s">
        <v>163</v>
      </c>
      <c r="K292" t="s">
        <v>203</v>
      </c>
      <c r="L292" t="s">
        <v>199</v>
      </c>
      <c r="M292" t="s">
        <v>152</v>
      </c>
      <c r="N292" t="s">
        <v>153</v>
      </c>
      <c r="O292">
        <v>2604</v>
      </c>
      <c r="P292">
        <v>5</v>
      </c>
      <c r="Q292" t="s">
        <v>145</v>
      </c>
      <c r="R292" t="s">
        <v>200</v>
      </c>
      <c r="S292" t="s">
        <v>155</v>
      </c>
      <c r="T292" s="4">
        <v>331.54</v>
      </c>
      <c r="U292" s="4">
        <v>0</v>
      </c>
      <c r="V292" s="4">
        <v>2</v>
      </c>
      <c r="W292" s="4">
        <v>223.9</v>
      </c>
      <c r="X292" s="4">
        <v>87.84</v>
      </c>
      <c r="Y292" s="4">
        <v>643.28</v>
      </c>
      <c r="Z292" s="4" t="s">
        <v>147</v>
      </c>
      <c r="AA292" s="4" t="s">
        <v>147</v>
      </c>
      <c r="AB292" s="4">
        <f>SUMIF('Trip Changes'!$B:$B,A292,'Trip Changes'!$E:$E)</f>
        <v>0</v>
      </c>
      <c r="AC292" s="4">
        <f>SUMIF('Trip Cancellations'!$B:$B,A292,'Trip Cancellations'!$E:$E)</f>
        <v>0</v>
      </c>
      <c r="AD292" s="4">
        <f>SUMIF('Trip Cancellations'!$B:$B,A292,'Trip Cancellations'!$F:$F)</f>
        <v>0</v>
      </c>
      <c r="AE292" s="4">
        <f t="shared" si="4"/>
        <v>643.28</v>
      </c>
      <c r="AF292" t="s">
        <v>148</v>
      </c>
      <c r="AG292">
        <v>5</v>
      </c>
      <c r="AH292" s="5">
        <v>390.6</v>
      </c>
      <c r="AI292" t="s">
        <v>148</v>
      </c>
    </row>
    <row r="293" spans="1:35">
      <c r="A293" t="s">
        <v>579</v>
      </c>
      <c r="B293" t="s">
        <v>580</v>
      </c>
      <c r="C293" t="s">
        <v>182</v>
      </c>
      <c r="D293" t="s">
        <v>230</v>
      </c>
      <c r="E293" t="s">
        <v>249</v>
      </c>
      <c r="F293" t="s">
        <v>162</v>
      </c>
      <c r="G293" s="3">
        <v>46172</v>
      </c>
      <c r="H293" s="3">
        <v>46185</v>
      </c>
      <c r="I293" s="3">
        <v>46188</v>
      </c>
      <c r="J293" t="s">
        <v>141</v>
      </c>
      <c r="K293" t="s">
        <v>182</v>
      </c>
      <c r="L293" t="s">
        <v>199</v>
      </c>
      <c r="M293" t="s">
        <v>152</v>
      </c>
      <c r="N293" t="s">
        <v>153</v>
      </c>
      <c r="O293">
        <v>3324</v>
      </c>
      <c r="P293">
        <v>13</v>
      </c>
      <c r="Q293" t="s">
        <v>145</v>
      </c>
      <c r="R293" t="s">
        <v>154</v>
      </c>
      <c r="S293" t="s">
        <v>164</v>
      </c>
      <c r="T293" s="4">
        <v>506.17</v>
      </c>
      <c r="U293" s="4">
        <v>0</v>
      </c>
      <c r="V293" s="4">
        <v>2</v>
      </c>
      <c r="W293" s="4">
        <v>426.81</v>
      </c>
      <c r="X293" s="4">
        <v>93.22</v>
      </c>
      <c r="Y293" s="4">
        <v>1026.2</v>
      </c>
      <c r="Z293" s="4" t="s">
        <v>148</v>
      </c>
      <c r="AA293" s="4" t="s">
        <v>147</v>
      </c>
      <c r="AB293" s="4">
        <f>SUMIF('Trip Changes'!$B:$B,A293,'Trip Changes'!$E:$E)</f>
        <v>25.72</v>
      </c>
      <c r="AC293" s="4">
        <f>SUMIF('Trip Cancellations'!$B:$B,A293,'Trip Cancellations'!$E:$E)</f>
        <v>0</v>
      </c>
      <c r="AD293" s="4">
        <f>SUMIF('Trip Cancellations'!$B:$B,A293,'Trip Cancellations'!$F:$F)</f>
        <v>0</v>
      </c>
      <c r="AE293" s="4">
        <f t="shared" si="4"/>
        <v>1051.92</v>
      </c>
      <c r="AF293" t="s">
        <v>148</v>
      </c>
      <c r="AG293">
        <v>5</v>
      </c>
      <c r="AH293" s="5">
        <v>498.6</v>
      </c>
      <c r="AI293" t="s">
        <v>148</v>
      </c>
    </row>
    <row r="294" spans="1:35">
      <c r="A294" t="s">
        <v>581</v>
      </c>
      <c r="B294" t="s">
        <v>580</v>
      </c>
      <c r="C294" t="s">
        <v>182</v>
      </c>
      <c r="D294" t="s">
        <v>230</v>
      </c>
      <c r="E294" t="s">
        <v>249</v>
      </c>
      <c r="F294" t="s">
        <v>181</v>
      </c>
      <c r="G294" s="3">
        <v>46138</v>
      </c>
      <c r="H294" s="3">
        <v>46154</v>
      </c>
      <c r="I294" s="3">
        <v>46158</v>
      </c>
      <c r="J294" t="s">
        <v>163</v>
      </c>
      <c r="K294" t="s">
        <v>182</v>
      </c>
      <c r="L294" t="s">
        <v>175</v>
      </c>
      <c r="M294" t="s">
        <v>152</v>
      </c>
      <c r="N294" t="s">
        <v>153</v>
      </c>
      <c r="O294">
        <v>2862</v>
      </c>
      <c r="P294">
        <v>16</v>
      </c>
      <c r="Q294" t="s">
        <v>145</v>
      </c>
      <c r="R294" t="s">
        <v>154</v>
      </c>
      <c r="S294" t="s">
        <v>164</v>
      </c>
      <c r="T294" s="4">
        <v>418.66</v>
      </c>
      <c r="U294" s="4">
        <v>0</v>
      </c>
      <c r="V294" s="4">
        <v>3</v>
      </c>
      <c r="W294" s="4">
        <v>501.46</v>
      </c>
      <c r="X294" s="4">
        <v>56.32</v>
      </c>
      <c r="Y294" s="4">
        <v>976.44</v>
      </c>
      <c r="Z294" s="4" t="s">
        <v>147</v>
      </c>
      <c r="AA294" s="4" t="s">
        <v>147</v>
      </c>
      <c r="AB294" s="4">
        <f>SUMIF('Trip Changes'!$B:$B,A294,'Trip Changes'!$E:$E)</f>
        <v>0</v>
      </c>
      <c r="AC294" s="4">
        <f>SUMIF('Trip Cancellations'!$B:$B,A294,'Trip Cancellations'!$E:$E)</f>
        <v>0</v>
      </c>
      <c r="AD294" s="4">
        <f>SUMIF('Trip Cancellations'!$B:$B,A294,'Trip Cancellations'!$F:$F)</f>
        <v>0</v>
      </c>
      <c r="AE294" s="4">
        <f t="shared" si="4"/>
        <v>976.44</v>
      </c>
      <c r="AF294" t="s">
        <v>148</v>
      </c>
      <c r="AG294">
        <v>5</v>
      </c>
      <c r="AH294" s="5">
        <v>429.3</v>
      </c>
      <c r="AI294" t="s">
        <v>148</v>
      </c>
    </row>
    <row r="295" spans="1:35">
      <c r="A295" t="s">
        <v>582</v>
      </c>
      <c r="B295" t="s">
        <v>580</v>
      </c>
      <c r="C295" t="s">
        <v>182</v>
      </c>
      <c r="D295" t="s">
        <v>230</v>
      </c>
      <c r="E295" t="s">
        <v>249</v>
      </c>
      <c r="F295" t="s">
        <v>140</v>
      </c>
      <c r="G295" s="3">
        <v>46169</v>
      </c>
      <c r="H295" s="3">
        <v>46177</v>
      </c>
      <c r="I295" s="3">
        <v>46180</v>
      </c>
      <c r="J295" t="s">
        <v>141</v>
      </c>
      <c r="K295" t="s">
        <v>182</v>
      </c>
      <c r="L295" t="s">
        <v>225</v>
      </c>
      <c r="M295" t="s">
        <v>152</v>
      </c>
      <c r="N295" t="s">
        <v>153</v>
      </c>
      <c r="O295">
        <v>2926</v>
      </c>
      <c r="P295">
        <v>8</v>
      </c>
      <c r="Q295" t="s">
        <v>216</v>
      </c>
      <c r="R295" t="s">
        <v>154</v>
      </c>
      <c r="S295" t="s">
        <v>187</v>
      </c>
      <c r="T295" s="4">
        <v>621.84</v>
      </c>
      <c r="U295" s="4">
        <v>0</v>
      </c>
      <c r="V295" s="4">
        <v>2</v>
      </c>
      <c r="W295" s="4">
        <v>308.08999999999997</v>
      </c>
      <c r="X295" s="4">
        <v>79.760000000000005</v>
      </c>
      <c r="Y295" s="4">
        <v>1009.69</v>
      </c>
      <c r="Z295" s="4" t="s">
        <v>147</v>
      </c>
      <c r="AA295" s="4" t="s">
        <v>147</v>
      </c>
      <c r="AB295" s="4">
        <f>SUMIF('Trip Changes'!$B:$B,A295,'Trip Changes'!$E:$E)</f>
        <v>0</v>
      </c>
      <c r="AC295" s="4">
        <f>SUMIF('Trip Cancellations'!$B:$B,A295,'Trip Cancellations'!$E:$E)</f>
        <v>0</v>
      </c>
      <c r="AD295" s="4">
        <f>SUMIF('Trip Cancellations'!$B:$B,A295,'Trip Cancellations'!$F:$F)</f>
        <v>0</v>
      </c>
      <c r="AE295" s="4">
        <f t="shared" si="4"/>
        <v>1009.69</v>
      </c>
      <c r="AF295" t="s">
        <v>148</v>
      </c>
      <c r="AG295">
        <v>4</v>
      </c>
      <c r="AH295" s="5">
        <v>438.9</v>
      </c>
      <c r="AI295" t="s">
        <v>148</v>
      </c>
    </row>
    <row r="296" spans="1:35">
      <c r="A296" t="s">
        <v>583</v>
      </c>
      <c r="B296" t="s">
        <v>580</v>
      </c>
      <c r="C296" t="s">
        <v>182</v>
      </c>
      <c r="D296" t="s">
        <v>230</v>
      </c>
      <c r="E296" t="s">
        <v>249</v>
      </c>
      <c r="F296" t="s">
        <v>140</v>
      </c>
      <c r="G296" s="3">
        <v>46164</v>
      </c>
      <c r="H296" s="3">
        <v>46165</v>
      </c>
      <c r="I296" s="3">
        <v>46168</v>
      </c>
      <c r="J296" t="s">
        <v>163</v>
      </c>
      <c r="K296" t="s">
        <v>182</v>
      </c>
      <c r="L296" t="s">
        <v>199</v>
      </c>
      <c r="M296" t="s">
        <v>152</v>
      </c>
      <c r="N296" t="s">
        <v>153</v>
      </c>
      <c r="O296">
        <v>3278</v>
      </c>
      <c r="P296">
        <v>1</v>
      </c>
      <c r="Q296" t="s">
        <v>159</v>
      </c>
      <c r="R296" t="s">
        <v>291</v>
      </c>
      <c r="S296" t="s">
        <v>155</v>
      </c>
      <c r="T296" s="4">
        <v>418.11</v>
      </c>
      <c r="U296" s="4">
        <v>0</v>
      </c>
      <c r="V296" s="4">
        <v>2</v>
      </c>
      <c r="W296" s="4">
        <v>415.79</v>
      </c>
      <c r="X296" s="4">
        <v>42.39</v>
      </c>
      <c r="Y296" s="4">
        <v>876.29</v>
      </c>
      <c r="Z296" s="4" t="s">
        <v>147</v>
      </c>
      <c r="AA296" s="4" t="s">
        <v>147</v>
      </c>
      <c r="AB296" s="4">
        <f>SUMIF('Trip Changes'!$B:$B,A296,'Trip Changes'!$E:$E)</f>
        <v>0</v>
      </c>
      <c r="AC296" s="4">
        <f>SUMIF('Trip Cancellations'!$B:$B,A296,'Trip Cancellations'!$E:$E)</f>
        <v>0</v>
      </c>
      <c r="AD296" s="4">
        <f>SUMIF('Trip Cancellations'!$B:$B,A296,'Trip Cancellations'!$F:$F)</f>
        <v>0</v>
      </c>
      <c r="AE296" s="4">
        <f t="shared" si="4"/>
        <v>876.29</v>
      </c>
      <c r="AF296" t="s">
        <v>148</v>
      </c>
      <c r="AG296">
        <v>4</v>
      </c>
      <c r="AH296" s="5">
        <v>491.7</v>
      </c>
      <c r="AI296" t="s">
        <v>148</v>
      </c>
    </row>
    <row r="297" spans="1:35">
      <c r="A297" t="s">
        <v>584</v>
      </c>
      <c r="B297" t="s">
        <v>580</v>
      </c>
      <c r="C297" t="s">
        <v>182</v>
      </c>
      <c r="D297" t="s">
        <v>230</v>
      </c>
      <c r="E297" t="s">
        <v>249</v>
      </c>
      <c r="F297" t="s">
        <v>140</v>
      </c>
      <c r="G297" s="3">
        <v>46169</v>
      </c>
      <c r="H297" s="3">
        <v>46189</v>
      </c>
      <c r="I297" s="3">
        <v>46192</v>
      </c>
      <c r="J297" t="s">
        <v>141</v>
      </c>
      <c r="K297" t="s">
        <v>182</v>
      </c>
      <c r="L297" t="s">
        <v>151</v>
      </c>
      <c r="M297" t="s">
        <v>152</v>
      </c>
      <c r="N297" t="s">
        <v>153</v>
      </c>
      <c r="O297">
        <v>2608</v>
      </c>
      <c r="P297">
        <v>20</v>
      </c>
      <c r="Q297" t="s">
        <v>216</v>
      </c>
      <c r="R297" t="s">
        <v>154</v>
      </c>
      <c r="S297" t="s">
        <v>155</v>
      </c>
      <c r="T297" s="4">
        <v>557.39</v>
      </c>
      <c r="U297" s="4">
        <v>0</v>
      </c>
      <c r="V297" s="4">
        <v>2</v>
      </c>
      <c r="W297" s="4">
        <v>297.94</v>
      </c>
      <c r="X297" s="4">
        <v>124.42</v>
      </c>
      <c r="Y297" s="4">
        <v>979.75</v>
      </c>
      <c r="Z297" s="4" t="s">
        <v>148</v>
      </c>
      <c r="AA297" s="4" t="s">
        <v>147</v>
      </c>
      <c r="AB297" s="4">
        <f>SUMIF('Trip Changes'!$B:$B,A297,'Trip Changes'!$E:$E)</f>
        <v>106.03</v>
      </c>
      <c r="AC297" s="4">
        <f>SUMIF('Trip Cancellations'!$B:$B,A297,'Trip Cancellations'!$E:$E)</f>
        <v>0</v>
      </c>
      <c r="AD297" s="4">
        <f>SUMIF('Trip Cancellations'!$B:$B,A297,'Trip Cancellations'!$F:$F)</f>
        <v>0</v>
      </c>
      <c r="AE297" s="4">
        <f t="shared" si="4"/>
        <v>1085.78</v>
      </c>
      <c r="AF297" t="s">
        <v>148</v>
      </c>
      <c r="AG297">
        <v>4</v>
      </c>
      <c r="AH297" s="5">
        <v>391.2</v>
      </c>
      <c r="AI297" t="s">
        <v>147</v>
      </c>
    </row>
    <row r="298" spans="1:35">
      <c r="A298" t="s">
        <v>585</v>
      </c>
      <c r="B298" t="s">
        <v>586</v>
      </c>
      <c r="C298" t="s">
        <v>182</v>
      </c>
      <c r="D298" t="s">
        <v>138</v>
      </c>
      <c r="E298" t="s">
        <v>139</v>
      </c>
      <c r="F298" t="s">
        <v>170</v>
      </c>
      <c r="G298" s="3">
        <v>46167</v>
      </c>
      <c r="H298" s="3">
        <v>46170</v>
      </c>
      <c r="I298" s="3">
        <v>46174</v>
      </c>
      <c r="J298" t="s">
        <v>163</v>
      </c>
      <c r="K298" t="s">
        <v>182</v>
      </c>
      <c r="L298" t="s">
        <v>227</v>
      </c>
      <c r="M298" t="s">
        <v>152</v>
      </c>
      <c r="N298" t="s">
        <v>153</v>
      </c>
      <c r="O298">
        <v>1420</v>
      </c>
      <c r="P298">
        <v>3</v>
      </c>
      <c r="Q298" t="s">
        <v>145</v>
      </c>
      <c r="R298" t="s">
        <v>236</v>
      </c>
      <c r="S298" t="s">
        <v>187</v>
      </c>
      <c r="T298" s="4">
        <v>379.12</v>
      </c>
      <c r="U298" s="4">
        <v>0</v>
      </c>
      <c r="V298" s="4">
        <v>3</v>
      </c>
      <c r="W298" s="4">
        <v>423.77</v>
      </c>
      <c r="X298" s="4">
        <v>119.52</v>
      </c>
      <c r="Y298" s="4">
        <v>922.41</v>
      </c>
      <c r="Z298" s="4" t="s">
        <v>148</v>
      </c>
      <c r="AA298" s="4" t="s">
        <v>147</v>
      </c>
      <c r="AB298" s="4">
        <f>SUMIF('Trip Changes'!$B:$B,A298,'Trip Changes'!$E:$E)</f>
        <v>73.06</v>
      </c>
      <c r="AC298" s="4">
        <f>SUMIF('Trip Cancellations'!$B:$B,A298,'Trip Cancellations'!$E:$E)</f>
        <v>0</v>
      </c>
      <c r="AD298" s="4">
        <f>SUMIF('Trip Cancellations'!$B:$B,A298,'Trip Cancellations'!$F:$F)</f>
        <v>0</v>
      </c>
      <c r="AE298" s="4">
        <f t="shared" si="4"/>
        <v>995.47</v>
      </c>
      <c r="AF298" t="s">
        <v>148</v>
      </c>
      <c r="AG298">
        <v>5</v>
      </c>
      <c r="AH298" s="5">
        <v>213</v>
      </c>
      <c r="AI298" t="s">
        <v>147</v>
      </c>
    </row>
    <row r="299" spans="1:35">
      <c r="A299" t="s">
        <v>587</v>
      </c>
      <c r="B299" t="s">
        <v>586</v>
      </c>
      <c r="C299" t="s">
        <v>182</v>
      </c>
      <c r="D299" t="s">
        <v>138</v>
      </c>
      <c r="E299" t="s">
        <v>139</v>
      </c>
      <c r="F299" t="s">
        <v>162</v>
      </c>
      <c r="G299" s="3">
        <v>46170</v>
      </c>
      <c r="H299" s="3">
        <v>46188</v>
      </c>
      <c r="I299" s="3">
        <v>46193</v>
      </c>
      <c r="J299" t="s">
        <v>141</v>
      </c>
      <c r="K299" t="s">
        <v>182</v>
      </c>
      <c r="L299" t="s">
        <v>305</v>
      </c>
      <c r="M299" t="s">
        <v>152</v>
      </c>
      <c r="N299" t="s">
        <v>153</v>
      </c>
      <c r="O299">
        <v>11738</v>
      </c>
      <c r="P299">
        <v>18</v>
      </c>
      <c r="Q299" t="s">
        <v>207</v>
      </c>
      <c r="R299" t="s">
        <v>186</v>
      </c>
      <c r="S299" t="s">
        <v>164</v>
      </c>
      <c r="T299" s="4">
        <v>1436.52</v>
      </c>
      <c r="U299" s="4">
        <v>0</v>
      </c>
      <c r="V299" s="4">
        <v>4</v>
      </c>
      <c r="W299" s="4">
        <v>835.44</v>
      </c>
      <c r="X299" s="4">
        <v>129.79</v>
      </c>
      <c r="Y299" s="4">
        <v>2401.75</v>
      </c>
      <c r="Z299" s="4" t="s">
        <v>147</v>
      </c>
      <c r="AA299" s="4" t="s">
        <v>148</v>
      </c>
      <c r="AB299" s="4">
        <f>SUMIF('Trip Changes'!$B:$B,A299,'Trip Changes'!$E:$E)</f>
        <v>0</v>
      </c>
      <c r="AC299" s="4">
        <f>SUMIF('Trip Cancellations'!$B:$B,A299,'Trip Cancellations'!$E:$E)</f>
        <v>84.92</v>
      </c>
      <c r="AD299" s="4">
        <f>SUMIF('Trip Cancellations'!$B:$B,A299,'Trip Cancellations'!$F:$F)</f>
        <v>567.99</v>
      </c>
      <c r="AE299" s="4">
        <f t="shared" si="4"/>
        <v>1918.68</v>
      </c>
      <c r="AF299" t="s">
        <v>148</v>
      </c>
      <c r="AG299">
        <v>3</v>
      </c>
      <c r="AH299" s="5">
        <v>1760.7</v>
      </c>
      <c r="AI299" t="s">
        <v>148</v>
      </c>
    </row>
    <row r="300" spans="1:35">
      <c r="A300" t="s">
        <v>588</v>
      </c>
      <c r="B300" t="s">
        <v>586</v>
      </c>
      <c r="C300" t="s">
        <v>182</v>
      </c>
      <c r="D300" t="s">
        <v>138</v>
      </c>
      <c r="E300" t="s">
        <v>139</v>
      </c>
      <c r="F300" t="s">
        <v>157</v>
      </c>
      <c r="G300" s="3">
        <v>46136</v>
      </c>
      <c r="H300" s="3">
        <v>46150</v>
      </c>
      <c r="I300" s="3">
        <v>46155</v>
      </c>
      <c r="J300" t="s">
        <v>163</v>
      </c>
      <c r="K300" t="s">
        <v>182</v>
      </c>
      <c r="L300" t="s">
        <v>233</v>
      </c>
      <c r="M300" t="s">
        <v>152</v>
      </c>
      <c r="N300" t="s">
        <v>153</v>
      </c>
      <c r="O300">
        <v>2984</v>
      </c>
      <c r="P300">
        <v>14</v>
      </c>
      <c r="Q300" t="s">
        <v>145</v>
      </c>
      <c r="R300" t="s">
        <v>176</v>
      </c>
      <c r="S300" t="s">
        <v>187</v>
      </c>
      <c r="T300" s="4">
        <v>514.5</v>
      </c>
      <c r="U300" s="4">
        <v>0</v>
      </c>
      <c r="V300" s="4">
        <v>4</v>
      </c>
      <c r="W300" s="4">
        <v>454.71</v>
      </c>
      <c r="X300" s="4">
        <v>104.06</v>
      </c>
      <c r="Y300" s="4">
        <v>1073.27</v>
      </c>
      <c r="Z300" s="4" t="s">
        <v>147</v>
      </c>
      <c r="AA300" s="4" t="s">
        <v>147</v>
      </c>
      <c r="AB300" s="4">
        <f>SUMIF('Trip Changes'!$B:$B,A300,'Trip Changes'!$E:$E)</f>
        <v>0</v>
      </c>
      <c r="AC300" s="4">
        <f>SUMIF('Trip Cancellations'!$B:$B,A300,'Trip Cancellations'!$E:$E)</f>
        <v>0</v>
      </c>
      <c r="AD300" s="4">
        <f>SUMIF('Trip Cancellations'!$B:$B,A300,'Trip Cancellations'!$F:$F)</f>
        <v>0</v>
      </c>
      <c r="AE300" s="4">
        <f t="shared" si="4"/>
        <v>1073.27</v>
      </c>
      <c r="AF300" t="s">
        <v>148</v>
      </c>
      <c r="AG300">
        <v>4</v>
      </c>
      <c r="AH300" s="5">
        <v>447.6</v>
      </c>
      <c r="AI300" t="s">
        <v>147</v>
      </c>
    </row>
    <row r="301" spans="1:35">
      <c r="A301" t="s">
        <v>589</v>
      </c>
      <c r="B301" t="s">
        <v>586</v>
      </c>
      <c r="C301" t="s">
        <v>182</v>
      </c>
      <c r="D301" t="s">
        <v>138</v>
      </c>
      <c r="E301" t="s">
        <v>139</v>
      </c>
      <c r="F301" t="s">
        <v>157</v>
      </c>
      <c r="G301" s="3">
        <v>46204</v>
      </c>
      <c r="H301" s="3">
        <v>46218</v>
      </c>
      <c r="I301" s="3">
        <v>46220</v>
      </c>
      <c r="J301" t="s">
        <v>150</v>
      </c>
      <c r="K301" t="s">
        <v>182</v>
      </c>
      <c r="L301" t="s">
        <v>151</v>
      </c>
      <c r="M301" t="s">
        <v>152</v>
      </c>
      <c r="N301" t="s">
        <v>153</v>
      </c>
      <c r="O301">
        <v>2096</v>
      </c>
      <c r="P301">
        <v>14</v>
      </c>
      <c r="Q301" t="s">
        <v>159</v>
      </c>
      <c r="R301" t="s">
        <v>172</v>
      </c>
      <c r="S301" t="s">
        <v>164</v>
      </c>
      <c r="T301" s="4">
        <v>201.09</v>
      </c>
      <c r="U301" s="4">
        <v>0</v>
      </c>
      <c r="V301" s="4">
        <v>1</v>
      </c>
      <c r="W301" s="4">
        <v>200.75</v>
      </c>
      <c r="X301" s="4">
        <v>85.75</v>
      </c>
      <c r="Y301" s="4">
        <v>487.59</v>
      </c>
      <c r="Z301" s="4" t="s">
        <v>147</v>
      </c>
      <c r="AA301" s="4" t="s">
        <v>147</v>
      </c>
      <c r="AB301" s="4">
        <f>SUMIF('Trip Changes'!$B:$B,A301,'Trip Changes'!$E:$E)</f>
        <v>0</v>
      </c>
      <c r="AC301" s="4">
        <f>SUMIF('Trip Cancellations'!$B:$B,A301,'Trip Cancellations'!$E:$E)</f>
        <v>0</v>
      </c>
      <c r="AD301" s="4">
        <f>SUMIF('Trip Cancellations'!$B:$B,A301,'Trip Cancellations'!$F:$F)</f>
        <v>0</v>
      </c>
      <c r="AE301" s="4">
        <f t="shared" si="4"/>
        <v>487.59</v>
      </c>
      <c r="AF301" t="s">
        <v>147</v>
      </c>
      <c r="AG301">
        <v>4</v>
      </c>
      <c r="AH301" s="5">
        <v>314.39999999999998</v>
      </c>
      <c r="AI301" t="s">
        <v>147</v>
      </c>
    </row>
    <row r="302" spans="1:35">
      <c r="A302" t="s">
        <v>590</v>
      </c>
      <c r="B302" t="s">
        <v>591</v>
      </c>
      <c r="C302" t="s">
        <v>193</v>
      </c>
      <c r="D302" t="s">
        <v>230</v>
      </c>
      <c r="E302" t="s">
        <v>249</v>
      </c>
      <c r="F302" t="s">
        <v>157</v>
      </c>
      <c r="G302" s="3">
        <v>46174</v>
      </c>
      <c r="H302" s="3">
        <v>46175</v>
      </c>
      <c r="I302" s="3">
        <v>46177</v>
      </c>
      <c r="J302" t="s">
        <v>141</v>
      </c>
      <c r="K302" t="s">
        <v>193</v>
      </c>
      <c r="L302" t="s">
        <v>203</v>
      </c>
      <c r="M302" t="s">
        <v>143</v>
      </c>
      <c r="N302" t="s">
        <v>144</v>
      </c>
      <c r="O302">
        <v>782</v>
      </c>
      <c r="P302">
        <v>1</v>
      </c>
      <c r="Q302" t="s">
        <v>207</v>
      </c>
      <c r="S302" t="s">
        <v>164</v>
      </c>
      <c r="T302" s="4">
        <v>0</v>
      </c>
      <c r="U302" s="4">
        <v>174.55</v>
      </c>
      <c r="V302" s="4">
        <v>1</v>
      </c>
      <c r="W302" s="4">
        <v>136.99</v>
      </c>
      <c r="X302" s="4">
        <v>46.12</v>
      </c>
      <c r="Y302" s="4">
        <v>357.66</v>
      </c>
      <c r="Z302" s="4" t="s">
        <v>147</v>
      </c>
      <c r="AA302" s="4" t="s">
        <v>147</v>
      </c>
      <c r="AB302" s="4">
        <f>SUMIF('Trip Changes'!$B:$B,A302,'Trip Changes'!$E:$E)</f>
        <v>0</v>
      </c>
      <c r="AC302" s="4">
        <f>SUMIF('Trip Cancellations'!$B:$B,A302,'Trip Cancellations'!$E:$E)</f>
        <v>0</v>
      </c>
      <c r="AD302" s="4">
        <f>SUMIF('Trip Cancellations'!$B:$B,A302,'Trip Cancellations'!$F:$F)</f>
        <v>0</v>
      </c>
      <c r="AE302" s="4">
        <f t="shared" si="4"/>
        <v>357.66</v>
      </c>
      <c r="AF302" t="s">
        <v>148</v>
      </c>
      <c r="AG302">
        <v>5</v>
      </c>
      <c r="AH302" s="5">
        <v>31.3</v>
      </c>
      <c r="AI302" t="s">
        <v>148</v>
      </c>
    </row>
    <row r="303" spans="1:35">
      <c r="A303" t="s">
        <v>592</v>
      </c>
      <c r="B303" t="s">
        <v>591</v>
      </c>
      <c r="C303" t="s">
        <v>193</v>
      </c>
      <c r="D303" t="s">
        <v>230</v>
      </c>
      <c r="E303" t="s">
        <v>249</v>
      </c>
      <c r="F303" t="s">
        <v>157</v>
      </c>
      <c r="G303" s="3">
        <v>46133</v>
      </c>
      <c r="H303" s="3">
        <v>46160</v>
      </c>
      <c r="I303" s="3">
        <v>46164</v>
      </c>
      <c r="J303" t="s">
        <v>163</v>
      </c>
      <c r="K303" t="s">
        <v>193</v>
      </c>
      <c r="L303" t="s">
        <v>307</v>
      </c>
      <c r="M303" t="s">
        <v>143</v>
      </c>
      <c r="N303" t="s">
        <v>144</v>
      </c>
      <c r="O303">
        <v>852</v>
      </c>
      <c r="P303">
        <v>27</v>
      </c>
      <c r="Q303" t="s">
        <v>145</v>
      </c>
      <c r="S303" t="s">
        <v>146</v>
      </c>
      <c r="T303" s="4">
        <v>0</v>
      </c>
      <c r="U303" s="4">
        <v>279.55</v>
      </c>
      <c r="V303" s="4">
        <v>3</v>
      </c>
      <c r="W303" s="4">
        <v>521.46</v>
      </c>
      <c r="X303" s="4">
        <v>101.55</v>
      </c>
      <c r="Y303" s="4">
        <v>902.56</v>
      </c>
      <c r="Z303" s="4" t="s">
        <v>147</v>
      </c>
      <c r="AA303" s="4" t="s">
        <v>147</v>
      </c>
      <c r="AB303" s="4">
        <f>SUMIF('Trip Changes'!$B:$B,A303,'Trip Changes'!$E:$E)</f>
        <v>0</v>
      </c>
      <c r="AC303" s="4">
        <f>SUMIF('Trip Cancellations'!$B:$B,A303,'Trip Cancellations'!$E:$E)</f>
        <v>0</v>
      </c>
      <c r="AD303" s="4">
        <f>SUMIF('Trip Cancellations'!$B:$B,A303,'Trip Cancellations'!$F:$F)</f>
        <v>0</v>
      </c>
      <c r="AE303" s="4">
        <f t="shared" si="4"/>
        <v>902.56</v>
      </c>
      <c r="AF303" t="s">
        <v>148</v>
      </c>
      <c r="AG303">
        <v>5</v>
      </c>
      <c r="AH303" s="5">
        <v>34.1</v>
      </c>
      <c r="AI303" t="s">
        <v>148</v>
      </c>
    </row>
    <row r="304" spans="1:35">
      <c r="A304" t="s">
        <v>593</v>
      </c>
      <c r="B304" t="s">
        <v>591</v>
      </c>
      <c r="C304" t="s">
        <v>193</v>
      </c>
      <c r="D304" t="s">
        <v>230</v>
      </c>
      <c r="E304" t="s">
        <v>249</v>
      </c>
      <c r="F304" t="s">
        <v>140</v>
      </c>
      <c r="G304" s="3">
        <v>46193</v>
      </c>
      <c r="H304" s="3">
        <v>46216</v>
      </c>
      <c r="I304" s="3">
        <v>46220</v>
      </c>
      <c r="J304" t="s">
        <v>150</v>
      </c>
      <c r="K304" t="s">
        <v>193</v>
      </c>
      <c r="L304" t="s">
        <v>225</v>
      </c>
      <c r="M304" t="s">
        <v>152</v>
      </c>
      <c r="N304" t="s">
        <v>153</v>
      </c>
      <c r="O304">
        <v>1482</v>
      </c>
      <c r="P304">
        <v>23</v>
      </c>
      <c r="Q304" t="s">
        <v>216</v>
      </c>
      <c r="R304" t="s">
        <v>236</v>
      </c>
      <c r="S304" t="s">
        <v>164</v>
      </c>
      <c r="T304" s="4">
        <v>536</v>
      </c>
      <c r="U304" s="4">
        <v>0</v>
      </c>
      <c r="V304" s="4">
        <v>3</v>
      </c>
      <c r="W304" s="4">
        <v>699.18</v>
      </c>
      <c r="X304" s="4">
        <v>78.88</v>
      </c>
      <c r="Y304" s="4">
        <v>1314.06</v>
      </c>
      <c r="Z304" s="4" t="s">
        <v>147</v>
      </c>
      <c r="AA304" s="4" t="s">
        <v>147</v>
      </c>
      <c r="AB304" s="4">
        <f>SUMIF('Trip Changes'!$B:$B,A304,'Trip Changes'!$E:$E)</f>
        <v>0</v>
      </c>
      <c r="AC304" s="4">
        <f>SUMIF('Trip Cancellations'!$B:$B,A304,'Trip Cancellations'!$E:$E)</f>
        <v>0</v>
      </c>
      <c r="AD304" s="4">
        <f>SUMIF('Trip Cancellations'!$B:$B,A304,'Trip Cancellations'!$F:$F)</f>
        <v>0</v>
      </c>
      <c r="AE304" s="4">
        <f t="shared" si="4"/>
        <v>1314.06</v>
      </c>
      <c r="AF304" t="s">
        <v>148</v>
      </c>
      <c r="AG304">
        <v>4</v>
      </c>
      <c r="AH304" s="5">
        <v>222.3</v>
      </c>
      <c r="AI304" t="s">
        <v>147</v>
      </c>
    </row>
    <row r="305" spans="1:35">
      <c r="A305" t="s">
        <v>594</v>
      </c>
      <c r="B305" t="s">
        <v>591</v>
      </c>
      <c r="C305" t="s">
        <v>193</v>
      </c>
      <c r="D305" t="s">
        <v>230</v>
      </c>
      <c r="E305" t="s">
        <v>249</v>
      </c>
      <c r="F305" t="s">
        <v>162</v>
      </c>
      <c r="G305" s="3">
        <v>46192</v>
      </c>
      <c r="H305" s="3">
        <v>46221</v>
      </c>
      <c r="I305" s="3">
        <v>46223</v>
      </c>
      <c r="J305" t="s">
        <v>150</v>
      </c>
      <c r="K305" t="s">
        <v>193</v>
      </c>
      <c r="L305" t="s">
        <v>307</v>
      </c>
      <c r="M305" t="s">
        <v>143</v>
      </c>
      <c r="N305" t="s">
        <v>153</v>
      </c>
      <c r="O305">
        <v>718</v>
      </c>
      <c r="P305">
        <v>29</v>
      </c>
      <c r="Q305" t="s">
        <v>145</v>
      </c>
      <c r="R305" t="s">
        <v>176</v>
      </c>
      <c r="S305" t="s">
        <v>155</v>
      </c>
      <c r="T305" s="4">
        <v>342.17</v>
      </c>
      <c r="U305" s="4">
        <v>0</v>
      </c>
      <c r="V305" s="4">
        <v>1</v>
      </c>
      <c r="W305" s="4">
        <v>97.7</v>
      </c>
      <c r="X305" s="4">
        <v>80.37</v>
      </c>
      <c r="Y305" s="4">
        <v>520.24</v>
      </c>
      <c r="Z305" s="4" t="s">
        <v>147</v>
      </c>
      <c r="AA305" s="4" t="s">
        <v>147</v>
      </c>
      <c r="AB305" s="4">
        <f>SUMIF('Trip Changes'!$B:$B,A305,'Trip Changes'!$E:$E)</f>
        <v>0</v>
      </c>
      <c r="AC305" s="4">
        <f>SUMIF('Trip Cancellations'!$B:$B,A305,'Trip Cancellations'!$E:$E)</f>
        <v>0</v>
      </c>
      <c r="AD305" s="4">
        <f>SUMIF('Trip Cancellations'!$B:$B,A305,'Trip Cancellations'!$F:$F)</f>
        <v>0</v>
      </c>
      <c r="AE305" s="4">
        <f t="shared" si="4"/>
        <v>520.24</v>
      </c>
      <c r="AF305" t="s">
        <v>148</v>
      </c>
      <c r="AG305">
        <v>4</v>
      </c>
      <c r="AH305" s="5">
        <v>107.7</v>
      </c>
      <c r="AI305" t="s">
        <v>147</v>
      </c>
    </row>
    <row r="306" spans="1:35">
      <c r="A306" t="s">
        <v>595</v>
      </c>
      <c r="B306" t="s">
        <v>591</v>
      </c>
      <c r="C306" t="s">
        <v>193</v>
      </c>
      <c r="D306" t="s">
        <v>230</v>
      </c>
      <c r="E306" t="s">
        <v>249</v>
      </c>
      <c r="F306" t="s">
        <v>140</v>
      </c>
      <c r="G306" s="3">
        <v>46203</v>
      </c>
      <c r="H306" s="3">
        <v>46221</v>
      </c>
      <c r="I306" s="3">
        <v>46223</v>
      </c>
      <c r="J306" t="s">
        <v>150</v>
      </c>
      <c r="K306" t="s">
        <v>193</v>
      </c>
      <c r="L306" t="s">
        <v>264</v>
      </c>
      <c r="M306" t="s">
        <v>152</v>
      </c>
      <c r="N306" t="s">
        <v>153</v>
      </c>
      <c r="O306">
        <v>3440</v>
      </c>
      <c r="P306">
        <v>18</v>
      </c>
      <c r="Q306" t="s">
        <v>145</v>
      </c>
      <c r="R306" t="s">
        <v>172</v>
      </c>
      <c r="S306" t="s">
        <v>155</v>
      </c>
      <c r="T306" s="4">
        <v>416.32</v>
      </c>
      <c r="U306" s="4">
        <v>0</v>
      </c>
      <c r="V306" s="4">
        <v>1</v>
      </c>
      <c r="W306" s="4">
        <v>239.14</v>
      </c>
      <c r="X306" s="4">
        <v>77.63</v>
      </c>
      <c r="Y306" s="4">
        <v>733.09</v>
      </c>
      <c r="Z306" s="4" t="s">
        <v>147</v>
      </c>
      <c r="AA306" s="4" t="s">
        <v>147</v>
      </c>
      <c r="AB306" s="4">
        <f>SUMIF('Trip Changes'!$B:$B,A306,'Trip Changes'!$E:$E)</f>
        <v>0</v>
      </c>
      <c r="AC306" s="4">
        <f>SUMIF('Trip Cancellations'!$B:$B,A306,'Trip Cancellations'!$E:$E)</f>
        <v>0</v>
      </c>
      <c r="AD306" s="4">
        <f>SUMIF('Trip Cancellations'!$B:$B,A306,'Trip Cancellations'!$F:$F)</f>
        <v>0</v>
      </c>
      <c r="AE306" s="4">
        <f t="shared" si="4"/>
        <v>733.09</v>
      </c>
      <c r="AF306" t="s">
        <v>148</v>
      </c>
      <c r="AG306">
        <v>4</v>
      </c>
      <c r="AH306" s="5">
        <v>516</v>
      </c>
      <c r="AI306" t="s">
        <v>147</v>
      </c>
    </row>
    <row r="307" spans="1:35">
      <c r="A307" t="s">
        <v>596</v>
      </c>
      <c r="B307" t="s">
        <v>597</v>
      </c>
      <c r="C307" t="s">
        <v>220</v>
      </c>
      <c r="D307" t="s">
        <v>168</v>
      </c>
      <c r="E307" t="s">
        <v>169</v>
      </c>
      <c r="F307" t="s">
        <v>162</v>
      </c>
      <c r="G307" s="3">
        <v>46199</v>
      </c>
      <c r="H307" s="3">
        <v>46214</v>
      </c>
      <c r="I307" s="3">
        <v>46216</v>
      </c>
      <c r="J307" t="s">
        <v>150</v>
      </c>
      <c r="K307" t="s">
        <v>220</v>
      </c>
      <c r="L307" t="s">
        <v>151</v>
      </c>
      <c r="M307" t="s">
        <v>152</v>
      </c>
      <c r="N307" t="s">
        <v>153</v>
      </c>
      <c r="O307">
        <v>2472</v>
      </c>
      <c r="P307">
        <v>15</v>
      </c>
      <c r="Q307" t="s">
        <v>145</v>
      </c>
      <c r="R307" t="s">
        <v>176</v>
      </c>
      <c r="S307" t="s">
        <v>155</v>
      </c>
      <c r="T307" s="4">
        <v>263.85000000000002</v>
      </c>
      <c r="U307" s="4">
        <v>0</v>
      </c>
      <c r="V307" s="4">
        <v>1</v>
      </c>
      <c r="W307" s="4">
        <v>89.95</v>
      </c>
      <c r="X307" s="4">
        <v>75.17</v>
      </c>
      <c r="Y307" s="4">
        <v>428.97</v>
      </c>
      <c r="Z307" s="4" t="s">
        <v>147</v>
      </c>
      <c r="AA307" s="4" t="s">
        <v>147</v>
      </c>
      <c r="AB307" s="4">
        <f>SUMIF('Trip Changes'!$B:$B,A307,'Trip Changes'!$E:$E)</f>
        <v>0</v>
      </c>
      <c r="AC307" s="4">
        <f>SUMIF('Trip Cancellations'!$B:$B,A307,'Trip Cancellations'!$E:$E)</f>
        <v>0</v>
      </c>
      <c r="AD307" s="4">
        <f>SUMIF('Trip Cancellations'!$B:$B,A307,'Trip Cancellations'!$F:$F)</f>
        <v>0</v>
      </c>
      <c r="AE307" s="4">
        <f t="shared" si="4"/>
        <v>428.97</v>
      </c>
      <c r="AF307" t="s">
        <v>148</v>
      </c>
      <c r="AG307">
        <v>4</v>
      </c>
      <c r="AH307" s="5">
        <v>370.8</v>
      </c>
      <c r="AI307" t="s">
        <v>147</v>
      </c>
    </row>
    <row r="308" spans="1:35">
      <c r="A308" t="s">
        <v>598</v>
      </c>
      <c r="B308" t="s">
        <v>597</v>
      </c>
      <c r="C308" t="s">
        <v>220</v>
      </c>
      <c r="D308" t="s">
        <v>168</v>
      </c>
      <c r="E308" t="s">
        <v>169</v>
      </c>
      <c r="F308" t="s">
        <v>157</v>
      </c>
      <c r="G308" s="3">
        <v>46129</v>
      </c>
      <c r="H308" s="3">
        <v>46156</v>
      </c>
      <c r="I308" s="3">
        <v>46157</v>
      </c>
      <c r="J308" t="s">
        <v>163</v>
      </c>
      <c r="K308" t="s">
        <v>220</v>
      </c>
      <c r="L308" t="s">
        <v>182</v>
      </c>
      <c r="M308" t="s">
        <v>143</v>
      </c>
      <c r="N308" t="s">
        <v>144</v>
      </c>
      <c r="O308">
        <v>864</v>
      </c>
      <c r="P308">
        <v>27</v>
      </c>
      <c r="Q308" t="s">
        <v>207</v>
      </c>
      <c r="T308" s="4">
        <v>0</v>
      </c>
      <c r="U308" s="4">
        <v>257.31</v>
      </c>
      <c r="V308" s="4">
        <v>0</v>
      </c>
      <c r="W308" s="4">
        <v>0</v>
      </c>
      <c r="X308" s="4">
        <v>76.739999999999995</v>
      </c>
      <c r="Y308" s="4">
        <v>334.05</v>
      </c>
      <c r="Z308" s="4" t="s">
        <v>147</v>
      </c>
      <c r="AA308" s="4" t="s">
        <v>147</v>
      </c>
      <c r="AB308" s="4">
        <f>SUMIF('Trip Changes'!$B:$B,A308,'Trip Changes'!$E:$E)</f>
        <v>0</v>
      </c>
      <c r="AC308" s="4">
        <f>SUMIF('Trip Cancellations'!$B:$B,A308,'Trip Cancellations'!$E:$E)</f>
        <v>0</v>
      </c>
      <c r="AD308" s="4">
        <f>SUMIF('Trip Cancellations'!$B:$B,A308,'Trip Cancellations'!$F:$F)</f>
        <v>0</v>
      </c>
      <c r="AE308" s="4">
        <f t="shared" si="4"/>
        <v>334.05</v>
      </c>
      <c r="AF308" t="s">
        <v>148</v>
      </c>
      <c r="AG308">
        <v>4</v>
      </c>
      <c r="AH308" s="5">
        <v>34.6</v>
      </c>
      <c r="AI308" t="s">
        <v>148</v>
      </c>
    </row>
    <row r="309" spans="1:35">
      <c r="A309" t="s">
        <v>599</v>
      </c>
      <c r="B309" t="s">
        <v>600</v>
      </c>
      <c r="C309" t="s">
        <v>601</v>
      </c>
      <c r="D309" t="s">
        <v>138</v>
      </c>
      <c r="E309" t="s">
        <v>139</v>
      </c>
      <c r="F309" t="s">
        <v>157</v>
      </c>
      <c r="G309" s="3">
        <v>46148</v>
      </c>
      <c r="H309" s="3">
        <v>46160</v>
      </c>
      <c r="I309" s="3">
        <v>46163</v>
      </c>
      <c r="J309" t="s">
        <v>163</v>
      </c>
      <c r="K309" t="s">
        <v>601</v>
      </c>
      <c r="L309" t="s">
        <v>199</v>
      </c>
      <c r="M309" t="s">
        <v>152</v>
      </c>
      <c r="N309" t="s">
        <v>153</v>
      </c>
      <c r="O309">
        <v>1352</v>
      </c>
      <c r="P309">
        <v>12</v>
      </c>
      <c r="Q309" t="s">
        <v>216</v>
      </c>
      <c r="R309" t="s">
        <v>154</v>
      </c>
      <c r="S309" t="s">
        <v>190</v>
      </c>
      <c r="T309" s="4">
        <v>534.57000000000005</v>
      </c>
      <c r="U309" s="4">
        <v>0</v>
      </c>
      <c r="V309" s="4">
        <v>2</v>
      </c>
      <c r="W309" s="4">
        <v>342.12</v>
      </c>
      <c r="X309" s="4">
        <v>73.05</v>
      </c>
      <c r="Y309" s="4">
        <v>949.74</v>
      </c>
      <c r="Z309" s="4" t="s">
        <v>147</v>
      </c>
      <c r="AA309" s="4" t="s">
        <v>147</v>
      </c>
      <c r="AB309" s="4">
        <f>SUMIF('Trip Changes'!$B:$B,A309,'Trip Changes'!$E:$E)</f>
        <v>0</v>
      </c>
      <c r="AC309" s="4">
        <f>SUMIF('Trip Cancellations'!$B:$B,A309,'Trip Cancellations'!$E:$E)</f>
        <v>0</v>
      </c>
      <c r="AD309" s="4">
        <f>SUMIF('Trip Cancellations'!$B:$B,A309,'Trip Cancellations'!$F:$F)</f>
        <v>0</v>
      </c>
      <c r="AE309" s="4">
        <f t="shared" si="4"/>
        <v>949.74</v>
      </c>
      <c r="AF309" t="s">
        <v>148</v>
      </c>
      <c r="AG309">
        <v>4</v>
      </c>
      <c r="AH309" s="5">
        <v>202.8</v>
      </c>
      <c r="AI309" t="s">
        <v>148</v>
      </c>
    </row>
    <row r="310" spans="1:35">
      <c r="A310" t="s">
        <v>602</v>
      </c>
      <c r="B310" t="s">
        <v>600</v>
      </c>
      <c r="C310" t="s">
        <v>601</v>
      </c>
      <c r="D310" t="s">
        <v>138</v>
      </c>
      <c r="E310" t="s">
        <v>139</v>
      </c>
      <c r="F310" t="s">
        <v>170</v>
      </c>
      <c r="G310" s="3">
        <v>46142</v>
      </c>
      <c r="H310" s="3">
        <v>46143</v>
      </c>
      <c r="I310" s="3">
        <v>46148</v>
      </c>
      <c r="J310" t="s">
        <v>163</v>
      </c>
      <c r="K310" t="s">
        <v>601</v>
      </c>
      <c r="L310" t="s">
        <v>185</v>
      </c>
      <c r="M310" t="s">
        <v>152</v>
      </c>
      <c r="N310" t="s">
        <v>153</v>
      </c>
      <c r="O310">
        <v>12248</v>
      </c>
      <c r="P310">
        <v>1</v>
      </c>
      <c r="Q310" t="s">
        <v>145</v>
      </c>
      <c r="R310" t="s">
        <v>154</v>
      </c>
      <c r="S310" t="s">
        <v>173</v>
      </c>
      <c r="T310" s="4">
        <v>1295.29</v>
      </c>
      <c r="U310" s="4">
        <v>0</v>
      </c>
      <c r="V310" s="4">
        <v>4</v>
      </c>
      <c r="W310" s="4">
        <v>563.29</v>
      </c>
      <c r="X310" s="4">
        <v>128.97999999999999</v>
      </c>
      <c r="Y310" s="4">
        <v>1987.56</v>
      </c>
      <c r="Z310" s="4" t="s">
        <v>147</v>
      </c>
      <c r="AA310" s="4" t="s">
        <v>147</v>
      </c>
      <c r="AB310" s="4">
        <f>SUMIF('Trip Changes'!$B:$B,A310,'Trip Changes'!$E:$E)</f>
        <v>0</v>
      </c>
      <c r="AC310" s="4">
        <f>SUMIF('Trip Cancellations'!$B:$B,A310,'Trip Cancellations'!$E:$E)</f>
        <v>0</v>
      </c>
      <c r="AD310" s="4">
        <f>SUMIF('Trip Cancellations'!$B:$B,A310,'Trip Cancellations'!$F:$F)</f>
        <v>0</v>
      </c>
      <c r="AE310" s="4">
        <f t="shared" si="4"/>
        <v>1987.56</v>
      </c>
      <c r="AF310" t="s">
        <v>148</v>
      </c>
      <c r="AG310">
        <v>5</v>
      </c>
      <c r="AH310" s="5">
        <v>1837.2</v>
      </c>
      <c r="AI310" t="s">
        <v>147</v>
      </c>
    </row>
    <row r="311" spans="1:35">
      <c r="A311" t="s">
        <v>603</v>
      </c>
      <c r="B311" t="s">
        <v>600</v>
      </c>
      <c r="C311" t="s">
        <v>601</v>
      </c>
      <c r="D311" t="s">
        <v>138</v>
      </c>
      <c r="E311" t="s">
        <v>139</v>
      </c>
      <c r="F311" t="s">
        <v>162</v>
      </c>
      <c r="G311" s="3">
        <v>46216</v>
      </c>
      <c r="H311" s="3">
        <v>46217</v>
      </c>
      <c r="I311" s="3">
        <v>46224</v>
      </c>
      <c r="J311" t="s">
        <v>150</v>
      </c>
      <c r="K311" t="s">
        <v>601</v>
      </c>
      <c r="L311" t="s">
        <v>179</v>
      </c>
      <c r="M311" t="s">
        <v>152</v>
      </c>
      <c r="N311" t="s">
        <v>153</v>
      </c>
      <c r="O311">
        <v>16742</v>
      </c>
      <c r="P311">
        <v>1</v>
      </c>
      <c r="Q311" t="s">
        <v>159</v>
      </c>
      <c r="R311" t="s">
        <v>441</v>
      </c>
      <c r="S311" t="s">
        <v>164</v>
      </c>
      <c r="T311" s="4">
        <v>2200.64</v>
      </c>
      <c r="U311" s="4">
        <v>0</v>
      </c>
      <c r="V311" s="4">
        <v>6</v>
      </c>
      <c r="W311" s="4">
        <v>1093.08</v>
      </c>
      <c r="X311" s="4">
        <v>137.15</v>
      </c>
      <c r="Y311" s="4">
        <v>3430.87</v>
      </c>
      <c r="Z311" s="4" t="s">
        <v>148</v>
      </c>
      <c r="AA311" s="4" t="s">
        <v>147</v>
      </c>
      <c r="AB311" s="4">
        <f>SUMIF('Trip Changes'!$B:$B,A311,'Trip Changes'!$E:$E)</f>
        <v>40.32</v>
      </c>
      <c r="AC311" s="4">
        <f>SUMIF('Trip Cancellations'!$B:$B,A311,'Trip Cancellations'!$E:$E)</f>
        <v>0</v>
      </c>
      <c r="AD311" s="4">
        <f>SUMIF('Trip Cancellations'!$B:$B,A311,'Trip Cancellations'!$F:$F)</f>
        <v>0</v>
      </c>
      <c r="AE311" s="4">
        <f t="shared" si="4"/>
        <v>3471.19</v>
      </c>
      <c r="AF311" t="s">
        <v>148</v>
      </c>
      <c r="AG311">
        <v>4</v>
      </c>
      <c r="AH311" s="5">
        <v>2511.3000000000002</v>
      </c>
      <c r="AI311" t="s">
        <v>147</v>
      </c>
    </row>
    <row r="312" spans="1:35">
      <c r="A312" t="s">
        <v>604</v>
      </c>
      <c r="B312" t="s">
        <v>605</v>
      </c>
      <c r="C312" t="s">
        <v>142</v>
      </c>
      <c r="D312" t="s">
        <v>230</v>
      </c>
      <c r="E312" t="s">
        <v>249</v>
      </c>
      <c r="F312" t="s">
        <v>157</v>
      </c>
      <c r="G312" s="3">
        <v>46213</v>
      </c>
      <c r="H312" s="3">
        <v>46225</v>
      </c>
      <c r="I312" s="3">
        <v>46228</v>
      </c>
      <c r="J312" t="s">
        <v>150</v>
      </c>
      <c r="K312" t="s">
        <v>142</v>
      </c>
      <c r="L312" t="s">
        <v>171</v>
      </c>
      <c r="M312" t="s">
        <v>152</v>
      </c>
      <c r="N312" t="s">
        <v>153</v>
      </c>
      <c r="O312">
        <v>3462</v>
      </c>
      <c r="P312">
        <v>12</v>
      </c>
      <c r="Q312" t="s">
        <v>159</v>
      </c>
      <c r="R312" t="s">
        <v>154</v>
      </c>
      <c r="S312" t="s">
        <v>190</v>
      </c>
      <c r="T312" s="4">
        <v>556.87</v>
      </c>
      <c r="U312" s="4">
        <v>0</v>
      </c>
      <c r="V312" s="4">
        <v>2</v>
      </c>
      <c r="W312" s="4">
        <v>531.59</v>
      </c>
      <c r="X312" s="4">
        <v>72.7</v>
      </c>
      <c r="Y312" s="4">
        <v>1161.1600000000001</v>
      </c>
      <c r="Z312" s="4" t="s">
        <v>147</v>
      </c>
      <c r="AA312" s="4" t="s">
        <v>147</v>
      </c>
      <c r="AB312" s="4">
        <f>SUMIF('Trip Changes'!$B:$B,A312,'Trip Changes'!$E:$E)</f>
        <v>0</v>
      </c>
      <c r="AC312" s="4">
        <f>SUMIF('Trip Cancellations'!$B:$B,A312,'Trip Cancellations'!$E:$E)</f>
        <v>0</v>
      </c>
      <c r="AD312" s="4">
        <f>SUMIF('Trip Cancellations'!$B:$B,A312,'Trip Cancellations'!$F:$F)</f>
        <v>0</v>
      </c>
      <c r="AE312" s="4">
        <f t="shared" si="4"/>
        <v>1161.1600000000001</v>
      </c>
      <c r="AF312" t="s">
        <v>148</v>
      </c>
      <c r="AG312">
        <v>5</v>
      </c>
      <c r="AH312" s="5">
        <v>519.29999999999995</v>
      </c>
      <c r="AI312" t="s">
        <v>147</v>
      </c>
    </row>
    <row r="313" spans="1:35">
      <c r="A313" t="s">
        <v>606</v>
      </c>
      <c r="B313" t="s">
        <v>607</v>
      </c>
      <c r="C313" t="s">
        <v>193</v>
      </c>
      <c r="D313" t="s">
        <v>204</v>
      </c>
      <c r="E313" t="s">
        <v>139</v>
      </c>
      <c r="F313" t="s">
        <v>162</v>
      </c>
      <c r="G313" s="3">
        <v>46203</v>
      </c>
      <c r="H313" s="3">
        <v>46204</v>
      </c>
      <c r="I313" s="3">
        <v>46208</v>
      </c>
      <c r="J313" t="s">
        <v>150</v>
      </c>
      <c r="K313" t="s">
        <v>193</v>
      </c>
      <c r="L313" t="s">
        <v>233</v>
      </c>
      <c r="M313" t="s">
        <v>152</v>
      </c>
      <c r="N313" t="s">
        <v>153</v>
      </c>
      <c r="O313">
        <v>2994</v>
      </c>
      <c r="P313">
        <v>1</v>
      </c>
      <c r="Q313" t="s">
        <v>145</v>
      </c>
      <c r="R313" t="s">
        <v>154</v>
      </c>
      <c r="S313" t="s">
        <v>164</v>
      </c>
      <c r="T313" s="4">
        <v>391.84</v>
      </c>
      <c r="U313" s="4">
        <v>0</v>
      </c>
      <c r="V313" s="4">
        <v>3</v>
      </c>
      <c r="W313" s="4">
        <v>301.32</v>
      </c>
      <c r="X313" s="4">
        <v>112.23</v>
      </c>
      <c r="Y313" s="4">
        <v>805.39</v>
      </c>
      <c r="Z313" s="4" t="s">
        <v>147</v>
      </c>
      <c r="AA313" s="4" t="s">
        <v>147</v>
      </c>
      <c r="AB313" s="4">
        <f>SUMIF('Trip Changes'!$B:$B,A313,'Trip Changes'!$E:$E)</f>
        <v>0</v>
      </c>
      <c r="AC313" s="4">
        <f>SUMIF('Trip Cancellations'!$B:$B,A313,'Trip Cancellations'!$E:$E)</f>
        <v>0</v>
      </c>
      <c r="AD313" s="4">
        <f>SUMIF('Trip Cancellations'!$B:$B,A313,'Trip Cancellations'!$F:$F)</f>
        <v>0</v>
      </c>
      <c r="AE313" s="4">
        <f t="shared" si="4"/>
        <v>805.39</v>
      </c>
      <c r="AF313" t="s">
        <v>147</v>
      </c>
      <c r="AG313">
        <v>4</v>
      </c>
      <c r="AH313" s="5">
        <v>449.1</v>
      </c>
      <c r="AI313" t="s">
        <v>147</v>
      </c>
    </row>
    <row r="314" spans="1:35">
      <c r="A314" t="s">
        <v>608</v>
      </c>
      <c r="B314" t="s">
        <v>607</v>
      </c>
      <c r="C314" t="s">
        <v>193</v>
      </c>
      <c r="D314" t="s">
        <v>204</v>
      </c>
      <c r="E314" t="s">
        <v>139</v>
      </c>
      <c r="F314" t="s">
        <v>140</v>
      </c>
      <c r="G314" s="3">
        <v>46121</v>
      </c>
      <c r="H314" s="3">
        <v>46151</v>
      </c>
      <c r="I314" s="3">
        <v>46152</v>
      </c>
      <c r="J314" t="s">
        <v>163</v>
      </c>
      <c r="K314" t="s">
        <v>193</v>
      </c>
      <c r="L314" t="s">
        <v>142</v>
      </c>
      <c r="M314" t="s">
        <v>143</v>
      </c>
      <c r="N314" t="s">
        <v>144</v>
      </c>
      <c r="O314">
        <v>626</v>
      </c>
      <c r="P314">
        <v>30</v>
      </c>
      <c r="Q314" t="s">
        <v>159</v>
      </c>
      <c r="T314" s="4">
        <v>0</v>
      </c>
      <c r="U314" s="4">
        <v>192.77</v>
      </c>
      <c r="V314" s="4">
        <v>0</v>
      </c>
      <c r="W314" s="4">
        <v>0</v>
      </c>
      <c r="X314" s="4">
        <v>50.4</v>
      </c>
      <c r="Y314" s="4">
        <v>243.17</v>
      </c>
      <c r="Z314" s="4" t="s">
        <v>148</v>
      </c>
      <c r="AA314" s="4" t="s">
        <v>147</v>
      </c>
      <c r="AB314" s="4">
        <f>SUMIF('Trip Changes'!$B:$B,A314,'Trip Changes'!$E:$E)</f>
        <v>185.68</v>
      </c>
      <c r="AC314" s="4">
        <f>SUMIF('Trip Cancellations'!$B:$B,A314,'Trip Cancellations'!$E:$E)</f>
        <v>0</v>
      </c>
      <c r="AD314" s="4">
        <f>SUMIF('Trip Cancellations'!$B:$B,A314,'Trip Cancellations'!$F:$F)</f>
        <v>0</v>
      </c>
      <c r="AE314" s="4">
        <f t="shared" si="4"/>
        <v>428.85</v>
      </c>
      <c r="AF314" t="s">
        <v>148</v>
      </c>
      <c r="AG314">
        <v>4</v>
      </c>
      <c r="AH314" s="5">
        <v>25</v>
      </c>
      <c r="AI314" t="s">
        <v>147</v>
      </c>
    </row>
    <row r="315" spans="1:35">
      <c r="A315" t="s">
        <v>609</v>
      </c>
      <c r="B315" t="s">
        <v>607</v>
      </c>
      <c r="C315" t="s">
        <v>193</v>
      </c>
      <c r="D315" t="s">
        <v>204</v>
      </c>
      <c r="E315" t="s">
        <v>139</v>
      </c>
      <c r="F315" t="s">
        <v>207</v>
      </c>
      <c r="G315" s="3">
        <v>46200</v>
      </c>
      <c r="H315" s="3">
        <v>46201</v>
      </c>
      <c r="I315" s="3">
        <v>46205</v>
      </c>
      <c r="J315" t="s">
        <v>141</v>
      </c>
      <c r="K315" t="s">
        <v>193</v>
      </c>
      <c r="L315" t="s">
        <v>225</v>
      </c>
      <c r="M315" t="s">
        <v>152</v>
      </c>
      <c r="N315" t="s">
        <v>153</v>
      </c>
      <c r="O315">
        <v>2518</v>
      </c>
      <c r="P315">
        <v>1</v>
      </c>
      <c r="Q315" t="s">
        <v>159</v>
      </c>
      <c r="R315" t="s">
        <v>236</v>
      </c>
      <c r="S315" t="s">
        <v>155</v>
      </c>
      <c r="T315" s="4">
        <v>427.61</v>
      </c>
      <c r="U315" s="4">
        <v>0</v>
      </c>
      <c r="V315" s="4">
        <v>3</v>
      </c>
      <c r="W315" s="4">
        <v>283.43</v>
      </c>
      <c r="X315" s="4">
        <v>124.71</v>
      </c>
      <c r="Y315" s="4">
        <v>835.75</v>
      </c>
      <c r="Z315" s="4" t="s">
        <v>147</v>
      </c>
      <c r="AA315" s="4" t="s">
        <v>147</v>
      </c>
      <c r="AB315" s="4">
        <f>SUMIF('Trip Changes'!$B:$B,A315,'Trip Changes'!$E:$E)</f>
        <v>0</v>
      </c>
      <c r="AC315" s="4">
        <f>SUMIF('Trip Cancellations'!$B:$B,A315,'Trip Cancellations'!$E:$E)</f>
        <v>0</v>
      </c>
      <c r="AD315" s="4">
        <f>SUMIF('Trip Cancellations'!$B:$B,A315,'Trip Cancellations'!$F:$F)</f>
        <v>0</v>
      </c>
      <c r="AE315" s="4">
        <f t="shared" si="4"/>
        <v>835.75</v>
      </c>
      <c r="AF315" t="s">
        <v>148</v>
      </c>
      <c r="AG315">
        <v>4</v>
      </c>
      <c r="AH315" s="5">
        <v>377.7</v>
      </c>
      <c r="AI315" t="s">
        <v>148</v>
      </c>
    </row>
    <row r="316" spans="1:35">
      <c r="A316" t="s">
        <v>610</v>
      </c>
      <c r="B316" t="s">
        <v>607</v>
      </c>
      <c r="C316" t="s">
        <v>193</v>
      </c>
      <c r="D316" t="s">
        <v>204</v>
      </c>
      <c r="E316" t="s">
        <v>139</v>
      </c>
      <c r="F316" t="s">
        <v>162</v>
      </c>
      <c r="G316" s="3">
        <v>46162</v>
      </c>
      <c r="H316" s="3">
        <v>46179</v>
      </c>
      <c r="I316" s="3">
        <v>46181</v>
      </c>
      <c r="J316" t="s">
        <v>141</v>
      </c>
      <c r="K316" t="s">
        <v>193</v>
      </c>
      <c r="L316" t="s">
        <v>182</v>
      </c>
      <c r="M316" t="s">
        <v>143</v>
      </c>
      <c r="N316" t="s">
        <v>144</v>
      </c>
      <c r="O316">
        <v>440</v>
      </c>
      <c r="P316">
        <v>17</v>
      </c>
      <c r="Q316" t="s">
        <v>145</v>
      </c>
      <c r="S316" t="s">
        <v>164</v>
      </c>
      <c r="T316" s="4">
        <v>0</v>
      </c>
      <c r="U316" s="4">
        <v>163.19</v>
      </c>
      <c r="V316" s="4">
        <v>1</v>
      </c>
      <c r="W316" s="4">
        <v>120.31</v>
      </c>
      <c r="X316" s="4">
        <v>20</v>
      </c>
      <c r="Y316" s="4">
        <v>303.5</v>
      </c>
      <c r="Z316" s="4" t="s">
        <v>147</v>
      </c>
      <c r="AA316" s="4" t="s">
        <v>147</v>
      </c>
      <c r="AB316" s="4">
        <f>SUMIF('Trip Changes'!$B:$B,A316,'Trip Changes'!$E:$E)</f>
        <v>0</v>
      </c>
      <c r="AC316" s="4">
        <f>SUMIF('Trip Cancellations'!$B:$B,A316,'Trip Cancellations'!$E:$E)</f>
        <v>0</v>
      </c>
      <c r="AD316" s="4">
        <f>SUMIF('Trip Cancellations'!$B:$B,A316,'Trip Cancellations'!$F:$F)</f>
        <v>0</v>
      </c>
      <c r="AE316" s="4">
        <f t="shared" si="4"/>
        <v>303.5</v>
      </c>
      <c r="AF316" t="s">
        <v>148</v>
      </c>
      <c r="AG316">
        <v>4</v>
      </c>
      <c r="AH316" s="5">
        <v>17.600000000000001</v>
      </c>
      <c r="AI316" t="s">
        <v>147</v>
      </c>
    </row>
    <row r="317" spans="1:35">
      <c r="A317" t="s">
        <v>611</v>
      </c>
      <c r="B317" t="s">
        <v>607</v>
      </c>
      <c r="C317" t="s">
        <v>193</v>
      </c>
      <c r="D317" t="s">
        <v>204</v>
      </c>
      <c r="E317" t="s">
        <v>139</v>
      </c>
      <c r="F317" t="s">
        <v>140</v>
      </c>
      <c r="G317" s="3">
        <v>46203</v>
      </c>
      <c r="H317" s="3">
        <v>46234</v>
      </c>
      <c r="I317" s="3">
        <v>46238</v>
      </c>
      <c r="J317" t="s">
        <v>150</v>
      </c>
      <c r="K317" t="s">
        <v>193</v>
      </c>
      <c r="L317" t="s">
        <v>199</v>
      </c>
      <c r="M317" t="s">
        <v>152</v>
      </c>
      <c r="N317" t="s">
        <v>153</v>
      </c>
      <c r="O317">
        <v>1486</v>
      </c>
      <c r="P317">
        <v>31</v>
      </c>
      <c r="Q317" t="s">
        <v>145</v>
      </c>
      <c r="R317" t="s">
        <v>200</v>
      </c>
      <c r="S317" t="s">
        <v>187</v>
      </c>
      <c r="T317" s="4">
        <v>341.81</v>
      </c>
      <c r="U317" s="4">
        <v>0</v>
      </c>
      <c r="V317" s="4">
        <v>3</v>
      </c>
      <c r="W317" s="4">
        <v>499.74</v>
      </c>
      <c r="X317" s="4">
        <v>74.8</v>
      </c>
      <c r="Y317" s="4">
        <v>916.35</v>
      </c>
      <c r="Z317" s="4" t="s">
        <v>147</v>
      </c>
      <c r="AA317" s="4" t="s">
        <v>147</v>
      </c>
      <c r="AB317" s="4">
        <f>SUMIF('Trip Changes'!$B:$B,A317,'Trip Changes'!$E:$E)</f>
        <v>0</v>
      </c>
      <c r="AC317" s="4">
        <f>SUMIF('Trip Cancellations'!$B:$B,A317,'Trip Cancellations'!$E:$E)</f>
        <v>0</v>
      </c>
      <c r="AD317" s="4">
        <f>SUMIF('Trip Cancellations'!$B:$B,A317,'Trip Cancellations'!$F:$F)</f>
        <v>0</v>
      </c>
      <c r="AE317" s="4">
        <f t="shared" si="4"/>
        <v>916.35</v>
      </c>
      <c r="AF317" t="s">
        <v>148</v>
      </c>
      <c r="AG317">
        <v>5</v>
      </c>
      <c r="AH317" s="5">
        <v>222.9</v>
      </c>
      <c r="AI317" t="s">
        <v>147</v>
      </c>
    </row>
    <row r="318" spans="1:35">
      <c r="A318" t="s">
        <v>612</v>
      </c>
      <c r="B318" t="s">
        <v>613</v>
      </c>
      <c r="C318" t="s">
        <v>257</v>
      </c>
      <c r="D318" t="s">
        <v>204</v>
      </c>
      <c r="E318" t="s">
        <v>169</v>
      </c>
      <c r="F318" t="s">
        <v>140</v>
      </c>
      <c r="G318" s="3">
        <v>46187</v>
      </c>
      <c r="H318" s="3">
        <v>46216</v>
      </c>
      <c r="I318" s="3">
        <v>46220</v>
      </c>
      <c r="J318" t="s">
        <v>150</v>
      </c>
      <c r="K318" t="s">
        <v>257</v>
      </c>
      <c r="L318" t="s">
        <v>305</v>
      </c>
      <c r="M318" t="s">
        <v>152</v>
      </c>
      <c r="N318" t="s">
        <v>153</v>
      </c>
      <c r="O318">
        <v>10986</v>
      </c>
      <c r="P318">
        <v>29</v>
      </c>
      <c r="Q318" t="s">
        <v>145</v>
      </c>
      <c r="R318" t="s">
        <v>186</v>
      </c>
      <c r="S318" t="s">
        <v>173</v>
      </c>
      <c r="T318" s="4">
        <v>1421.75</v>
      </c>
      <c r="U318" s="4">
        <v>0</v>
      </c>
      <c r="V318" s="4">
        <v>3</v>
      </c>
      <c r="W318" s="4">
        <v>564.80999999999995</v>
      </c>
      <c r="X318" s="4">
        <v>116.29</v>
      </c>
      <c r="Y318" s="4">
        <v>2102.85</v>
      </c>
      <c r="Z318" s="4" t="s">
        <v>148</v>
      </c>
      <c r="AA318" s="4" t="s">
        <v>147</v>
      </c>
      <c r="AB318" s="4">
        <f>SUMIF('Trip Changes'!$B:$B,A318,'Trip Changes'!$E:$E)</f>
        <v>54.8</v>
      </c>
      <c r="AC318" s="4">
        <f>SUMIF('Trip Cancellations'!$B:$B,A318,'Trip Cancellations'!$E:$E)</f>
        <v>0</v>
      </c>
      <c r="AD318" s="4">
        <f>SUMIF('Trip Cancellations'!$B:$B,A318,'Trip Cancellations'!$F:$F)</f>
        <v>0</v>
      </c>
      <c r="AE318" s="4">
        <f t="shared" si="4"/>
        <v>2157.65</v>
      </c>
      <c r="AF318" t="s">
        <v>147</v>
      </c>
      <c r="AG318">
        <v>4</v>
      </c>
      <c r="AH318" s="5">
        <v>1647.9</v>
      </c>
      <c r="AI318" t="s">
        <v>147</v>
      </c>
    </row>
    <row r="319" spans="1:35">
      <c r="A319" t="s">
        <v>614</v>
      </c>
      <c r="B319" t="s">
        <v>613</v>
      </c>
      <c r="C319" t="s">
        <v>257</v>
      </c>
      <c r="D319" t="s">
        <v>204</v>
      </c>
      <c r="E319" t="s">
        <v>169</v>
      </c>
      <c r="F319" t="s">
        <v>189</v>
      </c>
      <c r="G319" s="3">
        <v>46134</v>
      </c>
      <c r="H319" s="3">
        <v>46162</v>
      </c>
      <c r="I319" s="3">
        <v>46165</v>
      </c>
      <c r="J319" t="s">
        <v>163</v>
      </c>
      <c r="K319" t="s">
        <v>257</v>
      </c>
      <c r="L319" t="s">
        <v>233</v>
      </c>
      <c r="M319" t="s">
        <v>152</v>
      </c>
      <c r="N319" t="s">
        <v>153</v>
      </c>
      <c r="O319">
        <v>1466</v>
      </c>
      <c r="P319">
        <v>28</v>
      </c>
      <c r="Q319" t="s">
        <v>207</v>
      </c>
      <c r="R319" t="s">
        <v>154</v>
      </c>
      <c r="S319" t="s">
        <v>173</v>
      </c>
      <c r="T319" s="4">
        <v>432.06</v>
      </c>
      <c r="U319" s="4">
        <v>0</v>
      </c>
      <c r="V319" s="4">
        <v>2</v>
      </c>
      <c r="W319" s="4">
        <v>342.65</v>
      </c>
      <c r="X319" s="4">
        <v>89.3</v>
      </c>
      <c r="Y319" s="4">
        <v>864.01</v>
      </c>
      <c r="Z319" s="4" t="s">
        <v>147</v>
      </c>
      <c r="AA319" s="4" t="s">
        <v>147</v>
      </c>
      <c r="AB319" s="4">
        <f>SUMIF('Trip Changes'!$B:$B,A319,'Trip Changes'!$E:$E)</f>
        <v>0</v>
      </c>
      <c r="AC319" s="4">
        <f>SUMIF('Trip Cancellations'!$B:$B,A319,'Trip Cancellations'!$E:$E)</f>
        <v>0</v>
      </c>
      <c r="AD319" s="4">
        <f>SUMIF('Trip Cancellations'!$B:$B,A319,'Trip Cancellations'!$F:$F)</f>
        <v>0</v>
      </c>
      <c r="AE319" s="4">
        <f t="shared" si="4"/>
        <v>864.01</v>
      </c>
      <c r="AF319" t="s">
        <v>147</v>
      </c>
      <c r="AG319">
        <v>5</v>
      </c>
      <c r="AH319" s="5">
        <v>219.9</v>
      </c>
      <c r="AI319" t="s">
        <v>148</v>
      </c>
    </row>
    <row r="320" spans="1:35">
      <c r="A320" t="s">
        <v>615</v>
      </c>
      <c r="B320" t="s">
        <v>616</v>
      </c>
      <c r="C320" t="s">
        <v>182</v>
      </c>
      <c r="D320" t="s">
        <v>138</v>
      </c>
      <c r="E320" t="s">
        <v>249</v>
      </c>
      <c r="F320" t="s">
        <v>140</v>
      </c>
      <c r="G320" s="3">
        <v>46192</v>
      </c>
      <c r="H320" s="3">
        <v>46221</v>
      </c>
      <c r="I320" s="3">
        <v>46223</v>
      </c>
      <c r="J320" t="s">
        <v>150</v>
      </c>
      <c r="K320" t="s">
        <v>182</v>
      </c>
      <c r="L320" t="s">
        <v>225</v>
      </c>
      <c r="M320" t="s">
        <v>152</v>
      </c>
      <c r="N320" t="s">
        <v>153</v>
      </c>
      <c r="O320">
        <v>1468</v>
      </c>
      <c r="P320">
        <v>29</v>
      </c>
      <c r="Q320" t="s">
        <v>145</v>
      </c>
      <c r="R320" t="s">
        <v>236</v>
      </c>
      <c r="S320" t="s">
        <v>164</v>
      </c>
      <c r="T320" s="4">
        <v>376.53</v>
      </c>
      <c r="U320" s="4">
        <v>0</v>
      </c>
      <c r="V320" s="4">
        <v>1</v>
      </c>
      <c r="W320" s="4">
        <v>202.25</v>
      </c>
      <c r="X320" s="4">
        <v>27.68</v>
      </c>
      <c r="Y320" s="4">
        <v>606.46</v>
      </c>
      <c r="Z320" s="4" t="s">
        <v>147</v>
      </c>
      <c r="AA320" s="4" t="s">
        <v>147</v>
      </c>
      <c r="AB320" s="4">
        <f>SUMIF('Trip Changes'!$B:$B,A320,'Trip Changes'!$E:$E)</f>
        <v>0</v>
      </c>
      <c r="AC320" s="4">
        <f>SUMIF('Trip Cancellations'!$B:$B,A320,'Trip Cancellations'!$E:$E)</f>
        <v>0</v>
      </c>
      <c r="AD320" s="4">
        <f>SUMIF('Trip Cancellations'!$B:$B,A320,'Trip Cancellations'!$F:$F)</f>
        <v>0</v>
      </c>
      <c r="AE320" s="4">
        <f t="shared" si="4"/>
        <v>606.46</v>
      </c>
      <c r="AF320" t="s">
        <v>148</v>
      </c>
      <c r="AG320">
        <v>4</v>
      </c>
      <c r="AH320" s="5">
        <v>220.2</v>
      </c>
      <c r="AI320" t="s">
        <v>148</v>
      </c>
    </row>
    <row r="321" spans="1:35">
      <c r="A321" t="s">
        <v>617</v>
      </c>
      <c r="B321" t="s">
        <v>616</v>
      </c>
      <c r="C321" t="s">
        <v>182</v>
      </c>
      <c r="D321" t="s">
        <v>138</v>
      </c>
      <c r="E321" t="s">
        <v>249</v>
      </c>
      <c r="F321" t="s">
        <v>162</v>
      </c>
      <c r="G321" s="3">
        <v>46196</v>
      </c>
      <c r="H321" s="3">
        <v>46209</v>
      </c>
      <c r="I321" s="3">
        <v>46211</v>
      </c>
      <c r="J321" t="s">
        <v>150</v>
      </c>
      <c r="K321" t="s">
        <v>182</v>
      </c>
      <c r="L321" t="s">
        <v>225</v>
      </c>
      <c r="M321" t="s">
        <v>152</v>
      </c>
      <c r="N321" t="s">
        <v>153</v>
      </c>
      <c r="O321">
        <v>2782</v>
      </c>
      <c r="P321">
        <v>13</v>
      </c>
      <c r="Q321" t="s">
        <v>145</v>
      </c>
      <c r="R321" t="s">
        <v>236</v>
      </c>
      <c r="S321" t="s">
        <v>155</v>
      </c>
      <c r="T321" s="4">
        <v>274.18</v>
      </c>
      <c r="U321" s="4">
        <v>0</v>
      </c>
      <c r="V321" s="4">
        <v>1</v>
      </c>
      <c r="W321" s="4">
        <v>194.62</v>
      </c>
      <c r="X321" s="4">
        <v>81.23</v>
      </c>
      <c r="Y321" s="4">
        <v>550.03</v>
      </c>
      <c r="Z321" s="4" t="s">
        <v>147</v>
      </c>
      <c r="AA321" s="4" t="s">
        <v>147</v>
      </c>
      <c r="AB321" s="4">
        <f>SUMIF('Trip Changes'!$B:$B,A321,'Trip Changes'!$E:$E)</f>
        <v>0</v>
      </c>
      <c r="AC321" s="4">
        <f>SUMIF('Trip Cancellations'!$B:$B,A321,'Trip Cancellations'!$E:$E)</f>
        <v>0</v>
      </c>
      <c r="AD321" s="4">
        <f>SUMIF('Trip Cancellations'!$B:$B,A321,'Trip Cancellations'!$F:$F)</f>
        <v>0</v>
      </c>
      <c r="AE321" s="4">
        <f t="shared" si="4"/>
        <v>550.03</v>
      </c>
      <c r="AF321" t="s">
        <v>148</v>
      </c>
      <c r="AG321">
        <v>5</v>
      </c>
      <c r="AH321" s="5">
        <v>417.3</v>
      </c>
      <c r="AI321" t="s">
        <v>147</v>
      </c>
    </row>
    <row r="322" spans="1:35">
      <c r="A322" t="s">
        <v>618</v>
      </c>
      <c r="B322" t="s">
        <v>616</v>
      </c>
      <c r="C322" t="s">
        <v>182</v>
      </c>
      <c r="D322" t="s">
        <v>138</v>
      </c>
      <c r="E322" t="s">
        <v>249</v>
      </c>
      <c r="F322" t="s">
        <v>140</v>
      </c>
      <c r="G322" s="3">
        <v>46166</v>
      </c>
      <c r="H322" s="3">
        <v>46188</v>
      </c>
      <c r="I322" s="3">
        <v>46191</v>
      </c>
      <c r="J322" t="s">
        <v>141</v>
      </c>
      <c r="K322" t="s">
        <v>182</v>
      </c>
      <c r="L322" t="s">
        <v>151</v>
      </c>
      <c r="M322" t="s">
        <v>152</v>
      </c>
      <c r="N322" t="s">
        <v>153</v>
      </c>
      <c r="O322">
        <v>2874</v>
      </c>
      <c r="P322">
        <v>22</v>
      </c>
      <c r="Q322" t="s">
        <v>145</v>
      </c>
      <c r="R322" t="s">
        <v>176</v>
      </c>
      <c r="S322" t="s">
        <v>173</v>
      </c>
      <c r="T322" s="4">
        <v>331.77</v>
      </c>
      <c r="U322" s="4">
        <v>0</v>
      </c>
      <c r="V322" s="4">
        <v>2</v>
      </c>
      <c r="W322" s="4">
        <v>282.2</v>
      </c>
      <c r="X322" s="4">
        <v>106.89</v>
      </c>
      <c r="Y322" s="4">
        <v>720.86</v>
      </c>
      <c r="Z322" s="4" t="s">
        <v>147</v>
      </c>
      <c r="AA322" s="4" t="s">
        <v>147</v>
      </c>
      <c r="AB322" s="4">
        <f>SUMIF('Trip Changes'!$B:$B,A322,'Trip Changes'!$E:$E)</f>
        <v>0</v>
      </c>
      <c r="AC322" s="4">
        <f>SUMIF('Trip Cancellations'!$B:$B,A322,'Trip Cancellations'!$E:$E)</f>
        <v>0</v>
      </c>
      <c r="AD322" s="4">
        <f>SUMIF('Trip Cancellations'!$B:$B,A322,'Trip Cancellations'!$F:$F)</f>
        <v>0</v>
      </c>
      <c r="AE322" s="4">
        <f t="shared" ref="AE322:AE385" si="5">Y322+AB322+AC322-AD322</f>
        <v>720.86</v>
      </c>
      <c r="AF322" t="s">
        <v>148</v>
      </c>
      <c r="AG322">
        <v>4</v>
      </c>
      <c r="AH322" s="5">
        <v>431.1</v>
      </c>
      <c r="AI322" t="s">
        <v>147</v>
      </c>
    </row>
    <row r="323" spans="1:35">
      <c r="A323" t="s">
        <v>619</v>
      </c>
      <c r="B323" t="s">
        <v>616</v>
      </c>
      <c r="C323" t="s">
        <v>182</v>
      </c>
      <c r="D323" t="s">
        <v>138</v>
      </c>
      <c r="E323" t="s">
        <v>249</v>
      </c>
      <c r="F323" t="s">
        <v>157</v>
      </c>
      <c r="G323" s="3">
        <v>46189</v>
      </c>
      <c r="H323" s="3">
        <v>46202</v>
      </c>
      <c r="I323" s="3">
        <v>46204</v>
      </c>
      <c r="J323" t="s">
        <v>141</v>
      </c>
      <c r="K323" t="s">
        <v>182</v>
      </c>
      <c r="L323" t="s">
        <v>209</v>
      </c>
      <c r="M323" t="s">
        <v>152</v>
      </c>
      <c r="N323" t="s">
        <v>153</v>
      </c>
      <c r="O323">
        <v>2928</v>
      </c>
      <c r="P323">
        <v>13</v>
      </c>
      <c r="Q323" t="s">
        <v>145</v>
      </c>
      <c r="R323" t="s">
        <v>154</v>
      </c>
      <c r="S323" t="s">
        <v>155</v>
      </c>
      <c r="T323" s="4">
        <v>328.05</v>
      </c>
      <c r="U323" s="4">
        <v>0</v>
      </c>
      <c r="V323" s="4">
        <v>1</v>
      </c>
      <c r="W323" s="4">
        <v>232.21</v>
      </c>
      <c r="X323" s="4">
        <v>20</v>
      </c>
      <c r="Y323" s="4">
        <v>580.26</v>
      </c>
      <c r="Z323" s="4" t="s">
        <v>147</v>
      </c>
      <c r="AA323" s="4" t="s">
        <v>147</v>
      </c>
      <c r="AB323" s="4">
        <f>SUMIF('Trip Changes'!$B:$B,A323,'Trip Changes'!$E:$E)</f>
        <v>0</v>
      </c>
      <c r="AC323" s="4">
        <f>SUMIF('Trip Cancellations'!$B:$B,A323,'Trip Cancellations'!$E:$E)</f>
        <v>0</v>
      </c>
      <c r="AD323" s="4">
        <f>SUMIF('Trip Cancellations'!$B:$B,A323,'Trip Cancellations'!$F:$F)</f>
        <v>0</v>
      </c>
      <c r="AE323" s="4">
        <f t="shared" si="5"/>
        <v>580.26</v>
      </c>
      <c r="AF323" t="s">
        <v>148</v>
      </c>
      <c r="AG323">
        <v>4</v>
      </c>
      <c r="AH323" s="5">
        <v>439.2</v>
      </c>
      <c r="AI323" t="s">
        <v>148</v>
      </c>
    </row>
    <row r="324" spans="1:35">
      <c r="A324" t="s">
        <v>620</v>
      </c>
      <c r="B324" t="s">
        <v>616</v>
      </c>
      <c r="C324" t="s">
        <v>182</v>
      </c>
      <c r="D324" t="s">
        <v>138</v>
      </c>
      <c r="E324" t="s">
        <v>249</v>
      </c>
      <c r="F324" t="s">
        <v>162</v>
      </c>
      <c r="G324" s="3">
        <v>46215</v>
      </c>
      <c r="H324" s="3">
        <v>46222</v>
      </c>
      <c r="I324" s="3">
        <v>46228</v>
      </c>
      <c r="J324" t="s">
        <v>150</v>
      </c>
      <c r="K324" t="s">
        <v>182</v>
      </c>
      <c r="L324" t="s">
        <v>223</v>
      </c>
      <c r="M324" t="s">
        <v>152</v>
      </c>
      <c r="N324" t="s">
        <v>153</v>
      </c>
      <c r="O324">
        <v>13332</v>
      </c>
      <c r="P324">
        <v>7</v>
      </c>
      <c r="Q324" t="s">
        <v>216</v>
      </c>
      <c r="R324" t="s">
        <v>441</v>
      </c>
      <c r="S324" t="s">
        <v>187</v>
      </c>
      <c r="T324" s="4">
        <v>2351.6999999999998</v>
      </c>
      <c r="U324" s="4">
        <v>0</v>
      </c>
      <c r="V324" s="4">
        <v>5</v>
      </c>
      <c r="W324" s="4">
        <v>657.24</v>
      </c>
      <c r="X324" s="4">
        <v>74.64</v>
      </c>
      <c r="Y324" s="4">
        <v>3083.58</v>
      </c>
      <c r="Z324" s="4" t="s">
        <v>147</v>
      </c>
      <c r="AA324" s="4" t="s">
        <v>147</v>
      </c>
      <c r="AB324" s="4">
        <f>SUMIF('Trip Changes'!$B:$B,A324,'Trip Changes'!$E:$E)</f>
        <v>0</v>
      </c>
      <c r="AC324" s="4">
        <f>SUMIF('Trip Cancellations'!$B:$B,A324,'Trip Cancellations'!$E:$E)</f>
        <v>0</v>
      </c>
      <c r="AD324" s="4">
        <f>SUMIF('Trip Cancellations'!$B:$B,A324,'Trip Cancellations'!$F:$F)</f>
        <v>0</v>
      </c>
      <c r="AE324" s="4">
        <f t="shared" si="5"/>
        <v>3083.58</v>
      </c>
      <c r="AF324" t="s">
        <v>148</v>
      </c>
      <c r="AG324">
        <v>4</v>
      </c>
      <c r="AH324" s="5">
        <v>1999.8</v>
      </c>
      <c r="AI324" t="s">
        <v>148</v>
      </c>
    </row>
    <row r="325" spans="1:35">
      <c r="A325" t="s">
        <v>621</v>
      </c>
      <c r="B325" t="s">
        <v>622</v>
      </c>
      <c r="C325" t="s">
        <v>182</v>
      </c>
      <c r="D325" t="s">
        <v>248</v>
      </c>
      <c r="E325" t="s">
        <v>169</v>
      </c>
      <c r="F325" t="s">
        <v>162</v>
      </c>
      <c r="G325" s="3">
        <v>46171</v>
      </c>
      <c r="H325" s="3">
        <v>46177</v>
      </c>
      <c r="I325" s="3">
        <v>46178</v>
      </c>
      <c r="J325" t="s">
        <v>141</v>
      </c>
      <c r="K325" t="s">
        <v>182</v>
      </c>
      <c r="L325" t="s">
        <v>307</v>
      </c>
      <c r="M325" t="s">
        <v>143</v>
      </c>
      <c r="N325" t="s">
        <v>144</v>
      </c>
      <c r="O325">
        <v>1218</v>
      </c>
      <c r="P325">
        <v>6</v>
      </c>
      <c r="Q325" t="s">
        <v>145</v>
      </c>
      <c r="T325" s="4">
        <v>0</v>
      </c>
      <c r="U325" s="4">
        <v>195.64</v>
      </c>
      <c r="V325" s="4">
        <v>0</v>
      </c>
      <c r="W325" s="4">
        <v>0</v>
      </c>
      <c r="X325" s="4">
        <v>73.75</v>
      </c>
      <c r="Y325" s="4">
        <v>269.39</v>
      </c>
      <c r="Z325" s="4" t="s">
        <v>147</v>
      </c>
      <c r="AA325" s="4" t="s">
        <v>147</v>
      </c>
      <c r="AB325" s="4">
        <f>SUMIF('Trip Changes'!$B:$B,A325,'Trip Changes'!$E:$E)</f>
        <v>0</v>
      </c>
      <c r="AC325" s="4">
        <f>SUMIF('Trip Cancellations'!$B:$B,A325,'Trip Cancellations'!$E:$E)</f>
        <v>0</v>
      </c>
      <c r="AD325" s="4">
        <f>SUMIF('Trip Cancellations'!$B:$B,A325,'Trip Cancellations'!$F:$F)</f>
        <v>0</v>
      </c>
      <c r="AE325" s="4">
        <f t="shared" si="5"/>
        <v>269.39</v>
      </c>
      <c r="AF325" t="s">
        <v>148</v>
      </c>
      <c r="AG325">
        <v>5</v>
      </c>
      <c r="AH325" s="5">
        <v>48.7</v>
      </c>
      <c r="AI325" t="s">
        <v>148</v>
      </c>
    </row>
    <row r="326" spans="1:35">
      <c r="A326" t="s">
        <v>623</v>
      </c>
      <c r="B326" t="s">
        <v>622</v>
      </c>
      <c r="C326" t="s">
        <v>182</v>
      </c>
      <c r="D326" t="s">
        <v>248</v>
      </c>
      <c r="E326" t="s">
        <v>169</v>
      </c>
      <c r="F326" t="s">
        <v>157</v>
      </c>
      <c r="G326" s="3">
        <v>46193</v>
      </c>
      <c r="H326" s="3">
        <v>46220</v>
      </c>
      <c r="I326" s="3">
        <v>46223</v>
      </c>
      <c r="J326" t="s">
        <v>150</v>
      </c>
      <c r="K326" t="s">
        <v>182</v>
      </c>
      <c r="L326" t="s">
        <v>193</v>
      </c>
      <c r="M326" t="s">
        <v>143</v>
      </c>
      <c r="N326" t="s">
        <v>144</v>
      </c>
      <c r="O326">
        <v>932</v>
      </c>
      <c r="P326">
        <v>27</v>
      </c>
      <c r="Q326" t="s">
        <v>216</v>
      </c>
      <c r="S326" t="s">
        <v>155</v>
      </c>
      <c r="T326" s="4">
        <v>0</v>
      </c>
      <c r="U326" s="4">
        <v>272.11</v>
      </c>
      <c r="V326" s="4">
        <v>2</v>
      </c>
      <c r="W326" s="4">
        <v>245.38</v>
      </c>
      <c r="X326" s="4">
        <v>83.94</v>
      </c>
      <c r="Y326" s="4">
        <v>601.42999999999995</v>
      </c>
      <c r="Z326" s="4" t="s">
        <v>148</v>
      </c>
      <c r="AA326" s="4" t="s">
        <v>147</v>
      </c>
      <c r="AB326" s="4">
        <f>SUMIF('Trip Changes'!$B:$B,A326,'Trip Changes'!$E:$E)</f>
        <v>221.22</v>
      </c>
      <c r="AC326" s="4">
        <f>SUMIF('Trip Cancellations'!$B:$B,A326,'Trip Cancellations'!$E:$E)</f>
        <v>0</v>
      </c>
      <c r="AD326" s="4">
        <f>SUMIF('Trip Cancellations'!$B:$B,A326,'Trip Cancellations'!$F:$F)</f>
        <v>0</v>
      </c>
      <c r="AE326" s="4">
        <f t="shared" si="5"/>
        <v>822.65</v>
      </c>
      <c r="AF326" t="s">
        <v>148</v>
      </c>
      <c r="AG326">
        <v>5</v>
      </c>
      <c r="AH326" s="5">
        <v>37.299999999999997</v>
      </c>
      <c r="AI326" t="s">
        <v>148</v>
      </c>
    </row>
    <row r="327" spans="1:35">
      <c r="A327" t="s">
        <v>624</v>
      </c>
      <c r="B327" t="s">
        <v>622</v>
      </c>
      <c r="C327" t="s">
        <v>182</v>
      </c>
      <c r="D327" t="s">
        <v>248</v>
      </c>
      <c r="E327" t="s">
        <v>169</v>
      </c>
      <c r="F327" t="s">
        <v>178</v>
      </c>
      <c r="G327" s="3">
        <v>46140</v>
      </c>
      <c r="H327" s="3">
        <v>46144</v>
      </c>
      <c r="I327" s="3">
        <v>46148</v>
      </c>
      <c r="J327" t="s">
        <v>163</v>
      </c>
      <c r="K327" t="s">
        <v>182</v>
      </c>
      <c r="L327" t="s">
        <v>233</v>
      </c>
      <c r="M327" t="s">
        <v>152</v>
      </c>
      <c r="N327" t="s">
        <v>153</v>
      </c>
      <c r="O327">
        <v>1722</v>
      </c>
      <c r="P327">
        <v>4</v>
      </c>
      <c r="Q327" t="s">
        <v>216</v>
      </c>
      <c r="R327" t="s">
        <v>160</v>
      </c>
      <c r="S327" t="s">
        <v>173</v>
      </c>
      <c r="T327" s="4">
        <v>551.85</v>
      </c>
      <c r="U327" s="4">
        <v>0</v>
      </c>
      <c r="V327" s="4">
        <v>3</v>
      </c>
      <c r="W327" s="4">
        <v>575.91</v>
      </c>
      <c r="X327" s="4">
        <v>61.62</v>
      </c>
      <c r="Y327" s="4">
        <v>1189.3800000000001</v>
      </c>
      <c r="Z327" s="4" t="s">
        <v>147</v>
      </c>
      <c r="AA327" s="4" t="s">
        <v>147</v>
      </c>
      <c r="AB327" s="4">
        <f>SUMIF('Trip Changes'!$B:$B,A327,'Trip Changes'!$E:$E)</f>
        <v>0</v>
      </c>
      <c r="AC327" s="4">
        <f>SUMIF('Trip Cancellations'!$B:$B,A327,'Trip Cancellations'!$E:$E)</f>
        <v>0</v>
      </c>
      <c r="AD327" s="4">
        <f>SUMIF('Trip Cancellations'!$B:$B,A327,'Trip Cancellations'!$F:$F)</f>
        <v>0</v>
      </c>
      <c r="AE327" s="4">
        <f t="shared" si="5"/>
        <v>1189.3800000000001</v>
      </c>
      <c r="AF327" t="s">
        <v>148</v>
      </c>
      <c r="AG327">
        <v>4</v>
      </c>
      <c r="AH327" s="5">
        <v>258.3</v>
      </c>
      <c r="AI327" t="s">
        <v>147</v>
      </c>
    </row>
    <row r="328" spans="1:35">
      <c r="A328" t="s">
        <v>625</v>
      </c>
      <c r="B328" t="s">
        <v>622</v>
      </c>
      <c r="C328" t="s">
        <v>182</v>
      </c>
      <c r="D328" t="s">
        <v>248</v>
      </c>
      <c r="E328" t="s">
        <v>169</v>
      </c>
      <c r="F328" t="s">
        <v>189</v>
      </c>
      <c r="G328" s="3">
        <v>46184</v>
      </c>
      <c r="H328" s="3">
        <v>46189</v>
      </c>
      <c r="I328" s="3">
        <v>46193</v>
      </c>
      <c r="J328" t="s">
        <v>141</v>
      </c>
      <c r="K328" t="s">
        <v>182</v>
      </c>
      <c r="L328" t="s">
        <v>193</v>
      </c>
      <c r="M328" t="s">
        <v>143</v>
      </c>
      <c r="N328" t="s">
        <v>144</v>
      </c>
      <c r="O328">
        <v>932</v>
      </c>
      <c r="P328">
        <v>5</v>
      </c>
      <c r="Q328" t="s">
        <v>159</v>
      </c>
      <c r="S328" t="s">
        <v>155</v>
      </c>
      <c r="T328" s="4">
        <v>0</v>
      </c>
      <c r="U328" s="4">
        <v>139.94</v>
      </c>
      <c r="V328" s="4">
        <v>3</v>
      </c>
      <c r="W328" s="4">
        <v>466.86</v>
      </c>
      <c r="X328" s="4">
        <v>35.119999999999997</v>
      </c>
      <c r="Y328" s="4">
        <v>641.91999999999996</v>
      </c>
      <c r="Z328" s="4" t="s">
        <v>147</v>
      </c>
      <c r="AA328" s="4" t="s">
        <v>147</v>
      </c>
      <c r="AB328" s="4">
        <f>SUMIF('Trip Changes'!$B:$B,A328,'Trip Changes'!$E:$E)</f>
        <v>0</v>
      </c>
      <c r="AC328" s="4">
        <f>SUMIF('Trip Cancellations'!$B:$B,A328,'Trip Cancellations'!$E:$E)</f>
        <v>0</v>
      </c>
      <c r="AD328" s="4">
        <f>SUMIF('Trip Cancellations'!$B:$B,A328,'Trip Cancellations'!$F:$F)</f>
        <v>0</v>
      </c>
      <c r="AE328" s="4">
        <f t="shared" si="5"/>
        <v>641.91999999999996</v>
      </c>
      <c r="AF328" t="s">
        <v>148</v>
      </c>
      <c r="AG328">
        <v>4</v>
      </c>
      <c r="AH328" s="5">
        <v>37.299999999999997</v>
      </c>
      <c r="AI328" t="s">
        <v>147</v>
      </c>
    </row>
    <row r="329" spans="1:35">
      <c r="A329" t="s">
        <v>626</v>
      </c>
      <c r="B329" t="s">
        <v>622</v>
      </c>
      <c r="C329" t="s">
        <v>182</v>
      </c>
      <c r="D329" t="s">
        <v>248</v>
      </c>
      <c r="E329" t="s">
        <v>169</v>
      </c>
      <c r="F329" t="s">
        <v>140</v>
      </c>
      <c r="G329" s="3">
        <v>46209</v>
      </c>
      <c r="H329" s="3">
        <v>46219</v>
      </c>
      <c r="I329" s="3">
        <v>46223</v>
      </c>
      <c r="J329" t="s">
        <v>150</v>
      </c>
      <c r="K329" t="s">
        <v>182</v>
      </c>
      <c r="L329" t="s">
        <v>233</v>
      </c>
      <c r="M329" t="s">
        <v>152</v>
      </c>
      <c r="N329" t="s">
        <v>153</v>
      </c>
      <c r="O329">
        <v>3274</v>
      </c>
      <c r="P329">
        <v>10</v>
      </c>
      <c r="Q329" t="s">
        <v>145</v>
      </c>
      <c r="R329" t="s">
        <v>160</v>
      </c>
      <c r="S329" t="s">
        <v>164</v>
      </c>
      <c r="T329" s="4">
        <v>487.3</v>
      </c>
      <c r="U329" s="4">
        <v>0</v>
      </c>
      <c r="V329" s="4">
        <v>3</v>
      </c>
      <c r="W329" s="4">
        <v>456.23</v>
      </c>
      <c r="X329" s="4">
        <v>132.13999999999999</v>
      </c>
      <c r="Y329" s="4">
        <v>1075.67</v>
      </c>
      <c r="Z329" s="4" t="s">
        <v>147</v>
      </c>
      <c r="AA329" s="4" t="s">
        <v>147</v>
      </c>
      <c r="AB329" s="4">
        <f>SUMIF('Trip Changes'!$B:$B,A329,'Trip Changes'!$E:$E)</f>
        <v>0</v>
      </c>
      <c r="AC329" s="4">
        <f>SUMIF('Trip Cancellations'!$B:$B,A329,'Trip Cancellations'!$E:$E)</f>
        <v>0</v>
      </c>
      <c r="AD329" s="4">
        <f>SUMIF('Trip Cancellations'!$B:$B,A329,'Trip Cancellations'!$F:$F)</f>
        <v>0</v>
      </c>
      <c r="AE329" s="4">
        <f t="shared" si="5"/>
        <v>1075.67</v>
      </c>
      <c r="AF329" t="s">
        <v>148</v>
      </c>
      <c r="AG329">
        <v>4</v>
      </c>
      <c r="AH329" s="5">
        <v>491.1</v>
      </c>
      <c r="AI329" t="s">
        <v>147</v>
      </c>
    </row>
    <row r="330" spans="1:35">
      <c r="A330" t="s">
        <v>627</v>
      </c>
      <c r="B330" t="s">
        <v>622</v>
      </c>
      <c r="C330" t="s">
        <v>182</v>
      </c>
      <c r="D330" t="s">
        <v>248</v>
      </c>
      <c r="E330" t="s">
        <v>169</v>
      </c>
      <c r="F330" t="s">
        <v>170</v>
      </c>
      <c r="G330" s="3">
        <v>46199</v>
      </c>
      <c r="H330" s="3">
        <v>46221</v>
      </c>
      <c r="I330" s="3">
        <v>46223</v>
      </c>
      <c r="J330" t="s">
        <v>150</v>
      </c>
      <c r="K330" t="s">
        <v>182</v>
      </c>
      <c r="L330" t="s">
        <v>305</v>
      </c>
      <c r="M330" t="s">
        <v>152</v>
      </c>
      <c r="N330" t="s">
        <v>153</v>
      </c>
      <c r="O330">
        <v>11842</v>
      </c>
      <c r="P330">
        <v>22</v>
      </c>
      <c r="Q330" t="s">
        <v>145</v>
      </c>
      <c r="R330" t="s">
        <v>154</v>
      </c>
      <c r="S330" t="s">
        <v>190</v>
      </c>
      <c r="T330" s="4">
        <v>1361.01</v>
      </c>
      <c r="U330" s="4">
        <v>0</v>
      </c>
      <c r="V330" s="4">
        <v>1</v>
      </c>
      <c r="W330" s="4">
        <v>139.55000000000001</v>
      </c>
      <c r="X330" s="4">
        <v>71.56</v>
      </c>
      <c r="Y330" s="4">
        <v>1572.12</v>
      </c>
      <c r="Z330" s="4" t="s">
        <v>147</v>
      </c>
      <c r="AA330" s="4" t="s">
        <v>147</v>
      </c>
      <c r="AB330" s="4">
        <f>SUMIF('Trip Changes'!$B:$B,A330,'Trip Changes'!$E:$E)</f>
        <v>0</v>
      </c>
      <c r="AC330" s="4">
        <f>SUMIF('Trip Cancellations'!$B:$B,A330,'Trip Cancellations'!$E:$E)</f>
        <v>0</v>
      </c>
      <c r="AD330" s="4">
        <f>SUMIF('Trip Cancellations'!$B:$B,A330,'Trip Cancellations'!$F:$F)</f>
        <v>0</v>
      </c>
      <c r="AE330" s="4">
        <f t="shared" si="5"/>
        <v>1572.12</v>
      </c>
      <c r="AF330" t="s">
        <v>148</v>
      </c>
      <c r="AG330">
        <v>4</v>
      </c>
      <c r="AH330" s="5">
        <v>1776.3</v>
      </c>
      <c r="AI330" t="s">
        <v>148</v>
      </c>
    </row>
    <row r="331" spans="1:35">
      <c r="A331" t="s">
        <v>628</v>
      </c>
      <c r="B331" t="s">
        <v>622</v>
      </c>
      <c r="C331" t="s">
        <v>182</v>
      </c>
      <c r="D331" t="s">
        <v>248</v>
      </c>
      <c r="E331" t="s">
        <v>169</v>
      </c>
      <c r="F331" t="s">
        <v>162</v>
      </c>
      <c r="G331" s="3">
        <v>46146</v>
      </c>
      <c r="H331" s="3">
        <v>46170</v>
      </c>
      <c r="I331" s="3">
        <v>46175</v>
      </c>
      <c r="J331" t="s">
        <v>163</v>
      </c>
      <c r="K331" t="s">
        <v>182</v>
      </c>
      <c r="L331" t="s">
        <v>240</v>
      </c>
      <c r="M331" t="s">
        <v>152</v>
      </c>
      <c r="N331" t="s">
        <v>153</v>
      </c>
      <c r="O331">
        <v>11758</v>
      </c>
      <c r="P331">
        <v>24</v>
      </c>
      <c r="Q331" t="s">
        <v>159</v>
      </c>
      <c r="R331" t="s">
        <v>154</v>
      </c>
      <c r="S331" t="s">
        <v>173</v>
      </c>
      <c r="T331" s="4">
        <v>1296.3</v>
      </c>
      <c r="U331" s="4">
        <v>0</v>
      </c>
      <c r="V331" s="4">
        <v>4</v>
      </c>
      <c r="W331" s="4">
        <v>766.25</v>
      </c>
      <c r="X331" s="4">
        <v>58.77</v>
      </c>
      <c r="Y331" s="4">
        <v>2121.3200000000002</v>
      </c>
      <c r="Z331" s="4" t="s">
        <v>148</v>
      </c>
      <c r="AA331" s="4" t="s">
        <v>147</v>
      </c>
      <c r="AB331" s="4">
        <f>SUMIF('Trip Changes'!$B:$B,A331,'Trip Changes'!$E:$E)</f>
        <v>191.94</v>
      </c>
      <c r="AC331" s="4">
        <f>SUMIF('Trip Cancellations'!$B:$B,A331,'Trip Cancellations'!$E:$E)</f>
        <v>0</v>
      </c>
      <c r="AD331" s="4">
        <f>SUMIF('Trip Cancellations'!$B:$B,A331,'Trip Cancellations'!$F:$F)</f>
        <v>0</v>
      </c>
      <c r="AE331" s="4">
        <f t="shared" si="5"/>
        <v>2313.2600000000002</v>
      </c>
      <c r="AF331" t="s">
        <v>148</v>
      </c>
      <c r="AG331">
        <v>4</v>
      </c>
      <c r="AH331" s="5">
        <v>1763.7</v>
      </c>
      <c r="AI331" t="s">
        <v>147</v>
      </c>
    </row>
    <row r="332" spans="1:35">
      <c r="A332" t="s">
        <v>629</v>
      </c>
      <c r="B332" t="s">
        <v>630</v>
      </c>
      <c r="C332" t="s">
        <v>193</v>
      </c>
      <c r="D332" t="s">
        <v>204</v>
      </c>
      <c r="E332" t="s">
        <v>249</v>
      </c>
      <c r="F332" t="s">
        <v>140</v>
      </c>
      <c r="G332" s="3">
        <v>46165</v>
      </c>
      <c r="H332" s="3">
        <v>46181</v>
      </c>
      <c r="I332" s="3">
        <v>46185</v>
      </c>
      <c r="J332" t="s">
        <v>141</v>
      </c>
      <c r="K332" t="s">
        <v>193</v>
      </c>
      <c r="L332" t="s">
        <v>199</v>
      </c>
      <c r="M332" t="s">
        <v>152</v>
      </c>
      <c r="N332" t="s">
        <v>153</v>
      </c>
      <c r="O332">
        <v>2068</v>
      </c>
      <c r="P332">
        <v>16</v>
      </c>
      <c r="Q332" t="s">
        <v>216</v>
      </c>
      <c r="R332" t="s">
        <v>200</v>
      </c>
      <c r="S332" t="s">
        <v>187</v>
      </c>
      <c r="T332" s="4">
        <v>449.3</v>
      </c>
      <c r="U332" s="4">
        <v>0</v>
      </c>
      <c r="V332" s="4">
        <v>3</v>
      </c>
      <c r="W332" s="4">
        <v>426.7</v>
      </c>
      <c r="X332" s="4">
        <v>76.11</v>
      </c>
      <c r="Y332" s="4">
        <v>952.11</v>
      </c>
      <c r="Z332" s="4" t="s">
        <v>147</v>
      </c>
      <c r="AA332" s="4" t="s">
        <v>147</v>
      </c>
      <c r="AB332" s="4">
        <f>SUMIF('Trip Changes'!$B:$B,A332,'Trip Changes'!$E:$E)</f>
        <v>0</v>
      </c>
      <c r="AC332" s="4">
        <f>SUMIF('Trip Cancellations'!$B:$B,A332,'Trip Cancellations'!$E:$E)</f>
        <v>0</v>
      </c>
      <c r="AD332" s="4">
        <f>SUMIF('Trip Cancellations'!$B:$B,A332,'Trip Cancellations'!$F:$F)</f>
        <v>0</v>
      </c>
      <c r="AE332" s="4">
        <f t="shared" si="5"/>
        <v>952.11</v>
      </c>
      <c r="AF332" t="s">
        <v>148</v>
      </c>
      <c r="AG332">
        <v>4</v>
      </c>
      <c r="AH332" s="5">
        <v>310.2</v>
      </c>
      <c r="AI332" t="s">
        <v>147</v>
      </c>
    </row>
    <row r="333" spans="1:35">
      <c r="A333" t="s">
        <v>631</v>
      </c>
      <c r="B333" t="s">
        <v>630</v>
      </c>
      <c r="C333" t="s">
        <v>193</v>
      </c>
      <c r="D333" t="s">
        <v>204</v>
      </c>
      <c r="E333" t="s">
        <v>249</v>
      </c>
      <c r="F333" t="s">
        <v>181</v>
      </c>
      <c r="G333" s="3">
        <v>46153</v>
      </c>
      <c r="H333" s="3">
        <v>46161</v>
      </c>
      <c r="I333" s="3">
        <v>46164</v>
      </c>
      <c r="J333" t="s">
        <v>163</v>
      </c>
      <c r="K333" t="s">
        <v>193</v>
      </c>
      <c r="L333" t="s">
        <v>151</v>
      </c>
      <c r="M333" t="s">
        <v>152</v>
      </c>
      <c r="N333" t="s">
        <v>153</v>
      </c>
      <c r="O333">
        <v>1584</v>
      </c>
      <c r="P333">
        <v>8</v>
      </c>
      <c r="Q333" t="s">
        <v>216</v>
      </c>
      <c r="R333" t="s">
        <v>172</v>
      </c>
      <c r="S333" t="s">
        <v>190</v>
      </c>
      <c r="T333" s="4">
        <v>346.44</v>
      </c>
      <c r="U333" s="4">
        <v>0</v>
      </c>
      <c r="V333" s="4">
        <v>2</v>
      </c>
      <c r="W333" s="4">
        <v>380.27</v>
      </c>
      <c r="X333" s="4">
        <v>51.69</v>
      </c>
      <c r="Y333" s="4">
        <v>778.4</v>
      </c>
      <c r="Z333" s="4" t="s">
        <v>147</v>
      </c>
      <c r="AA333" s="4" t="s">
        <v>147</v>
      </c>
      <c r="AB333" s="4">
        <f>SUMIF('Trip Changes'!$B:$B,A333,'Trip Changes'!$E:$E)</f>
        <v>0</v>
      </c>
      <c r="AC333" s="4">
        <f>SUMIF('Trip Cancellations'!$B:$B,A333,'Trip Cancellations'!$E:$E)</f>
        <v>0</v>
      </c>
      <c r="AD333" s="4">
        <f>SUMIF('Trip Cancellations'!$B:$B,A333,'Trip Cancellations'!$F:$F)</f>
        <v>0</v>
      </c>
      <c r="AE333" s="4">
        <f t="shared" si="5"/>
        <v>778.4</v>
      </c>
      <c r="AF333" t="s">
        <v>148</v>
      </c>
      <c r="AG333">
        <v>5</v>
      </c>
      <c r="AH333" s="5">
        <v>237.6</v>
      </c>
      <c r="AI333" t="s">
        <v>148</v>
      </c>
    </row>
    <row r="334" spans="1:35">
      <c r="A334" t="s">
        <v>632</v>
      </c>
      <c r="B334" t="s">
        <v>630</v>
      </c>
      <c r="C334" t="s">
        <v>193</v>
      </c>
      <c r="D334" t="s">
        <v>204</v>
      </c>
      <c r="E334" t="s">
        <v>249</v>
      </c>
      <c r="F334" t="s">
        <v>162</v>
      </c>
      <c r="G334" s="3">
        <v>46167</v>
      </c>
      <c r="H334" s="3">
        <v>46175</v>
      </c>
      <c r="I334" s="3">
        <v>46177</v>
      </c>
      <c r="J334" t="s">
        <v>141</v>
      </c>
      <c r="K334" t="s">
        <v>193</v>
      </c>
      <c r="L334" t="s">
        <v>225</v>
      </c>
      <c r="M334" t="s">
        <v>152</v>
      </c>
      <c r="N334" t="s">
        <v>153</v>
      </c>
      <c r="O334">
        <v>2030</v>
      </c>
      <c r="P334">
        <v>8</v>
      </c>
      <c r="Q334" t="s">
        <v>216</v>
      </c>
      <c r="R334" t="s">
        <v>236</v>
      </c>
      <c r="S334" t="s">
        <v>164</v>
      </c>
      <c r="T334" s="4">
        <v>472.96</v>
      </c>
      <c r="U334" s="4">
        <v>0</v>
      </c>
      <c r="V334" s="4">
        <v>1</v>
      </c>
      <c r="W334" s="4">
        <v>149.72</v>
      </c>
      <c r="X334" s="4">
        <v>91.14</v>
      </c>
      <c r="Y334" s="4">
        <v>713.82</v>
      </c>
      <c r="Z334" s="4" t="s">
        <v>147</v>
      </c>
      <c r="AA334" s="4" t="s">
        <v>147</v>
      </c>
      <c r="AB334" s="4">
        <f>SUMIF('Trip Changes'!$B:$B,A334,'Trip Changes'!$E:$E)</f>
        <v>0</v>
      </c>
      <c r="AC334" s="4">
        <f>SUMIF('Trip Cancellations'!$B:$B,A334,'Trip Cancellations'!$E:$E)</f>
        <v>0</v>
      </c>
      <c r="AD334" s="4">
        <f>SUMIF('Trip Cancellations'!$B:$B,A334,'Trip Cancellations'!$F:$F)</f>
        <v>0</v>
      </c>
      <c r="AE334" s="4">
        <f t="shared" si="5"/>
        <v>713.82</v>
      </c>
      <c r="AF334" t="s">
        <v>148</v>
      </c>
      <c r="AG334">
        <v>5</v>
      </c>
      <c r="AH334" s="5">
        <v>304.5</v>
      </c>
      <c r="AI334" t="s">
        <v>148</v>
      </c>
    </row>
    <row r="335" spans="1:35">
      <c r="A335" t="s">
        <v>633</v>
      </c>
      <c r="B335" t="s">
        <v>634</v>
      </c>
      <c r="C335" t="s">
        <v>282</v>
      </c>
      <c r="D335" t="s">
        <v>168</v>
      </c>
      <c r="E335" t="s">
        <v>139</v>
      </c>
      <c r="F335" t="s">
        <v>207</v>
      </c>
      <c r="G335" s="3">
        <v>46167</v>
      </c>
      <c r="H335" s="3">
        <v>46182</v>
      </c>
      <c r="I335" s="3">
        <v>46185</v>
      </c>
      <c r="J335" t="s">
        <v>141</v>
      </c>
      <c r="K335" t="s">
        <v>282</v>
      </c>
      <c r="L335" t="s">
        <v>151</v>
      </c>
      <c r="M335" t="s">
        <v>152</v>
      </c>
      <c r="N335" t="s">
        <v>153</v>
      </c>
      <c r="O335">
        <v>2840</v>
      </c>
      <c r="P335">
        <v>15</v>
      </c>
      <c r="Q335" t="s">
        <v>145</v>
      </c>
      <c r="R335" t="s">
        <v>154</v>
      </c>
      <c r="S335" t="s">
        <v>155</v>
      </c>
      <c r="T335" s="4">
        <v>383.28</v>
      </c>
      <c r="U335" s="4">
        <v>0</v>
      </c>
      <c r="V335" s="4">
        <v>2</v>
      </c>
      <c r="W335" s="4">
        <v>393.46</v>
      </c>
      <c r="X335" s="4">
        <v>86.3</v>
      </c>
      <c r="Y335" s="4">
        <v>863.04</v>
      </c>
      <c r="Z335" s="4" t="s">
        <v>147</v>
      </c>
      <c r="AA335" s="4" t="s">
        <v>148</v>
      </c>
      <c r="AB335" s="4">
        <f>SUMIF('Trip Changes'!$B:$B,A335,'Trip Changes'!$E:$E)</f>
        <v>0</v>
      </c>
      <c r="AC335" s="4">
        <f>SUMIF('Trip Cancellations'!$B:$B,A335,'Trip Cancellations'!$E:$E)</f>
        <v>108.98</v>
      </c>
      <c r="AD335" s="4">
        <f>SUMIF('Trip Cancellations'!$B:$B,A335,'Trip Cancellations'!$F:$F)</f>
        <v>699.07</v>
      </c>
      <c r="AE335" s="4">
        <f t="shared" si="5"/>
        <v>272.94999999999993</v>
      </c>
      <c r="AF335" t="s">
        <v>148</v>
      </c>
      <c r="AG335">
        <v>3</v>
      </c>
      <c r="AH335" s="5">
        <v>426</v>
      </c>
      <c r="AI335" t="s">
        <v>148</v>
      </c>
    </row>
    <row r="336" spans="1:35">
      <c r="A336" t="s">
        <v>635</v>
      </c>
      <c r="B336" t="s">
        <v>634</v>
      </c>
      <c r="C336" t="s">
        <v>282</v>
      </c>
      <c r="D336" t="s">
        <v>168</v>
      </c>
      <c r="E336" t="s">
        <v>139</v>
      </c>
      <c r="F336" t="s">
        <v>162</v>
      </c>
      <c r="G336" s="3">
        <v>46174</v>
      </c>
      <c r="H336" s="3">
        <v>46186</v>
      </c>
      <c r="I336" s="3">
        <v>46188</v>
      </c>
      <c r="J336" t="s">
        <v>141</v>
      </c>
      <c r="K336" t="s">
        <v>282</v>
      </c>
      <c r="L336" t="s">
        <v>182</v>
      </c>
      <c r="M336" t="s">
        <v>143</v>
      </c>
      <c r="N336" t="s">
        <v>144</v>
      </c>
      <c r="O336">
        <v>504</v>
      </c>
      <c r="P336">
        <v>12</v>
      </c>
      <c r="Q336" t="s">
        <v>145</v>
      </c>
      <c r="S336" t="s">
        <v>146</v>
      </c>
      <c r="T336" s="4">
        <v>0</v>
      </c>
      <c r="U336" s="4">
        <v>445.71</v>
      </c>
      <c r="V336" s="4">
        <v>1</v>
      </c>
      <c r="W336" s="4">
        <v>152.74</v>
      </c>
      <c r="X336" s="4">
        <v>90.55</v>
      </c>
      <c r="Y336" s="4">
        <v>689</v>
      </c>
      <c r="Z336" s="4" t="s">
        <v>147</v>
      </c>
      <c r="AA336" s="4" t="s">
        <v>147</v>
      </c>
      <c r="AB336" s="4">
        <f>SUMIF('Trip Changes'!$B:$B,A336,'Trip Changes'!$E:$E)</f>
        <v>0</v>
      </c>
      <c r="AC336" s="4">
        <f>SUMIF('Trip Cancellations'!$B:$B,A336,'Trip Cancellations'!$E:$E)</f>
        <v>0</v>
      </c>
      <c r="AD336" s="4">
        <f>SUMIF('Trip Cancellations'!$B:$B,A336,'Trip Cancellations'!$F:$F)</f>
        <v>0</v>
      </c>
      <c r="AE336" s="4">
        <f t="shared" si="5"/>
        <v>689</v>
      </c>
      <c r="AF336" t="s">
        <v>148</v>
      </c>
      <c r="AG336">
        <v>5</v>
      </c>
      <c r="AH336" s="5">
        <v>20.2</v>
      </c>
      <c r="AI336" t="s">
        <v>148</v>
      </c>
    </row>
    <row r="337" spans="1:35">
      <c r="A337" t="s">
        <v>636</v>
      </c>
      <c r="B337" t="s">
        <v>637</v>
      </c>
      <c r="C337" t="s">
        <v>307</v>
      </c>
      <c r="D337" t="s">
        <v>230</v>
      </c>
      <c r="E337" t="s">
        <v>249</v>
      </c>
      <c r="F337" t="s">
        <v>170</v>
      </c>
      <c r="G337" s="3">
        <v>46172</v>
      </c>
      <c r="H337" s="3">
        <v>46181</v>
      </c>
      <c r="I337" s="3">
        <v>46185</v>
      </c>
      <c r="J337" t="s">
        <v>141</v>
      </c>
      <c r="K337" t="s">
        <v>307</v>
      </c>
      <c r="L337" t="s">
        <v>151</v>
      </c>
      <c r="M337" t="s">
        <v>152</v>
      </c>
      <c r="N337" t="s">
        <v>153</v>
      </c>
      <c r="O337">
        <v>3052</v>
      </c>
      <c r="P337">
        <v>9</v>
      </c>
      <c r="Q337" t="s">
        <v>145</v>
      </c>
      <c r="R337" t="s">
        <v>176</v>
      </c>
      <c r="S337" t="s">
        <v>155</v>
      </c>
      <c r="T337" s="4">
        <v>390.2</v>
      </c>
      <c r="U337" s="4">
        <v>0</v>
      </c>
      <c r="V337" s="4">
        <v>3</v>
      </c>
      <c r="W337" s="4">
        <v>545.73</v>
      </c>
      <c r="X337" s="4">
        <v>64.94</v>
      </c>
      <c r="Y337" s="4">
        <v>1000.87</v>
      </c>
      <c r="Z337" s="4" t="s">
        <v>147</v>
      </c>
      <c r="AA337" s="4" t="s">
        <v>147</v>
      </c>
      <c r="AB337" s="4">
        <f>SUMIF('Trip Changes'!$B:$B,A337,'Trip Changes'!$E:$E)</f>
        <v>0</v>
      </c>
      <c r="AC337" s="4">
        <f>SUMIF('Trip Cancellations'!$B:$B,A337,'Trip Cancellations'!$E:$E)</f>
        <v>0</v>
      </c>
      <c r="AD337" s="4">
        <f>SUMIF('Trip Cancellations'!$B:$B,A337,'Trip Cancellations'!$F:$F)</f>
        <v>0</v>
      </c>
      <c r="AE337" s="4">
        <f t="shared" si="5"/>
        <v>1000.87</v>
      </c>
      <c r="AF337" t="s">
        <v>148</v>
      </c>
      <c r="AG337">
        <v>4</v>
      </c>
      <c r="AH337" s="5">
        <v>457.8</v>
      </c>
      <c r="AI337" t="s">
        <v>148</v>
      </c>
    </row>
    <row r="338" spans="1:35">
      <c r="A338" t="s">
        <v>638</v>
      </c>
      <c r="B338" t="s">
        <v>637</v>
      </c>
      <c r="C338" t="s">
        <v>307</v>
      </c>
      <c r="D338" t="s">
        <v>230</v>
      </c>
      <c r="E338" t="s">
        <v>249</v>
      </c>
      <c r="F338" t="s">
        <v>189</v>
      </c>
      <c r="G338" s="3">
        <v>46191</v>
      </c>
      <c r="H338" s="3">
        <v>46192</v>
      </c>
      <c r="I338" s="3">
        <v>46195</v>
      </c>
      <c r="J338" t="s">
        <v>141</v>
      </c>
      <c r="K338" t="s">
        <v>307</v>
      </c>
      <c r="L338" t="s">
        <v>185</v>
      </c>
      <c r="M338" t="s">
        <v>152</v>
      </c>
      <c r="N338" t="s">
        <v>153</v>
      </c>
      <c r="O338">
        <v>12674</v>
      </c>
      <c r="P338">
        <v>1</v>
      </c>
      <c r="Q338" t="s">
        <v>145</v>
      </c>
      <c r="R338" t="s">
        <v>154</v>
      </c>
      <c r="S338" t="s">
        <v>187</v>
      </c>
      <c r="T338" s="4">
        <v>1461.8</v>
      </c>
      <c r="U338" s="4">
        <v>0</v>
      </c>
      <c r="V338" s="4">
        <v>2</v>
      </c>
      <c r="W338" s="4">
        <v>372.14</v>
      </c>
      <c r="X338" s="4">
        <v>33.25</v>
      </c>
      <c r="Y338" s="4">
        <v>1867.19</v>
      </c>
      <c r="Z338" s="4" t="s">
        <v>148</v>
      </c>
      <c r="AA338" s="4" t="s">
        <v>147</v>
      </c>
      <c r="AB338" s="4">
        <f>SUMIF('Trip Changes'!$B:$B,A338,'Trip Changes'!$E:$E)</f>
        <v>149.43</v>
      </c>
      <c r="AC338" s="4">
        <f>SUMIF('Trip Cancellations'!$B:$B,A338,'Trip Cancellations'!$E:$E)</f>
        <v>0</v>
      </c>
      <c r="AD338" s="4">
        <f>SUMIF('Trip Cancellations'!$B:$B,A338,'Trip Cancellations'!$F:$F)</f>
        <v>0</v>
      </c>
      <c r="AE338" s="4">
        <f t="shared" si="5"/>
        <v>2016.6200000000001</v>
      </c>
      <c r="AF338" t="s">
        <v>148</v>
      </c>
      <c r="AG338">
        <v>4</v>
      </c>
      <c r="AH338" s="5">
        <v>1901.1</v>
      </c>
      <c r="AI338" t="s">
        <v>148</v>
      </c>
    </row>
    <row r="339" spans="1:35">
      <c r="A339" t="s">
        <v>639</v>
      </c>
      <c r="B339" t="s">
        <v>640</v>
      </c>
      <c r="C339" t="s">
        <v>193</v>
      </c>
      <c r="D339" t="s">
        <v>138</v>
      </c>
      <c r="E339" t="s">
        <v>139</v>
      </c>
      <c r="F339" t="s">
        <v>162</v>
      </c>
      <c r="G339" s="3">
        <v>46214</v>
      </c>
      <c r="H339" s="3">
        <v>46218</v>
      </c>
      <c r="I339" s="3">
        <v>46223</v>
      </c>
      <c r="J339" t="s">
        <v>150</v>
      </c>
      <c r="K339" t="s">
        <v>193</v>
      </c>
      <c r="L339" t="s">
        <v>227</v>
      </c>
      <c r="M339" t="s">
        <v>152</v>
      </c>
      <c r="N339" t="s">
        <v>153</v>
      </c>
      <c r="O339">
        <v>3210</v>
      </c>
      <c r="P339">
        <v>4</v>
      </c>
      <c r="Q339" t="s">
        <v>145</v>
      </c>
      <c r="R339" t="s">
        <v>154</v>
      </c>
      <c r="S339" t="s">
        <v>173</v>
      </c>
      <c r="T339" s="4">
        <v>664.98</v>
      </c>
      <c r="U339" s="4">
        <v>0</v>
      </c>
      <c r="V339" s="4">
        <v>4</v>
      </c>
      <c r="W339" s="4">
        <v>633.26</v>
      </c>
      <c r="X339" s="4">
        <v>77.02</v>
      </c>
      <c r="Y339" s="4">
        <v>1375.26</v>
      </c>
      <c r="Z339" s="4" t="s">
        <v>147</v>
      </c>
      <c r="AA339" s="4" t="s">
        <v>147</v>
      </c>
      <c r="AB339" s="4">
        <f>SUMIF('Trip Changes'!$B:$B,A339,'Trip Changes'!$E:$E)</f>
        <v>0</v>
      </c>
      <c r="AC339" s="4">
        <f>SUMIF('Trip Cancellations'!$B:$B,A339,'Trip Cancellations'!$E:$E)</f>
        <v>0</v>
      </c>
      <c r="AD339" s="4">
        <f>SUMIF('Trip Cancellations'!$B:$B,A339,'Trip Cancellations'!$F:$F)</f>
        <v>0</v>
      </c>
      <c r="AE339" s="4">
        <f t="shared" si="5"/>
        <v>1375.26</v>
      </c>
      <c r="AF339" t="s">
        <v>147</v>
      </c>
      <c r="AG339">
        <v>5</v>
      </c>
      <c r="AH339" s="5">
        <v>481.5</v>
      </c>
      <c r="AI339" t="s">
        <v>147</v>
      </c>
    </row>
    <row r="340" spans="1:35">
      <c r="A340" t="s">
        <v>641</v>
      </c>
      <c r="B340" t="s">
        <v>642</v>
      </c>
      <c r="C340" t="s">
        <v>182</v>
      </c>
      <c r="D340" t="s">
        <v>168</v>
      </c>
      <c r="E340" t="s">
        <v>139</v>
      </c>
      <c r="F340" t="s">
        <v>181</v>
      </c>
      <c r="G340" s="3">
        <v>46183</v>
      </c>
      <c r="H340" s="3">
        <v>46203</v>
      </c>
      <c r="I340" s="3">
        <v>46206</v>
      </c>
      <c r="J340" t="s">
        <v>141</v>
      </c>
      <c r="K340" t="s">
        <v>182</v>
      </c>
      <c r="L340" t="s">
        <v>175</v>
      </c>
      <c r="M340" t="s">
        <v>152</v>
      </c>
      <c r="N340" t="s">
        <v>153</v>
      </c>
      <c r="O340">
        <v>3242</v>
      </c>
      <c r="P340">
        <v>20</v>
      </c>
      <c r="Q340" t="s">
        <v>159</v>
      </c>
      <c r="R340" t="s">
        <v>176</v>
      </c>
      <c r="S340" t="s">
        <v>155</v>
      </c>
      <c r="T340" s="4">
        <v>489.07</v>
      </c>
      <c r="U340" s="4">
        <v>0</v>
      </c>
      <c r="V340" s="4">
        <v>2</v>
      </c>
      <c r="W340" s="4">
        <v>319.02999999999997</v>
      </c>
      <c r="X340" s="4">
        <v>128.74</v>
      </c>
      <c r="Y340" s="4">
        <v>936.84</v>
      </c>
      <c r="Z340" s="4" t="s">
        <v>147</v>
      </c>
      <c r="AA340" s="4" t="s">
        <v>147</v>
      </c>
      <c r="AB340" s="4">
        <f>SUMIF('Trip Changes'!$B:$B,A340,'Trip Changes'!$E:$E)</f>
        <v>0</v>
      </c>
      <c r="AC340" s="4">
        <f>SUMIF('Trip Cancellations'!$B:$B,A340,'Trip Cancellations'!$E:$E)</f>
        <v>0</v>
      </c>
      <c r="AD340" s="4">
        <f>SUMIF('Trip Cancellations'!$B:$B,A340,'Trip Cancellations'!$F:$F)</f>
        <v>0</v>
      </c>
      <c r="AE340" s="4">
        <f t="shared" si="5"/>
        <v>936.84</v>
      </c>
      <c r="AF340" t="s">
        <v>148</v>
      </c>
      <c r="AG340">
        <v>5</v>
      </c>
      <c r="AH340" s="5">
        <v>486.3</v>
      </c>
      <c r="AI340" t="s">
        <v>147</v>
      </c>
    </row>
    <row r="341" spans="1:35">
      <c r="A341" t="s">
        <v>643</v>
      </c>
      <c r="B341" t="s">
        <v>642</v>
      </c>
      <c r="C341" t="s">
        <v>182</v>
      </c>
      <c r="D341" t="s">
        <v>168</v>
      </c>
      <c r="E341" t="s">
        <v>139</v>
      </c>
      <c r="F341" t="s">
        <v>157</v>
      </c>
      <c r="G341" s="3">
        <v>46219</v>
      </c>
      <c r="H341" s="3">
        <v>46223</v>
      </c>
      <c r="I341" s="3">
        <v>46225</v>
      </c>
      <c r="J341" t="s">
        <v>150</v>
      </c>
      <c r="K341" t="s">
        <v>182</v>
      </c>
      <c r="L341" t="s">
        <v>307</v>
      </c>
      <c r="M341" t="s">
        <v>143</v>
      </c>
      <c r="N341" t="s">
        <v>153</v>
      </c>
      <c r="O341">
        <v>1134</v>
      </c>
      <c r="P341">
        <v>4</v>
      </c>
      <c r="Q341" t="s">
        <v>216</v>
      </c>
      <c r="R341" t="s">
        <v>176</v>
      </c>
      <c r="S341" t="s">
        <v>146</v>
      </c>
      <c r="T341" s="4">
        <v>388.64</v>
      </c>
      <c r="U341" s="4">
        <v>0</v>
      </c>
      <c r="V341" s="4">
        <v>1</v>
      </c>
      <c r="W341" s="4">
        <v>112.08</v>
      </c>
      <c r="X341" s="4">
        <v>73.739999999999995</v>
      </c>
      <c r="Y341" s="4">
        <v>574.46</v>
      </c>
      <c r="Z341" s="4" t="s">
        <v>148</v>
      </c>
      <c r="AA341" s="4" t="s">
        <v>147</v>
      </c>
      <c r="AB341" s="4">
        <f>SUMIF('Trip Changes'!$B:$B,A341,'Trip Changes'!$E:$E)</f>
        <v>175.55</v>
      </c>
      <c r="AC341" s="4">
        <f>SUMIF('Trip Cancellations'!$B:$B,A341,'Trip Cancellations'!$E:$E)</f>
        <v>0</v>
      </c>
      <c r="AD341" s="4">
        <f>SUMIF('Trip Cancellations'!$B:$B,A341,'Trip Cancellations'!$F:$F)</f>
        <v>0</v>
      </c>
      <c r="AE341" s="4">
        <f t="shared" si="5"/>
        <v>750.01</v>
      </c>
      <c r="AF341" t="s">
        <v>148</v>
      </c>
      <c r="AG341">
        <v>5</v>
      </c>
      <c r="AH341" s="5">
        <v>170.1</v>
      </c>
      <c r="AI341" t="s">
        <v>148</v>
      </c>
    </row>
    <row r="342" spans="1:35">
      <c r="A342" t="s">
        <v>644</v>
      </c>
      <c r="B342" t="s">
        <v>645</v>
      </c>
      <c r="C342" t="s">
        <v>203</v>
      </c>
      <c r="D342" t="s">
        <v>138</v>
      </c>
      <c r="E342" t="s">
        <v>268</v>
      </c>
      <c r="F342" t="s">
        <v>162</v>
      </c>
      <c r="G342" s="3">
        <v>46150</v>
      </c>
      <c r="H342" s="3">
        <v>46162</v>
      </c>
      <c r="I342" s="3">
        <v>46165</v>
      </c>
      <c r="J342" t="s">
        <v>163</v>
      </c>
      <c r="K342" t="s">
        <v>203</v>
      </c>
      <c r="L342" t="s">
        <v>233</v>
      </c>
      <c r="M342" t="s">
        <v>152</v>
      </c>
      <c r="N342" t="s">
        <v>153</v>
      </c>
      <c r="O342">
        <v>2048</v>
      </c>
      <c r="P342">
        <v>12</v>
      </c>
      <c r="Q342" t="s">
        <v>207</v>
      </c>
      <c r="R342" t="s">
        <v>154</v>
      </c>
      <c r="S342" t="s">
        <v>155</v>
      </c>
      <c r="T342" s="4">
        <v>253.4</v>
      </c>
      <c r="U342" s="4">
        <v>0</v>
      </c>
      <c r="V342" s="4">
        <v>2</v>
      </c>
      <c r="W342" s="4">
        <v>404.87</v>
      </c>
      <c r="X342" s="4">
        <v>37.75</v>
      </c>
      <c r="Y342" s="4">
        <v>696.02</v>
      </c>
      <c r="Z342" s="4" t="s">
        <v>147</v>
      </c>
      <c r="AA342" s="4" t="s">
        <v>147</v>
      </c>
      <c r="AB342" s="4">
        <f>SUMIF('Trip Changes'!$B:$B,A342,'Trip Changes'!$E:$E)</f>
        <v>0</v>
      </c>
      <c r="AC342" s="4">
        <f>SUMIF('Trip Cancellations'!$B:$B,A342,'Trip Cancellations'!$E:$E)</f>
        <v>0</v>
      </c>
      <c r="AD342" s="4">
        <f>SUMIF('Trip Cancellations'!$B:$B,A342,'Trip Cancellations'!$F:$F)</f>
        <v>0</v>
      </c>
      <c r="AE342" s="4">
        <f t="shared" si="5"/>
        <v>696.02</v>
      </c>
      <c r="AF342" t="s">
        <v>148</v>
      </c>
      <c r="AG342">
        <v>4</v>
      </c>
      <c r="AH342" s="5">
        <v>307.2</v>
      </c>
      <c r="AI342" t="s">
        <v>147</v>
      </c>
    </row>
    <row r="343" spans="1:35">
      <c r="A343" t="s">
        <v>646</v>
      </c>
      <c r="B343" t="s">
        <v>645</v>
      </c>
      <c r="C343" t="s">
        <v>203</v>
      </c>
      <c r="D343" t="s">
        <v>138</v>
      </c>
      <c r="E343" t="s">
        <v>268</v>
      </c>
      <c r="F343" t="s">
        <v>140</v>
      </c>
      <c r="G343" s="3">
        <v>46198</v>
      </c>
      <c r="H343" s="3">
        <v>46199</v>
      </c>
      <c r="I343" s="3">
        <v>46202</v>
      </c>
      <c r="J343" t="s">
        <v>141</v>
      </c>
      <c r="K343" t="s">
        <v>203</v>
      </c>
      <c r="L343" t="s">
        <v>264</v>
      </c>
      <c r="M343" t="s">
        <v>152</v>
      </c>
      <c r="N343" t="s">
        <v>153</v>
      </c>
      <c r="O343">
        <v>3382</v>
      </c>
      <c r="P343">
        <v>1</v>
      </c>
      <c r="Q343" t="s">
        <v>207</v>
      </c>
      <c r="R343" t="s">
        <v>160</v>
      </c>
      <c r="S343" t="s">
        <v>187</v>
      </c>
      <c r="T343" s="4">
        <v>349.43</v>
      </c>
      <c r="U343" s="4">
        <v>0</v>
      </c>
      <c r="V343" s="4">
        <v>2</v>
      </c>
      <c r="W343" s="4">
        <v>275.61</v>
      </c>
      <c r="X343" s="4">
        <v>66.58</v>
      </c>
      <c r="Y343" s="4">
        <v>691.62</v>
      </c>
      <c r="Z343" s="4" t="s">
        <v>147</v>
      </c>
      <c r="AA343" s="4" t="s">
        <v>147</v>
      </c>
      <c r="AB343" s="4">
        <f>SUMIF('Trip Changes'!$B:$B,A343,'Trip Changes'!$E:$E)</f>
        <v>0</v>
      </c>
      <c r="AC343" s="4">
        <f>SUMIF('Trip Cancellations'!$B:$B,A343,'Trip Cancellations'!$E:$E)</f>
        <v>0</v>
      </c>
      <c r="AD343" s="4">
        <f>SUMIF('Trip Cancellations'!$B:$B,A343,'Trip Cancellations'!$F:$F)</f>
        <v>0</v>
      </c>
      <c r="AE343" s="4">
        <f t="shared" si="5"/>
        <v>691.62</v>
      </c>
      <c r="AF343" t="s">
        <v>148</v>
      </c>
      <c r="AG343">
        <v>3</v>
      </c>
      <c r="AH343" s="5">
        <v>507.3</v>
      </c>
      <c r="AI343" t="s">
        <v>147</v>
      </c>
    </row>
    <row r="344" spans="1:35">
      <c r="A344" t="s">
        <v>647</v>
      </c>
      <c r="B344" t="s">
        <v>645</v>
      </c>
      <c r="C344" t="s">
        <v>203</v>
      </c>
      <c r="D344" t="s">
        <v>138</v>
      </c>
      <c r="E344" t="s">
        <v>268</v>
      </c>
      <c r="F344" t="s">
        <v>162</v>
      </c>
      <c r="G344" s="3">
        <v>46181</v>
      </c>
      <c r="H344" s="3">
        <v>46197</v>
      </c>
      <c r="I344" s="3">
        <v>46199</v>
      </c>
      <c r="J344" t="s">
        <v>141</v>
      </c>
      <c r="K344" t="s">
        <v>203</v>
      </c>
      <c r="L344" t="s">
        <v>225</v>
      </c>
      <c r="M344" t="s">
        <v>152</v>
      </c>
      <c r="N344" t="s">
        <v>153</v>
      </c>
      <c r="O344">
        <v>2568</v>
      </c>
      <c r="P344">
        <v>16</v>
      </c>
      <c r="Q344" t="s">
        <v>159</v>
      </c>
      <c r="R344" t="s">
        <v>236</v>
      </c>
      <c r="S344" t="s">
        <v>190</v>
      </c>
      <c r="T344" s="4">
        <v>465.97</v>
      </c>
      <c r="U344" s="4">
        <v>0</v>
      </c>
      <c r="V344" s="4">
        <v>1</v>
      </c>
      <c r="W344" s="4">
        <v>147.83000000000001</v>
      </c>
      <c r="X344" s="4">
        <v>100.36</v>
      </c>
      <c r="Y344" s="4">
        <v>714.16</v>
      </c>
      <c r="Z344" s="4" t="s">
        <v>148</v>
      </c>
      <c r="AA344" s="4" t="s">
        <v>147</v>
      </c>
      <c r="AB344" s="4">
        <f>SUMIF('Trip Changes'!$B:$B,A344,'Trip Changes'!$E:$E)</f>
        <v>217.03</v>
      </c>
      <c r="AC344" s="4">
        <f>SUMIF('Trip Cancellations'!$B:$B,A344,'Trip Cancellations'!$E:$E)</f>
        <v>0</v>
      </c>
      <c r="AD344" s="4">
        <f>SUMIF('Trip Cancellations'!$B:$B,A344,'Trip Cancellations'!$F:$F)</f>
        <v>0</v>
      </c>
      <c r="AE344" s="4">
        <f t="shared" si="5"/>
        <v>931.18999999999994</v>
      </c>
      <c r="AF344" t="s">
        <v>148</v>
      </c>
      <c r="AG344">
        <v>4</v>
      </c>
      <c r="AH344" s="5">
        <v>385.2</v>
      </c>
      <c r="AI344" t="s">
        <v>148</v>
      </c>
    </row>
    <row r="345" spans="1:35">
      <c r="A345" t="s">
        <v>648</v>
      </c>
      <c r="B345" t="s">
        <v>645</v>
      </c>
      <c r="C345" t="s">
        <v>203</v>
      </c>
      <c r="D345" t="s">
        <v>138</v>
      </c>
      <c r="E345" t="s">
        <v>268</v>
      </c>
      <c r="F345" t="s">
        <v>157</v>
      </c>
      <c r="G345" s="3">
        <v>46191</v>
      </c>
      <c r="H345" s="3">
        <v>46192</v>
      </c>
      <c r="I345" s="3">
        <v>46194</v>
      </c>
      <c r="J345" t="s">
        <v>141</v>
      </c>
      <c r="K345" t="s">
        <v>203</v>
      </c>
      <c r="L345" t="s">
        <v>185</v>
      </c>
      <c r="M345" t="s">
        <v>152</v>
      </c>
      <c r="N345" t="s">
        <v>153</v>
      </c>
      <c r="O345">
        <v>12146</v>
      </c>
      <c r="P345">
        <v>1</v>
      </c>
      <c r="Q345" t="s">
        <v>145</v>
      </c>
      <c r="R345" t="s">
        <v>186</v>
      </c>
      <c r="S345" t="s">
        <v>173</v>
      </c>
      <c r="T345" s="4">
        <v>1305.6099999999999</v>
      </c>
      <c r="U345" s="4">
        <v>0</v>
      </c>
      <c r="V345" s="4">
        <v>1</v>
      </c>
      <c r="W345" s="4">
        <v>172.74</v>
      </c>
      <c r="X345" s="4">
        <v>98.15</v>
      </c>
      <c r="Y345" s="4">
        <v>1576.5</v>
      </c>
      <c r="Z345" s="4" t="s">
        <v>148</v>
      </c>
      <c r="AA345" s="4" t="s">
        <v>147</v>
      </c>
      <c r="AB345" s="4">
        <f>SUMIF('Trip Changes'!$B:$B,A345,'Trip Changes'!$E:$E)</f>
        <v>15</v>
      </c>
      <c r="AC345" s="4">
        <f>SUMIF('Trip Cancellations'!$B:$B,A345,'Trip Cancellations'!$E:$E)</f>
        <v>0</v>
      </c>
      <c r="AD345" s="4">
        <f>SUMIF('Trip Cancellations'!$B:$B,A345,'Trip Cancellations'!$F:$F)</f>
        <v>0</v>
      </c>
      <c r="AE345" s="4">
        <f t="shared" si="5"/>
        <v>1591.5</v>
      </c>
      <c r="AF345" t="s">
        <v>148</v>
      </c>
      <c r="AG345">
        <v>4</v>
      </c>
      <c r="AH345" s="5">
        <v>1821.9</v>
      </c>
      <c r="AI345" t="s">
        <v>147</v>
      </c>
    </row>
    <row r="346" spans="1:35">
      <c r="A346" t="s">
        <v>649</v>
      </c>
      <c r="B346" t="s">
        <v>650</v>
      </c>
      <c r="C346" t="s">
        <v>307</v>
      </c>
      <c r="D346" t="s">
        <v>248</v>
      </c>
      <c r="E346" t="s">
        <v>249</v>
      </c>
      <c r="F346" t="s">
        <v>162</v>
      </c>
      <c r="G346" s="3">
        <v>46155</v>
      </c>
      <c r="H346" s="3">
        <v>46169</v>
      </c>
      <c r="I346" s="3">
        <v>46173</v>
      </c>
      <c r="J346" t="s">
        <v>163</v>
      </c>
      <c r="K346" t="s">
        <v>307</v>
      </c>
      <c r="L346" t="s">
        <v>233</v>
      </c>
      <c r="M346" t="s">
        <v>152</v>
      </c>
      <c r="N346" t="s">
        <v>153</v>
      </c>
      <c r="O346">
        <v>2042</v>
      </c>
      <c r="P346">
        <v>14</v>
      </c>
      <c r="Q346" t="s">
        <v>145</v>
      </c>
      <c r="R346" t="s">
        <v>154</v>
      </c>
      <c r="S346" t="s">
        <v>164</v>
      </c>
      <c r="T346" s="4">
        <v>369.29</v>
      </c>
      <c r="U346" s="4">
        <v>0</v>
      </c>
      <c r="V346" s="4">
        <v>3</v>
      </c>
      <c r="W346" s="4">
        <v>507.33</v>
      </c>
      <c r="X346" s="4">
        <v>107.45</v>
      </c>
      <c r="Y346" s="4">
        <v>984.07</v>
      </c>
      <c r="Z346" s="4" t="s">
        <v>147</v>
      </c>
      <c r="AA346" s="4" t="s">
        <v>147</v>
      </c>
      <c r="AB346" s="4">
        <f>SUMIF('Trip Changes'!$B:$B,A346,'Trip Changes'!$E:$E)</f>
        <v>0</v>
      </c>
      <c r="AC346" s="4">
        <f>SUMIF('Trip Cancellations'!$B:$B,A346,'Trip Cancellations'!$E:$E)</f>
        <v>0</v>
      </c>
      <c r="AD346" s="4">
        <f>SUMIF('Trip Cancellations'!$B:$B,A346,'Trip Cancellations'!$F:$F)</f>
        <v>0</v>
      </c>
      <c r="AE346" s="4">
        <f t="shared" si="5"/>
        <v>984.07</v>
      </c>
      <c r="AF346" t="s">
        <v>148</v>
      </c>
      <c r="AG346">
        <v>5</v>
      </c>
      <c r="AH346" s="5">
        <v>306.3</v>
      </c>
      <c r="AI346" t="s">
        <v>147</v>
      </c>
    </row>
    <row r="347" spans="1:35">
      <c r="A347" t="s">
        <v>651</v>
      </c>
      <c r="B347" t="s">
        <v>650</v>
      </c>
      <c r="C347" t="s">
        <v>307</v>
      </c>
      <c r="D347" t="s">
        <v>248</v>
      </c>
      <c r="E347" t="s">
        <v>249</v>
      </c>
      <c r="F347" t="s">
        <v>140</v>
      </c>
      <c r="G347" s="3">
        <v>46191</v>
      </c>
      <c r="H347" s="3">
        <v>46207</v>
      </c>
      <c r="I347" s="3">
        <v>46210</v>
      </c>
      <c r="J347" t="s">
        <v>150</v>
      </c>
      <c r="K347" t="s">
        <v>307</v>
      </c>
      <c r="L347" t="s">
        <v>199</v>
      </c>
      <c r="M347" t="s">
        <v>152</v>
      </c>
      <c r="N347" t="s">
        <v>153</v>
      </c>
      <c r="O347">
        <v>2274</v>
      </c>
      <c r="P347">
        <v>16</v>
      </c>
      <c r="Q347" t="s">
        <v>145</v>
      </c>
      <c r="R347" t="s">
        <v>154</v>
      </c>
      <c r="S347" t="s">
        <v>187</v>
      </c>
      <c r="T347" s="4">
        <v>499.41</v>
      </c>
      <c r="U347" s="4">
        <v>0</v>
      </c>
      <c r="V347" s="4">
        <v>2</v>
      </c>
      <c r="W347" s="4">
        <v>373.3</v>
      </c>
      <c r="X347" s="4">
        <v>76.569999999999993</v>
      </c>
      <c r="Y347" s="4">
        <v>949.28</v>
      </c>
      <c r="Z347" s="4" t="s">
        <v>147</v>
      </c>
      <c r="AA347" s="4" t="s">
        <v>147</v>
      </c>
      <c r="AB347" s="4">
        <f>SUMIF('Trip Changes'!$B:$B,A347,'Trip Changes'!$E:$E)</f>
        <v>0</v>
      </c>
      <c r="AC347" s="4">
        <f>SUMIF('Trip Cancellations'!$B:$B,A347,'Trip Cancellations'!$E:$E)</f>
        <v>0</v>
      </c>
      <c r="AD347" s="4">
        <f>SUMIF('Trip Cancellations'!$B:$B,A347,'Trip Cancellations'!$F:$F)</f>
        <v>0</v>
      </c>
      <c r="AE347" s="4">
        <f t="shared" si="5"/>
        <v>949.28</v>
      </c>
      <c r="AF347" t="s">
        <v>148</v>
      </c>
      <c r="AG347">
        <v>4</v>
      </c>
      <c r="AH347" s="5">
        <v>341.1</v>
      </c>
      <c r="AI347" t="s">
        <v>148</v>
      </c>
    </row>
    <row r="348" spans="1:35">
      <c r="A348" t="s">
        <v>652</v>
      </c>
      <c r="B348" t="s">
        <v>650</v>
      </c>
      <c r="C348" t="s">
        <v>307</v>
      </c>
      <c r="D348" t="s">
        <v>248</v>
      </c>
      <c r="E348" t="s">
        <v>249</v>
      </c>
      <c r="F348" t="s">
        <v>162</v>
      </c>
      <c r="G348" s="3">
        <v>46155</v>
      </c>
      <c r="H348" s="3">
        <v>46165</v>
      </c>
      <c r="I348" s="3">
        <v>46168</v>
      </c>
      <c r="J348" t="s">
        <v>163</v>
      </c>
      <c r="K348" t="s">
        <v>307</v>
      </c>
      <c r="L348" t="s">
        <v>203</v>
      </c>
      <c r="M348" t="s">
        <v>143</v>
      </c>
      <c r="N348" t="s">
        <v>144</v>
      </c>
      <c r="O348">
        <v>1102</v>
      </c>
      <c r="P348">
        <v>10</v>
      </c>
      <c r="Q348" t="s">
        <v>145</v>
      </c>
      <c r="S348" t="s">
        <v>164</v>
      </c>
      <c r="T348" s="4">
        <v>0</v>
      </c>
      <c r="U348" s="4">
        <v>218.19</v>
      </c>
      <c r="V348" s="4">
        <v>2</v>
      </c>
      <c r="W348" s="4">
        <v>289.62</v>
      </c>
      <c r="X348" s="4">
        <v>45.73</v>
      </c>
      <c r="Y348" s="4">
        <v>553.54</v>
      </c>
      <c r="Z348" s="4" t="s">
        <v>147</v>
      </c>
      <c r="AA348" s="4" t="s">
        <v>147</v>
      </c>
      <c r="AB348" s="4">
        <f>SUMIF('Trip Changes'!$B:$B,A348,'Trip Changes'!$E:$E)</f>
        <v>0</v>
      </c>
      <c r="AC348" s="4">
        <f>SUMIF('Trip Cancellations'!$B:$B,A348,'Trip Cancellations'!$E:$E)</f>
        <v>0</v>
      </c>
      <c r="AD348" s="4">
        <f>SUMIF('Trip Cancellations'!$B:$B,A348,'Trip Cancellations'!$F:$F)</f>
        <v>0</v>
      </c>
      <c r="AE348" s="4">
        <f t="shared" si="5"/>
        <v>553.54</v>
      </c>
      <c r="AF348" t="s">
        <v>148</v>
      </c>
      <c r="AG348">
        <v>5</v>
      </c>
      <c r="AH348" s="5">
        <v>44.1</v>
      </c>
      <c r="AI348" t="s">
        <v>147</v>
      </c>
    </row>
    <row r="349" spans="1:35">
      <c r="A349" t="s">
        <v>653</v>
      </c>
      <c r="B349" t="s">
        <v>654</v>
      </c>
      <c r="C349" t="s">
        <v>282</v>
      </c>
      <c r="D349" t="s">
        <v>138</v>
      </c>
      <c r="E349" t="s">
        <v>268</v>
      </c>
      <c r="F349" t="s">
        <v>157</v>
      </c>
      <c r="G349" s="3">
        <v>46182</v>
      </c>
      <c r="H349" s="3">
        <v>46211</v>
      </c>
      <c r="I349" s="3">
        <v>46214</v>
      </c>
      <c r="J349" t="s">
        <v>150</v>
      </c>
      <c r="K349" t="s">
        <v>282</v>
      </c>
      <c r="L349" t="s">
        <v>264</v>
      </c>
      <c r="M349" t="s">
        <v>152</v>
      </c>
      <c r="N349" t="s">
        <v>153</v>
      </c>
      <c r="O349">
        <v>3536</v>
      </c>
      <c r="P349">
        <v>29</v>
      </c>
      <c r="Q349" t="s">
        <v>145</v>
      </c>
      <c r="R349" t="s">
        <v>154</v>
      </c>
      <c r="S349" t="s">
        <v>187</v>
      </c>
      <c r="T349" s="4">
        <v>304.56</v>
      </c>
      <c r="U349" s="4">
        <v>0</v>
      </c>
      <c r="V349" s="4">
        <v>2</v>
      </c>
      <c r="W349" s="4">
        <v>221.78</v>
      </c>
      <c r="X349" s="4">
        <v>92.47</v>
      </c>
      <c r="Y349" s="4">
        <v>618.80999999999995</v>
      </c>
      <c r="Z349" s="4" t="s">
        <v>147</v>
      </c>
      <c r="AA349" s="4" t="s">
        <v>147</v>
      </c>
      <c r="AB349" s="4">
        <f>SUMIF('Trip Changes'!$B:$B,A349,'Trip Changes'!$E:$E)</f>
        <v>0</v>
      </c>
      <c r="AC349" s="4">
        <f>SUMIF('Trip Cancellations'!$B:$B,A349,'Trip Cancellations'!$E:$E)</f>
        <v>0</v>
      </c>
      <c r="AD349" s="4">
        <f>SUMIF('Trip Cancellations'!$B:$B,A349,'Trip Cancellations'!$F:$F)</f>
        <v>0</v>
      </c>
      <c r="AE349" s="4">
        <f t="shared" si="5"/>
        <v>618.80999999999995</v>
      </c>
      <c r="AF349" t="s">
        <v>148</v>
      </c>
      <c r="AG349">
        <v>3</v>
      </c>
      <c r="AH349" s="5">
        <v>530.4</v>
      </c>
      <c r="AI349" t="s">
        <v>147</v>
      </c>
    </row>
    <row r="350" spans="1:35">
      <c r="A350" t="s">
        <v>655</v>
      </c>
      <c r="B350" t="s">
        <v>654</v>
      </c>
      <c r="C350" t="s">
        <v>282</v>
      </c>
      <c r="D350" t="s">
        <v>138</v>
      </c>
      <c r="E350" t="s">
        <v>268</v>
      </c>
      <c r="F350" t="s">
        <v>140</v>
      </c>
      <c r="G350" s="3">
        <v>46192</v>
      </c>
      <c r="H350" s="3">
        <v>46212</v>
      </c>
      <c r="I350" s="3">
        <v>46216</v>
      </c>
      <c r="J350" t="s">
        <v>150</v>
      </c>
      <c r="K350" t="s">
        <v>282</v>
      </c>
      <c r="L350" t="s">
        <v>151</v>
      </c>
      <c r="M350" t="s">
        <v>152</v>
      </c>
      <c r="N350" t="s">
        <v>153</v>
      </c>
      <c r="O350">
        <v>1106</v>
      </c>
      <c r="P350">
        <v>20</v>
      </c>
      <c r="Q350" t="s">
        <v>207</v>
      </c>
      <c r="R350" t="s">
        <v>172</v>
      </c>
      <c r="S350" t="s">
        <v>155</v>
      </c>
      <c r="T350" s="4">
        <v>431.94</v>
      </c>
      <c r="U350" s="4">
        <v>0</v>
      </c>
      <c r="V350" s="4">
        <v>3</v>
      </c>
      <c r="W350" s="4">
        <v>531.23</v>
      </c>
      <c r="X350" s="4">
        <v>49.36</v>
      </c>
      <c r="Y350" s="4">
        <v>1012.53</v>
      </c>
      <c r="Z350" s="4" t="s">
        <v>147</v>
      </c>
      <c r="AA350" s="4" t="s">
        <v>147</v>
      </c>
      <c r="AB350" s="4">
        <f>SUMIF('Trip Changes'!$B:$B,A350,'Trip Changes'!$E:$E)</f>
        <v>0</v>
      </c>
      <c r="AC350" s="4">
        <f>SUMIF('Trip Cancellations'!$B:$B,A350,'Trip Cancellations'!$E:$E)</f>
        <v>0</v>
      </c>
      <c r="AD350" s="4">
        <f>SUMIF('Trip Cancellations'!$B:$B,A350,'Trip Cancellations'!$F:$F)</f>
        <v>0</v>
      </c>
      <c r="AE350" s="4">
        <f t="shared" si="5"/>
        <v>1012.53</v>
      </c>
      <c r="AF350" t="s">
        <v>148</v>
      </c>
      <c r="AG350">
        <v>5</v>
      </c>
      <c r="AH350" s="5">
        <v>165.9</v>
      </c>
      <c r="AI350" t="s">
        <v>148</v>
      </c>
    </row>
    <row r="351" spans="1:35">
      <c r="A351" t="s">
        <v>656</v>
      </c>
      <c r="B351" t="s">
        <v>657</v>
      </c>
      <c r="C351" t="s">
        <v>182</v>
      </c>
      <c r="D351" t="s">
        <v>168</v>
      </c>
      <c r="E351" t="s">
        <v>169</v>
      </c>
      <c r="F351" t="s">
        <v>162</v>
      </c>
      <c r="G351" s="3">
        <v>46203</v>
      </c>
      <c r="H351" s="3">
        <v>46225</v>
      </c>
      <c r="I351" s="3">
        <v>46231</v>
      </c>
      <c r="J351" t="s">
        <v>150</v>
      </c>
      <c r="K351" t="s">
        <v>182</v>
      </c>
      <c r="L351" t="s">
        <v>199</v>
      </c>
      <c r="M351" t="s">
        <v>152</v>
      </c>
      <c r="N351" t="s">
        <v>153</v>
      </c>
      <c r="O351">
        <v>1372</v>
      </c>
      <c r="P351">
        <v>22</v>
      </c>
      <c r="Q351" t="s">
        <v>145</v>
      </c>
      <c r="R351" t="s">
        <v>291</v>
      </c>
      <c r="S351" t="s">
        <v>187</v>
      </c>
      <c r="T351" s="4">
        <v>245.02</v>
      </c>
      <c r="U351" s="4">
        <v>0</v>
      </c>
      <c r="V351" s="4">
        <v>5</v>
      </c>
      <c r="W351" s="4">
        <v>1067.03</v>
      </c>
      <c r="X351" s="4">
        <v>124.05</v>
      </c>
      <c r="Y351" s="4">
        <v>1436.1</v>
      </c>
      <c r="Z351" s="4" t="s">
        <v>147</v>
      </c>
      <c r="AA351" s="4" t="s">
        <v>147</v>
      </c>
      <c r="AB351" s="4">
        <f>SUMIF('Trip Changes'!$B:$B,A351,'Trip Changes'!$E:$E)</f>
        <v>0</v>
      </c>
      <c r="AC351" s="4">
        <f>SUMIF('Trip Cancellations'!$B:$B,A351,'Trip Cancellations'!$E:$E)</f>
        <v>0</v>
      </c>
      <c r="AD351" s="4">
        <f>SUMIF('Trip Cancellations'!$B:$B,A351,'Trip Cancellations'!$F:$F)</f>
        <v>0</v>
      </c>
      <c r="AE351" s="4">
        <f t="shared" si="5"/>
        <v>1436.1</v>
      </c>
      <c r="AF351" t="s">
        <v>148</v>
      </c>
      <c r="AG351">
        <v>5</v>
      </c>
      <c r="AH351" s="5">
        <v>205.8</v>
      </c>
      <c r="AI351" t="s">
        <v>147</v>
      </c>
    </row>
    <row r="352" spans="1:35">
      <c r="A352" t="s">
        <v>658</v>
      </c>
      <c r="B352" t="s">
        <v>657</v>
      </c>
      <c r="C352" t="s">
        <v>182</v>
      </c>
      <c r="D352" t="s">
        <v>168</v>
      </c>
      <c r="E352" t="s">
        <v>169</v>
      </c>
      <c r="F352" t="s">
        <v>157</v>
      </c>
      <c r="G352" s="3">
        <v>46200</v>
      </c>
      <c r="H352" s="3">
        <v>46217</v>
      </c>
      <c r="I352" s="3">
        <v>46221</v>
      </c>
      <c r="J352" t="s">
        <v>150</v>
      </c>
      <c r="K352" t="s">
        <v>182</v>
      </c>
      <c r="L352" t="s">
        <v>151</v>
      </c>
      <c r="M352" t="s">
        <v>152</v>
      </c>
      <c r="N352" t="s">
        <v>153</v>
      </c>
      <c r="O352">
        <v>1654</v>
      </c>
      <c r="P352">
        <v>17</v>
      </c>
      <c r="Q352" t="s">
        <v>145</v>
      </c>
      <c r="R352" t="s">
        <v>172</v>
      </c>
      <c r="S352" t="s">
        <v>173</v>
      </c>
      <c r="T352" s="4">
        <v>416.17</v>
      </c>
      <c r="U352" s="4">
        <v>0</v>
      </c>
      <c r="V352" s="4">
        <v>3</v>
      </c>
      <c r="W352" s="4">
        <v>580.51</v>
      </c>
      <c r="X352" s="4">
        <v>50.28</v>
      </c>
      <c r="Y352" s="4">
        <v>1046.96</v>
      </c>
      <c r="Z352" s="4" t="s">
        <v>147</v>
      </c>
      <c r="AA352" s="4" t="s">
        <v>147</v>
      </c>
      <c r="AB352" s="4">
        <f>SUMIF('Trip Changes'!$B:$B,A352,'Trip Changes'!$E:$E)</f>
        <v>0</v>
      </c>
      <c r="AC352" s="4">
        <f>SUMIF('Trip Cancellations'!$B:$B,A352,'Trip Cancellations'!$E:$E)</f>
        <v>0</v>
      </c>
      <c r="AD352" s="4">
        <f>SUMIF('Trip Cancellations'!$B:$B,A352,'Trip Cancellations'!$F:$F)</f>
        <v>0</v>
      </c>
      <c r="AE352" s="4">
        <f t="shared" si="5"/>
        <v>1046.96</v>
      </c>
      <c r="AF352" t="s">
        <v>148</v>
      </c>
      <c r="AG352">
        <v>4</v>
      </c>
      <c r="AH352" s="5">
        <v>248.1</v>
      </c>
      <c r="AI352" t="s">
        <v>147</v>
      </c>
    </row>
    <row r="353" spans="1:35">
      <c r="A353" t="s">
        <v>659</v>
      </c>
      <c r="B353" t="s">
        <v>657</v>
      </c>
      <c r="C353" t="s">
        <v>182</v>
      </c>
      <c r="D353" t="s">
        <v>168</v>
      </c>
      <c r="E353" t="s">
        <v>169</v>
      </c>
      <c r="F353" t="s">
        <v>207</v>
      </c>
      <c r="G353" s="3">
        <v>46139</v>
      </c>
      <c r="H353" s="3">
        <v>46156</v>
      </c>
      <c r="I353" s="3">
        <v>46160</v>
      </c>
      <c r="J353" t="s">
        <v>163</v>
      </c>
      <c r="K353" t="s">
        <v>182</v>
      </c>
      <c r="L353" t="s">
        <v>233</v>
      </c>
      <c r="M353" t="s">
        <v>152</v>
      </c>
      <c r="N353" t="s">
        <v>153</v>
      </c>
      <c r="O353">
        <v>1782</v>
      </c>
      <c r="P353">
        <v>17</v>
      </c>
      <c r="Q353" t="s">
        <v>145</v>
      </c>
      <c r="R353" t="s">
        <v>160</v>
      </c>
      <c r="S353" t="s">
        <v>173</v>
      </c>
      <c r="T353" s="4">
        <v>301.52</v>
      </c>
      <c r="U353" s="4">
        <v>0</v>
      </c>
      <c r="V353" s="4">
        <v>3</v>
      </c>
      <c r="W353" s="4">
        <v>246.54</v>
      </c>
      <c r="X353" s="4">
        <v>59.6</v>
      </c>
      <c r="Y353" s="4">
        <v>607.66</v>
      </c>
      <c r="Z353" s="4" t="s">
        <v>147</v>
      </c>
      <c r="AA353" s="4" t="s">
        <v>147</v>
      </c>
      <c r="AB353" s="4">
        <f>SUMIF('Trip Changes'!$B:$B,A353,'Trip Changes'!$E:$E)</f>
        <v>0</v>
      </c>
      <c r="AC353" s="4">
        <f>SUMIF('Trip Cancellations'!$B:$B,A353,'Trip Cancellations'!$E:$E)</f>
        <v>0</v>
      </c>
      <c r="AD353" s="4">
        <f>SUMIF('Trip Cancellations'!$B:$B,A353,'Trip Cancellations'!$F:$F)</f>
        <v>0</v>
      </c>
      <c r="AE353" s="4">
        <f t="shared" si="5"/>
        <v>607.66</v>
      </c>
      <c r="AF353" t="s">
        <v>147</v>
      </c>
      <c r="AG353">
        <v>5</v>
      </c>
      <c r="AH353" s="5">
        <v>267.3</v>
      </c>
      <c r="AI353" t="s">
        <v>147</v>
      </c>
    </row>
    <row r="354" spans="1:35">
      <c r="A354" t="s">
        <v>660</v>
      </c>
      <c r="B354" t="s">
        <v>657</v>
      </c>
      <c r="C354" t="s">
        <v>182</v>
      </c>
      <c r="D354" t="s">
        <v>168</v>
      </c>
      <c r="E354" t="s">
        <v>169</v>
      </c>
      <c r="F354" t="s">
        <v>157</v>
      </c>
      <c r="G354" s="3">
        <v>46185</v>
      </c>
      <c r="H354" s="3">
        <v>46194</v>
      </c>
      <c r="I354" s="3">
        <v>46197</v>
      </c>
      <c r="J354" t="s">
        <v>141</v>
      </c>
      <c r="K354" t="s">
        <v>182</v>
      </c>
      <c r="L354" t="s">
        <v>307</v>
      </c>
      <c r="M354" t="s">
        <v>143</v>
      </c>
      <c r="N354" t="s">
        <v>153</v>
      </c>
      <c r="O354">
        <v>440</v>
      </c>
      <c r="P354">
        <v>9</v>
      </c>
      <c r="Q354" t="s">
        <v>216</v>
      </c>
      <c r="R354" t="s">
        <v>176</v>
      </c>
      <c r="S354" t="s">
        <v>195</v>
      </c>
      <c r="T354" s="4">
        <v>140.4</v>
      </c>
      <c r="U354" s="4">
        <v>0</v>
      </c>
      <c r="V354" s="4">
        <v>2</v>
      </c>
      <c r="W354" s="4">
        <v>195.6</v>
      </c>
      <c r="X354" s="4">
        <v>94.36</v>
      </c>
      <c r="Y354" s="4">
        <v>430.36</v>
      </c>
      <c r="Z354" s="4" t="s">
        <v>147</v>
      </c>
      <c r="AA354" s="4" t="s">
        <v>147</v>
      </c>
      <c r="AB354" s="4">
        <f>SUMIF('Trip Changes'!$B:$B,A354,'Trip Changes'!$E:$E)</f>
        <v>0</v>
      </c>
      <c r="AC354" s="4">
        <f>SUMIF('Trip Cancellations'!$B:$B,A354,'Trip Cancellations'!$E:$E)</f>
        <v>0</v>
      </c>
      <c r="AD354" s="4">
        <f>SUMIF('Trip Cancellations'!$B:$B,A354,'Trip Cancellations'!$F:$F)</f>
        <v>0</v>
      </c>
      <c r="AE354" s="4">
        <f t="shared" si="5"/>
        <v>430.36</v>
      </c>
      <c r="AF354" t="s">
        <v>148</v>
      </c>
      <c r="AG354">
        <v>5</v>
      </c>
      <c r="AH354" s="5">
        <v>66</v>
      </c>
      <c r="AI354" t="s">
        <v>148</v>
      </c>
    </row>
    <row r="355" spans="1:35">
      <c r="A355" t="s">
        <v>661</v>
      </c>
      <c r="B355" t="s">
        <v>662</v>
      </c>
      <c r="C355" t="s">
        <v>182</v>
      </c>
      <c r="D355" t="s">
        <v>168</v>
      </c>
      <c r="E355" t="s">
        <v>169</v>
      </c>
      <c r="F355" t="s">
        <v>207</v>
      </c>
      <c r="G355" s="3">
        <v>46148</v>
      </c>
      <c r="H355" s="3">
        <v>46160</v>
      </c>
      <c r="I355" s="3">
        <v>46164</v>
      </c>
      <c r="J355" t="s">
        <v>163</v>
      </c>
      <c r="K355" t="s">
        <v>182</v>
      </c>
      <c r="L355" t="s">
        <v>151</v>
      </c>
      <c r="M355" t="s">
        <v>152</v>
      </c>
      <c r="N355" t="s">
        <v>153</v>
      </c>
      <c r="O355">
        <v>1448</v>
      </c>
      <c r="P355">
        <v>12</v>
      </c>
      <c r="Q355" t="s">
        <v>145</v>
      </c>
      <c r="R355" t="s">
        <v>172</v>
      </c>
      <c r="S355" t="s">
        <v>155</v>
      </c>
      <c r="T355" s="4">
        <v>426.29</v>
      </c>
      <c r="U355" s="4">
        <v>0</v>
      </c>
      <c r="V355" s="4">
        <v>3</v>
      </c>
      <c r="W355" s="4">
        <v>634.12</v>
      </c>
      <c r="X355" s="4">
        <v>69.19</v>
      </c>
      <c r="Y355" s="4">
        <v>1129.5999999999999</v>
      </c>
      <c r="Z355" s="4" t="s">
        <v>147</v>
      </c>
      <c r="AA355" s="4" t="s">
        <v>147</v>
      </c>
      <c r="AB355" s="4">
        <f>SUMIF('Trip Changes'!$B:$B,A355,'Trip Changes'!$E:$E)</f>
        <v>0</v>
      </c>
      <c r="AC355" s="4">
        <f>SUMIF('Trip Cancellations'!$B:$B,A355,'Trip Cancellations'!$E:$E)</f>
        <v>0</v>
      </c>
      <c r="AD355" s="4">
        <f>SUMIF('Trip Cancellations'!$B:$B,A355,'Trip Cancellations'!$F:$F)</f>
        <v>0</v>
      </c>
      <c r="AE355" s="4">
        <f t="shared" si="5"/>
        <v>1129.5999999999999</v>
      </c>
      <c r="AF355" t="s">
        <v>148</v>
      </c>
      <c r="AG355">
        <v>4</v>
      </c>
      <c r="AH355" s="5">
        <v>217.2</v>
      </c>
      <c r="AI355" t="s">
        <v>147</v>
      </c>
    </row>
    <row r="356" spans="1:35">
      <c r="A356" t="s">
        <v>663</v>
      </c>
      <c r="B356" t="s">
        <v>662</v>
      </c>
      <c r="C356" t="s">
        <v>182</v>
      </c>
      <c r="D356" t="s">
        <v>168</v>
      </c>
      <c r="E356" t="s">
        <v>169</v>
      </c>
      <c r="F356" t="s">
        <v>140</v>
      </c>
      <c r="G356" s="3">
        <v>46125</v>
      </c>
      <c r="H356" s="3">
        <v>46152</v>
      </c>
      <c r="I356" s="3">
        <v>46157</v>
      </c>
      <c r="J356" t="s">
        <v>163</v>
      </c>
      <c r="K356" t="s">
        <v>182</v>
      </c>
      <c r="L356" t="s">
        <v>151</v>
      </c>
      <c r="M356" t="s">
        <v>152</v>
      </c>
      <c r="N356" t="s">
        <v>153</v>
      </c>
      <c r="O356">
        <v>1362</v>
      </c>
      <c r="P356">
        <v>27</v>
      </c>
      <c r="Q356" t="s">
        <v>159</v>
      </c>
      <c r="R356" t="s">
        <v>172</v>
      </c>
      <c r="S356" t="s">
        <v>173</v>
      </c>
      <c r="T356" s="4">
        <v>344.22</v>
      </c>
      <c r="U356" s="4">
        <v>0</v>
      </c>
      <c r="V356" s="4">
        <v>4</v>
      </c>
      <c r="W356" s="4">
        <v>863.02</v>
      </c>
      <c r="X356" s="4">
        <v>62.43</v>
      </c>
      <c r="Y356" s="4">
        <v>1269.67</v>
      </c>
      <c r="Z356" s="4" t="s">
        <v>147</v>
      </c>
      <c r="AA356" s="4" t="s">
        <v>147</v>
      </c>
      <c r="AB356" s="4">
        <f>SUMIF('Trip Changes'!$B:$B,A356,'Trip Changes'!$E:$E)</f>
        <v>0</v>
      </c>
      <c r="AC356" s="4">
        <f>SUMIF('Trip Cancellations'!$B:$B,A356,'Trip Cancellations'!$E:$E)</f>
        <v>0</v>
      </c>
      <c r="AD356" s="4">
        <f>SUMIF('Trip Cancellations'!$B:$B,A356,'Trip Cancellations'!$F:$F)</f>
        <v>0</v>
      </c>
      <c r="AE356" s="4">
        <f t="shared" si="5"/>
        <v>1269.67</v>
      </c>
      <c r="AF356" t="s">
        <v>148</v>
      </c>
      <c r="AG356">
        <v>5</v>
      </c>
      <c r="AH356" s="5">
        <v>204.3</v>
      </c>
      <c r="AI356" t="s">
        <v>147</v>
      </c>
    </row>
    <row r="357" spans="1:35">
      <c r="A357" t="s">
        <v>664</v>
      </c>
      <c r="B357" t="s">
        <v>662</v>
      </c>
      <c r="C357" t="s">
        <v>182</v>
      </c>
      <c r="D357" t="s">
        <v>168</v>
      </c>
      <c r="E357" t="s">
        <v>169</v>
      </c>
      <c r="F357" t="s">
        <v>162</v>
      </c>
      <c r="G357" s="3">
        <v>46188</v>
      </c>
      <c r="H357" s="3">
        <v>46191</v>
      </c>
      <c r="I357" s="3">
        <v>46193</v>
      </c>
      <c r="J357" t="s">
        <v>141</v>
      </c>
      <c r="K357" t="s">
        <v>182</v>
      </c>
      <c r="L357" t="s">
        <v>203</v>
      </c>
      <c r="M357" t="s">
        <v>143</v>
      </c>
      <c r="N357" t="s">
        <v>144</v>
      </c>
      <c r="O357">
        <v>854</v>
      </c>
      <c r="P357">
        <v>3</v>
      </c>
      <c r="Q357" t="s">
        <v>159</v>
      </c>
      <c r="S357" t="s">
        <v>146</v>
      </c>
      <c r="T357" s="4">
        <v>0</v>
      </c>
      <c r="U357" s="4">
        <v>256.8</v>
      </c>
      <c r="V357" s="4">
        <v>1</v>
      </c>
      <c r="W357" s="4">
        <v>117.14</v>
      </c>
      <c r="X357" s="4">
        <v>59.81</v>
      </c>
      <c r="Y357" s="4">
        <v>433.75</v>
      </c>
      <c r="Z357" s="4" t="s">
        <v>147</v>
      </c>
      <c r="AA357" s="4" t="s">
        <v>147</v>
      </c>
      <c r="AB357" s="4">
        <f>SUMIF('Trip Changes'!$B:$B,A357,'Trip Changes'!$E:$E)</f>
        <v>0</v>
      </c>
      <c r="AC357" s="4">
        <f>SUMIF('Trip Cancellations'!$B:$B,A357,'Trip Cancellations'!$E:$E)</f>
        <v>0</v>
      </c>
      <c r="AD357" s="4">
        <f>SUMIF('Trip Cancellations'!$B:$B,A357,'Trip Cancellations'!$F:$F)</f>
        <v>0</v>
      </c>
      <c r="AE357" s="4">
        <f t="shared" si="5"/>
        <v>433.75</v>
      </c>
      <c r="AF357" t="s">
        <v>148</v>
      </c>
      <c r="AG357">
        <v>5</v>
      </c>
      <c r="AH357" s="5">
        <v>34.200000000000003</v>
      </c>
      <c r="AI357" t="s">
        <v>148</v>
      </c>
    </row>
    <row r="358" spans="1:35">
      <c r="A358" t="s">
        <v>665</v>
      </c>
      <c r="B358" t="s">
        <v>666</v>
      </c>
      <c r="C358" t="s">
        <v>182</v>
      </c>
      <c r="D358" t="s">
        <v>230</v>
      </c>
      <c r="E358" t="s">
        <v>249</v>
      </c>
      <c r="F358" t="s">
        <v>157</v>
      </c>
      <c r="G358" s="3">
        <v>46148</v>
      </c>
      <c r="H358" s="3">
        <v>46175</v>
      </c>
      <c r="I358" s="3">
        <v>46177</v>
      </c>
      <c r="J358" t="s">
        <v>141</v>
      </c>
      <c r="K358" t="s">
        <v>182</v>
      </c>
      <c r="L358" t="s">
        <v>225</v>
      </c>
      <c r="M358" t="s">
        <v>152</v>
      </c>
      <c r="N358" t="s">
        <v>153</v>
      </c>
      <c r="O358">
        <v>1740</v>
      </c>
      <c r="P358">
        <v>27</v>
      </c>
      <c r="Q358" t="s">
        <v>145</v>
      </c>
      <c r="R358" t="s">
        <v>236</v>
      </c>
      <c r="S358" t="s">
        <v>187</v>
      </c>
      <c r="T358" s="4">
        <v>450.19</v>
      </c>
      <c r="U358" s="4">
        <v>0</v>
      </c>
      <c r="V358" s="4">
        <v>1</v>
      </c>
      <c r="W358" s="4">
        <v>153.44</v>
      </c>
      <c r="X358" s="4">
        <v>20</v>
      </c>
      <c r="Y358" s="4">
        <v>623.63</v>
      </c>
      <c r="Z358" s="4" t="s">
        <v>147</v>
      </c>
      <c r="AA358" s="4" t="s">
        <v>147</v>
      </c>
      <c r="AB358" s="4">
        <f>SUMIF('Trip Changes'!$B:$B,A358,'Trip Changes'!$E:$E)</f>
        <v>0</v>
      </c>
      <c r="AC358" s="4">
        <f>SUMIF('Trip Cancellations'!$B:$B,A358,'Trip Cancellations'!$E:$E)</f>
        <v>0</v>
      </c>
      <c r="AD358" s="4">
        <f>SUMIF('Trip Cancellations'!$B:$B,A358,'Trip Cancellations'!$F:$F)</f>
        <v>0</v>
      </c>
      <c r="AE358" s="4">
        <f t="shared" si="5"/>
        <v>623.63</v>
      </c>
      <c r="AF358" t="s">
        <v>148</v>
      </c>
      <c r="AG358">
        <v>5</v>
      </c>
      <c r="AH358" s="5">
        <v>261</v>
      </c>
      <c r="AI358" t="s">
        <v>147</v>
      </c>
    </row>
    <row r="359" spans="1:35">
      <c r="A359" t="s">
        <v>667</v>
      </c>
      <c r="B359" t="s">
        <v>666</v>
      </c>
      <c r="C359" t="s">
        <v>182</v>
      </c>
      <c r="D359" t="s">
        <v>230</v>
      </c>
      <c r="E359" t="s">
        <v>249</v>
      </c>
      <c r="F359" t="s">
        <v>162</v>
      </c>
      <c r="G359" s="3">
        <v>46182</v>
      </c>
      <c r="H359" s="3">
        <v>46188</v>
      </c>
      <c r="I359" s="3">
        <v>46193</v>
      </c>
      <c r="J359" t="s">
        <v>141</v>
      </c>
      <c r="K359" t="s">
        <v>182</v>
      </c>
      <c r="L359" t="s">
        <v>305</v>
      </c>
      <c r="M359" t="s">
        <v>152</v>
      </c>
      <c r="N359" t="s">
        <v>153</v>
      </c>
      <c r="O359">
        <v>12770</v>
      </c>
      <c r="P359">
        <v>6</v>
      </c>
      <c r="Q359" t="s">
        <v>145</v>
      </c>
      <c r="R359" t="s">
        <v>154</v>
      </c>
      <c r="S359" t="s">
        <v>155</v>
      </c>
      <c r="T359" s="4">
        <v>1231.75</v>
      </c>
      <c r="U359" s="4">
        <v>0</v>
      </c>
      <c r="V359" s="4">
        <v>4</v>
      </c>
      <c r="W359" s="4">
        <v>901.07</v>
      </c>
      <c r="X359" s="4">
        <v>20</v>
      </c>
      <c r="Y359" s="4">
        <v>2152.8200000000002</v>
      </c>
      <c r="Z359" s="4" t="s">
        <v>147</v>
      </c>
      <c r="AA359" s="4" t="s">
        <v>147</v>
      </c>
      <c r="AB359" s="4">
        <f>SUMIF('Trip Changes'!$B:$B,A359,'Trip Changes'!$E:$E)</f>
        <v>0</v>
      </c>
      <c r="AC359" s="4">
        <f>SUMIF('Trip Cancellations'!$B:$B,A359,'Trip Cancellations'!$E:$E)</f>
        <v>0</v>
      </c>
      <c r="AD359" s="4">
        <f>SUMIF('Trip Cancellations'!$B:$B,A359,'Trip Cancellations'!$F:$F)</f>
        <v>0</v>
      </c>
      <c r="AE359" s="4">
        <f t="shared" si="5"/>
        <v>2152.8200000000002</v>
      </c>
      <c r="AF359" t="s">
        <v>148</v>
      </c>
      <c r="AG359">
        <v>4</v>
      </c>
      <c r="AH359" s="5">
        <v>1915.5</v>
      </c>
      <c r="AI359" t="s">
        <v>148</v>
      </c>
    </row>
    <row r="360" spans="1:35">
      <c r="A360" t="s">
        <v>668</v>
      </c>
      <c r="B360" t="s">
        <v>666</v>
      </c>
      <c r="C360" t="s">
        <v>182</v>
      </c>
      <c r="D360" t="s">
        <v>230</v>
      </c>
      <c r="E360" t="s">
        <v>249</v>
      </c>
      <c r="F360" t="s">
        <v>140</v>
      </c>
      <c r="G360" s="3">
        <v>46135</v>
      </c>
      <c r="H360" s="3">
        <v>46145</v>
      </c>
      <c r="I360" s="3">
        <v>46150</v>
      </c>
      <c r="J360" t="s">
        <v>163</v>
      </c>
      <c r="K360" t="s">
        <v>182</v>
      </c>
      <c r="L360" t="s">
        <v>199</v>
      </c>
      <c r="M360" t="s">
        <v>152</v>
      </c>
      <c r="N360" t="s">
        <v>153</v>
      </c>
      <c r="O360">
        <v>3508</v>
      </c>
      <c r="P360">
        <v>10</v>
      </c>
      <c r="Q360" t="s">
        <v>159</v>
      </c>
      <c r="R360" t="s">
        <v>291</v>
      </c>
      <c r="S360" t="s">
        <v>155</v>
      </c>
      <c r="T360" s="4">
        <v>396.44</v>
      </c>
      <c r="U360" s="4">
        <v>0</v>
      </c>
      <c r="V360" s="4">
        <v>4</v>
      </c>
      <c r="W360" s="4">
        <v>686.94</v>
      </c>
      <c r="X360" s="4">
        <v>86.21</v>
      </c>
      <c r="Y360" s="4">
        <v>1169.5899999999999</v>
      </c>
      <c r="Z360" s="4" t="s">
        <v>148</v>
      </c>
      <c r="AA360" s="4" t="s">
        <v>147</v>
      </c>
      <c r="AB360" s="4">
        <f>SUMIF('Trip Changes'!$B:$B,A360,'Trip Changes'!$E:$E)</f>
        <v>21.58</v>
      </c>
      <c r="AC360" s="4">
        <f>SUMIF('Trip Cancellations'!$B:$B,A360,'Trip Cancellations'!$E:$E)</f>
        <v>0</v>
      </c>
      <c r="AD360" s="4">
        <f>SUMIF('Trip Cancellations'!$B:$B,A360,'Trip Cancellations'!$F:$F)</f>
        <v>0</v>
      </c>
      <c r="AE360" s="4">
        <f t="shared" si="5"/>
        <v>1191.1699999999998</v>
      </c>
      <c r="AF360" t="s">
        <v>148</v>
      </c>
      <c r="AG360">
        <v>4</v>
      </c>
      <c r="AH360" s="5">
        <v>526.20000000000005</v>
      </c>
      <c r="AI360" t="s">
        <v>148</v>
      </c>
    </row>
    <row r="361" spans="1:35">
      <c r="A361" t="s">
        <v>669</v>
      </c>
      <c r="B361" t="s">
        <v>666</v>
      </c>
      <c r="C361" t="s">
        <v>182</v>
      </c>
      <c r="D361" t="s">
        <v>230</v>
      </c>
      <c r="E361" t="s">
        <v>249</v>
      </c>
      <c r="F361" t="s">
        <v>157</v>
      </c>
      <c r="G361" s="3">
        <v>46206</v>
      </c>
      <c r="H361" s="3">
        <v>46225</v>
      </c>
      <c r="I361" s="3">
        <v>46231</v>
      </c>
      <c r="J361" t="s">
        <v>150</v>
      </c>
      <c r="K361" t="s">
        <v>182</v>
      </c>
      <c r="L361" t="s">
        <v>185</v>
      </c>
      <c r="M361" t="s">
        <v>152</v>
      </c>
      <c r="N361" t="s">
        <v>153</v>
      </c>
      <c r="O361">
        <v>10762</v>
      </c>
      <c r="P361">
        <v>19</v>
      </c>
      <c r="Q361" t="s">
        <v>145</v>
      </c>
      <c r="R361" t="s">
        <v>154</v>
      </c>
      <c r="S361" t="s">
        <v>155</v>
      </c>
      <c r="T361" s="4">
        <v>1015.5</v>
      </c>
      <c r="U361" s="4">
        <v>0</v>
      </c>
      <c r="V361" s="4">
        <v>5</v>
      </c>
      <c r="W361" s="4">
        <v>713.09</v>
      </c>
      <c r="X361" s="4">
        <v>107.3</v>
      </c>
      <c r="Y361" s="4">
        <v>1835.89</v>
      </c>
      <c r="Z361" s="4" t="s">
        <v>147</v>
      </c>
      <c r="AA361" s="4" t="s">
        <v>147</v>
      </c>
      <c r="AB361" s="4">
        <f>SUMIF('Trip Changes'!$B:$B,A361,'Trip Changes'!$E:$E)</f>
        <v>0</v>
      </c>
      <c r="AC361" s="4">
        <f>SUMIF('Trip Cancellations'!$B:$B,A361,'Trip Cancellations'!$E:$E)</f>
        <v>0</v>
      </c>
      <c r="AD361" s="4">
        <f>SUMIF('Trip Cancellations'!$B:$B,A361,'Trip Cancellations'!$F:$F)</f>
        <v>0</v>
      </c>
      <c r="AE361" s="4">
        <f t="shared" si="5"/>
        <v>1835.89</v>
      </c>
      <c r="AF361" t="s">
        <v>148</v>
      </c>
      <c r="AG361">
        <v>4</v>
      </c>
      <c r="AH361" s="5">
        <v>1614.3</v>
      </c>
      <c r="AI361" t="s">
        <v>147</v>
      </c>
    </row>
    <row r="362" spans="1:35">
      <c r="A362" t="s">
        <v>670</v>
      </c>
      <c r="B362" t="s">
        <v>671</v>
      </c>
      <c r="C362" t="s">
        <v>182</v>
      </c>
      <c r="D362" t="s">
        <v>168</v>
      </c>
      <c r="E362" t="s">
        <v>205</v>
      </c>
      <c r="F362" t="s">
        <v>162</v>
      </c>
      <c r="G362" s="3">
        <v>46164</v>
      </c>
      <c r="H362" s="3">
        <v>46181</v>
      </c>
      <c r="I362" s="3">
        <v>46183</v>
      </c>
      <c r="J362" t="s">
        <v>141</v>
      </c>
      <c r="K362" t="s">
        <v>182</v>
      </c>
      <c r="L362" t="s">
        <v>185</v>
      </c>
      <c r="M362" t="s">
        <v>152</v>
      </c>
      <c r="N362" t="s">
        <v>153</v>
      </c>
      <c r="O362">
        <v>10260</v>
      </c>
      <c r="P362">
        <v>17</v>
      </c>
      <c r="Q362" t="s">
        <v>159</v>
      </c>
      <c r="R362" t="s">
        <v>154</v>
      </c>
      <c r="S362" t="s">
        <v>164</v>
      </c>
      <c r="T362" s="4">
        <v>1067.05</v>
      </c>
      <c r="U362" s="4">
        <v>0</v>
      </c>
      <c r="V362" s="4">
        <v>1</v>
      </c>
      <c r="W362" s="4">
        <v>144.41</v>
      </c>
      <c r="X362" s="4">
        <v>84.36</v>
      </c>
      <c r="Y362" s="4">
        <v>1295.82</v>
      </c>
      <c r="Z362" s="4" t="s">
        <v>147</v>
      </c>
      <c r="AA362" s="4" t="s">
        <v>147</v>
      </c>
      <c r="AB362" s="4">
        <f>SUMIF('Trip Changes'!$B:$B,A362,'Trip Changes'!$E:$E)</f>
        <v>0</v>
      </c>
      <c r="AC362" s="4">
        <f>SUMIF('Trip Cancellations'!$B:$B,A362,'Trip Cancellations'!$E:$E)</f>
        <v>0</v>
      </c>
      <c r="AD362" s="4">
        <f>SUMIF('Trip Cancellations'!$B:$B,A362,'Trip Cancellations'!$F:$F)</f>
        <v>0</v>
      </c>
      <c r="AE362" s="4">
        <f t="shared" si="5"/>
        <v>1295.82</v>
      </c>
      <c r="AF362" t="s">
        <v>148</v>
      </c>
      <c r="AG362">
        <v>4</v>
      </c>
      <c r="AH362" s="5">
        <v>1539</v>
      </c>
      <c r="AI362" t="s">
        <v>147</v>
      </c>
    </row>
    <row r="363" spans="1:35">
      <c r="A363" t="s">
        <v>672</v>
      </c>
      <c r="B363" t="s">
        <v>671</v>
      </c>
      <c r="C363" t="s">
        <v>182</v>
      </c>
      <c r="D363" t="s">
        <v>168</v>
      </c>
      <c r="E363" t="s">
        <v>205</v>
      </c>
      <c r="F363" t="s">
        <v>178</v>
      </c>
      <c r="G363" s="3">
        <v>46162</v>
      </c>
      <c r="H363" s="3">
        <v>46184</v>
      </c>
      <c r="I363" s="3">
        <v>46187</v>
      </c>
      <c r="J363" t="s">
        <v>141</v>
      </c>
      <c r="K363" t="s">
        <v>182</v>
      </c>
      <c r="L363" t="s">
        <v>199</v>
      </c>
      <c r="M363" t="s">
        <v>152</v>
      </c>
      <c r="N363" t="s">
        <v>153</v>
      </c>
      <c r="O363">
        <v>1986</v>
      </c>
      <c r="P363">
        <v>22</v>
      </c>
      <c r="Q363" t="s">
        <v>145</v>
      </c>
      <c r="R363" t="s">
        <v>200</v>
      </c>
      <c r="S363" t="s">
        <v>173</v>
      </c>
      <c r="T363" s="4">
        <v>404.43</v>
      </c>
      <c r="U363" s="4">
        <v>0</v>
      </c>
      <c r="V363" s="4">
        <v>2</v>
      </c>
      <c r="W363" s="4">
        <v>464.75</v>
      </c>
      <c r="X363" s="4">
        <v>122.44</v>
      </c>
      <c r="Y363" s="4">
        <v>991.62</v>
      </c>
      <c r="Z363" s="4" t="s">
        <v>147</v>
      </c>
      <c r="AA363" s="4" t="s">
        <v>147</v>
      </c>
      <c r="AB363" s="4">
        <f>SUMIF('Trip Changes'!$B:$B,A363,'Trip Changes'!$E:$E)</f>
        <v>0</v>
      </c>
      <c r="AC363" s="4">
        <f>SUMIF('Trip Cancellations'!$B:$B,A363,'Trip Cancellations'!$E:$E)</f>
        <v>0</v>
      </c>
      <c r="AD363" s="4">
        <f>SUMIF('Trip Cancellations'!$B:$B,A363,'Trip Cancellations'!$F:$F)</f>
        <v>0</v>
      </c>
      <c r="AE363" s="4">
        <f t="shared" si="5"/>
        <v>991.62</v>
      </c>
      <c r="AF363" t="s">
        <v>148</v>
      </c>
      <c r="AG363">
        <v>5</v>
      </c>
      <c r="AH363" s="5">
        <v>297.89999999999998</v>
      </c>
      <c r="AI363" t="s">
        <v>147</v>
      </c>
    </row>
    <row r="364" spans="1:35">
      <c r="A364" t="s">
        <v>673</v>
      </c>
      <c r="B364" t="s">
        <v>674</v>
      </c>
      <c r="C364" t="s">
        <v>182</v>
      </c>
      <c r="D364" t="s">
        <v>248</v>
      </c>
      <c r="E364" t="s">
        <v>262</v>
      </c>
      <c r="F364" t="s">
        <v>157</v>
      </c>
      <c r="G364" s="3">
        <v>46169</v>
      </c>
      <c r="H364" s="3">
        <v>46173</v>
      </c>
      <c r="I364" s="3">
        <v>46175</v>
      </c>
      <c r="J364" t="s">
        <v>163</v>
      </c>
      <c r="K364" t="s">
        <v>182</v>
      </c>
      <c r="L364" t="s">
        <v>142</v>
      </c>
      <c r="M364" t="s">
        <v>143</v>
      </c>
      <c r="N364" t="s">
        <v>144</v>
      </c>
      <c r="O364">
        <v>874</v>
      </c>
      <c r="P364">
        <v>4</v>
      </c>
      <c r="Q364" t="s">
        <v>159</v>
      </c>
      <c r="S364" t="s">
        <v>164</v>
      </c>
      <c r="T364" s="4">
        <v>0</v>
      </c>
      <c r="U364" s="4">
        <v>262.39</v>
      </c>
      <c r="V364" s="4">
        <v>1</v>
      </c>
      <c r="W364" s="4">
        <v>144.53</v>
      </c>
      <c r="X364" s="4">
        <v>20</v>
      </c>
      <c r="Y364" s="4">
        <v>426.92</v>
      </c>
      <c r="Z364" s="4" t="s">
        <v>147</v>
      </c>
      <c r="AA364" s="4" t="s">
        <v>147</v>
      </c>
      <c r="AB364" s="4">
        <f>SUMIF('Trip Changes'!$B:$B,A364,'Trip Changes'!$E:$E)</f>
        <v>0</v>
      </c>
      <c r="AC364" s="4">
        <f>SUMIF('Trip Cancellations'!$B:$B,A364,'Trip Cancellations'!$E:$E)</f>
        <v>0</v>
      </c>
      <c r="AD364" s="4">
        <f>SUMIF('Trip Cancellations'!$B:$B,A364,'Trip Cancellations'!$F:$F)</f>
        <v>0</v>
      </c>
      <c r="AE364" s="4">
        <f t="shared" si="5"/>
        <v>426.92</v>
      </c>
      <c r="AF364" t="s">
        <v>148</v>
      </c>
      <c r="AG364">
        <v>4</v>
      </c>
      <c r="AH364" s="5">
        <v>35</v>
      </c>
      <c r="AI364" t="s">
        <v>147</v>
      </c>
    </row>
    <row r="365" spans="1:35">
      <c r="A365" t="s">
        <v>675</v>
      </c>
      <c r="B365" t="s">
        <v>674</v>
      </c>
      <c r="C365" t="s">
        <v>182</v>
      </c>
      <c r="D365" t="s">
        <v>248</v>
      </c>
      <c r="E365" t="s">
        <v>262</v>
      </c>
      <c r="F365" t="s">
        <v>162</v>
      </c>
      <c r="G365" s="3">
        <v>46190</v>
      </c>
      <c r="H365" s="3">
        <v>46206</v>
      </c>
      <c r="I365" s="3">
        <v>46210</v>
      </c>
      <c r="J365" t="s">
        <v>150</v>
      </c>
      <c r="K365" t="s">
        <v>182</v>
      </c>
      <c r="L365" t="s">
        <v>151</v>
      </c>
      <c r="M365" t="s">
        <v>152</v>
      </c>
      <c r="N365" t="s">
        <v>153</v>
      </c>
      <c r="O365">
        <v>2852</v>
      </c>
      <c r="P365">
        <v>16</v>
      </c>
      <c r="Q365" t="s">
        <v>159</v>
      </c>
      <c r="R365" t="s">
        <v>154</v>
      </c>
      <c r="S365" t="s">
        <v>173</v>
      </c>
      <c r="T365" s="4">
        <v>285.99</v>
      </c>
      <c r="U365" s="4">
        <v>0</v>
      </c>
      <c r="V365" s="4">
        <v>3</v>
      </c>
      <c r="W365" s="4">
        <v>547.6</v>
      </c>
      <c r="X365" s="4">
        <v>79.64</v>
      </c>
      <c r="Y365" s="4">
        <v>913.23</v>
      </c>
      <c r="Z365" s="4" t="s">
        <v>147</v>
      </c>
      <c r="AA365" s="4" t="s">
        <v>147</v>
      </c>
      <c r="AB365" s="4">
        <f>SUMIF('Trip Changes'!$B:$B,A365,'Trip Changes'!$E:$E)</f>
        <v>0</v>
      </c>
      <c r="AC365" s="4">
        <f>SUMIF('Trip Cancellations'!$B:$B,A365,'Trip Cancellations'!$E:$E)</f>
        <v>0</v>
      </c>
      <c r="AD365" s="4">
        <f>SUMIF('Trip Cancellations'!$B:$B,A365,'Trip Cancellations'!$F:$F)</f>
        <v>0</v>
      </c>
      <c r="AE365" s="4">
        <f t="shared" si="5"/>
        <v>913.23</v>
      </c>
      <c r="AF365" t="s">
        <v>148</v>
      </c>
      <c r="AG365">
        <v>5</v>
      </c>
      <c r="AH365" s="5">
        <v>427.8</v>
      </c>
      <c r="AI365" t="s">
        <v>148</v>
      </c>
    </row>
    <row r="366" spans="1:35">
      <c r="A366" t="s">
        <v>676</v>
      </c>
      <c r="B366" t="s">
        <v>674</v>
      </c>
      <c r="C366" t="s">
        <v>182</v>
      </c>
      <c r="D366" t="s">
        <v>248</v>
      </c>
      <c r="E366" t="s">
        <v>262</v>
      </c>
      <c r="F366" t="s">
        <v>189</v>
      </c>
      <c r="G366" s="3">
        <v>46213</v>
      </c>
      <c r="H366" s="3">
        <v>46223</v>
      </c>
      <c r="I366" s="3">
        <v>46226</v>
      </c>
      <c r="J366" t="s">
        <v>150</v>
      </c>
      <c r="K366" t="s">
        <v>182</v>
      </c>
      <c r="L366" t="s">
        <v>264</v>
      </c>
      <c r="M366" t="s">
        <v>152</v>
      </c>
      <c r="N366" t="s">
        <v>153</v>
      </c>
      <c r="O366">
        <v>2974</v>
      </c>
      <c r="P366">
        <v>10</v>
      </c>
      <c r="Q366" t="s">
        <v>159</v>
      </c>
      <c r="R366" t="s">
        <v>172</v>
      </c>
      <c r="S366" t="s">
        <v>164</v>
      </c>
      <c r="T366" s="4">
        <v>375.07</v>
      </c>
      <c r="U366" s="4">
        <v>0</v>
      </c>
      <c r="V366" s="4">
        <v>2</v>
      </c>
      <c r="W366" s="4">
        <v>364.27</v>
      </c>
      <c r="X366" s="4">
        <v>88.91</v>
      </c>
      <c r="Y366" s="4">
        <v>828.25</v>
      </c>
      <c r="Z366" s="4" t="s">
        <v>147</v>
      </c>
      <c r="AA366" s="4" t="s">
        <v>147</v>
      </c>
      <c r="AB366" s="4">
        <f>SUMIF('Trip Changes'!$B:$B,A366,'Trip Changes'!$E:$E)</f>
        <v>0</v>
      </c>
      <c r="AC366" s="4">
        <f>SUMIF('Trip Cancellations'!$B:$B,A366,'Trip Cancellations'!$E:$E)</f>
        <v>0</v>
      </c>
      <c r="AD366" s="4">
        <f>SUMIF('Trip Cancellations'!$B:$B,A366,'Trip Cancellations'!$F:$F)</f>
        <v>0</v>
      </c>
      <c r="AE366" s="4">
        <f t="shared" si="5"/>
        <v>828.25</v>
      </c>
      <c r="AF366" t="s">
        <v>148</v>
      </c>
      <c r="AG366">
        <v>4</v>
      </c>
      <c r="AH366" s="5">
        <v>446.1</v>
      </c>
      <c r="AI366" t="s">
        <v>148</v>
      </c>
    </row>
    <row r="367" spans="1:35">
      <c r="A367" t="s">
        <v>677</v>
      </c>
      <c r="B367" t="s">
        <v>674</v>
      </c>
      <c r="C367" t="s">
        <v>182</v>
      </c>
      <c r="D367" t="s">
        <v>248</v>
      </c>
      <c r="E367" t="s">
        <v>262</v>
      </c>
      <c r="F367" t="s">
        <v>162</v>
      </c>
      <c r="G367" s="3">
        <v>46169</v>
      </c>
      <c r="H367" s="3">
        <v>46187</v>
      </c>
      <c r="I367" s="3">
        <v>46193</v>
      </c>
      <c r="J367" t="s">
        <v>141</v>
      </c>
      <c r="K367" t="s">
        <v>182</v>
      </c>
      <c r="L367" t="s">
        <v>185</v>
      </c>
      <c r="M367" t="s">
        <v>152</v>
      </c>
      <c r="N367" t="s">
        <v>153</v>
      </c>
      <c r="O367">
        <v>10472</v>
      </c>
      <c r="P367">
        <v>18</v>
      </c>
      <c r="Q367" t="s">
        <v>159</v>
      </c>
      <c r="R367" t="s">
        <v>154</v>
      </c>
      <c r="S367" t="s">
        <v>190</v>
      </c>
      <c r="T367" s="4">
        <v>1171.78</v>
      </c>
      <c r="U367" s="4">
        <v>0</v>
      </c>
      <c r="V367" s="4">
        <v>5</v>
      </c>
      <c r="W367" s="4">
        <v>708.06</v>
      </c>
      <c r="X367" s="4">
        <v>116.89</v>
      </c>
      <c r="Y367" s="4">
        <v>1996.73</v>
      </c>
      <c r="Z367" s="4" t="s">
        <v>147</v>
      </c>
      <c r="AA367" s="4" t="s">
        <v>147</v>
      </c>
      <c r="AB367" s="4">
        <f>SUMIF('Trip Changes'!$B:$B,A367,'Trip Changes'!$E:$E)</f>
        <v>0</v>
      </c>
      <c r="AC367" s="4">
        <f>SUMIF('Trip Cancellations'!$B:$B,A367,'Trip Cancellations'!$E:$E)</f>
        <v>0</v>
      </c>
      <c r="AD367" s="4">
        <f>SUMIF('Trip Cancellations'!$B:$B,A367,'Trip Cancellations'!$F:$F)</f>
        <v>0</v>
      </c>
      <c r="AE367" s="4">
        <f t="shared" si="5"/>
        <v>1996.73</v>
      </c>
      <c r="AF367" t="s">
        <v>148</v>
      </c>
      <c r="AG367">
        <v>5</v>
      </c>
      <c r="AH367" s="5">
        <v>1570.8</v>
      </c>
      <c r="AI367" t="s">
        <v>148</v>
      </c>
    </row>
    <row r="368" spans="1:35">
      <c r="A368" t="s">
        <v>678</v>
      </c>
      <c r="B368" t="s">
        <v>679</v>
      </c>
      <c r="C368" t="s">
        <v>182</v>
      </c>
      <c r="D368" t="s">
        <v>248</v>
      </c>
      <c r="E368" t="s">
        <v>169</v>
      </c>
      <c r="F368" t="s">
        <v>140</v>
      </c>
      <c r="G368" s="3">
        <v>46185</v>
      </c>
      <c r="H368" s="3">
        <v>46191</v>
      </c>
      <c r="I368" s="3">
        <v>46195</v>
      </c>
      <c r="J368" t="s">
        <v>141</v>
      </c>
      <c r="K368" t="s">
        <v>182</v>
      </c>
      <c r="L368" t="s">
        <v>199</v>
      </c>
      <c r="M368" t="s">
        <v>152</v>
      </c>
      <c r="N368" t="s">
        <v>153</v>
      </c>
      <c r="O368">
        <v>2144</v>
      </c>
      <c r="P368">
        <v>6</v>
      </c>
      <c r="Q368" t="s">
        <v>145</v>
      </c>
      <c r="R368" t="s">
        <v>200</v>
      </c>
      <c r="S368" t="s">
        <v>190</v>
      </c>
      <c r="T368" s="4">
        <v>516.44000000000005</v>
      </c>
      <c r="U368" s="4">
        <v>0</v>
      </c>
      <c r="V368" s="4">
        <v>3</v>
      </c>
      <c r="W368" s="4">
        <v>560.41999999999996</v>
      </c>
      <c r="X368" s="4">
        <v>135.87</v>
      </c>
      <c r="Y368" s="4">
        <v>1212.73</v>
      </c>
      <c r="Z368" s="4" t="s">
        <v>148</v>
      </c>
      <c r="AA368" s="4" t="s">
        <v>147</v>
      </c>
      <c r="AB368" s="4">
        <f>SUMIF('Trip Changes'!$B:$B,A368,'Trip Changes'!$E:$E)</f>
        <v>97.84</v>
      </c>
      <c r="AC368" s="4">
        <f>SUMIF('Trip Cancellations'!$B:$B,A368,'Trip Cancellations'!$E:$E)</f>
        <v>0</v>
      </c>
      <c r="AD368" s="4">
        <f>SUMIF('Trip Cancellations'!$B:$B,A368,'Trip Cancellations'!$F:$F)</f>
        <v>0</v>
      </c>
      <c r="AE368" s="4">
        <f t="shared" si="5"/>
        <v>1310.57</v>
      </c>
      <c r="AF368" t="s">
        <v>148</v>
      </c>
      <c r="AG368">
        <v>4</v>
      </c>
      <c r="AH368" s="5">
        <v>321.60000000000002</v>
      </c>
      <c r="AI368" t="s">
        <v>147</v>
      </c>
    </row>
    <row r="369" spans="1:35">
      <c r="A369" t="s">
        <v>680</v>
      </c>
      <c r="B369" t="s">
        <v>679</v>
      </c>
      <c r="C369" t="s">
        <v>182</v>
      </c>
      <c r="D369" t="s">
        <v>248</v>
      </c>
      <c r="E369" t="s">
        <v>169</v>
      </c>
      <c r="F369" t="s">
        <v>140</v>
      </c>
      <c r="G369" s="3">
        <v>46183</v>
      </c>
      <c r="H369" s="3">
        <v>46204</v>
      </c>
      <c r="I369" s="3">
        <v>46207</v>
      </c>
      <c r="J369" t="s">
        <v>150</v>
      </c>
      <c r="K369" t="s">
        <v>182</v>
      </c>
      <c r="L369" t="s">
        <v>171</v>
      </c>
      <c r="M369" t="s">
        <v>152</v>
      </c>
      <c r="N369" t="s">
        <v>153</v>
      </c>
      <c r="O369">
        <v>3462</v>
      </c>
      <c r="P369">
        <v>21</v>
      </c>
      <c r="Q369" t="s">
        <v>145</v>
      </c>
      <c r="R369" t="s">
        <v>172</v>
      </c>
      <c r="S369" t="s">
        <v>155</v>
      </c>
      <c r="T369" s="4">
        <v>275.14999999999998</v>
      </c>
      <c r="U369" s="4">
        <v>0</v>
      </c>
      <c r="V369" s="4">
        <v>2</v>
      </c>
      <c r="W369" s="4">
        <v>308.77</v>
      </c>
      <c r="X369" s="4">
        <v>93.37</v>
      </c>
      <c r="Y369" s="4">
        <v>677.29</v>
      </c>
      <c r="Z369" s="4" t="s">
        <v>147</v>
      </c>
      <c r="AA369" s="4" t="s">
        <v>147</v>
      </c>
      <c r="AB369" s="4">
        <f>SUMIF('Trip Changes'!$B:$B,A369,'Trip Changes'!$E:$E)</f>
        <v>0</v>
      </c>
      <c r="AC369" s="4">
        <f>SUMIF('Trip Cancellations'!$B:$B,A369,'Trip Cancellations'!$E:$E)</f>
        <v>0</v>
      </c>
      <c r="AD369" s="4">
        <f>SUMIF('Trip Cancellations'!$B:$B,A369,'Trip Cancellations'!$F:$F)</f>
        <v>0</v>
      </c>
      <c r="AE369" s="4">
        <f t="shared" si="5"/>
        <v>677.29</v>
      </c>
      <c r="AF369" t="s">
        <v>148</v>
      </c>
      <c r="AG369">
        <v>4</v>
      </c>
      <c r="AH369" s="5">
        <v>519.29999999999995</v>
      </c>
      <c r="AI369" t="s">
        <v>147</v>
      </c>
    </row>
    <row r="370" spans="1:35">
      <c r="A370" t="s">
        <v>681</v>
      </c>
      <c r="B370" t="s">
        <v>679</v>
      </c>
      <c r="C370" t="s">
        <v>182</v>
      </c>
      <c r="D370" t="s">
        <v>248</v>
      </c>
      <c r="E370" t="s">
        <v>169</v>
      </c>
      <c r="F370" t="s">
        <v>140</v>
      </c>
      <c r="G370" s="3">
        <v>46161</v>
      </c>
      <c r="H370" s="3">
        <v>46170</v>
      </c>
      <c r="I370" s="3">
        <v>46172</v>
      </c>
      <c r="J370" t="s">
        <v>163</v>
      </c>
      <c r="K370" t="s">
        <v>182</v>
      </c>
      <c r="L370" t="s">
        <v>199</v>
      </c>
      <c r="M370" t="s">
        <v>152</v>
      </c>
      <c r="N370" t="s">
        <v>153</v>
      </c>
      <c r="O370">
        <v>2664</v>
      </c>
      <c r="P370">
        <v>9</v>
      </c>
      <c r="Q370" t="s">
        <v>145</v>
      </c>
      <c r="R370" t="s">
        <v>154</v>
      </c>
      <c r="S370" t="s">
        <v>164</v>
      </c>
      <c r="T370" s="4">
        <v>298.58999999999997</v>
      </c>
      <c r="U370" s="4">
        <v>0</v>
      </c>
      <c r="V370" s="4">
        <v>1</v>
      </c>
      <c r="W370" s="4">
        <v>191.51</v>
      </c>
      <c r="X370" s="4">
        <v>87.98</v>
      </c>
      <c r="Y370" s="4">
        <v>578.08000000000004</v>
      </c>
      <c r="Z370" s="4" t="s">
        <v>147</v>
      </c>
      <c r="AA370" s="4" t="s">
        <v>147</v>
      </c>
      <c r="AB370" s="4">
        <f>SUMIF('Trip Changes'!$B:$B,A370,'Trip Changes'!$E:$E)</f>
        <v>0</v>
      </c>
      <c r="AC370" s="4">
        <f>SUMIF('Trip Cancellations'!$B:$B,A370,'Trip Cancellations'!$E:$E)</f>
        <v>0</v>
      </c>
      <c r="AD370" s="4">
        <f>SUMIF('Trip Cancellations'!$B:$B,A370,'Trip Cancellations'!$F:$F)</f>
        <v>0</v>
      </c>
      <c r="AE370" s="4">
        <f t="shared" si="5"/>
        <v>578.08000000000004</v>
      </c>
      <c r="AF370" t="s">
        <v>147</v>
      </c>
      <c r="AG370">
        <v>5</v>
      </c>
      <c r="AH370" s="5">
        <v>399.6</v>
      </c>
      <c r="AI370" t="s">
        <v>147</v>
      </c>
    </row>
    <row r="371" spans="1:35">
      <c r="A371" t="s">
        <v>682</v>
      </c>
      <c r="B371" t="s">
        <v>683</v>
      </c>
      <c r="C371" t="s">
        <v>182</v>
      </c>
      <c r="D371" t="s">
        <v>138</v>
      </c>
      <c r="E371" t="s">
        <v>169</v>
      </c>
      <c r="F371" t="s">
        <v>189</v>
      </c>
      <c r="G371" s="3">
        <v>46137</v>
      </c>
      <c r="H371" s="3">
        <v>46147</v>
      </c>
      <c r="I371" s="3">
        <v>46150</v>
      </c>
      <c r="J371" t="s">
        <v>163</v>
      </c>
      <c r="K371" t="s">
        <v>182</v>
      </c>
      <c r="L371" t="s">
        <v>151</v>
      </c>
      <c r="M371" t="s">
        <v>152</v>
      </c>
      <c r="N371" t="s">
        <v>153</v>
      </c>
      <c r="O371">
        <v>2810</v>
      </c>
      <c r="P371">
        <v>10</v>
      </c>
      <c r="Q371" t="s">
        <v>159</v>
      </c>
      <c r="R371" t="s">
        <v>172</v>
      </c>
      <c r="S371" t="s">
        <v>190</v>
      </c>
      <c r="T371" s="4">
        <v>467.61</v>
      </c>
      <c r="U371" s="4">
        <v>0</v>
      </c>
      <c r="V371" s="4">
        <v>2</v>
      </c>
      <c r="W371" s="4">
        <v>445.59</v>
      </c>
      <c r="X371" s="4">
        <v>122.69</v>
      </c>
      <c r="Y371" s="4">
        <v>1035.8900000000001</v>
      </c>
      <c r="Z371" s="4" t="s">
        <v>147</v>
      </c>
      <c r="AA371" s="4" t="s">
        <v>147</v>
      </c>
      <c r="AB371" s="4">
        <f>SUMIF('Trip Changes'!$B:$B,A371,'Trip Changes'!$E:$E)</f>
        <v>0</v>
      </c>
      <c r="AC371" s="4">
        <f>SUMIF('Trip Cancellations'!$B:$B,A371,'Trip Cancellations'!$E:$E)</f>
        <v>0</v>
      </c>
      <c r="AD371" s="4">
        <f>SUMIF('Trip Cancellations'!$B:$B,A371,'Trip Cancellations'!$F:$F)</f>
        <v>0</v>
      </c>
      <c r="AE371" s="4">
        <f t="shared" si="5"/>
        <v>1035.8900000000001</v>
      </c>
      <c r="AF371" t="s">
        <v>148</v>
      </c>
      <c r="AG371">
        <v>4</v>
      </c>
      <c r="AH371" s="5">
        <v>421.5</v>
      </c>
      <c r="AI371" t="s">
        <v>147</v>
      </c>
    </row>
    <row r="372" spans="1:35">
      <c r="A372" t="s">
        <v>684</v>
      </c>
      <c r="B372" t="s">
        <v>683</v>
      </c>
      <c r="C372" t="s">
        <v>182</v>
      </c>
      <c r="D372" t="s">
        <v>138</v>
      </c>
      <c r="E372" t="s">
        <v>169</v>
      </c>
      <c r="F372" t="s">
        <v>140</v>
      </c>
      <c r="G372" s="3">
        <v>46198</v>
      </c>
      <c r="H372" s="3">
        <v>46203</v>
      </c>
      <c r="I372" s="3">
        <v>46209</v>
      </c>
      <c r="J372" t="s">
        <v>141</v>
      </c>
      <c r="K372" t="s">
        <v>182</v>
      </c>
      <c r="L372" t="s">
        <v>199</v>
      </c>
      <c r="M372" t="s">
        <v>152</v>
      </c>
      <c r="N372" t="s">
        <v>153</v>
      </c>
      <c r="O372">
        <v>2292</v>
      </c>
      <c r="P372">
        <v>5</v>
      </c>
      <c r="Q372" t="s">
        <v>145</v>
      </c>
      <c r="R372" t="s">
        <v>200</v>
      </c>
      <c r="S372" t="s">
        <v>164</v>
      </c>
      <c r="T372" s="4">
        <v>628.79999999999995</v>
      </c>
      <c r="U372" s="4">
        <v>0</v>
      </c>
      <c r="V372" s="4">
        <v>5</v>
      </c>
      <c r="W372" s="4">
        <v>1129.21</v>
      </c>
      <c r="X372" s="4">
        <v>105.74</v>
      </c>
      <c r="Y372" s="4">
        <v>1863.75</v>
      </c>
      <c r="Z372" s="4" t="s">
        <v>147</v>
      </c>
      <c r="AA372" s="4" t="s">
        <v>147</v>
      </c>
      <c r="AB372" s="4">
        <f>SUMIF('Trip Changes'!$B:$B,A372,'Trip Changes'!$E:$E)</f>
        <v>0</v>
      </c>
      <c r="AC372" s="4">
        <f>SUMIF('Trip Cancellations'!$B:$B,A372,'Trip Cancellations'!$E:$E)</f>
        <v>0</v>
      </c>
      <c r="AD372" s="4">
        <f>SUMIF('Trip Cancellations'!$B:$B,A372,'Trip Cancellations'!$F:$F)</f>
        <v>0</v>
      </c>
      <c r="AE372" s="4">
        <f t="shared" si="5"/>
        <v>1863.75</v>
      </c>
      <c r="AF372" t="s">
        <v>148</v>
      </c>
      <c r="AG372">
        <v>4</v>
      </c>
      <c r="AH372" s="5">
        <v>343.8</v>
      </c>
      <c r="AI372" t="s">
        <v>147</v>
      </c>
    </row>
    <row r="373" spans="1:35">
      <c r="A373" t="s">
        <v>685</v>
      </c>
      <c r="B373" t="s">
        <v>683</v>
      </c>
      <c r="C373" t="s">
        <v>182</v>
      </c>
      <c r="D373" t="s">
        <v>138</v>
      </c>
      <c r="E373" t="s">
        <v>169</v>
      </c>
      <c r="F373" t="s">
        <v>162</v>
      </c>
      <c r="G373" s="3">
        <v>46215</v>
      </c>
      <c r="H373" s="3">
        <v>46229</v>
      </c>
      <c r="I373" s="3">
        <v>46233</v>
      </c>
      <c r="J373" t="s">
        <v>150</v>
      </c>
      <c r="K373" t="s">
        <v>182</v>
      </c>
      <c r="L373" t="s">
        <v>362</v>
      </c>
      <c r="M373" t="s">
        <v>152</v>
      </c>
      <c r="N373" t="s">
        <v>153</v>
      </c>
      <c r="O373">
        <v>2606</v>
      </c>
      <c r="P373">
        <v>14</v>
      </c>
      <c r="Q373" t="s">
        <v>216</v>
      </c>
      <c r="R373" t="s">
        <v>172</v>
      </c>
      <c r="S373" t="s">
        <v>155</v>
      </c>
      <c r="T373" s="4">
        <v>344.56</v>
      </c>
      <c r="U373" s="4">
        <v>0</v>
      </c>
      <c r="V373" s="4">
        <v>3</v>
      </c>
      <c r="W373" s="4">
        <v>699.68</v>
      </c>
      <c r="X373" s="4">
        <v>59.19</v>
      </c>
      <c r="Y373" s="4">
        <v>1103.43</v>
      </c>
      <c r="Z373" s="4" t="s">
        <v>147</v>
      </c>
      <c r="AA373" s="4" t="s">
        <v>147</v>
      </c>
      <c r="AB373" s="4">
        <f>SUMIF('Trip Changes'!$B:$B,A373,'Trip Changes'!$E:$E)</f>
        <v>0</v>
      </c>
      <c r="AC373" s="4">
        <f>SUMIF('Trip Cancellations'!$B:$B,A373,'Trip Cancellations'!$E:$E)</f>
        <v>0</v>
      </c>
      <c r="AD373" s="4">
        <f>SUMIF('Trip Cancellations'!$B:$B,A373,'Trip Cancellations'!$F:$F)</f>
        <v>0</v>
      </c>
      <c r="AE373" s="4">
        <f t="shared" si="5"/>
        <v>1103.43</v>
      </c>
      <c r="AF373" t="s">
        <v>148</v>
      </c>
      <c r="AG373">
        <v>5</v>
      </c>
      <c r="AH373" s="5">
        <v>390.9</v>
      </c>
      <c r="AI373" t="s">
        <v>148</v>
      </c>
    </row>
    <row r="374" spans="1:35">
      <c r="A374" t="s">
        <v>686</v>
      </c>
      <c r="B374" t="s">
        <v>683</v>
      </c>
      <c r="C374" t="s">
        <v>182</v>
      </c>
      <c r="D374" t="s">
        <v>138</v>
      </c>
      <c r="E374" t="s">
        <v>169</v>
      </c>
      <c r="F374" t="s">
        <v>157</v>
      </c>
      <c r="G374" s="3">
        <v>46155</v>
      </c>
      <c r="H374" s="3">
        <v>46165</v>
      </c>
      <c r="I374" s="3">
        <v>46167</v>
      </c>
      <c r="J374" t="s">
        <v>163</v>
      </c>
      <c r="K374" t="s">
        <v>182</v>
      </c>
      <c r="L374" t="s">
        <v>199</v>
      </c>
      <c r="M374" t="s">
        <v>152</v>
      </c>
      <c r="N374" t="s">
        <v>153</v>
      </c>
      <c r="O374">
        <v>3252</v>
      </c>
      <c r="P374">
        <v>10</v>
      </c>
      <c r="Q374" t="s">
        <v>145</v>
      </c>
      <c r="R374" t="s">
        <v>154</v>
      </c>
      <c r="S374" t="s">
        <v>164</v>
      </c>
      <c r="T374" s="4">
        <v>525.64</v>
      </c>
      <c r="U374" s="4">
        <v>0</v>
      </c>
      <c r="V374" s="4">
        <v>1</v>
      </c>
      <c r="W374" s="4">
        <v>119.82</v>
      </c>
      <c r="X374" s="4">
        <v>102.9</v>
      </c>
      <c r="Y374" s="4">
        <v>748.36</v>
      </c>
      <c r="Z374" s="4" t="s">
        <v>148</v>
      </c>
      <c r="AA374" s="4" t="s">
        <v>147</v>
      </c>
      <c r="AB374" s="4">
        <f>SUMIF('Trip Changes'!$B:$B,A374,'Trip Changes'!$E:$E)</f>
        <v>55.17</v>
      </c>
      <c r="AC374" s="4">
        <f>SUMIF('Trip Cancellations'!$B:$B,A374,'Trip Cancellations'!$E:$E)</f>
        <v>0</v>
      </c>
      <c r="AD374" s="4">
        <f>SUMIF('Trip Cancellations'!$B:$B,A374,'Trip Cancellations'!$F:$F)</f>
        <v>0</v>
      </c>
      <c r="AE374" s="4">
        <f t="shared" si="5"/>
        <v>803.53</v>
      </c>
      <c r="AF374" t="s">
        <v>148</v>
      </c>
      <c r="AG374">
        <v>4</v>
      </c>
      <c r="AH374" s="5">
        <v>487.8</v>
      </c>
      <c r="AI374" t="s">
        <v>147</v>
      </c>
    </row>
    <row r="375" spans="1:35">
      <c r="A375" t="s">
        <v>687</v>
      </c>
      <c r="B375" t="s">
        <v>683</v>
      </c>
      <c r="C375" t="s">
        <v>182</v>
      </c>
      <c r="D375" t="s">
        <v>138</v>
      </c>
      <c r="E375" t="s">
        <v>169</v>
      </c>
      <c r="F375" t="s">
        <v>162</v>
      </c>
      <c r="G375" s="3">
        <v>46213</v>
      </c>
      <c r="H375" s="3">
        <v>46227</v>
      </c>
      <c r="I375" s="3">
        <v>46231</v>
      </c>
      <c r="J375" t="s">
        <v>150</v>
      </c>
      <c r="K375" t="s">
        <v>182</v>
      </c>
      <c r="L375" t="s">
        <v>158</v>
      </c>
      <c r="M375" t="s">
        <v>152</v>
      </c>
      <c r="N375" t="s">
        <v>153</v>
      </c>
      <c r="O375">
        <v>3228</v>
      </c>
      <c r="P375">
        <v>14</v>
      </c>
      <c r="Q375" t="s">
        <v>145</v>
      </c>
      <c r="R375" t="s">
        <v>176</v>
      </c>
      <c r="S375" t="s">
        <v>155</v>
      </c>
      <c r="T375" s="4">
        <v>295.83</v>
      </c>
      <c r="U375" s="4">
        <v>0</v>
      </c>
      <c r="V375" s="4">
        <v>3</v>
      </c>
      <c r="W375" s="4">
        <v>478.15</v>
      </c>
      <c r="X375" s="4">
        <v>56.75</v>
      </c>
      <c r="Y375" s="4">
        <v>830.73</v>
      </c>
      <c r="Z375" s="4" t="s">
        <v>148</v>
      </c>
      <c r="AA375" s="4" t="s">
        <v>147</v>
      </c>
      <c r="AB375" s="4">
        <f>SUMIF('Trip Changes'!$B:$B,A375,'Trip Changes'!$E:$E)</f>
        <v>115.66</v>
      </c>
      <c r="AC375" s="4">
        <f>SUMIF('Trip Cancellations'!$B:$B,A375,'Trip Cancellations'!$E:$E)</f>
        <v>0</v>
      </c>
      <c r="AD375" s="4">
        <f>SUMIF('Trip Cancellations'!$B:$B,A375,'Trip Cancellations'!$F:$F)</f>
        <v>0</v>
      </c>
      <c r="AE375" s="4">
        <f t="shared" si="5"/>
        <v>946.39</v>
      </c>
      <c r="AF375" t="s">
        <v>148</v>
      </c>
      <c r="AG375">
        <v>4</v>
      </c>
      <c r="AH375" s="5">
        <v>484.2</v>
      </c>
      <c r="AI375" t="s">
        <v>147</v>
      </c>
    </row>
    <row r="376" spans="1:35">
      <c r="A376" t="s">
        <v>688</v>
      </c>
      <c r="B376" t="s">
        <v>689</v>
      </c>
      <c r="C376" t="s">
        <v>193</v>
      </c>
      <c r="D376" t="s">
        <v>168</v>
      </c>
      <c r="E376" t="s">
        <v>205</v>
      </c>
      <c r="F376" t="s">
        <v>189</v>
      </c>
      <c r="G376" s="3">
        <v>46179</v>
      </c>
      <c r="H376" s="3">
        <v>46194</v>
      </c>
      <c r="I376" s="3">
        <v>46199</v>
      </c>
      <c r="J376" t="s">
        <v>141</v>
      </c>
      <c r="K376" t="s">
        <v>193</v>
      </c>
      <c r="L376" t="s">
        <v>225</v>
      </c>
      <c r="M376" t="s">
        <v>152</v>
      </c>
      <c r="N376" t="s">
        <v>153</v>
      </c>
      <c r="O376">
        <v>2962</v>
      </c>
      <c r="P376">
        <v>15</v>
      </c>
      <c r="Q376" t="s">
        <v>207</v>
      </c>
      <c r="R376" t="s">
        <v>236</v>
      </c>
      <c r="S376" t="s">
        <v>173</v>
      </c>
      <c r="T376" s="4">
        <v>545.48</v>
      </c>
      <c r="U376" s="4">
        <v>0</v>
      </c>
      <c r="V376" s="4">
        <v>4</v>
      </c>
      <c r="W376" s="4">
        <v>579.39</v>
      </c>
      <c r="X376" s="4">
        <v>69.59</v>
      </c>
      <c r="Y376" s="4">
        <v>1194.46</v>
      </c>
      <c r="Z376" s="4" t="s">
        <v>147</v>
      </c>
      <c r="AA376" s="4" t="s">
        <v>147</v>
      </c>
      <c r="AB376" s="4">
        <f>SUMIF('Trip Changes'!$B:$B,A376,'Trip Changes'!$E:$E)</f>
        <v>0</v>
      </c>
      <c r="AC376" s="4">
        <f>SUMIF('Trip Cancellations'!$B:$B,A376,'Trip Cancellations'!$E:$E)</f>
        <v>0</v>
      </c>
      <c r="AD376" s="4">
        <f>SUMIF('Trip Cancellations'!$B:$B,A376,'Trip Cancellations'!$F:$F)</f>
        <v>0</v>
      </c>
      <c r="AE376" s="4">
        <f t="shared" si="5"/>
        <v>1194.46</v>
      </c>
      <c r="AF376" t="s">
        <v>148</v>
      </c>
      <c r="AG376">
        <v>3</v>
      </c>
      <c r="AH376" s="5">
        <v>444.3</v>
      </c>
      <c r="AI376" t="s">
        <v>148</v>
      </c>
    </row>
    <row r="377" spans="1:35">
      <c r="A377" t="s">
        <v>690</v>
      </c>
      <c r="B377" t="s">
        <v>689</v>
      </c>
      <c r="C377" t="s">
        <v>193</v>
      </c>
      <c r="D377" t="s">
        <v>168</v>
      </c>
      <c r="E377" t="s">
        <v>205</v>
      </c>
      <c r="F377" t="s">
        <v>140</v>
      </c>
      <c r="G377" s="3">
        <v>46143</v>
      </c>
      <c r="H377" s="3">
        <v>46161</v>
      </c>
      <c r="I377" s="3">
        <v>46164</v>
      </c>
      <c r="J377" t="s">
        <v>163</v>
      </c>
      <c r="K377" t="s">
        <v>193</v>
      </c>
      <c r="L377" t="s">
        <v>199</v>
      </c>
      <c r="M377" t="s">
        <v>152</v>
      </c>
      <c r="N377" t="s">
        <v>153</v>
      </c>
      <c r="O377">
        <v>1636</v>
      </c>
      <c r="P377">
        <v>18</v>
      </c>
      <c r="Q377" t="s">
        <v>216</v>
      </c>
      <c r="R377" t="s">
        <v>291</v>
      </c>
      <c r="S377" t="s">
        <v>187</v>
      </c>
      <c r="T377" s="4">
        <v>338.07</v>
      </c>
      <c r="U377" s="4">
        <v>0</v>
      </c>
      <c r="V377" s="4">
        <v>2</v>
      </c>
      <c r="W377" s="4">
        <v>395.38</v>
      </c>
      <c r="X377" s="4">
        <v>67.34</v>
      </c>
      <c r="Y377" s="4">
        <v>800.79</v>
      </c>
      <c r="Z377" s="4" t="s">
        <v>147</v>
      </c>
      <c r="AA377" s="4" t="s">
        <v>147</v>
      </c>
      <c r="AB377" s="4">
        <f>SUMIF('Trip Changes'!$B:$B,A377,'Trip Changes'!$E:$E)</f>
        <v>0</v>
      </c>
      <c r="AC377" s="4">
        <f>SUMIF('Trip Cancellations'!$B:$B,A377,'Trip Cancellations'!$E:$E)</f>
        <v>0</v>
      </c>
      <c r="AD377" s="4">
        <f>SUMIF('Trip Cancellations'!$B:$B,A377,'Trip Cancellations'!$F:$F)</f>
        <v>0</v>
      </c>
      <c r="AE377" s="4">
        <f t="shared" si="5"/>
        <v>800.79</v>
      </c>
      <c r="AF377" t="s">
        <v>147</v>
      </c>
      <c r="AG377">
        <v>5</v>
      </c>
      <c r="AH377" s="5">
        <v>245.4</v>
      </c>
      <c r="AI377" t="s">
        <v>147</v>
      </c>
    </row>
    <row r="378" spans="1:35">
      <c r="A378" t="s">
        <v>691</v>
      </c>
      <c r="B378" t="s">
        <v>689</v>
      </c>
      <c r="C378" t="s">
        <v>193</v>
      </c>
      <c r="D378" t="s">
        <v>168</v>
      </c>
      <c r="E378" t="s">
        <v>205</v>
      </c>
      <c r="F378" t="s">
        <v>162</v>
      </c>
      <c r="G378" s="3">
        <v>46137</v>
      </c>
      <c r="H378" s="3">
        <v>46169</v>
      </c>
      <c r="I378" s="3">
        <v>46172</v>
      </c>
      <c r="J378" t="s">
        <v>163</v>
      </c>
      <c r="K378" t="s">
        <v>193</v>
      </c>
      <c r="L378" t="s">
        <v>182</v>
      </c>
      <c r="M378" t="s">
        <v>143</v>
      </c>
      <c r="N378" t="s">
        <v>153</v>
      </c>
      <c r="O378">
        <v>690</v>
      </c>
      <c r="P378">
        <v>32</v>
      </c>
      <c r="Q378" t="s">
        <v>145</v>
      </c>
      <c r="R378" t="s">
        <v>154</v>
      </c>
      <c r="S378" t="s">
        <v>164</v>
      </c>
      <c r="T378" s="4">
        <v>285.26</v>
      </c>
      <c r="U378" s="4">
        <v>0</v>
      </c>
      <c r="V378" s="4">
        <v>2</v>
      </c>
      <c r="W378" s="4">
        <v>306.08999999999997</v>
      </c>
      <c r="X378" s="4">
        <v>30.65</v>
      </c>
      <c r="Y378" s="4">
        <v>622</v>
      </c>
      <c r="Z378" s="4" t="s">
        <v>147</v>
      </c>
      <c r="AA378" s="4" t="s">
        <v>147</v>
      </c>
      <c r="AB378" s="4">
        <f>SUMIF('Trip Changes'!$B:$B,A378,'Trip Changes'!$E:$E)</f>
        <v>0</v>
      </c>
      <c r="AC378" s="4">
        <f>SUMIF('Trip Cancellations'!$B:$B,A378,'Trip Cancellations'!$E:$E)</f>
        <v>0</v>
      </c>
      <c r="AD378" s="4">
        <f>SUMIF('Trip Cancellations'!$B:$B,A378,'Trip Cancellations'!$F:$F)</f>
        <v>0</v>
      </c>
      <c r="AE378" s="4">
        <f t="shared" si="5"/>
        <v>622</v>
      </c>
      <c r="AF378" t="s">
        <v>148</v>
      </c>
      <c r="AG378">
        <v>5</v>
      </c>
      <c r="AH378" s="5">
        <v>103.5</v>
      </c>
      <c r="AI378" t="s">
        <v>148</v>
      </c>
    </row>
    <row r="379" spans="1:35">
      <c r="A379" t="s">
        <v>692</v>
      </c>
      <c r="B379" t="s">
        <v>693</v>
      </c>
      <c r="C379" t="s">
        <v>307</v>
      </c>
      <c r="D379" t="s">
        <v>138</v>
      </c>
      <c r="E379" t="s">
        <v>169</v>
      </c>
      <c r="F379" t="s">
        <v>140</v>
      </c>
      <c r="G379" s="3">
        <v>46170</v>
      </c>
      <c r="H379" s="3">
        <v>46189</v>
      </c>
      <c r="I379" s="3">
        <v>46196</v>
      </c>
      <c r="J379" t="s">
        <v>141</v>
      </c>
      <c r="K379" t="s">
        <v>307</v>
      </c>
      <c r="L379" t="s">
        <v>305</v>
      </c>
      <c r="M379" t="s">
        <v>152</v>
      </c>
      <c r="N379" t="s">
        <v>153</v>
      </c>
      <c r="O379">
        <v>11408</v>
      </c>
      <c r="P379">
        <v>19</v>
      </c>
      <c r="Q379" t="s">
        <v>145</v>
      </c>
      <c r="R379" t="s">
        <v>278</v>
      </c>
      <c r="S379" t="s">
        <v>173</v>
      </c>
      <c r="T379" s="4">
        <v>1611.5</v>
      </c>
      <c r="U379" s="4">
        <v>0</v>
      </c>
      <c r="V379" s="4">
        <v>6</v>
      </c>
      <c r="W379" s="4">
        <v>1073.95</v>
      </c>
      <c r="X379" s="4">
        <v>58.63</v>
      </c>
      <c r="Y379" s="4">
        <v>2744.08</v>
      </c>
      <c r="Z379" s="4" t="s">
        <v>147</v>
      </c>
      <c r="AA379" s="4" t="s">
        <v>147</v>
      </c>
      <c r="AB379" s="4">
        <f>SUMIF('Trip Changes'!$B:$B,A379,'Trip Changes'!$E:$E)</f>
        <v>0</v>
      </c>
      <c r="AC379" s="4">
        <f>SUMIF('Trip Cancellations'!$B:$B,A379,'Trip Cancellations'!$E:$E)</f>
        <v>0</v>
      </c>
      <c r="AD379" s="4">
        <f>SUMIF('Trip Cancellations'!$B:$B,A379,'Trip Cancellations'!$F:$F)</f>
        <v>0</v>
      </c>
      <c r="AE379" s="4">
        <f t="shared" si="5"/>
        <v>2744.08</v>
      </c>
      <c r="AF379" t="s">
        <v>148</v>
      </c>
      <c r="AG379">
        <v>4</v>
      </c>
      <c r="AH379" s="5">
        <v>1711.2</v>
      </c>
      <c r="AI379" t="s">
        <v>147</v>
      </c>
    </row>
    <row r="380" spans="1:35">
      <c r="A380" t="s">
        <v>694</v>
      </c>
      <c r="B380" t="s">
        <v>693</v>
      </c>
      <c r="C380" t="s">
        <v>307</v>
      </c>
      <c r="D380" t="s">
        <v>138</v>
      </c>
      <c r="E380" t="s">
        <v>169</v>
      </c>
      <c r="F380" t="s">
        <v>162</v>
      </c>
      <c r="G380" s="3">
        <v>46215</v>
      </c>
      <c r="H380" s="3">
        <v>46228</v>
      </c>
      <c r="I380" s="3">
        <v>46232</v>
      </c>
      <c r="J380" t="s">
        <v>150</v>
      </c>
      <c r="K380" t="s">
        <v>307</v>
      </c>
      <c r="L380" t="s">
        <v>227</v>
      </c>
      <c r="M380" t="s">
        <v>152</v>
      </c>
      <c r="N380" t="s">
        <v>153</v>
      </c>
      <c r="O380">
        <v>1880</v>
      </c>
      <c r="P380">
        <v>13</v>
      </c>
      <c r="Q380" t="s">
        <v>145</v>
      </c>
      <c r="R380" t="s">
        <v>236</v>
      </c>
      <c r="S380" t="s">
        <v>173</v>
      </c>
      <c r="T380" s="4">
        <v>476.47</v>
      </c>
      <c r="U380" s="4">
        <v>0</v>
      </c>
      <c r="V380" s="4">
        <v>3</v>
      </c>
      <c r="W380" s="4">
        <v>774.48</v>
      </c>
      <c r="X380" s="4">
        <v>69.22</v>
      </c>
      <c r="Y380" s="4">
        <v>1320.17</v>
      </c>
      <c r="Z380" s="4" t="s">
        <v>147</v>
      </c>
      <c r="AA380" s="4" t="s">
        <v>147</v>
      </c>
      <c r="AB380" s="4">
        <f>SUMIF('Trip Changes'!$B:$B,A380,'Trip Changes'!$E:$E)</f>
        <v>0</v>
      </c>
      <c r="AC380" s="4">
        <f>SUMIF('Trip Cancellations'!$B:$B,A380,'Trip Cancellations'!$E:$E)</f>
        <v>0</v>
      </c>
      <c r="AD380" s="4">
        <f>SUMIF('Trip Cancellations'!$B:$B,A380,'Trip Cancellations'!$F:$F)</f>
        <v>0</v>
      </c>
      <c r="AE380" s="4">
        <f t="shared" si="5"/>
        <v>1320.17</v>
      </c>
      <c r="AF380" t="s">
        <v>148</v>
      </c>
      <c r="AG380">
        <v>4</v>
      </c>
      <c r="AH380" s="5">
        <v>282</v>
      </c>
      <c r="AI380" t="s">
        <v>147</v>
      </c>
    </row>
    <row r="381" spans="1:35">
      <c r="A381" t="s">
        <v>695</v>
      </c>
      <c r="B381" t="s">
        <v>693</v>
      </c>
      <c r="C381" t="s">
        <v>307</v>
      </c>
      <c r="D381" t="s">
        <v>138</v>
      </c>
      <c r="E381" t="s">
        <v>169</v>
      </c>
      <c r="F381" t="s">
        <v>157</v>
      </c>
      <c r="G381" s="3">
        <v>46192</v>
      </c>
      <c r="H381" s="3">
        <v>46209</v>
      </c>
      <c r="I381" s="3">
        <v>46211</v>
      </c>
      <c r="J381" t="s">
        <v>150</v>
      </c>
      <c r="K381" t="s">
        <v>307</v>
      </c>
      <c r="L381" t="s">
        <v>199</v>
      </c>
      <c r="M381" t="s">
        <v>152</v>
      </c>
      <c r="N381" t="s">
        <v>153</v>
      </c>
      <c r="O381">
        <v>3374</v>
      </c>
      <c r="P381">
        <v>17</v>
      </c>
      <c r="Q381" t="s">
        <v>145</v>
      </c>
      <c r="R381" t="s">
        <v>200</v>
      </c>
      <c r="S381" t="s">
        <v>164</v>
      </c>
      <c r="T381" s="4">
        <v>344.49</v>
      </c>
      <c r="U381" s="4">
        <v>0</v>
      </c>
      <c r="V381" s="4">
        <v>1</v>
      </c>
      <c r="W381" s="4">
        <v>175.03</v>
      </c>
      <c r="X381" s="4">
        <v>80.760000000000005</v>
      </c>
      <c r="Y381" s="4">
        <v>600.28</v>
      </c>
      <c r="Z381" s="4" t="s">
        <v>147</v>
      </c>
      <c r="AA381" s="4" t="s">
        <v>147</v>
      </c>
      <c r="AB381" s="4">
        <f>SUMIF('Trip Changes'!$B:$B,A381,'Trip Changes'!$E:$E)</f>
        <v>0</v>
      </c>
      <c r="AC381" s="4">
        <f>SUMIF('Trip Cancellations'!$B:$B,A381,'Trip Cancellations'!$E:$E)</f>
        <v>0</v>
      </c>
      <c r="AD381" s="4">
        <f>SUMIF('Trip Cancellations'!$B:$B,A381,'Trip Cancellations'!$F:$F)</f>
        <v>0</v>
      </c>
      <c r="AE381" s="4">
        <f t="shared" si="5"/>
        <v>600.28</v>
      </c>
      <c r="AF381" t="s">
        <v>148</v>
      </c>
      <c r="AG381">
        <v>4</v>
      </c>
      <c r="AH381" s="5">
        <v>506.1</v>
      </c>
      <c r="AI381" t="s">
        <v>148</v>
      </c>
    </row>
    <row r="382" spans="1:35">
      <c r="A382" t="s">
        <v>696</v>
      </c>
      <c r="B382" t="s">
        <v>697</v>
      </c>
      <c r="C382" t="s">
        <v>182</v>
      </c>
      <c r="D382" t="s">
        <v>194</v>
      </c>
      <c r="E382" t="s">
        <v>139</v>
      </c>
      <c r="F382" t="s">
        <v>170</v>
      </c>
      <c r="G382" s="3">
        <v>46205</v>
      </c>
      <c r="H382" s="3">
        <v>46228</v>
      </c>
      <c r="I382" s="3">
        <v>46230</v>
      </c>
      <c r="J382" t="s">
        <v>150</v>
      </c>
      <c r="K382" t="s">
        <v>182</v>
      </c>
      <c r="L382" t="s">
        <v>233</v>
      </c>
      <c r="M382" t="s">
        <v>152</v>
      </c>
      <c r="N382" t="s">
        <v>153</v>
      </c>
      <c r="O382">
        <v>1186</v>
      </c>
      <c r="P382">
        <v>23</v>
      </c>
      <c r="Q382" t="s">
        <v>145</v>
      </c>
      <c r="R382" t="s">
        <v>160</v>
      </c>
      <c r="S382" t="s">
        <v>173</v>
      </c>
      <c r="T382" s="4">
        <v>374.99</v>
      </c>
      <c r="U382" s="4">
        <v>0</v>
      </c>
      <c r="V382" s="4">
        <v>1</v>
      </c>
      <c r="W382" s="4">
        <v>248.36</v>
      </c>
      <c r="X382" s="4">
        <v>77.459999999999994</v>
      </c>
      <c r="Y382" s="4">
        <v>700.81</v>
      </c>
      <c r="Z382" s="4" t="s">
        <v>147</v>
      </c>
      <c r="AA382" s="4" t="s">
        <v>147</v>
      </c>
      <c r="AB382" s="4">
        <f>SUMIF('Trip Changes'!$B:$B,A382,'Trip Changes'!$E:$E)</f>
        <v>0</v>
      </c>
      <c r="AC382" s="4">
        <f>SUMIF('Trip Cancellations'!$B:$B,A382,'Trip Cancellations'!$E:$E)</f>
        <v>0</v>
      </c>
      <c r="AD382" s="4">
        <f>SUMIF('Trip Cancellations'!$B:$B,A382,'Trip Cancellations'!$F:$F)</f>
        <v>0</v>
      </c>
      <c r="AE382" s="4">
        <f t="shared" si="5"/>
        <v>700.81</v>
      </c>
      <c r="AF382" t="s">
        <v>148</v>
      </c>
      <c r="AG382">
        <v>5</v>
      </c>
      <c r="AH382" s="5">
        <v>177.9</v>
      </c>
      <c r="AI382" t="s">
        <v>147</v>
      </c>
    </row>
    <row r="383" spans="1:35">
      <c r="A383" t="s">
        <v>698</v>
      </c>
      <c r="B383" t="s">
        <v>697</v>
      </c>
      <c r="C383" t="s">
        <v>182</v>
      </c>
      <c r="D383" t="s">
        <v>194</v>
      </c>
      <c r="E383" t="s">
        <v>139</v>
      </c>
      <c r="F383" t="s">
        <v>181</v>
      </c>
      <c r="G383" s="3">
        <v>46187</v>
      </c>
      <c r="H383" s="3">
        <v>46196</v>
      </c>
      <c r="I383" s="3">
        <v>46199</v>
      </c>
      <c r="J383" t="s">
        <v>141</v>
      </c>
      <c r="K383" t="s">
        <v>182</v>
      </c>
      <c r="L383" t="s">
        <v>199</v>
      </c>
      <c r="M383" t="s">
        <v>152</v>
      </c>
      <c r="N383" t="s">
        <v>153</v>
      </c>
      <c r="O383">
        <v>1584</v>
      </c>
      <c r="P383">
        <v>9</v>
      </c>
      <c r="Q383" t="s">
        <v>159</v>
      </c>
      <c r="R383" t="s">
        <v>291</v>
      </c>
      <c r="S383" t="s">
        <v>164</v>
      </c>
      <c r="T383" s="4">
        <v>541.41</v>
      </c>
      <c r="U383" s="4">
        <v>0</v>
      </c>
      <c r="V383" s="4">
        <v>2</v>
      </c>
      <c r="W383" s="4">
        <v>214.35</v>
      </c>
      <c r="X383" s="4">
        <v>56.23</v>
      </c>
      <c r="Y383" s="4">
        <v>811.99</v>
      </c>
      <c r="Z383" s="4" t="s">
        <v>148</v>
      </c>
      <c r="AA383" s="4" t="s">
        <v>147</v>
      </c>
      <c r="AB383" s="4">
        <f>SUMIF('Trip Changes'!$B:$B,A383,'Trip Changes'!$E:$E)</f>
        <v>21.01</v>
      </c>
      <c r="AC383" s="4">
        <f>SUMIF('Trip Cancellations'!$B:$B,A383,'Trip Cancellations'!$E:$E)</f>
        <v>0</v>
      </c>
      <c r="AD383" s="4">
        <f>SUMIF('Trip Cancellations'!$B:$B,A383,'Trip Cancellations'!$F:$F)</f>
        <v>0</v>
      </c>
      <c r="AE383" s="4">
        <f t="shared" si="5"/>
        <v>833</v>
      </c>
      <c r="AF383" t="s">
        <v>148</v>
      </c>
      <c r="AG383">
        <v>4</v>
      </c>
      <c r="AH383" s="5">
        <v>237.6</v>
      </c>
      <c r="AI383" t="s">
        <v>148</v>
      </c>
    </row>
    <row r="384" spans="1:35">
      <c r="A384" t="s">
        <v>699</v>
      </c>
      <c r="B384" t="s">
        <v>697</v>
      </c>
      <c r="C384" t="s">
        <v>182</v>
      </c>
      <c r="D384" t="s">
        <v>194</v>
      </c>
      <c r="E384" t="s">
        <v>139</v>
      </c>
      <c r="F384" t="s">
        <v>170</v>
      </c>
      <c r="G384" s="3">
        <v>46214</v>
      </c>
      <c r="H384" s="3">
        <v>46224</v>
      </c>
      <c r="I384" s="3">
        <v>46228</v>
      </c>
      <c r="J384" t="s">
        <v>150</v>
      </c>
      <c r="K384" t="s">
        <v>182</v>
      </c>
      <c r="L384" t="s">
        <v>233</v>
      </c>
      <c r="M384" t="s">
        <v>152</v>
      </c>
      <c r="N384" t="s">
        <v>153</v>
      </c>
      <c r="O384">
        <v>1422</v>
      </c>
      <c r="P384">
        <v>10</v>
      </c>
      <c r="Q384" t="s">
        <v>159</v>
      </c>
      <c r="R384" t="s">
        <v>160</v>
      </c>
      <c r="S384" t="s">
        <v>187</v>
      </c>
      <c r="T384" s="4">
        <v>226.9</v>
      </c>
      <c r="U384" s="4">
        <v>0</v>
      </c>
      <c r="V384" s="4">
        <v>3</v>
      </c>
      <c r="W384" s="4">
        <v>454.37</v>
      </c>
      <c r="X384" s="4">
        <v>70.25</v>
      </c>
      <c r="Y384" s="4">
        <v>751.52</v>
      </c>
      <c r="Z384" s="4" t="s">
        <v>147</v>
      </c>
      <c r="AA384" s="4" t="s">
        <v>147</v>
      </c>
      <c r="AB384" s="4">
        <f>SUMIF('Trip Changes'!$B:$B,A384,'Trip Changes'!$E:$E)</f>
        <v>0</v>
      </c>
      <c r="AC384" s="4">
        <f>SUMIF('Trip Cancellations'!$B:$B,A384,'Trip Cancellations'!$E:$E)</f>
        <v>0</v>
      </c>
      <c r="AD384" s="4">
        <f>SUMIF('Trip Cancellations'!$B:$B,A384,'Trip Cancellations'!$F:$F)</f>
        <v>0</v>
      </c>
      <c r="AE384" s="4">
        <f t="shared" si="5"/>
        <v>751.52</v>
      </c>
      <c r="AF384" t="s">
        <v>148</v>
      </c>
      <c r="AG384">
        <v>3</v>
      </c>
      <c r="AH384" s="5">
        <v>213.3</v>
      </c>
      <c r="AI384" t="s">
        <v>147</v>
      </c>
    </row>
    <row r="385" spans="1:35">
      <c r="A385" t="s">
        <v>700</v>
      </c>
      <c r="B385" t="s">
        <v>697</v>
      </c>
      <c r="C385" t="s">
        <v>182</v>
      </c>
      <c r="D385" t="s">
        <v>194</v>
      </c>
      <c r="E385" t="s">
        <v>139</v>
      </c>
      <c r="F385" t="s">
        <v>157</v>
      </c>
      <c r="G385" s="3">
        <v>46145</v>
      </c>
      <c r="H385" s="3">
        <v>46155</v>
      </c>
      <c r="I385" s="3">
        <v>46157</v>
      </c>
      <c r="J385" t="s">
        <v>163</v>
      </c>
      <c r="K385" t="s">
        <v>182</v>
      </c>
      <c r="L385" t="s">
        <v>171</v>
      </c>
      <c r="M385" t="s">
        <v>152</v>
      </c>
      <c r="N385" t="s">
        <v>153</v>
      </c>
      <c r="O385">
        <v>1822</v>
      </c>
      <c r="P385">
        <v>10</v>
      </c>
      <c r="Q385" t="s">
        <v>159</v>
      </c>
      <c r="R385" t="s">
        <v>154</v>
      </c>
      <c r="S385" t="s">
        <v>173</v>
      </c>
      <c r="T385" s="4">
        <v>709.26</v>
      </c>
      <c r="U385" s="4">
        <v>0</v>
      </c>
      <c r="V385" s="4">
        <v>1</v>
      </c>
      <c r="W385" s="4">
        <v>130.22999999999999</v>
      </c>
      <c r="X385" s="4">
        <v>134.97999999999999</v>
      </c>
      <c r="Y385" s="4">
        <v>974.47</v>
      </c>
      <c r="Z385" s="4" t="s">
        <v>147</v>
      </c>
      <c r="AA385" s="4" t="s">
        <v>147</v>
      </c>
      <c r="AB385" s="4">
        <f>SUMIF('Trip Changes'!$B:$B,A385,'Trip Changes'!$E:$E)</f>
        <v>0</v>
      </c>
      <c r="AC385" s="4">
        <f>SUMIF('Trip Cancellations'!$B:$B,A385,'Trip Cancellations'!$E:$E)</f>
        <v>0</v>
      </c>
      <c r="AD385" s="4">
        <f>SUMIF('Trip Cancellations'!$B:$B,A385,'Trip Cancellations'!$F:$F)</f>
        <v>0</v>
      </c>
      <c r="AE385" s="4">
        <f t="shared" si="5"/>
        <v>974.47</v>
      </c>
      <c r="AF385" t="s">
        <v>148</v>
      </c>
      <c r="AG385">
        <v>4</v>
      </c>
      <c r="AH385" s="5">
        <v>273.3</v>
      </c>
      <c r="AI385" t="s">
        <v>148</v>
      </c>
    </row>
    <row r="386" spans="1:35">
      <c r="A386" t="s">
        <v>701</v>
      </c>
      <c r="B386" t="s">
        <v>702</v>
      </c>
      <c r="C386" t="s">
        <v>182</v>
      </c>
      <c r="D386" t="s">
        <v>230</v>
      </c>
      <c r="E386" t="s">
        <v>139</v>
      </c>
      <c r="F386" t="s">
        <v>207</v>
      </c>
      <c r="G386" s="3">
        <v>46191</v>
      </c>
      <c r="H386" s="3">
        <v>46207</v>
      </c>
      <c r="I386" s="3">
        <v>46210</v>
      </c>
      <c r="J386" t="s">
        <v>150</v>
      </c>
      <c r="K386" t="s">
        <v>182</v>
      </c>
      <c r="L386" t="s">
        <v>199</v>
      </c>
      <c r="M386" t="s">
        <v>152</v>
      </c>
      <c r="N386" t="s">
        <v>153</v>
      </c>
      <c r="O386">
        <v>1886</v>
      </c>
      <c r="P386">
        <v>16</v>
      </c>
      <c r="Q386" t="s">
        <v>159</v>
      </c>
      <c r="R386" t="s">
        <v>291</v>
      </c>
      <c r="S386" t="s">
        <v>164</v>
      </c>
      <c r="T386" s="4">
        <v>367.96</v>
      </c>
      <c r="U386" s="4">
        <v>0</v>
      </c>
      <c r="V386" s="4">
        <v>2</v>
      </c>
      <c r="W386" s="4">
        <v>307.92</v>
      </c>
      <c r="X386" s="4">
        <v>95.39</v>
      </c>
      <c r="Y386" s="4">
        <v>771.27</v>
      </c>
      <c r="Z386" s="4" t="s">
        <v>147</v>
      </c>
      <c r="AA386" s="4" t="s">
        <v>147</v>
      </c>
      <c r="AB386" s="4">
        <f>SUMIF('Trip Changes'!$B:$B,A386,'Trip Changes'!$E:$E)</f>
        <v>0</v>
      </c>
      <c r="AC386" s="4">
        <f>SUMIF('Trip Cancellations'!$B:$B,A386,'Trip Cancellations'!$E:$E)</f>
        <v>0</v>
      </c>
      <c r="AD386" s="4">
        <f>SUMIF('Trip Cancellations'!$B:$B,A386,'Trip Cancellations'!$F:$F)</f>
        <v>0</v>
      </c>
      <c r="AE386" s="4">
        <f t="shared" ref="AE386:AE449" si="6">Y386+AB386+AC386-AD386</f>
        <v>771.27</v>
      </c>
      <c r="AF386" t="s">
        <v>148</v>
      </c>
      <c r="AG386">
        <v>5</v>
      </c>
      <c r="AH386" s="5">
        <v>282.89999999999998</v>
      </c>
      <c r="AI386" t="s">
        <v>148</v>
      </c>
    </row>
    <row r="387" spans="1:35">
      <c r="A387" t="s">
        <v>703</v>
      </c>
      <c r="B387" t="s">
        <v>702</v>
      </c>
      <c r="C387" t="s">
        <v>182</v>
      </c>
      <c r="D387" t="s">
        <v>230</v>
      </c>
      <c r="E387" t="s">
        <v>139</v>
      </c>
      <c r="F387" t="s">
        <v>162</v>
      </c>
      <c r="G387" s="3">
        <v>46180</v>
      </c>
      <c r="H387" s="3">
        <v>46186</v>
      </c>
      <c r="I387" s="3">
        <v>46190</v>
      </c>
      <c r="J387" t="s">
        <v>141</v>
      </c>
      <c r="K387" t="s">
        <v>182</v>
      </c>
      <c r="L387" t="s">
        <v>179</v>
      </c>
      <c r="M387" t="s">
        <v>152</v>
      </c>
      <c r="N387" t="s">
        <v>153</v>
      </c>
      <c r="O387">
        <v>16510</v>
      </c>
      <c r="P387">
        <v>6</v>
      </c>
      <c r="Q387" t="s">
        <v>145</v>
      </c>
      <c r="R387" t="s">
        <v>441</v>
      </c>
      <c r="S387" t="s">
        <v>187</v>
      </c>
      <c r="T387" s="4">
        <v>932.65</v>
      </c>
      <c r="U387" s="4">
        <v>0</v>
      </c>
      <c r="V387" s="4">
        <v>3</v>
      </c>
      <c r="W387" s="4">
        <v>828.93</v>
      </c>
      <c r="X387" s="4">
        <v>142.69</v>
      </c>
      <c r="Y387" s="4">
        <v>1904.27</v>
      </c>
      <c r="Z387" s="4" t="s">
        <v>147</v>
      </c>
      <c r="AA387" s="4" t="s">
        <v>147</v>
      </c>
      <c r="AB387" s="4">
        <f>SUMIF('Trip Changes'!$B:$B,A387,'Trip Changes'!$E:$E)</f>
        <v>0</v>
      </c>
      <c r="AC387" s="4">
        <f>SUMIF('Trip Cancellations'!$B:$B,A387,'Trip Cancellations'!$E:$E)</f>
        <v>0</v>
      </c>
      <c r="AD387" s="4">
        <f>SUMIF('Trip Cancellations'!$B:$B,A387,'Trip Cancellations'!$F:$F)</f>
        <v>0</v>
      </c>
      <c r="AE387" s="4">
        <f t="shared" si="6"/>
        <v>1904.27</v>
      </c>
      <c r="AF387" t="s">
        <v>148</v>
      </c>
      <c r="AG387">
        <v>5</v>
      </c>
      <c r="AH387" s="5">
        <v>2476.5</v>
      </c>
      <c r="AI387" t="s">
        <v>148</v>
      </c>
    </row>
    <row r="388" spans="1:35">
      <c r="A388" t="s">
        <v>704</v>
      </c>
      <c r="B388" t="s">
        <v>705</v>
      </c>
      <c r="C388" t="s">
        <v>182</v>
      </c>
      <c r="D388" t="s">
        <v>248</v>
      </c>
      <c r="E388" t="s">
        <v>169</v>
      </c>
      <c r="F388" t="s">
        <v>162</v>
      </c>
      <c r="G388" s="3">
        <v>46120</v>
      </c>
      <c r="H388" s="3">
        <v>46149</v>
      </c>
      <c r="I388" s="3">
        <v>46153</v>
      </c>
      <c r="J388" t="s">
        <v>163</v>
      </c>
      <c r="K388" t="s">
        <v>182</v>
      </c>
      <c r="L388" t="s">
        <v>199</v>
      </c>
      <c r="M388" t="s">
        <v>152</v>
      </c>
      <c r="N388" t="s">
        <v>153</v>
      </c>
      <c r="O388">
        <v>3512</v>
      </c>
      <c r="P388">
        <v>29</v>
      </c>
      <c r="Q388" t="s">
        <v>145</v>
      </c>
      <c r="R388" t="s">
        <v>200</v>
      </c>
      <c r="S388" t="s">
        <v>155</v>
      </c>
      <c r="T388" s="4">
        <v>523.28</v>
      </c>
      <c r="U388" s="4">
        <v>0</v>
      </c>
      <c r="V388" s="4">
        <v>3</v>
      </c>
      <c r="W388" s="4">
        <v>571.92999999999995</v>
      </c>
      <c r="X388" s="4">
        <v>159.07</v>
      </c>
      <c r="Y388" s="4">
        <v>1254.28</v>
      </c>
      <c r="Z388" s="4" t="s">
        <v>147</v>
      </c>
      <c r="AA388" s="4" t="s">
        <v>147</v>
      </c>
      <c r="AB388" s="4">
        <f>SUMIF('Trip Changes'!$B:$B,A388,'Trip Changes'!$E:$E)</f>
        <v>0</v>
      </c>
      <c r="AC388" s="4">
        <f>SUMIF('Trip Cancellations'!$B:$B,A388,'Trip Cancellations'!$E:$E)</f>
        <v>0</v>
      </c>
      <c r="AD388" s="4">
        <f>SUMIF('Trip Cancellations'!$B:$B,A388,'Trip Cancellations'!$F:$F)</f>
        <v>0</v>
      </c>
      <c r="AE388" s="4">
        <f t="shared" si="6"/>
        <v>1254.28</v>
      </c>
      <c r="AF388" t="s">
        <v>148</v>
      </c>
      <c r="AG388">
        <v>4</v>
      </c>
      <c r="AH388" s="5">
        <v>526.79999999999995</v>
      </c>
      <c r="AI388" t="s">
        <v>148</v>
      </c>
    </row>
    <row r="389" spans="1:35">
      <c r="A389" t="s">
        <v>706</v>
      </c>
      <c r="B389" t="s">
        <v>705</v>
      </c>
      <c r="C389" t="s">
        <v>182</v>
      </c>
      <c r="D389" t="s">
        <v>248</v>
      </c>
      <c r="E389" t="s">
        <v>169</v>
      </c>
      <c r="F389" t="s">
        <v>207</v>
      </c>
      <c r="G389" s="3">
        <v>46178</v>
      </c>
      <c r="H389" s="3">
        <v>46201</v>
      </c>
      <c r="I389" s="3">
        <v>46203</v>
      </c>
      <c r="J389" t="s">
        <v>141</v>
      </c>
      <c r="K389" t="s">
        <v>182</v>
      </c>
      <c r="L389" t="s">
        <v>209</v>
      </c>
      <c r="M389" t="s">
        <v>152</v>
      </c>
      <c r="N389" t="s">
        <v>153</v>
      </c>
      <c r="O389">
        <v>2160</v>
      </c>
      <c r="P389">
        <v>23</v>
      </c>
      <c r="Q389" t="s">
        <v>145</v>
      </c>
      <c r="R389" t="s">
        <v>154</v>
      </c>
      <c r="S389" t="s">
        <v>173</v>
      </c>
      <c r="T389" s="4">
        <v>381.4</v>
      </c>
      <c r="U389" s="4">
        <v>0</v>
      </c>
      <c r="V389" s="4">
        <v>1</v>
      </c>
      <c r="W389" s="4">
        <v>172.68</v>
      </c>
      <c r="X389" s="4">
        <v>131.43</v>
      </c>
      <c r="Y389" s="4">
        <v>685.51</v>
      </c>
      <c r="Z389" s="4" t="s">
        <v>147</v>
      </c>
      <c r="AA389" s="4" t="s">
        <v>148</v>
      </c>
      <c r="AB389" s="4">
        <f>SUMIF('Trip Changes'!$B:$B,A389,'Trip Changes'!$E:$E)</f>
        <v>0</v>
      </c>
      <c r="AC389" s="4">
        <f>SUMIF('Trip Cancellations'!$B:$B,A389,'Trip Cancellations'!$E:$E)</f>
        <v>77</v>
      </c>
      <c r="AD389" s="4">
        <f>SUMIF('Trip Cancellations'!$B:$B,A389,'Trip Cancellations'!$F:$F)</f>
        <v>415.56</v>
      </c>
      <c r="AE389" s="4">
        <f t="shared" si="6"/>
        <v>346.95</v>
      </c>
      <c r="AF389" t="s">
        <v>148</v>
      </c>
      <c r="AG389">
        <v>3</v>
      </c>
      <c r="AH389" s="5">
        <v>324</v>
      </c>
      <c r="AI389" t="s">
        <v>148</v>
      </c>
    </row>
    <row r="390" spans="1:35">
      <c r="A390" t="s">
        <v>707</v>
      </c>
      <c r="B390" t="s">
        <v>705</v>
      </c>
      <c r="C390" t="s">
        <v>182</v>
      </c>
      <c r="D390" t="s">
        <v>248</v>
      </c>
      <c r="E390" t="s">
        <v>169</v>
      </c>
      <c r="F390" t="s">
        <v>189</v>
      </c>
      <c r="G390" s="3">
        <v>46202</v>
      </c>
      <c r="H390" s="3">
        <v>46213</v>
      </c>
      <c r="I390" s="3">
        <v>46217</v>
      </c>
      <c r="J390" t="s">
        <v>150</v>
      </c>
      <c r="K390" t="s">
        <v>182</v>
      </c>
      <c r="L390" t="s">
        <v>233</v>
      </c>
      <c r="M390" t="s">
        <v>152</v>
      </c>
      <c r="N390" t="s">
        <v>153</v>
      </c>
      <c r="O390">
        <v>2108</v>
      </c>
      <c r="P390">
        <v>11</v>
      </c>
      <c r="Q390" t="s">
        <v>159</v>
      </c>
      <c r="R390" t="s">
        <v>154</v>
      </c>
      <c r="S390" t="s">
        <v>190</v>
      </c>
      <c r="T390" s="4">
        <v>426.76</v>
      </c>
      <c r="U390" s="4">
        <v>0</v>
      </c>
      <c r="V390" s="4">
        <v>3</v>
      </c>
      <c r="W390" s="4">
        <v>424.48</v>
      </c>
      <c r="X390" s="4">
        <v>122.5</v>
      </c>
      <c r="Y390" s="4">
        <v>973.74</v>
      </c>
      <c r="Z390" s="4" t="s">
        <v>148</v>
      </c>
      <c r="AA390" s="4" t="s">
        <v>147</v>
      </c>
      <c r="AB390" s="4">
        <f>SUMIF('Trip Changes'!$B:$B,A390,'Trip Changes'!$E:$E)</f>
        <v>83.59</v>
      </c>
      <c r="AC390" s="4">
        <f>SUMIF('Trip Cancellations'!$B:$B,A390,'Trip Cancellations'!$E:$E)</f>
        <v>0</v>
      </c>
      <c r="AD390" s="4">
        <f>SUMIF('Trip Cancellations'!$B:$B,A390,'Trip Cancellations'!$F:$F)</f>
        <v>0</v>
      </c>
      <c r="AE390" s="4">
        <f t="shared" si="6"/>
        <v>1057.33</v>
      </c>
      <c r="AF390" t="s">
        <v>148</v>
      </c>
      <c r="AG390">
        <v>3</v>
      </c>
      <c r="AH390" s="5">
        <v>316.2</v>
      </c>
      <c r="AI390" t="s">
        <v>147</v>
      </c>
    </row>
    <row r="391" spans="1:35">
      <c r="A391" t="s">
        <v>708</v>
      </c>
      <c r="B391" t="s">
        <v>709</v>
      </c>
      <c r="C391" t="s">
        <v>182</v>
      </c>
      <c r="D391" t="s">
        <v>168</v>
      </c>
      <c r="E391" t="s">
        <v>262</v>
      </c>
      <c r="F391" t="s">
        <v>162</v>
      </c>
      <c r="G391" s="3">
        <v>46205</v>
      </c>
      <c r="H391" s="3">
        <v>46234</v>
      </c>
      <c r="I391" s="3">
        <v>46238</v>
      </c>
      <c r="J391" t="s">
        <v>150</v>
      </c>
      <c r="K391" t="s">
        <v>182</v>
      </c>
      <c r="L391" t="s">
        <v>215</v>
      </c>
      <c r="M391" t="s">
        <v>152</v>
      </c>
      <c r="N391" t="s">
        <v>153</v>
      </c>
      <c r="O391">
        <v>3278</v>
      </c>
      <c r="P391">
        <v>29</v>
      </c>
      <c r="Q391" t="s">
        <v>159</v>
      </c>
      <c r="R391" t="s">
        <v>154</v>
      </c>
      <c r="S391" t="s">
        <v>155</v>
      </c>
      <c r="T391" s="4">
        <v>427.29</v>
      </c>
      <c r="U391" s="4">
        <v>0</v>
      </c>
      <c r="V391" s="4">
        <v>3</v>
      </c>
      <c r="W391" s="4">
        <v>679.87</v>
      </c>
      <c r="X391" s="4">
        <v>98.94</v>
      </c>
      <c r="Y391" s="4">
        <v>1206.0999999999999</v>
      </c>
      <c r="Z391" s="4" t="s">
        <v>147</v>
      </c>
      <c r="AA391" s="4" t="s">
        <v>147</v>
      </c>
      <c r="AB391" s="4">
        <f>SUMIF('Trip Changes'!$B:$B,A391,'Trip Changes'!$E:$E)</f>
        <v>0</v>
      </c>
      <c r="AC391" s="4">
        <f>SUMIF('Trip Cancellations'!$B:$B,A391,'Trip Cancellations'!$E:$E)</f>
        <v>0</v>
      </c>
      <c r="AD391" s="4">
        <f>SUMIF('Trip Cancellations'!$B:$B,A391,'Trip Cancellations'!$F:$F)</f>
        <v>0</v>
      </c>
      <c r="AE391" s="4">
        <f t="shared" si="6"/>
        <v>1206.0999999999999</v>
      </c>
      <c r="AF391" t="s">
        <v>148</v>
      </c>
      <c r="AG391">
        <v>5</v>
      </c>
      <c r="AH391" s="5">
        <v>491.7</v>
      </c>
      <c r="AI391" t="s">
        <v>148</v>
      </c>
    </row>
    <row r="392" spans="1:35">
      <c r="A392" t="s">
        <v>710</v>
      </c>
      <c r="B392" t="s">
        <v>709</v>
      </c>
      <c r="C392" t="s">
        <v>182</v>
      </c>
      <c r="D392" t="s">
        <v>168</v>
      </c>
      <c r="E392" t="s">
        <v>262</v>
      </c>
      <c r="F392" t="s">
        <v>189</v>
      </c>
      <c r="G392" s="3">
        <v>46144</v>
      </c>
      <c r="H392" s="3">
        <v>46145</v>
      </c>
      <c r="I392" s="3">
        <v>46147</v>
      </c>
      <c r="J392" t="s">
        <v>163</v>
      </c>
      <c r="K392" t="s">
        <v>182</v>
      </c>
      <c r="L392" t="s">
        <v>175</v>
      </c>
      <c r="M392" t="s">
        <v>152</v>
      </c>
      <c r="N392" t="s">
        <v>153</v>
      </c>
      <c r="O392">
        <v>3324</v>
      </c>
      <c r="P392">
        <v>1</v>
      </c>
      <c r="Q392" t="s">
        <v>216</v>
      </c>
      <c r="R392" t="s">
        <v>154</v>
      </c>
      <c r="S392" t="s">
        <v>164</v>
      </c>
      <c r="T392" s="4">
        <v>692.2</v>
      </c>
      <c r="U392" s="4">
        <v>0</v>
      </c>
      <c r="V392" s="4">
        <v>1</v>
      </c>
      <c r="W392" s="4">
        <v>92.54</v>
      </c>
      <c r="X392" s="4">
        <v>81.75</v>
      </c>
      <c r="Y392" s="4">
        <v>866.49</v>
      </c>
      <c r="Z392" s="4" t="s">
        <v>147</v>
      </c>
      <c r="AA392" s="4" t="s">
        <v>147</v>
      </c>
      <c r="AB392" s="4">
        <f>SUMIF('Trip Changes'!$B:$B,A392,'Trip Changes'!$E:$E)</f>
        <v>0</v>
      </c>
      <c r="AC392" s="4">
        <f>SUMIF('Trip Cancellations'!$B:$B,A392,'Trip Cancellations'!$E:$E)</f>
        <v>0</v>
      </c>
      <c r="AD392" s="4">
        <f>SUMIF('Trip Cancellations'!$B:$B,A392,'Trip Cancellations'!$F:$F)</f>
        <v>0</v>
      </c>
      <c r="AE392" s="4">
        <f t="shared" si="6"/>
        <v>866.49</v>
      </c>
      <c r="AF392" t="s">
        <v>148</v>
      </c>
      <c r="AG392">
        <v>5</v>
      </c>
      <c r="AH392" s="5">
        <v>498.6</v>
      </c>
      <c r="AI392" t="s">
        <v>148</v>
      </c>
    </row>
    <row r="393" spans="1:35">
      <c r="A393" t="s">
        <v>711</v>
      </c>
      <c r="B393" t="s">
        <v>709</v>
      </c>
      <c r="C393" t="s">
        <v>182</v>
      </c>
      <c r="D393" t="s">
        <v>168</v>
      </c>
      <c r="E393" t="s">
        <v>262</v>
      </c>
      <c r="F393" t="s">
        <v>170</v>
      </c>
      <c r="G393" s="3">
        <v>46213</v>
      </c>
      <c r="H393" s="3">
        <v>46214</v>
      </c>
      <c r="I393" s="3">
        <v>46219</v>
      </c>
      <c r="J393" t="s">
        <v>150</v>
      </c>
      <c r="K393" t="s">
        <v>182</v>
      </c>
      <c r="L393" t="s">
        <v>233</v>
      </c>
      <c r="M393" t="s">
        <v>152</v>
      </c>
      <c r="N393" t="s">
        <v>153</v>
      </c>
      <c r="O393">
        <v>2376</v>
      </c>
      <c r="P393">
        <v>1</v>
      </c>
      <c r="Q393" t="s">
        <v>145</v>
      </c>
      <c r="R393" t="s">
        <v>160</v>
      </c>
      <c r="S393" t="s">
        <v>155</v>
      </c>
      <c r="T393" s="4">
        <v>581.76</v>
      </c>
      <c r="U393" s="4">
        <v>0</v>
      </c>
      <c r="V393" s="4">
        <v>4</v>
      </c>
      <c r="W393" s="4">
        <v>473.41</v>
      </c>
      <c r="X393" s="4">
        <v>51.12</v>
      </c>
      <c r="Y393" s="4">
        <v>1106.29</v>
      </c>
      <c r="Z393" s="4" t="s">
        <v>147</v>
      </c>
      <c r="AA393" s="4" t="s">
        <v>147</v>
      </c>
      <c r="AB393" s="4">
        <f>SUMIF('Trip Changes'!$B:$B,A393,'Trip Changes'!$E:$E)</f>
        <v>0</v>
      </c>
      <c r="AC393" s="4">
        <f>SUMIF('Trip Cancellations'!$B:$B,A393,'Trip Cancellations'!$E:$E)</f>
        <v>0</v>
      </c>
      <c r="AD393" s="4">
        <f>SUMIF('Trip Cancellations'!$B:$B,A393,'Trip Cancellations'!$F:$F)</f>
        <v>0</v>
      </c>
      <c r="AE393" s="4">
        <f t="shared" si="6"/>
        <v>1106.29</v>
      </c>
      <c r="AF393" t="s">
        <v>148</v>
      </c>
      <c r="AG393">
        <v>4</v>
      </c>
      <c r="AH393" s="5">
        <v>356.4</v>
      </c>
      <c r="AI393" t="s">
        <v>147</v>
      </c>
    </row>
    <row r="394" spans="1:35">
      <c r="A394" t="s">
        <v>712</v>
      </c>
      <c r="B394" t="s">
        <v>713</v>
      </c>
      <c r="C394" t="s">
        <v>257</v>
      </c>
      <c r="D394" t="s">
        <v>168</v>
      </c>
      <c r="E394" t="s">
        <v>169</v>
      </c>
      <c r="F394" t="s">
        <v>140</v>
      </c>
      <c r="G394" s="3">
        <v>46156</v>
      </c>
      <c r="H394" s="3">
        <v>46160</v>
      </c>
      <c r="I394" s="3">
        <v>46164</v>
      </c>
      <c r="J394" t="s">
        <v>163</v>
      </c>
      <c r="K394" t="s">
        <v>257</v>
      </c>
      <c r="L394" t="s">
        <v>171</v>
      </c>
      <c r="M394" t="s">
        <v>152</v>
      </c>
      <c r="N394" t="s">
        <v>153</v>
      </c>
      <c r="O394">
        <v>2876</v>
      </c>
      <c r="P394">
        <v>4</v>
      </c>
      <c r="Q394" t="s">
        <v>145</v>
      </c>
      <c r="R394" t="s">
        <v>172</v>
      </c>
      <c r="S394" t="s">
        <v>155</v>
      </c>
      <c r="T394" s="4">
        <v>263.91000000000003</v>
      </c>
      <c r="U394" s="4">
        <v>0</v>
      </c>
      <c r="V394" s="4">
        <v>3</v>
      </c>
      <c r="W394" s="4">
        <v>605.55999999999995</v>
      </c>
      <c r="X394" s="4">
        <v>95.23</v>
      </c>
      <c r="Y394" s="4">
        <v>964.7</v>
      </c>
      <c r="Z394" s="4" t="s">
        <v>147</v>
      </c>
      <c r="AA394" s="4" t="s">
        <v>147</v>
      </c>
      <c r="AB394" s="4">
        <f>SUMIF('Trip Changes'!$B:$B,A394,'Trip Changes'!$E:$E)</f>
        <v>0</v>
      </c>
      <c r="AC394" s="4">
        <f>SUMIF('Trip Cancellations'!$B:$B,A394,'Trip Cancellations'!$E:$E)</f>
        <v>0</v>
      </c>
      <c r="AD394" s="4">
        <f>SUMIF('Trip Cancellations'!$B:$B,A394,'Trip Cancellations'!$F:$F)</f>
        <v>0</v>
      </c>
      <c r="AE394" s="4">
        <f t="shared" si="6"/>
        <v>964.7</v>
      </c>
      <c r="AF394" t="s">
        <v>148</v>
      </c>
      <c r="AG394">
        <v>5</v>
      </c>
      <c r="AH394" s="5">
        <v>431.4</v>
      </c>
      <c r="AI394" t="s">
        <v>148</v>
      </c>
    </row>
    <row r="395" spans="1:35">
      <c r="A395" t="s">
        <v>714</v>
      </c>
      <c r="B395" t="s">
        <v>713</v>
      </c>
      <c r="C395" t="s">
        <v>257</v>
      </c>
      <c r="D395" t="s">
        <v>168</v>
      </c>
      <c r="E395" t="s">
        <v>169</v>
      </c>
      <c r="F395" t="s">
        <v>157</v>
      </c>
      <c r="G395" s="3">
        <v>46207</v>
      </c>
      <c r="H395" s="3">
        <v>46208</v>
      </c>
      <c r="I395" s="3">
        <v>46214</v>
      </c>
      <c r="J395" t="s">
        <v>150</v>
      </c>
      <c r="K395" t="s">
        <v>257</v>
      </c>
      <c r="L395" t="s">
        <v>185</v>
      </c>
      <c r="M395" t="s">
        <v>152</v>
      </c>
      <c r="N395" t="s">
        <v>153</v>
      </c>
      <c r="O395">
        <v>11852</v>
      </c>
      <c r="P395">
        <v>1</v>
      </c>
      <c r="Q395" t="s">
        <v>145</v>
      </c>
      <c r="R395" t="s">
        <v>186</v>
      </c>
      <c r="S395" t="s">
        <v>164</v>
      </c>
      <c r="T395" s="4">
        <v>1214.8699999999999</v>
      </c>
      <c r="U395" s="4">
        <v>0</v>
      </c>
      <c r="V395" s="4">
        <v>5</v>
      </c>
      <c r="W395" s="4">
        <v>1080.05</v>
      </c>
      <c r="X395" s="4">
        <v>134.19999999999999</v>
      </c>
      <c r="Y395" s="4">
        <v>2429.12</v>
      </c>
      <c r="Z395" s="4" t="s">
        <v>148</v>
      </c>
      <c r="AA395" s="4" t="s">
        <v>147</v>
      </c>
      <c r="AB395" s="4">
        <f>SUMIF('Trip Changes'!$B:$B,A395,'Trip Changes'!$E:$E)</f>
        <v>363.85</v>
      </c>
      <c r="AC395" s="4">
        <f>SUMIF('Trip Cancellations'!$B:$B,A395,'Trip Cancellations'!$E:$E)</f>
        <v>0</v>
      </c>
      <c r="AD395" s="4">
        <f>SUMIF('Trip Cancellations'!$B:$B,A395,'Trip Cancellations'!$F:$F)</f>
        <v>0</v>
      </c>
      <c r="AE395" s="4">
        <f t="shared" si="6"/>
        <v>2792.97</v>
      </c>
      <c r="AF395" t="s">
        <v>148</v>
      </c>
      <c r="AG395">
        <v>4</v>
      </c>
      <c r="AH395" s="5">
        <v>1777.8</v>
      </c>
      <c r="AI395" t="s">
        <v>148</v>
      </c>
    </row>
    <row r="396" spans="1:35">
      <c r="A396" t="s">
        <v>715</v>
      </c>
      <c r="B396" t="s">
        <v>713</v>
      </c>
      <c r="C396" t="s">
        <v>257</v>
      </c>
      <c r="D396" t="s">
        <v>168</v>
      </c>
      <c r="E396" t="s">
        <v>169</v>
      </c>
      <c r="F396" t="s">
        <v>178</v>
      </c>
      <c r="G396" s="3">
        <v>46163</v>
      </c>
      <c r="H396" s="3">
        <v>46187</v>
      </c>
      <c r="I396" s="3">
        <v>46190</v>
      </c>
      <c r="J396" t="s">
        <v>141</v>
      </c>
      <c r="K396" t="s">
        <v>257</v>
      </c>
      <c r="L396" t="s">
        <v>227</v>
      </c>
      <c r="M396" t="s">
        <v>152</v>
      </c>
      <c r="N396" t="s">
        <v>153</v>
      </c>
      <c r="O396">
        <v>2458</v>
      </c>
      <c r="P396">
        <v>24</v>
      </c>
      <c r="Q396" t="s">
        <v>207</v>
      </c>
      <c r="R396" t="s">
        <v>176</v>
      </c>
      <c r="S396" t="s">
        <v>155</v>
      </c>
      <c r="T396" s="4">
        <v>595.94000000000005</v>
      </c>
      <c r="U396" s="4">
        <v>0</v>
      </c>
      <c r="V396" s="4">
        <v>2</v>
      </c>
      <c r="W396" s="4">
        <v>256.20999999999998</v>
      </c>
      <c r="X396" s="4">
        <v>56.07</v>
      </c>
      <c r="Y396" s="4">
        <v>908.22</v>
      </c>
      <c r="Z396" s="4" t="s">
        <v>147</v>
      </c>
      <c r="AA396" s="4" t="s">
        <v>148</v>
      </c>
      <c r="AB396" s="4">
        <f>SUMIF('Trip Changes'!$B:$B,A396,'Trip Changes'!$E:$E)</f>
        <v>0</v>
      </c>
      <c r="AC396" s="4">
        <f>SUMIF('Trip Cancellations'!$B:$B,A396,'Trip Cancellations'!$E:$E)</f>
        <v>76.27</v>
      </c>
      <c r="AD396" s="4">
        <f>SUMIF('Trip Cancellations'!$B:$B,A396,'Trip Cancellations'!$F:$F)</f>
        <v>766.94</v>
      </c>
      <c r="AE396" s="4">
        <f t="shared" si="6"/>
        <v>217.54999999999995</v>
      </c>
      <c r="AF396" t="s">
        <v>148</v>
      </c>
      <c r="AG396">
        <v>3</v>
      </c>
      <c r="AH396" s="5">
        <v>368.7</v>
      </c>
      <c r="AI396" t="s">
        <v>148</v>
      </c>
    </row>
    <row r="397" spans="1:35">
      <c r="A397" t="s">
        <v>716</v>
      </c>
      <c r="B397" t="s">
        <v>717</v>
      </c>
      <c r="C397" t="s">
        <v>182</v>
      </c>
      <c r="D397" t="s">
        <v>248</v>
      </c>
      <c r="E397" t="s">
        <v>169</v>
      </c>
      <c r="F397" t="s">
        <v>181</v>
      </c>
      <c r="G397" s="3">
        <v>46138</v>
      </c>
      <c r="H397" s="3">
        <v>46174</v>
      </c>
      <c r="I397" s="3">
        <v>46176</v>
      </c>
      <c r="J397" t="s">
        <v>141</v>
      </c>
      <c r="K397" t="s">
        <v>182</v>
      </c>
      <c r="L397" t="s">
        <v>175</v>
      </c>
      <c r="M397" t="s">
        <v>152</v>
      </c>
      <c r="N397" t="s">
        <v>153</v>
      </c>
      <c r="O397">
        <v>3166</v>
      </c>
      <c r="P397">
        <v>36</v>
      </c>
      <c r="Q397" t="s">
        <v>145</v>
      </c>
      <c r="R397" t="s">
        <v>172</v>
      </c>
      <c r="S397" t="s">
        <v>190</v>
      </c>
      <c r="T397" s="4">
        <v>287.22000000000003</v>
      </c>
      <c r="U397" s="4">
        <v>0</v>
      </c>
      <c r="V397" s="4">
        <v>1</v>
      </c>
      <c r="W397" s="4">
        <v>234.08</v>
      </c>
      <c r="X397" s="4">
        <v>26.24</v>
      </c>
      <c r="Y397" s="4">
        <v>547.54</v>
      </c>
      <c r="Z397" s="4" t="s">
        <v>147</v>
      </c>
      <c r="AA397" s="4" t="s">
        <v>147</v>
      </c>
      <c r="AB397" s="4">
        <f>SUMIF('Trip Changes'!$B:$B,A397,'Trip Changes'!$E:$E)</f>
        <v>0</v>
      </c>
      <c r="AC397" s="4">
        <f>SUMIF('Trip Cancellations'!$B:$B,A397,'Trip Cancellations'!$E:$E)</f>
        <v>0</v>
      </c>
      <c r="AD397" s="4">
        <f>SUMIF('Trip Cancellations'!$B:$B,A397,'Trip Cancellations'!$F:$F)</f>
        <v>0</v>
      </c>
      <c r="AE397" s="4">
        <f t="shared" si="6"/>
        <v>547.54</v>
      </c>
      <c r="AF397" t="s">
        <v>148</v>
      </c>
      <c r="AG397">
        <v>3</v>
      </c>
      <c r="AH397" s="5">
        <v>474.9</v>
      </c>
      <c r="AI397" t="s">
        <v>147</v>
      </c>
    </row>
    <row r="398" spans="1:35">
      <c r="A398" t="s">
        <v>718</v>
      </c>
      <c r="B398" t="s">
        <v>717</v>
      </c>
      <c r="C398" t="s">
        <v>182</v>
      </c>
      <c r="D398" t="s">
        <v>248</v>
      </c>
      <c r="E398" t="s">
        <v>169</v>
      </c>
      <c r="F398" t="s">
        <v>189</v>
      </c>
      <c r="G398" s="3">
        <v>46158</v>
      </c>
      <c r="H398" s="3">
        <v>46164</v>
      </c>
      <c r="I398" s="3">
        <v>46167</v>
      </c>
      <c r="J398" t="s">
        <v>163</v>
      </c>
      <c r="K398" t="s">
        <v>182</v>
      </c>
      <c r="L398" t="s">
        <v>199</v>
      </c>
      <c r="M398" t="s">
        <v>152</v>
      </c>
      <c r="N398" t="s">
        <v>153</v>
      </c>
      <c r="O398">
        <v>1858</v>
      </c>
      <c r="P398">
        <v>6</v>
      </c>
      <c r="Q398" t="s">
        <v>207</v>
      </c>
      <c r="R398" t="s">
        <v>200</v>
      </c>
      <c r="S398" t="s">
        <v>190</v>
      </c>
      <c r="T398" s="4">
        <v>570.66999999999996</v>
      </c>
      <c r="U398" s="4">
        <v>0</v>
      </c>
      <c r="V398" s="4">
        <v>2</v>
      </c>
      <c r="W398" s="4">
        <v>566.5</v>
      </c>
      <c r="X398" s="4">
        <v>81.52</v>
      </c>
      <c r="Y398" s="4">
        <v>1218.69</v>
      </c>
      <c r="Z398" s="4" t="s">
        <v>147</v>
      </c>
      <c r="AA398" s="4" t="s">
        <v>147</v>
      </c>
      <c r="AB398" s="4">
        <f>SUMIF('Trip Changes'!$B:$B,A398,'Trip Changes'!$E:$E)</f>
        <v>0</v>
      </c>
      <c r="AC398" s="4">
        <f>SUMIF('Trip Cancellations'!$B:$B,A398,'Trip Cancellations'!$E:$E)</f>
        <v>0</v>
      </c>
      <c r="AD398" s="4">
        <f>SUMIF('Trip Cancellations'!$B:$B,A398,'Trip Cancellations'!$F:$F)</f>
        <v>0</v>
      </c>
      <c r="AE398" s="4">
        <f t="shared" si="6"/>
        <v>1218.69</v>
      </c>
      <c r="AF398" t="s">
        <v>147</v>
      </c>
      <c r="AG398">
        <v>3</v>
      </c>
      <c r="AH398" s="5">
        <v>278.7</v>
      </c>
      <c r="AI398" t="s">
        <v>147</v>
      </c>
    </row>
    <row r="399" spans="1:35">
      <c r="A399" t="s">
        <v>719</v>
      </c>
      <c r="B399" t="s">
        <v>720</v>
      </c>
      <c r="C399" t="s">
        <v>182</v>
      </c>
      <c r="D399" t="s">
        <v>138</v>
      </c>
      <c r="E399" t="s">
        <v>139</v>
      </c>
      <c r="F399" t="s">
        <v>178</v>
      </c>
      <c r="G399" s="3">
        <v>46140</v>
      </c>
      <c r="H399" s="3">
        <v>46163</v>
      </c>
      <c r="I399" s="3">
        <v>46165</v>
      </c>
      <c r="J399" t="s">
        <v>163</v>
      </c>
      <c r="K399" t="s">
        <v>182</v>
      </c>
      <c r="L399" t="s">
        <v>264</v>
      </c>
      <c r="M399" t="s">
        <v>152</v>
      </c>
      <c r="N399" t="s">
        <v>153</v>
      </c>
      <c r="O399">
        <v>1848</v>
      </c>
      <c r="P399">
        <v>23</v>
      </c>
      <c r="Q399" t="s">
        <v>207</v>
      </c>
      <c r="R399" t="s">
        <v>154</v>
      </c>
      <c r="S399" t="s">
        <v>164</v>
      </c>
      <c r="T399" s="4">
        <v>647.53</v>
      </c>
      <c r="U399" s="4">
        <v>0</v>
      </c>
      <c r="V399" s="4">
        <v>1</v>
      </c>
      <c r="W399" s="4">
        <v>195.62</v>
      </c>
      <c r="X399" s="4">
        <v>57</v>
      </c>
      <c r="Y399" s="4">
        <v>900.15</v>
      </c>
      <c r="Z399" s="4" t="s">
        <v>147</v>
      </c>
      <c r="AA399" s="4" t="s">
        <v>147</v>
      </c>
      <c r="AB399" s="4">
        <f>SUMIF('Trip Changes'!$B:$B,A399,'Trip Changes'!$E:$E)</f>
        <v>0</v>
      </c>
      <c r="AC399" s="4">
        <f>SUMIF('Trip Cancellations'!$B:$B,A399,'Trip Cancellations'!$E:$E)</f>
        <v>0</v>
      </c>
      <c r="AD399" s="4">
        <f>SUMIF('Trip Cancellations'!$B:$B,A399,'Trip Cancellations'!$F:$F)</f>
        <v>0</v>
      </c>
      <c r="AE399" s="4">
        <f t="shared" si="6"/>
        <v>900.15</v>
      </c>
      <c r="AF399" t="s">
        <v>147</v>
      </c>
      <c r="AG399">
        <v>5</v>
      </c>
      <c r="AH399" s="5">
        <v>277.2</v>
      </c>
      <c r="AI399" t="s">
        <v>147</v>
      </c>
    </row>
    <row r="400" spans="1:35">
      <c r="A400" t="s">
        <v>721</v>
      </c>
      <c r="B400" t="s">
        <v>720</v>
      </c>
      <c r="C400" t="s">
        <v>182</v>
      </c>
      <c r="D400" t="s">
        <v>138</v>
      </c>
      <c r="E400" t="s">
        <v>139</v>
      </c>
      <c r="F400" t="s">
        <v>189</v>
      </c>
      <c r="G400" s="3">
        <v>46200</v>
      </c>
      <c r="H400" s="3">
        <v>46219</v>
      </c>
      <c r="I400" s="3">
        <v>46221</v>
      </c>
      <c r="J400" t="s">
        <v>150</v>
      </c>
      <c r="K400" t="s">
        <v>182</v>
      </c>
      <c r="L400" t="s">
        <v>225</v>
      </c>
      <c r="M400" t="s">
        <v>152</v>
      </c>
      <c r="N400" t="s">
        <v>153</v>
      </c>
      <c r="O400">
        <v>2034</v>
      </c>
      <c r="P400">
        <v>19</v>
      </c>
      <c r="Q400" t="s">
        <v>145</v>
      </c>
      <c r="R400" t="s">
        <v>154</v>
      </c>
      <c r="S400" t="s">
        <v>155</v>
      </c>
      <c r="T400" s="4">
        <v>301.41000000000003</v>
      </c>
      <c r="U400" s="4">
        <v>0</v>
      </c>
      <c r="V400" s="4">
        <v>1</v>
      </c>
      <c r="W400" s="4">
        <v>225.86</v>
      </c>
      <c r="X400" s="4">
        <v>69.48</v>
      </c>
      <c r="Y400" s="4">
        <v>596.75</v>
      </c>
      <c r="Z400" s="4" t="s">
        <v>148</v>
      </c>
      <c r="AA400" s="4" t="s">
        <v>147</v>
      </c>
      <c r="AB400" s="4">
        <f>SUMIF('Trip Changes'!$B:$B,A400,'Trip Changes'!$E:$E)</f>
        <v>279.04999999999995</v>
      </c>
      <c r="AC400" s="4">
        <f>SUMIF('Trip Cancellations'!$B:$B,A400,'Trip Cancellations'!$E:$E)</f>
        <v>0</v>
      </c>
      <c r="AD400" s="4">
        <f>SUMIF('Trip Cancellations'!$B:$B,A400,'Trip Cancellations'!$F:$F)</f>
        <v>0</v>
      </c>
      <c r="AE400" s="4">
        <f t="shared" si="6"/>
        <v>875.8</v>
      </c>
      <c r="AF400" t="s">
        <v>148</v>
      </c>
      <c r="AG400">
        <v>4</v>
      </c>
      <c r="AH400" s="5">
        <v>305.10000000000002</v>
      </c>
      <c r="AI400" t="s">
        <v>148</v>
      </c>
    </row>
    <row r="401" spans="1:35">
      <c r="A401" t="s">
        <v>722</v>
      </c>
      <c r="B401" t="s">
        <v>720</v>
      </c>
      <c r="C401" t="s">
        <v>182</v>
      </c>
      <c r="D401" t="s">
        <v>138</v>
      </c>
      <c r="E401" t="s">
        <v>139</v>
      </c>
      <c r="F401" t="s">
        <v>178</v>
      </c>
      <c r="G401" s="3">
        <v>46167</v>
      </c>
      <c r="H401" s="3">
        <v>46184</v>
      </c>
      <c r="I401" s="3">
        <v>46187</v>
      </c>
      <c r="J401" t="s">
        <v>141</v>
      </c>
      <c r="K401" t="s">
        <v>182</v>
      </c>
      <c r="L401" t="s">
        <v>227</v>
      </c>
      <c r="M401" t="s">
        <v>152</v>
      </c>
      <c r="N401" t="s">
        <v>153</v>
      </c>
      <c r="O401">
        <v>2610</v>
      </c>
      <c r="P401">
        <v>17</v>
      </c>
      <c r="Q401" t="s">
        <v>216</v>
      </c>
      <c r="R401" t="s">
        <v>172</v>
      </c>
      <c r="S401" t="s">
        <v>155</v>
      </c>
      <c r="T401" s="4">
        <v>419.57</v>
      </c>
      <c r="U401" s="4">
        <v>0</v>
      </c>
      <c r="V401" s="4">
        <v>2</v>
      </c>
      <c r="W401" s="4">
        <v>251.47</v>
      </c>
      <c r="X401" s="4">
        <v>33.03</v>
      </c>
      <c r="Y401" s="4">
        <v>704.07</v>
      </c>
      <c r="Z401" s="4" t="s">
        <v>147</v>
      </c>
      <c r="AA401" s="4" t="s">
        <v>147</v>
      </c>
      <c r="AB401" s="4">
        <f>SUMIF('Trip Changes'!$B:$B,A401,'Trip Changes'!$E:$E)</f>
        <v>0</v>
      </c>
      <c r="AC401" s="4">
        <f>SUMIF('Trip Cancellations'!$B:$B,A401,'Trip Cancellations'!$E:$E)</f>
        <v>0</v>
      </c>
      <c r="AD401" s="4">
        <f>SUMIF('Trip Cancellations'!$B:$B,A401,'Trip Cancellations'!$F:$F)</f>
        <v>0</v>
      </c>
      <c r="AE401" s="4">
        <f t="shared" si="6"/>
        <v>704.07</v>
      </c>
      <c r="AF401" t="s">
        <v>148</v>
      </c>
      <c r="AG401">
        <v>5</v>
      </c>
      <c r="AH401" s="5">
        <v>391.5</v>
      </c>
      <c r="AI401" t="s">
        <v>147</v>
      </c>
    </row>
    <row r="402" spans="1:35">
      <c r="A402" t="s">
        <v>723</v>
      </c>
      <c r="B402" t="s">
        <v>720</v>
      </c>
      <c r="C402" t="s">
        <v>182</v>
      </c>
      <c r="D402" t="s">
        <v>138</v>
      </c>
      <c r="E402" t="s">
        <v>139</v>
      </c>
      <c r="F402" t="s">
        <v>162</v>
      </c>
      <c r="G402" s="3">
        <v>46150</v>
      </c>
      <c r="H402" s="3">
        <v>46173</v>
      </c>
      <c r="I402" s="3">
        <v>46175</v>
      </c>
      <c r="J402" t="s">
        <v>163</v>
      </c>
      <c r="K402" t="s">
        <v>182</v>
      </c>
      <c r="L402" t="s">
        <v>227</v>
      </c>
      <c r="M402" t="s">
        <v>152</v>
      </c>
      <c r="N402" t="s">
        <v>153</v>
      </c>
      <c r="O402">
        <v>2720</v>
      </c>
      <c r="P402">
        <v>23</v>
      </c>
      <c r="Q402" t="s">
        <v>145</v>
      </c>
      <c r="R402" t="s">
        <v>160</v>
      </c>
      <c r="S402" t="s">
        <v>173</v>
      </c>
      <c r="T402" s="4">
        <v>552.36</v>
      </c>
      <c r="U402" s="4">
        <v>0</v>
      </c>
      <c r="V402" s="4">
        <v>1</v>
      </c>
      <c r="W402" s="4">
        <v>225.74</v>
      </c>
      <c r="X402" s="4">
        <v>82.47</v>
      </c>
      <c r="Y402" s="4">
        <v>860.57</v>
      </c>
      <c r="Z402" s="4" t="s">
        <v>148</v>
      </c>
      <c r="AA402" s="4" t="s">
        <v>147</v>
      </c>
      <c r="AB402" s="4">
        <f>SUMIF('Trip Changes'!$B:$B,A402,'Trip Changes'!$E:$E)</f>
        <v>18.86</v>
      </c>
      <c r="AC402" s="4">
        <f>SUMIF('Trip Cancellations'!$B:$B,A402,'Trip Cancellations'!$E:$E)</f>
        <v>0</v>
      </c>
      <c r="AD402" s="4">
        <f>SUMIF('Trip Cancellations'!$B:$B,A402,'Trip Cancellations'!$F:$F)</f>
        <v>0</v>
      </c>
      <c r="AE402" s="4">
        <f t="shared" si="6"/>
        <v>879.43000000000006</v>
      </c>
      <c r="AF402" t="s">
        <v>148</v>
      </c>
      <c r="AG402">
        <v>5</v>
      </c>
      <c r="AH402" s="5">
        <v>408</v>
      </c>
      <c r="AI402" t="s">
        <v>147</v>
      </c>
    </row>
    <row r="403" spans="1:35">
      <c r="A403" t="s">
        <v>724</v>
      </c>
      <c r="B403" t="s">
        <v>720</v>
      </c>
      <c r="C403" t="s">
        <v>182</v>
      </c>
      <c r="D403" t="s">
        <v>138</v>
      </c>
      <c r="E403" t="s">
        <v>139</v>
      </c>
      <c r="F403" t="s">
        <v>207</v>
      </c>
      <c r="G403" s="3">
        <v>46175</v>
      </c>
      <c r="H403" s="3">
        <v>46196</v>
      </c>
      <c r="I403" s="3">
        <v>46198</v>
      </c>
      <c r="J403" t="s">
        <v>141</v>
      </c>
      <c r="K403" t="s">
        <v>182</v>
      </c>
      <c r="L403" t="s">
        <v>199</v>
      </c>
      <c r="M403" t="s">
        <v>152</v>
      </c>
      <c r="N403" t="s">
        <v>153</v>
      </c>
      <c r="O403">
        <v>2400</v>
      </c>
      <c r="P403">
        <v>21</v>
      </c>
      <c r="Q403" t="s">
        <v>159</v>
      </c>
      <c r="R403" t="s">
        <v>200</v>
      </c>
      <c r="S403" t="s">
        <v>155</v>
      </c>
      <c r="T403" s="4">
        <v>358.13</v>
      </c>
      <c r="U403" s="4">
        <v>0</v>
      </c>
      <c r="V403" s="4">
        <v>1</v>
      </c>
      <c r="W403" s="4">
        <v>184.44</v>
      </c>
      <c r="X403" s="4">
        <v>65.239999999999995</v>
      </c>
      <c r="Y403" s="4">
        <v>607.80999999999995</v>
      </c>
      <c r="Z403" s="4" t="s">
        <v>147</v>
      </c>
      <c r="AA403" s="4" t="s">
        <v>147</v>
      </c>
      <c r="AB403" s="4">
        <f>SUMIF('Trip Changes'!$B:$B,A403,'Trip Changes'!$E:$E)</f>
        <v>0</v>
      </c>
      <c r="AC403" s="4">
        <f>SUMIF('Trip Cancellations'!$B:$B,A403,'Trip Cancellations'!$E:$E)</f>
        <v>0</v>
      </c>
      <c r="AD403" s="4">
        <f>SUMIF('Trip Cancellations'!$B:$B,A403,'Trip Cancellations'!$F:$F)</f>
        <v>0</v>
      </c>
      <c r="AE403" s="4">
        <f t="shared" si="6"/>
        <v>607.80999999999995</v>
      </c>
      <c r="AF403" t="s">
        <v>148</v>
      </c>
      <c r="AG403">
        <v>5</v>
      </c>
      <c r="AH403" s="5">
        <v>360</v>
      </c>
      <c r="AI403" t="s">
        <v>147</v>
      </c>
    </row>
    <row r="404" spans="1:35">
      <c r="A404" t="s">
        <v>725</v>
      </c>
      <c r="B404" t="s">
        <v>726</v>
      </c>
      <c r="C404" t="s">
        <v>182</v>
      </c>
      <c r="D404" t="s">
        <v>230</v>
      </c>
      <c r="E404" t="s">
        <v>169</v>
      </c>
      <c r="F404" t="s">
        <v>140</v>
      </c>
      <c r="G404" s="3">
        <v>46217</v>
      </c>
      <c r="H404" s="3">
        <v>46221</v>
      </c>
      <c r="I404" s="3">
        <v>46224</v>
      </c>
      <c r="J404" t="s">
        <v>150</v>
      </c>
      <c r="K404" t="s">
        <v>182</v>
      </c>
      <c r="L404" t="s">
        <v>185</v>
      </c>
      <c r="M404" t="s">
        <v>152</v>
      </c>
      <c r="N404" t="s">
        <v>153</v>
      </c>
      <c r="O404">
        <v>10844</v>
      </c>
      <c r="P404">
        <v>4</v>
      </c>
      <c r="Q404" t="s">
        <v>159</v>
      </c>
      <c r="R404" t="s">
        <v>154</v>
      </c>
      <c r="S404" t="s">
        <v>187</v>
      </c>
      <c r="T404" s="4">
        <v>870.52</v>
      </c>
      <c r="U404" s="4">
        <v>0</v>
      </c>
      <c r="V404" s="4">
        <v>2</v>
      </c>
      <c r="W404" s="4">
        <v>216.04</v>
      </c>
      <c r="X404" s="4">
        <v>119.59</v>
      </c>
      <c r="Y404" s="4">
        <v>1206.1500000000001</v>
      </c>
      <c r="Z404" s="4" t="s">
        <v>147</v>
      </c>
      <c r="AA404" s="4" t="s">
        <v>147</v>
      </c>
      <c r="AB404" s="4">
        <f>SUMIF('Trip Changes'!$B:$B,A404,'Trip Changes'!$E:$E)</f>
        <v>0</v>
      </c>
      <c r="AC404" s="4">
        <f>SUMIF('Trip Cancellations'!$B:$B,A404,'Trip Cancellations'!$E:$E)</f>
        <v>0</v>
      </c>
      <c r="AD404" s="4">
        <f>SUMIF('Trip Cancellations'!$B:$B,A404,'Trip Cancellations'!$F:$F)</f>
        <v>0</v>
      </c>
      <c r="AE404" s="4">
        <f t="shared" si="6"/>
        <v>1206.1500000000001</v>
      </c>
      <c r="AF404" t="s">
        <v>148</v>
      </c>
      <c r="AG404">
        <v>4</v>
      </c>
      <c r="AH404" s="5">
        <v>1626.6</v>
      </c>
      <c r="AI404" t="s">
        <v>147</v>
      </c>
    </row>
    <row r="405" spans="1:35">
      <c r="A405" t="s">
        <v>727</v>
      </c>
      <c r="B405" t="s">
        <v>726</v>
      </c>
      <c r="C405" t="s">
        <v>182</v>
      </c>
      <c r="D405" t="s">
        <v>230</v>
      </c>
      <c r="E405" t="s">
        <v>169</v>
      </c>
      <c r="F405" t="s">
        <v>140</v>
      </c>
      <c r="G405" s="3">
        <v>46211</v>
      </c>
      <c r="H405" s="3">
        <v>46212</v>
      </c>
      <c r="I405" s="3">
        <v>46215</v>
      </c>
      <c r="J405" t="s">
        <v>150</v>
      </c>
      <c r="K405" t="s">
        <v>182</v>
      </c>
      <c r="L405" t="s">
        <v>233</v>
      </c>
      <c r="M405" t="s">
        <v>152</v>
      </c>
      <c r="N405" t="s">
        <v>153</v>
      </c>
      <c r="O405">
        <v>1898</v>
      </c>
      <c r="P405">
        <v>1</v>
      </c>
      <c r="Q405" t="s">
        <v>145</v>
      </c>
      <c r="R405" t="s">
        <v>154</v>
      </c>
      <c r="S405" t="s">
        <v>187</v>
      </c>
      <c r="T405" s="4">
        <v>177</v>
      </c>
      <c r="U405" s="4">
        <v>0</v>
      </c>
      <c r="V405" s="4">
        <v>2</v>
      </c>
      <c r="W405" s="4">
        <v>340.51</v>
      </c>
      <c r="X405" s="4">
        <v>104.5</v>
      </c>
      <c r="Y405" s="4">
        <v>622.01</v>
      </c>
      <c r="Z405" s="4" t="s">
        <v>148</v>
      </c>
      <c r="AA405" s="4" t="s">
        <v>147</v>
      </c>
      <c r="AB405" s="4">
        <f>SUMIF('Trip Changes'!$B:$B,A405,'Trip Changes'!$E:$E)</f>
        <v>140.99</v>
      </c>
      <c r="AC405" s="4">
        <f>SUMIF('Trip Cancellations'!$B:$B,A405,'Trip Cancellations'!$E:$E)</f>
        <v>0</v>
      </c>
      <c r="AD405" s="4">
        <f>SUMIF('Trip Cancellations'!$B:$B,A405,'Trip Cancellations'!$F:$F)</f>
        <v>0</v>
      </c>
      <c r="AE405" s="4">
        <f t="shared" si="6"/>
        <v>763</v>
      </c>
      <c r="AF405" t="s">
        <v>148</v>
      </c>
      <c r="AG405">
        <v>4</v>
      </c>
      <c r="AH405" s="5">
        <v>284.7</v>
      </c>
      <c r="AI405" t="s">
        <v>148</v>
      </c>
    </row>
    <row r="406" spans="1:35">
      <c r="A406" t="s">
        <v>728</v>
      </c>
      <c r="B406" t="s">
        <v>726</v>
      </c>
      <c r="C406" t="s">
        <v>182</v>
      </c>
      <c r="D406" t="s">
        <v>230</v>
      </c>
      <c r="E406" t="s">
        <v>169</v>
      </c>
      <c r="F406" t="s">
        <v>140</v>
      </c>
      <c r="G406" s="3">
        <v>46150</v>
      </c>
      <c r="H406" s="3">
        <v>46164</v>
      </c>
      <c r="I406" s="3">
        <v>46168</v>
      </c>
      <c r="J406" t="s">
        <v>163</v>
      </c>
      <c r="K406" t="s">
        <v>182</v>
      </c>
      <c r="L406" t="s">
        <v>227</v>
      </c>
      <c r="M406" t="s">
        <v>152</v>
      </c>
      <c r="N406" t="s">
        <v>153</v>
      </c>
      <c r="O406">
        <v>1348</v>
      </c>
      <c r="P406">
        <v>14</v>
      </c>
      <c r="Q406" t="s">
        <v>159</v>
      </c>
      <c r="R406" t="s">
        <v>172</v>
      </c>
      <c r="S406" t="s">
        <v>164</v>
      </c>
      <c r="T406" s="4">
        <v>480.06</v>
      </c>
      <c r="U406" s="4">
        <v>0</v>
      </c>
      <c r="V406" s="4">
        <v>3</v>
      </c>
      <c r="W406" s="4">
        <v>603.20000000000005</v>
      </c>
      <c r="X406" s="4">
        <v>91.39</v>
      </c>
      <c r="Y406" s="4">
        <v>1174.6500000000001</v>
      </c>
      <c r="Z406" s="4" t="s">
        <v>148</v>
      </c>
      <c r="AA406" s="4" t="s">
        <v>147</v>
      </c>
      <c r="AB406" s="4">
        <f>SUMIF('Trip Changes'!$B:$B,A406,'Trip Changes'!$E:$E)</f>
        <v>25.23</v>
      </c>
      <c r="AC406" s="4">
        <f>SUMIF('Trip Cancellations'!$B:$B,A406,'Trip Cancellations'!$E:$E)</f>
        <v>0</v>
      </c>
      <c r="AD406" s="4">
        <f>SUMIF('Trip Cancellations'!$B:$B,A406,'Trip Cancellations'!$F:$F)</f>
        <v>0</v>
      </c>
      <c r="AE406" s="4">
        <f t="shared" si="6"/>
        <v>1199.8800000000001</v>
      </c>
      <c r="AF406" t="s">
        <v>148</v>
      </c>
      <c r="AG406">
        <v>3</v>
      </c>
      <c r="AH406" s="5">
        <v>202.2</v>
      </c>
      <c r="AI406" t="s">
        <v>147</v>
      </c>
    </row>
    <row r="407" spans="1:35">
      <c r="A407" t="s">
        <v>729</v>
      </c>
      <c r="B407" t="s">
        <v>730</v>
      </c>
      <c r="C407" t="s">
        <v>142</v>
      </c>
      <c r="D407" t="s">
        <v>168</v>
      </c>
      <c r="E407" t="s">
        <v>169</v>
      </c>
      <c r="F407" t="s">
        <v>140</v>
      </c>
      <c r="G407" s="3">
        <v>46221</v>
      </c>
      <c r="H407" s="3">
        <v>46234</v>
      </c>
      <c r="I407" s="3">
        <v>46237</v>
      </c>
      <c r="J407" t="s">
        <v>150</v>
      </c>
      <c r="K407" t="s">
        <v>142</v>
      </c>
      <c r="L407" t="s">
        <v>225</v>
      </c>
      <c r="M407" t="s">
        <v>152</v>
      </c>
      <c r="N407" t="s">
        <v>153</v>
      </c>
      <c r="O407">
        <v>1334</v>
      </c>
      <c r="P407">
        <v>13</v>
      </c>
      <c r="Q407" t="s">
        <v>145</v>
      </c>
      <c r="R407" t="s">
        <v>236</v>
      </c>
      <c r="S407" t="s">
        <v>164</v>
      </c>
      <c r="T407" s="4">
        <v>426.6</v>
      </c>
      <c r="U407" s="4">
        <v>0</v>
      </c>
      <c r="V407" s="4">
        <v>2</v>
      </c>
      <c r="W407" s="4">
        <v>409.53</v>
      </c>
      <c r="X407" s="4">
        <v>58.6</v>
      </c>
      <c r="Y407" s="4">
        <v>894.73</v>
      </c>
      <c r="Z407" s="4" t="s">
        <v>147</v>
      </c>
      <c r="AA407" s="4" t="s">
        <v>147</v>
      </c>
      <c r="AB407" s="4">
        <f>SUMIF('Trip Changes'!$B:$B,A407,'Trip Changes'!$E:$E)</f>
        <v>0</v>
      </c>
      <c r="AC407" s="4">
        <f>SUMIF('Trip Cancellations'!$B:$B,A407,'Trip Cancellations'!$E:$E)</f>
        <v>0</v>
      </c>
      <c r="AD407" s="4">
        <f>SUMIF('Trip Cancellations'!$B:$B,A407,'Trip Cancellations'!$F:$F)</f>
        <v>0</v>
      </c>
      <c r="AE407" s="4">
        <f t="shared" si="6"/>
        <v>894.73</v>
      </c>
      <c r="AF407" t="s">
        <v>148</v>
      </c>
      <c r="AG407">
        <v>4</v>
      </c>
      <c r="AH407" s="5">
        <v>200.1</v>
      </c>
      <c r="AI407" t="s">
        <v>148</v>
      </c>
    </row>
    <row r="408" spans="1:35">
      <c r="A408" t="s">
        <v>731</v>
      </c>
      <c r="B408" t="s">
        <v>730</v>
      </c>
      <c r="C408" t="s">
        <v>142</v>
      </c>
      <c r="D408" t="s">
        <v>168</v>
      </c>
      <c r="E408" t="s">
        <v>169</v>
      </c>
      <c r="F408" t="s">
        <v>181</v>
      </c>
      <c r="G408" s="3">
        <v>46193</v>
      </c>
      <c r="H408" s="3">
        <v>46194</v>
      </c>
      <c r="I408" s="3">
        <v>46197</v>
      </c>
      <c r="J408" t="s">
        <v>141</v>
      </c>
      <c r="K408" t="s">
        <v>142</v>
      </c>
      <c r="L408" t="s">
        <v>227</v>
      </c>
      <c r="M408" t="s">
        <v>152</v>
      </c>
      <c r="N408" t="s">
        <v>153</v>
      </c>
      <c r="O408">
        <v>1508</v>
      </c>
      <c r="P408">
        <v>1</v>
      </c>
      <c r="Q408" t="s">
        <v>216</v>
      </c>
      <c r="R408" t="s">
        <v>172</v>
      </c>
      <c r="S408" t="s">
        <v>164</v>
      </c>
      <c r="T408" s="4">
        <v>355.51</v>
      </c>
      <c r="U408" s="4">
        <v>0</v>
      </c>
      <c r="V408" s="4">
        <v>2</v>
      </c>
      <c r="W408" s="4">
        <v>311.77999999999997</v>
      </c>
      <c r="X408" s="4">
        <v>70.680000000000007</v>
      </c>
      <c r="Y408" s="4">
        <v>737.97</v>
      </c>
      <c r="Z408" s="4" t="s">
        <v>148</v>
      </c>
      <c r="AA408" s="4" t="s">
        <v>147</v>
      </c>
      <c r="AB408" s="4">
        <f>SUMIF('Trip Changes'!$B:$B,A408,'Trip Changes'!$E:$E)</f>
        <v>120.33</v>
      </c>
      <c r="AC408" s="4">
        <f>SUMIF('Trip Cancellations'!$B:$B,A408,'Trip Cancellations'!$E:$E)</f>
        <v>0</v>
      </c>
      <c r="AD408" s="4">
        <f>SUMIF('Trip Cancellations'!$B:$B,A408,'Trip Cancellations'!$F:$F)</f>
        <v>0</v>
      </c>
      <c r="AE408" s="4">
        <f t="shared" si="6"/>
        <v>858.30000000000007</v>
      </c>
      <c r="AF408" t="s">
        <v>148</v>
      </c>
      <c r="AG408">
        <v>5</v>
      </c>
      <c r="AH408" s="5">
        <v>226.2</v>
      </c>
      <c r="AI408" t="s">
        <v>147</v>
      </c>
    </row>
    <row r="409" spans="1:35">
      <c r="A409" t="s">
        <v>732</v>
      </c>
      <c r="B409" t="s">
        <v>730</v>
      </c>
      <c r="C409" t="s">
        <v>142</v>
      </c>
      <c r="D409" t="s">
        <v>168</v>
      </c>
      <c r="E409" t="s">
        <v>169</v>
      </c>
      <c r="F409" t="s">
        <v>178</v>
      </c>
      <c r="G409" s="3">
        <v>46123</v>
      </c>
      <c r="H409" s="3">
        <v>46150</v>
      </c>
      <c r="I409" s="3">
        <v>46154</v>
      </c>
      <c r="J409" t="s">
        <v>163</v>
      </c>
      <c r="K409" t="s">
        <v>142</v>
      </c>
      <c r="L409" t="s">
        <v>283</v>
      </c>
      <c r="M409" t="s">
        <v>152</v>
      </c>
      <c r="N409" t="s">
        <v>153</v>
      </c>
      <c r="O409">
        <v>10928</v>
      </c>
      <c r="P409">
        <v>27</v>
      </c>
      <c r="Q409" t="s">
        <v>145</v>
      </c>
      <c r="R409" t="s">
        <v>186</v>
      </c>
      <c r="S409" t="s">
        <v>190</v>
      </c>
      <c r="T409" s="4">
        <v>643.07000000000005</v>
      </c>
      <c r="U409" s="4">
        <v>0</v>
      </c>
      <c r="V409" s="4">
        <v>3</v>
      </c>
      <c r="W409" s="4">
        <v>366.95</v>
      </c>
      <c r="X409" s="4">
        <v>67.64</v>
      </c>
      <c r="Y409" s="4">
        <v>1077.6600000000001</v>
      </c>
      <c r="Z409" s="4" t="s">
        <v>147</v>
      </c>
      <c r="AA409" s="4" t="s">
        <v>147</v>
      </c>
      <c r="AB409" s="4">
        <f>SUMIF('Trip Changes'!$B:$B,A409,'Trip Changes'!$E:$E)</f>
        <v>0</v>
      </c>
      <c r="AC409" s="4">
        <f>SUMIF('Trip Cancellations'!$B:$B,A409,'Trip Cancellations'!$E:$E)</f>
        <v>0</v>
      </c>
      <c r="AD409" s="4">
        <f>SUMIF('Trip Cancellations'!$B:$B,A409,'Trip Cancellations'!$F:$F)</f>
        <v>0</v>
      </c>
      <c r="AE409" s="4">
        <f t="shared" si="6"/>
        <v>1077.6600000000001</v>
      </c>
      <c r="AF409" t="s">
        <v>148</v>
      </c>
      <c r="AG409">
        <v>4</v>
      </c>
      <c r="AH409" s="5">
        <v>1639.2</v>
      </c>
      <c r="AI409" t="s">
        <v>147</v>
      </c>
    </row>
    <row r="410" spans="1:35">
      <c r="A410" t="s">
        <v>733</v>
      </c>
      <c r="B410" t="s">
        <v>730</v>
      </c>
      <c r="C410" t="s">
        <v>142</v>
      </c>
      <c r="D410" t="s">
        <v>168</v>
      </c>
      <c r="E410" t="s">
        <v>169</v>
      </c>
      <c r="F410" t="s">
        <v>157</v>
      </c>
      <c r="G410" s="3">
        <v>46188</v>
      </c>
      <c r="H410" s="3">
        <v>46199</v>
      </c>
      <c r="I410" s="3">
        <v>46201</v>
      </c>
      <c r="J410" t="s">
        <v>141</v>
      </c>
      <c r="K410" t="s">
        <v>142</v>
      </c>
      <c r="L410" t="s">
        <v>227</v>
      </c>
      <c r="M410" t="s">
        <v>152</v>
      </c>
      <c r="N410" t="s">
        <v>153</v>
      </c>
      <c r="O410">
        <v>2804</v>
      </c>
      <c r="P410">
        <v>11</v>
      </c>
      <c r="Q410" t="s">
        <v>145</v>
      </c>
      <c r="R410" t="s">
        <v>160</v>
      </c>
      <c r="S410" t="s">
        <v>164</v>
      </c>
      <c r="T410" s="4">
        <v>420.78</v>
      </c>
      <c r="U410" s="4">
        <v>0</v>
      </c>
      <c r="V410" s="4">
        <v>1</v>
      </c>
      <c r="W410" s="4">
        <v>198.44</v>
      </c>
      <c r="X410" s="4">
        <v>85.31</v>
      </c>
      <c r="Y410" s="4">
        <v>704.53</v>
      </c>
      <c r="Z410" s="4" t="s">
        <v>147</v>
      </c>
      <c r="AA410" s="4" t="s">
        <v>147</v>
      </c>
      <c r="AB410" s="4">
        <f>SUMIF('Trip Changes'!$B:$B,A410,'Trip Changes'!$E:$E)</f>
        <v>0</v>
      </c>
      <c r="AC410" s="4">
        <f>SUMIF('Trip Cancellations'!$B:$B,A410,'Trip Cancellations'!$E:$E)</f>
        <v>0</v>
      </c>
      <c r="AD410" s="4">
        <f>SUMIF('Trip Cancellations'!$B:$B,A410,'Trip Cancellations'!$F:$F)</f>
        <v>0</v>
      </c>
      <c r="AE410" s="4">
        <f t="shared" si="6"/>
        <v>704.53</v>
      </c>
      <c r="AF410" t="s">
        <v>148</v>
      </c>
      <c r="AG410">
        <v>4</v>
      </c>
      <c r="AH410" s="5">
        <v>420.6</v>
      </c>
      <c r="AI410" t="s">
        <v>147</v>
      </c>
    </row>
    <row r="411" spans="1:35">
      <c r="A411" t="s">
        <v>734</v>
      </c>
      <c r="B411" t="s">
        <v>735</v>
      </c>
      <c r="C411" t="s">
        <v>220</v>
      </c>
      <c r="D411" t="s">
        <v>168</v>
      </c>
      <c r="E411" t="s">
        <v>249</v>
      </c>
      <c r="F411" t="s">
        <v>170</v>
      </c>
      <c r="G411" s="3">
        <v>46132</v>
      </c>
      <c r="H411" s="3">
        <v>46160</v>
      </c>
      <c r="I411" s="3">
        <v>46164</v>
      </c>
      <c r="J411" t="s">
        <v>163</v>
      </c>
      <c r="K411" t="s">
        <v>220</v>
      </c>
      <c r="L411" t="s">
        <v>225</v>
      </c>
      <c r="M411" t="s">
        <v>152</v>
      </c>
      <c r="N411" t="s">
        <v>153</v>
      </c>
      <c r="O411">
        <v>3340</v>
      </c>
      <c r="P411">
        <v>28</v>
      </c>
      <c r="Q411" t="s">
        <v>145</v>
      </c>
      <c r="R411" t="s">
        <v>236</v>
      </c>
      <c r="S411" t="s">
        <v>187</v>
      </c>
      <c r="T411" s="4">
        <v>490.1</v>
      </c>
      <c r="U411" s="4">
        <v>0</v>
      </c>
      <c r="V411" s="4">
        <v>3</v>
      </c>
      <c r="W411" s="4">
        <v>477.13</v>
      </c>
      <c r="X411" s="4">
        <v>76.63</v>
      </c>
      <c r="Y411" s="4">
        <v>1043.8599999999999</v>
      </c>
      <c r="Z411" s="4" t="s">
        <v>147</v>
      </c>
      <c r="AA411" s="4" t="s">
        <v>147</v>
      </c>
      <c r="AB411" s="4">
        <f>SUMIF('Trip Changes'!$B:$B,A411,'Trip Changes'!$E:$E)</f>
        <v>0</v>
      </c>
      <c r="AC411" s="4">
        <f>SUMIF('Trip Cancellations'!$B:$B,A411,'Trip Cancellations'!$E:$E)</f>
        <v>0</v>
      </c>
      <c r="AD411" s="4">
        <f>SUMIF('Trip Cancellations'!$B:$B,A411,'Trip Cancellations'!$F:$F)</f>
        <v>0</v>
      </c>
      <c r="AE411" s="4">
        <f t="shared" si="6"/>
        <v>1043.8599999999999</v>
      </c>
      <c r="AF411" t="s">
        <v>148</v>
      </c>
      <c r="AG411">
        <v>4</v>
      </c>
      <c r="AH411" s="5">
        <v>501</v>
      </c>
      <c r="AI411" t="s">
        <v>148</v>
      </c>
    </row>
    <row r="412" spans="1:35">
      <c r="A412" t="s">
        <v>736</v>
      </c>
      <c r="B412" t="s">
        <v>735</v>
      </c>
      <c r="C412" t="s">
        <v>220</v>
      </c>
      <c r="D412" t="s">
        <v>168</v>
      </c>
      <c r="E412" t="s">
        <v>249</v>
      </c>
      <c r="F412" t="s">
        <v>181</v>
      </c>
      <c r="G412" s="3">
        <v>46216</v>
      </c>
      <c r="H412" s="3">
        <v>46227</v>
      </c>
      <c r="I412" s="3">
        <v>46234</v>
      </c>
      <c r="J412" t="s">
        <v>150</v>
      </c>
      <c r="K412" t="s">
        <v>220</v>
      </c>
      <c r="L412" t="s">
        <v>240</v>
      </c>
      <c r="M412" t="s">
        <v>152</v>
      </c>
      <c r="N412" t="s">
        <v>153</v>
      </c>
      <c r="O412">
        <v>15210</v>
      </c>
      <c r="P412">
        <v>11</v>
      </c>
      <c r="Q412" t="s">
        <v>159</v>
      </c>
      <c r="R412" t="s">
        <v>154</v>
      </c>
      <c r="S412" t="s">
        <v>187</v>
      </c>
      <c r="T412" s="4">
        <v>1923.51</v>
      </c>
      <c r="U412" s="4">
        <v>0</v>
      </c>
      <c r="V412" s="4">
        <v>6</v>
      </c>
      <c r="W412" s="4">
        <v>1151.3399999999999</v>
      </c>
      <c r="X412" s="4">
        <v>51.2</v>
      </c>
      <c r="Y412" s="4">
        <v>3126.05</v>
      </c>
      <c r="Z412" s="4" t="s">
        <v>147</v>
      </c>
      <c r="AA412" s="4" t="s">
        <v>147</v>
      </c>
      <c r="AB412" s="4">
        <f>SUMIF('Trip Changes'!$B:$B,A412,'Trip Changes'!$E:$E)</f>
        <v>0</v>
      </c>
      <c r="AC412" s="4">
        <f>SUMIF('Trip Cancellations'!$B:$B,A412,'Trip Cancellations'!$E:$E)</f>
        <v>0</v>
      </c>
      <c r="AD412" s="4">
        <f>SUMIF('Trip Cancellations'!$B:$B,A412,'Trip Cancellations'!$F:$F)</f>
        <v>0</v>
      </c>
      <c r="AE412" s="4">
        <f t="shared" si="6"/>
        <v>3126.05</v>
      </c>
      <c r="AF412" t="s">
        <v>148</v>
      </c>
      <c r="AG412">
        <v>4</v>
      </c>
      <c r="AH412" s="5">
        <v>2281.5</v>
      </c>
      <c r="AI412" t="s">
        <v>147</v>
      </c>
    </row>
    <row r="413" spans="1:35">
      <c r="A413" t="s">
        <v>737</v>
      </c>
      <c r="B413" t="s">
        <v>735</v>
      </c>
      <c r="C413" t="s">
        <v>220</v>
      </c>
      <c r="D413" t="s">
        <v>168</v>
      </c>
      <c r="E413" t="s">
        <v>249</v>
      </c>
      <c r="F413" t="s">
        <v>157</v>
      </c>
      <c r="G413" s="3">
        <v>46136</v>
      </c>
      <c r="H413" s="3">
        <v>46154</v>
      </c>
      <c r="I413" s="3">
        <v>46158</v>
      </c>
      <c r="J413" t="s">
        <v>163</v>
      </c>
      <c r="K413" t="s">
        <v>220</v>
      </c>
      <c r="L413" t="s">
        <v>233</v>
      </c>
      <c r="M413" t="s">
        <v>152</v>
      </c>
      <c r="N413" t="s">
        <v>153</v>
      </c>
      <c r="O413">
        <v>1718</v>
      </c>
      <c r="P413">
        <v>18</v>
      </c>
      <c r="Q413" t="s">
        <v>145</v>
      </c>
      <c r="R413" t="s">
        <v>154</v>
      </c>
      <c r="S413" t="s">
        <v>173</v>
      </c>
      <c r="T413" s="4">
        <v>418.66</v>
      </c>
      <c r="U413" s="4">
        <v>0</v>
      </c>
      <c r="V413" s="4">
        <v>3</v>
      </c>
      <c r="W413" s="4">
        <v>435.84</v>
      </c>
      <c r="X413" s="4">
        <v>99.97</v>
      </c>
      <c r="Y413" s="4">
        <v>954.47</v>
      </c>
      <c r="Z413" s="4" t="s">
        <v>147</v>
      </c>
      <c r="AA413" s="4" t="s">
        <v>147</v>
      </c>
      <c r="AB413" s="4">
        <f>SUMIF('Trip Changes'!$B:$B,A413,'Trip Changes'!$E:$E)</f>
        <v>0</v>
      </c>
      <c r="AC413" s="4">
        <f>SUMIF('Trip Cancellations'!$B:$B,A413,'Trip Cancellations'!$E:$E)</f>
        <v>0</v>
      </c>
      <c r="AD413" s="4">
        <f>SUMIF('Trip Cancellations'!$B:$B,A413,'Trip Cancellations'!$F:$F)</f>
        <v>0</v>
      </c>
      <c r="AE413" s="4">
        <f t="shared" si="6"/>
        <v>954.47</v>
      </c>
      <c r="AF413" t="s">
        <v>148</v>
      </c>
      <c r="AG413">
        <v>4</v>
      </c>
      <c r="AH413" s="5">
        <v>257.7</v>
      </c>
      <c r="AI413" t="s">
        <v>147</v>
      </c>
    </row>
    <row r="414" spans="1:35">
      <c r="A414" t="s">
        <v>738</v>
      </c>
      <c r="B414" t="s">
        <v>735</v>
      </c>
      <c r="C414" t="s">
        <v>220</v>
      </c>
      <c r="D414" t="s">
        <v>168</v>
      </c>
      <c r="E414" t="s">
        <v>249</v>
      </c>
      <c r="F414" t="s">
        <v>162</v>
      </c>
      <c r="G414" s="3">
        <v>46157</v>
      </c>
      <c r="H414" s="3">
        <v>46177</v>
      </c>
      <c r="I414" s="3">
        <v>46180</v>
      </c>
      <c r="J414" t="s">
        <v>141</v>
      </c>
      <c r="K414" t="s">
        <v>220</v>
      </c>
      <c r="L414" t="s">
        <v>233</v>
      </c>
      <c r="M414" t="s">
        <v>152</v>
      </c>
      <c r="N414" t="s">
        <v>153</v>
      </c>
      <c r="O414">
        <v>1438</v>
      </c>
      <c r="P414">
        <v>20</v>
      </c>
      <c r="Q414" t="s">
        <v>145</v>
      </c>
      <c r="R414" t="s">
        <v>154</v>
      </c>
      <c r="S414" t="s">
        <v>155</v>
      </c>
      <c r="T414" s="4">
        <v>565.46</v>
      </c>
      <c r="U414" s="4">
        <v>0</v>
      </c>
      <c r="V414" s="4">
        <v>2</v>
      </c>
      <c r="W414" s="4">
        <v>379.25</v>
      </c>
      <c r="X414" s="4">
        <v>123.03</v>
      </c>
      <c r="Y414" s="4">
        <v>1067.74</v>
      </c>
      <c r="Z414" s="4" t="s">
        <v>147</v>
      </c>
      <c r="AA414" s="4" t="s">
        <v>147</v>
      </c>
      <c r="AB414" s="4">
        <f>SUMIF('Trip Changes'!$B:$B,A414,'Trip Changes'!$E:$E)</f>
        <v>0</v>
      </c>
      <c r="AC414" s="4">
        <f>SUMIF('Trip Cancellations'!$B:$B,A414,'Trip Cancellations'!$E:$E)</f>
        <v>0</v>
      </c>
      <c r="AD414" s="4">
        <f>SUMIF('Trip Cancellations'!$B:$B,A414,'Trip Cancellations'!$F:$F)</f>
        <v>0</v>
      </c>
      <c r="AE414" s="4">
        <f t="shared" si="6"/>
        <v>1067.74</v>
      </c>
      <c r="AF414" t="s">
        <v>148</v>
      </c>
      <c r="AG414">
        <v>3</v>
      </c>
      <c r="AH414" s="5">
        <v>215.7</v>
      </c>
      <c r="AI414" t="s">
        <v>147</v>
      </c>
    </row>
    <row r="415" spans="1:35">
      <c r="A415" t="s">
        <v>739</v>
      </c>
      <c r="B415" t="s">
        <v>735</v>
      </c>
      <c r="C415" t="s">
        <v>220</v>
      </c>
      <c r="D415" t="s">
        <v>168</v>
      </c>
      <c r="E415" t="s">
        <v>249</v>
      </c>
      <c r="F415" t="s">
        <v>178</v>
      </c>
      <c r="G415" s="3">
        <v>46212</v>
      </c>
      <c r="H415" s="3">
        <v>46216</v>
      </c>
      <c r="I415" s="3">
        <v>46217</v>
      </c>
      <c r="J415" t="s">
        <v>150</v>
      </c>
      <c r="K415" t="s">
        <v>220</v>
      </c>
      <c r="L415" t="s">
        <v>193</v>
      </c>
      <c r="M415" t="s">
        <v>143</v>
      </c>
      <c r="N415" t="s">
        <v>144</v>
      </c>
      <c r="O415">
        <v>838</v>
      </c>
      <c r="P415">
        <v>4</v>
      </c>
      <c r="Q415" t="s">
        <v>159</v>
      </c>
      <c r="T415" s="4">
        <v>0</v>
      </c>
      <c r="U415" s="4">
        <v>215.42</v>
      </c>
      <c r="V415" s="4">
        <v>0</v>
      </c>
      <c r="W415" s="4">
        <v>0</v>
      </c>
      <c r="X415" s="4">
        <v>33.58</v>
      </c>
      <c r="Y415" s="4">
        <v>249</v>
      </c>
      <c r="Z415" s="4" t="s">
        <v>147</v>
      </c>
      <c r="AA415" s="4" t="s">
        <v>147</v>
      </c>
      <c r="AB415" s="4">
        <f>SUMIF('Trip Changes'!$B:$B,A415,'Trip Changes'!$E:$E)</f>
        <v>0</v>
      </c>
      <c r="AC415" s="4">
        <f>SUMIF('Trip Cancellations'!$B:$B,A415,'Trip Cancellations'!$E:$E)</f>
        <v>0</v>
      </c>
      <c r="AD415" s="4">
        <f>SUMIF('Trip Cancellations'!$B:$B,A415,'Trip Cancellations'!$F:$F)</f>
        <v>0</v>
      </c>
      <c r="AE415" s="4">
        <f t="shared" si="6"/>
        <v>249</v>
      </c>
      <c r="AF415" t="s">
        <v>148</v>
      </c>
      <c r="AG415">
        <v>4</v>
      </c>
      <c r="AH415" s="5">
        <v>33.5</v>
      </c>
      <c r="AI415" t="s">
        <v>147</v>
      </c>
    </row>
    <row r="416" spans="1:35">
      <c r="A416" t="s">
        <v>740</v>
      </c>
      <c r="B416" t="s">
        <v>735</v>
      </c>
      <c r="C416" t="s">
        <v>220</v>
      </c>
      <c r="D416" t="s">
        <v>168</v>
      </c>
      <c r="E416" t="s">
        <v>249</v>
      </c>
      <c r="F416" t="s">
        <v>162</v>
      </c>
      <c r="G416" s="3">
        <v>46206</v>
      </c>
      <c r="H416" s="3">
        <v>46213</v>
      </c>
      <c r="I416" s="3">
        <v>46215</v>
      </c>
      <c r="J416" t="s">
        <v>150</v>
      </c>
      <c r="K416" t="s">
        <v>220</v>
      </c>
      <c r="L416" t="s">
        <v>142</v>
      </c>
      <c r="M416" t="s">
        <v>143</v>
      </c>
      <c r="N416" t="s">
        <v>153</v>
      </c>
      <c r="O416">
        <v>918</v>
      </c>
      <c r="P416">
        <v>7</v>
      </c>
      <c r="Q416" t="s">
        <v>159</v>
      </c>
      <c r="R416" t="s">
        <v>176</v>
      </c>
      <c r="S416" t="s">
        <v>164</v>
      </c>
      <c r="T416" s="4">
        <v>332.72</v>
      </c>
      <c r="U416" s="4">
        <v>0</v>
      </c>
      <c r="V416" s="4">
        <v>1</v>
      </c>
      <c r="W416" s="4">
        <v>151.62</v>
      </c>
      <c r="X416" s="4">
        <v>89.37</v>
      </c>
      <c r="Y416" s="4">
        <v>573.71</v>
      </c>
      <c r="Z416" s="4" t="s">
        <v>147</v>
      </c>
      <c r="AA416" s="4" t="s">
        <v>147</v>
      </c>
      <c r="AB416" s="4">
        <f>SUMIF('Trip Changes'!$B:$B,A416,'Trip Changes'!$E:$E)</f>
        <v>0</v>
      </c>
      <c r="AC416" s="4">
        <f>SUMIF('Trip Cancellations'!$B:$B,A416,'Trip Cancellations'!$E:$E)</f>
        <v>0</v>
      </c>
      <c r="AD416" s="4">
        <f>SUMIF('Trip Cancellations'!$B:$B,A416,'Trip Cancellations'!$F:$F)</f>
        <v>0</v>
      </c>
      <c r="AE416" s="4">
        <f t="shared" si="6"/>
        <v>573.71</v>
      </c>
      <c r="AF416" t="s">
        <v>148</v>
      </c>
      <c r="AG416">
        <v>5</v>
      </c>
      <c r="AH416" s="5">
        <v>137.69999999999999</v>
      </c>
      <c r="AI416" t="s">
        <v>147</v>
      </c>
    </row>
    <row r="417" spans="1:35">
      <c r="A417" t="s">
        <v>741</v>
      </c>
      <c r="B417" t="s">
        <v>742</v>
      </c>
      <c r="C417" t="s">
        <v>307</v>
      </c>
      <c r="D417" t="s">
        <v>230</v>
      </c>
      <c r="E417" t="s">
        <v>249</v>
      </c>
      <c r="F417" t="s">
        <v>140</v>
      </c>
      <c r="G417" s="3">
        <v>46163</v>
      </c>
      <c r="H417" s="3">
        <v>46180</v>
      </c>
      <c r="I417" s="3">
        <v>46185</v>
      </c>
      <c r="J417" t="s">
        <v>141</v>
      </c>
      <c r="K417" t="s">
        <v>307</v>
      </c>
      <c r="L417" t="s">
        <v>225</v>
      </c>
      <c r="M417" t="s">
        <v>152</v>
      </c>
      <c r="N417" t="s">
        <v>153</v>
      </c>
      <c r="O417">
        <v>3270</v>
      </c>
      <c r="P417">
        <v>17</v>
      </c>
      <c r="Q417" t="s">
        <v>145</v>
      </c>
      <c r="R417" t="s">
        <v>236</v>
      </c>
      <c r="S417" t="s">
        <v>155</v>
      </c>
      <c r="T417" s="4">
        <v>331.51</v>
      </c>
      <c r="U417" s="4">
        <v>0</v>
      </c>
      <c r="V417" s="4">
        <v>4</v>
      </c>
      <c r="W417" s="4">
        <v>666.13</v>
      </c>
      <c r="X417" s="4">
        <v>61.62</v>
      </c>
      <c r="Y417" s="4">
        <v>1059.26</v>
      </c>
      <c r="Z417" s="4" t="s">
        <v>147</v>
      </c>
      <c r="AA417" s="4" t="s">
        <v>147</v>
      </c>
      <c r="AB417" s="4">
        <f>SUMIF('Trip Changes'!$B:$B,A417,'Trip Changes'!$E:$E)</f>
        <v>0</v>
      </c>
      <c r="AC417" s="4">
        <f>SUMIF('Trip Cancellations'!$B:$B,A417,'Trip Cancellations'!$E:$E)</f>
        <v>0</v>
      </c>
      <c r="AD417" s="4">
        <f>SUMIF('Trip Cancellations'!$B:$B,A417,'Trip Cancellations'!$F:$F)</f>
        <v>0</v>
      </c>
      <c r="AE417" s="4">
        <f t="shared" si="6"/>
        <v>1059.26</v>
      </c>
      <c r="AF417" t="s">
        <v>148</v>
      </c>
      <c r="AG417">
        <v>5</v>
      </c>
      <c r="AH417" s="5">
        <v>490.5</v>
      </c>
      <c r="AI417" t="s">
        <v>147</v>
      </c>
    </row>
    <row r="418" spans="1:35">
      <c r="A418" t="s">
        <v>743</v>
      </c>
      <c r="B418" t="s">
        <v>742</v>
      </c>
      <c r="C418" t="s">
        <v>307</v>
      </c>
      <c r="D418" t="s">
        <v>230</v>
      </c>
      <c r="E418" t="s">
        <v>249</v>
      </c>
      <c r="F418" t="s">
        <v>140</v>
      </c>
      <c r="G418" s="3">
        <v>46163</v>
      </c>
      <c r="H418" s="3">
        <v>46169</v>
      </c>
      <c r="I418" s="3">
        <v>46172</v>
      </c>
      <c r="J418" t="s">
        <v>163</v>
      </c>
      <c r="K418" t="s">
        <v>307</v>
      </c>
      <c r="L418" t="s">
        <v>233</v>
      </c>
      <c r="M418" t="s">
        <v>152</v>
      </c>
      <c r="N418" t="s">
        <v>153</v>
      </c>
      <c r="O418">
        <v>1856</v>
      </c>
      <c r="P418">
        <v>6</v>
      </c>
      <c r="Q418" t="s">
        <v>159</v>
      </c>
      <c r="R418" t="s">
        <v>160</v>
      </c>
      <c r="S418" t="s">
        <v>187</v>
      </c>
      <c r="T418" s="4">
        <v>272.2</v>
      </c>
      <c r="U418" s="4">
        <v>0</v>
      </c>
      <c r="V418" s="4">
        <v>2</v>
      </c>
      <c r="W418" s="4">
        <v>357.11</v>
      </c>
      <c r="X418" s="4">
        <v>64.97</v>
      </c>
      <c r="Y418" s="4">
        <v>694.28</v>
      </c>
      <c r="Z418" s="4" t="s">
        <v>148</v>
      </c>
      <c r="AA418" s="4" t="s">
        <v>147</v>
      </c>
      <c r="AB418" s="4">
        <f>SUMIF('Trip Changes'!$B:$B,A418,'Trip Changes'!$E:$E)</f>
        <v>120.74</v>
      </c>
      <c r="AC418" s="4">
        <f>SUMIF('Trip Cancellations'!$B:$B,A418,'Trip Cancellations'!$E:$E)</f>
        <v>0</v>
      </c>
      <c r="AD418" s="4">
        <f>SUMIF('Trip Cancellations'!$B:$B,A418,'Trip Cancellations'!$F:$F)</f>
        <v>0</v>
      </c>
      <c r="AE418" s="4">
        <f t="shared" si="6"/>
        <v>815.02</v>
      </c>
      <c r="AF418" t="s">
        <v>148</v>
      </c>
      <c r="AG418">
        <v>3</v>
      </c>
      <c r="AH418" s="5">
        <v>278.39999999999998</v>
      </c>
      <c r="AI418" t="s">
        <v>147</v>
      </c>
    </row>
    <row r="419" spans="1:35">
      <c r="A419" t="s">
        <v>744</v>
      </c>
      <c r="B419" t="s">
        <v>742</v>
      </c>
      <c r="C419" t="s">
        <v>307</v>
      </c>
      <c r="D419" t="s">
        <v>230</v>
      </c>
      <c r="E419" t="s">
        <v>249</v>
      </c>
      <c r="F419" t="s">
        <v>157</v>
      </c>
      <c r="G419" s="3">
        <v>46203</v>
      </c>
      <c r="H419" s="3">
        <v>46216</v>
      </c>
      <c r="I419" s="3">
        <v>46222</v>
      </c>
      <c r="J419" t="s">
        <v>150</v>
      </c>
      <c r="K419" t="s">
        <v>307</v>
      </c>
      <c r="L419" t="s">
        <v>197</v>
      </c>
      <c r="M419" t="s">
        <v>152</v>
      </c>
      <c r="N419" t="s">
        <v>153</v>
      </c>
      <c r="O419">
        <v>12618</v>
      </c>
      <c r="P419">
        <v>13</v>
      </c>
      <c r="Q419" t="s">
        <v>159</v>
      </c>
      <c r="R419" t="s">
        <v>186</v>
      </c>
      <c r="S419" t="s">
        <v>187</v>
      </c>
      <c r="T419" s="4">
        <v>1047.1600000000001</v>
      </c>
      <c r="U419" s="4">
        <v>0</v>
      </c>
      <c r="V419" s="4">
        <v>5</v>
      </c>
      <c r="W419" s="4">
        <v>1344</v>
      </c>
      <c r="X419" s="4">
        <v>88.61</v>
      </c>
      <c r="Y419" s="4">
        <v>2479.77</v>
      </c>
      <c r="Z419" s="4" t="s">
        <v>147</v>
      </c>
      <c r="AA419" s="4" t="s">
        <v>147</v>
      </c>
      <c r="AB419" s="4">
        <f>SUMIF('Trip Changes'!$B:$B,A419,'Trip Changes'!$E:$E)</f>
        <v>0</v>
      </c>
      <c r="AC419" s="4">
        <f>SUMIF('Trip Cancellations'!$B:$B,A419,'Trip Cancellations'!$E:$E)</f>
        <v>0</v>
      </c>
      <c r="AD419" s="4">
        <f>SUMIF('Trip Cancellations'!$B:$B,A419,'Trip Cancellations'!$F:$F)</f>
        <v>0</v>
      </c>
      <c r="AE419" s="4">
        <f t="shared" si="6"/>
        <v>2479.77</v>
      </c>
      <c r="AF419" t="s">
        <v>148</v>
      </c>
      <c r="AG419">
        <v>5</v>
      </c>
      <c r="AH419" s="5">
        <v>1892.7</v>
      </c>
      <c r="AI419" t="s">
        <v>148</v>
      </c>
    </row>
    <row r="420" spans="1:35">
      <c r="A420" t="s">
        <v>745</v>
      </c>
      <c r="B420" t="s">
        <v>746</v>
      </c>
      <c r="C420" t="s">
        <v>220</v>
      </c>
      <c r="D420" t="s">
        <v>138</v>
      </c>
      <c r="E420" t="s">
        <v>262</v>
      </c>
      <c r="F420" t="s">
        <v>140</v>
      </c>
      <c r="G420" s="3">
        <v>46201</v>
      </c>
      <c r="H420" s="3">
        <v>46211</v>
      </c>
      <c r="I420" s="3">
        <v>46214</v>
      </c>
      <c r="J420" t="s">
        <v>150</v>
      </c>
      <c r="K420" t="s">
        <v>220</v>
      </c>
      <c r="L420" t="s">
        <v>264</v>
      </c>
      <c r="M420" t="s">
        <v>152</v>
      </c>
      <c r="N420" t="s">
        <v>153</v>
      </c>
      <c r="O420">
        <v>1012</v>
      </c>
      <c r="P420">
        <v>10</v>
      </c>
      <c r="Q420" t="s">
        <v>145</v>
      </c>
      <c r="R420" t="s">
        <v>236</v>
      </c>
      <c r="S420" t="s">
        <v>187</v>
      </c>
      <c r="T420" s="4">
        <v>580.1</v>
      </c>
      <c r="U420" s="4">
        <v>0</v>
      </c>
      <c r="V420" s="4">
        <v>2</v>
      </c>
      <c r="W420" s="4">
        <v>404.39</v>
      </c>
      <c r="X420" s="4">
        <v>44.45</v>
      </c>
      <c r="Y420" s="4">
        <v>1028.94</v>
      </c>
      <c r="Z420" s="4" t="s">
        <v>147</v>
      </c>
      <c r="AA420" s="4" t="s">
        <v>147</v>
      </c>
      <c r="AB420" s="4">
        <f>SUMIF('Trip Changes'!$B:$B,A420,'Trip Changes'!$E:$E)</f>
        <v>0</v>
      </c>
      <c r="AC420" s="4">
        <f>SUMIF('Trip Cancellations'!$B:$B,A420,'Trip Cancellations'!$E:$E)</f>
        <v>0</v>
      </c>
      <c r="AD420" s="4">
        <f>SUMIF('Trip Cancellations'!$B:$B,A420,'Trip Cancellations'!$F:$F)</f>
        <v>0</v>
      </c>
      <c r="AE420" s="4">
        <f t="shared" si="6"/>
        <v>1028.94</v>
      </c>
      <c r="AF420" t="s">
        <v>148</v>
      </c>
      <c r="AG420">
        <v>5</v>
      </c>
      <c r="AH420" s="5">
        <v>151.80000000000001</v>
      </c>
      <c r="AI420" t="s">
        <v>147</v>
      </c>
    </row>
    <row r="421" spans="1:35">
      <c r="A421" t="s">
        <v>747</v>
      </c>
      <c r="B421" t="s">
        <v>746</v>
      </c>
      <c r="C421" t="s">
        <v>220</v>
      </c>
      <c r="D421" t="s">
        <v>138</v>
      </c>
      <c r="E421" t="s">
        <v>262</v>
      </c>
      <c r="F421" t="s">
        <v>189</v>
      </c>
      <c r="G421" s="3">
        <v>46207</v>
      </c>
      <c r="H421" s="3">
        <v>46233</v>
      </c>
      <c r="I421" s="3">
        <v>46237</v>
      </c>
      <c r="J421" t="s">
        <v>150</v>
      </c>
      <c r="K421" t="s">
        <v>220</v>
      </c>
      <c r="L421" t="s">
        <v>179</v>
      </c>
      <c r="M421" t="s">
        <v>152</v>
      </c>
      <c r="N421" t="s">
        <v>153</v>
      </c>
      <c r="O421">
        <v>16766</v>
      </c>
      <c r="P421">
        <v>26</v>
      </c>
      <c r="Q421" t="s">
        <v>145</v>
      </c>
      <c r="R421" t="s">
        <v>154</v>
      </c>
      <c r="S421" t="s">
        <v>190</v>
      </c>
      <c r="T421" s="4">
        <v>886.87</v>
      </c>
      <c r="U421" s="4">
        <v>0</v>
      </c>
      <c r="V421" s="4">
        <v>3</v>
      </c>
      <c r="W421" s="4">
        <v>652.13</v>
      </c>
      <c r="X421" s="4">
        <v>43.84</v>
      </c>
      <c r="Y421" s="4">
        <v>1582.84</v>
      </c>
      <c r="Z421" s="4" t="s">
        <v>147</v>
      </c>
      <c r="AA421" s="4" t="s">
        <v>147</v>
      </c>
      <c r="AB421" s="4">
        <f>SUMIF('Trip Changes'!$B:$B,A421,'Trip Changes'!$E:$E)</f>
        <v>0</v>
      </c>
      <c r="AC421" s="4">
        <f>SUMIF('Trip Cancellations'!$B:$B,A421,'Trip Cancellations'!$E:$E)</f>
        <v>0</v>
      </c>
      <c r="AD421" s="4">
        <f>SUMIF('Trip Cancellations'!$B:$B,A421,'Trip Cancellations'!$F:$F)</f>
        <v>0</v>
      </c>
      <c r="AE421" s="4">
        <f t="shared" si="6"/>
        <v>1582.84</v>
      </c>
      <c r="AF421" t="s">
        <v>148</v>
      </c>
      <c r="AG421">
        <v>5</v>
      </c>
      <c r="AH421" s="5">
        <v>2514.9</v>
      </c>
      <c r="AI421" t="s">
        <v>147</v>
      </c>
    </row>
    <row r="422" spans="1:35">
      <c r="A422" t="s">
        <v>748</v>
      </c>
      <c r="B422" t="s">
        <v>746</v>
      </c>
      <c r="C422" t="s">
        <v>220</v>
      </c>
      <c r="D422" t="s">
        <v>138</v>
      </c>
      <c r="E422" t="s">
        <v>262</v>
      </c>
      <c r="F422" t="s">
        <v>178</v>
      </c>
      <c r="G422" s="3">
        <v>46127</v>
      </c>
      <c r="H422" s="3">
        <v>46144</v>
      </c>
      <c r="I422" s="3">
        <v>46148</v>
      </c>
      <c r="J422" t="s">
        <v>163</v>
      </c>
      <c r="K422" t="s">
        <v>220</v>
      </c>
      <c r="L422" t="s">
        <v>185</v>
      </c>
      <c r="M422" t="s">
        <v>152</v>
      </c>
      <c r="N422" t="s">
        <v>153</v>
      </c>
      <c r="O422">
        <v>12714</v>
      </c>
      <c r="P422">
        <v>17</v>
      </c>
      <c r="Q422" t="s">
        <v>145</v>
      </c>
      <c r="R422" t="s">
        <v>154</v>
      </c>
      <c r="S422" t="s">
        <v>173</v>
      </c>
      <c r="T422" s="4">
        <v>631.24</v>
      </c>
      <c r="U422" s="4">
        <v>0</v>
      </c>
      <c r="V422" s="4">
        <v>3</v>
      </c>
      <c r="W422" s="4">
        <v>397.25</v>
      </c>
      <c r="X422" s="4">
        <v>62.68</v>
      </c>
      <c r="Y422" s="4">
        <v>1091.17</v>
      </c>
      <c r="Z422" s="4" t="s">
        <v>147</v>
      </c>
      <c r="AA422" s="4" t="s">
        <v>147</v>
      </c>
      <c r="AB422" s="4">
        <f>SUMIF('Trip Changes'!$B:$B,A422,'Trip Changes'!$E:$E)</f>
        <v>0</v>
      </c>
      <c r="AC422" s="4">
        <f>SUMIF('Trip Cancellations'!$B:$B,A422,'Trip Cancellations'!$E:$E)</f>
        <v>0</v>
      </c>
      <c r="AD422" s="4">
        <f>SUMIF('Trip Cancellations'!$B:$B,A422,'Trip Cancellations'!$F:$F)</f>
        <v>0</v>
      </c>
      <c r="AE422" s="4">
        <f t="shared" si="6"/>
        <v>1091.17</v>
      </c>
      <c r="AF422" t="s">
        <v>148</v>
      </c>
      <c r="AG422">
        <v>5</v>
      </c>
      <c r="AH422" s="5">
        <v>1907.1</v>
      </c>
      <c r="AI422" t="s">
        <v>148</v>
      </c>
    </row>
    <row r="423" spans="1:35">
      <c r="A423" t="s">
        <v>749</v>
      </c>
      <c r="B423" t="s">
        <v>750</v>
      </c>
      <c r="C423" t="s">
        <v>193</v>
      </c>
      <c r="D423" t="s">
        <v>248</v>
      </c>
      <c r="E423" t="s">
        <v>169</v>
      </c>
      <c r="F423" t="s">
        <v>162</v>
      </c>
      <c r="G423" s="3">
        <v>46191</v>
      </c>
      <c r="H423" s="3">
        <v>46210</v>
      </c>
      <c r="I423" s="3">
        <v>46213</v>
      </c>
      <c r="J423" t="s">
        <v>150</v>
      </c>
      <c r="K423" t="s">
        <v>193</v>
      </c>
      <c r="L423" t="s">
        <v>199</v>
      </c>
      <c r="M423" t="s">
        <v>152</v>
      </c>
      <c r="N423" t="s">
        <v>153</v>
      </c>
      <c r="O423">
        <v>1628</v>
      </c>
      <c r="P423">
        <v>19</v>
      </c>
      <c r="Q423" t="s">
        <v>145</v>
      </c>
      <c r="R423" t="s">
        <v>200</v>
      </c>
      <c r="S423" t="s">
        <v>173</v>
      </c>
      <c r="T423" s="4">
        <v>376.95</v>
      </c>
      <c r="U423" s="4">
        <v>0</v>
      </c>
      <c r="V423" s="4">
        <v>2</v>
      </c>
      <c r="W423" s="4">
        <v>360.49</v>
      </c>
      <c r="X423" s="4">
        <v>59.63</v>
      </c>
      <c r="Y423" s="4">
        <v>797.07</v>
      </c>
      <c r="Z423" s="4" t="s">
        <v>147</v>
      </c>
      <c r="AA423" s="4" t="s">
        <v>147</v>
      </c>
      <c r="AB423" s="4">
        <f>SUMIF('Trip Changes'!$B:$B,A423,'Trip Changes'!$E:$E)</f>
        <v>0</v>
      </c>
      <c r="AC423" s="4">
        <f>SUMIF('Trip Cancellations'!$B:$B,A423,'Trip Cancellations'!$E:$E)</f>
        <v>0</v>
      </c>
      <c r="AD423" s="4">
        <f>SUMIF('Trip Cancellations'!$B:$B,A423,'Trip Cancellations'!$F:$F)</f>
        <v>0</v>
      </c>
      <c r="AE423" s="4">
        <f t="shared" si="6"/>
        <v>797.07</v>
      </c>
      <c r="AF423" t="s">
        <v>148</v>
      </c>
      <c r="AG423">
        <v>3</v>
      </c>
      <c r="AH423" s="5">
        <v>244.2</v>
      </c>
      <c r="AI423" t="s">
        <v>148</v>
      </c>
    </row>
    <row r="424" spans="1:35">
      <c r="A424" t="s">
        <v>751</v>
      </c>
      <c r="B424" t="s">
        <v>750</v>
      </c>
      <c r="C424" t="s">
        <v>193</v>
      </c>
      <c r="D424" t="s">
        <v>248</v>
      </c>
      <c r="E424" t="s">
        <v>169</v>
      </c>
      <c r="F424" t="s">
        <v>140</v>
      </c>
      <c r="G424" s="3">
        <v>46176</v>
      </c>
      <c r="H424" s="3">
        <v>46193</v>
      </c>
      <c r="I424" s="3">
        <v>46195</v>
      </c>
      <c r="J424" t="s">
        <v>141</v>
      </c>
      <c r="K424" t="s">
        <v>193</v>
      </c>
      <c r="L424" t="s">
        <v>182</v>
      </c>
      <c r="M424" t="s">
        <v>143</v>
      </c>
      <c r="N424" t="s">
        <v>144</v>
      </c>
      <c r="O424">
        <v>714</v>
      </c>
      <c r="P424">
        <v>17</v>
      </c>
      <c r="Q424" t="s">
        <v>207</v>
      </c>
      <c r="S424" t="s">
        <v>164</v>
      </c>
      <c r="T424" s="4">
        <v>0</v>
      </c>
      <c r="U424" s="4">
        <v>210.04</v>
      </c>
      <c r="V424" s="4">
        <v>1</v>
      </c>
      <c r="W424" s="4">
        <v>166.14</v>
      </c>
      <c r="X424" s="4">
        <v>84.61</v>
      </c>
      <c r="Y424" s="4">
        <v>460.79</v>
      </c>
      <c r="Z424" s="4" t="s">
        <v>147</v>
      </c>
      <c r="AA424" s="4" t="s">
        <v>147</v>
      </c>
      <c r="AB424" s="4">
        <f>SUMIF('Trip Changes'!$B:$B,A424,'Trip Changes'!$E:$E)</f>
        <v>0</v>
      </c>
      <c r="AC424" s="4">
        <f>SUMIF('Trip Cancellations'!$B:$B,A424,'Trip Cancellations'!$E:$E)</f>
        <v>0</v>
      </c>
      <c r="AD424" s="4">
        <f>SUMIF('Trip Cancellations'!$B:$B,A424,'Trip Cancellations'!$F:$F)</f>
        <v>0</v>
      </c>
      <c r="AE424" s="4">
        <f t="shared" si="6"/>
        <v>460.79</v>
      </c>
      <c r="AF424" t="s">
        <v>147</v>
      </c>
      <c r="AG424">
        <v>5</v>
      </c>
      <c r="AH424" s="5">
        <v>28.6</v>
      </c>
      <c r="AI424" t="s">
        <v>148</v>
      </c>
    </row>
    <row r="425" spans="1:35">
      <c r="A425" t="s">
        <v>752</v>
      </c>
      <c r="B425" t="s">
        <v>750</v>
      </c>
      <c r="C425" t="s">
        <v>193</v>
      </c>
      <c r="D425" t="s">
        <v>248</v>
      </c>
      <c r="E425" t="s">
        <v>169</v>
      </c>
      <c r="F425" t="s">
        <v>162</v>
      </c>
      <c r="G425" s="3">
        <v>46153</v>
      </c>
      <c r="H425" s="3">
        <v>46154</v>
      </c>
      <c r="I425" s="3">
        <v>46158</v>
      </c>
      <c r="J425" t="s">
        <v>163</v>
      </c>
      <c r="K425" t="s">
        <v>193</v>
      </c>
      <c r="L425" t="s">
        <v>179</v>
      </c>
      <c r="M425" t="s">
        <v>152</v>
      </c>
      <c r="N425" t="s">
        <v>153</v>
      </c>
      <c r="O425">
        <v>19722</v>
      </c>
      <c r="P425">
        <v>1</v>
      </c>
      <c r="Q425" t="s">
        <v>145</v>
      </c>
      <c r="R425" t="s">
        <v>154</v>
      </c>
      <c r="S425" t="s">
        <v>155</v>
      </c>
      <c r="T425" s="4">
        <v>1271.57</v>
      </c>
      <c r="U425" s="4">
        <v>0</v>
      </c>
      <c r="V425" s="4">
        <v>3</v>
      </c>
      <c r="W425" s="4">
        <v>611.80999999999995</v>
      </c>
      <c r="X425" s="4">
        <v>92.15</v>
      </c>
      <c r="Y425" s="4">
        <v>1975.53</v>
      </c>
      <c r="Z425" s="4" t="s">
        <v>148</v>
      </c>
      <c r="AA425" s="4" t="s">
        <v>147</v>
      </c>
      <c r="AB425" s="4">
        <f>SUMIF('Trip Changes'!$B:$B,A425,'Trip Changes'!$E:$E)</f>
        <v>15</v>
      </c>
      <c r="AC425" s="4">
        <f>SUMIF('Trip Cancellations'!$B:$B,A425,'Trip Cancellations'!$E:$E)</f>
        <v>0</v>
      </c>
      <c r="AD425" s="4">
        <f>SUMIF('Trip Cancellations'!$B:$B,A425,'Trip Cancellations'!$F:$F)</f>
        <v>0</v>
      </c>
      <c r="AE425" s="4">
        <f t="shared" si="6"/>
        <v>1990.53</v>
      </c>
      <c r="AF425" t="s">
        <v>148</v>
      </c>
      <c r="AG425">
        <v>4</v>
      </c>
      <c r="AH425" s="5">
        <v>2958.3</v>
      </c>
      <c r="AI425" t="s">
        <v>148</v>
      </c>
    </row>
    <row r="426" spans="1:35">
      <c r="A426" t="s">
        <v>753</v>
      </c>
      <c r="B426" t="s">
        <v>750</v>
      </c>
      <c r="C426" t="s">
        <v>193</v>
      </c>
      <c r="D426" t="s">
        <v>248</v>
      </c>
      <c r="E426" t="s">
        <v>169</v>
      </c>
      <c r="F426" t="s">
        <v>170</v>
      </c>
      <c r="G426" s="3">
        <v>46196</v>
      </c>
      <c r="H426" s="3">
        <v>46202</v>
      </c>
      <c r="I426" s="3">
        <v>46207</v>
      </c>
      <c r="J426" t="s">
        <v>141</v>
      </c>
      <c r="K426" t="s">
        <v>193</v>
      </c>
      <c r="L426" t="s">
        <v>199</v>
      </c>
      <c r="M426" t="s">
        <v>152</v>
      </c>
      <c r="N426" t="s">
        <v>153</v>
      </c>
      <c r="O426">
        <v>2758</v>
      </c>
      <c r="P426">
        <v>6</v>
      </c>
      <c r="Q426" t="s">
        <v>145</v>
      </c>
      <c r="R426" t="s">
        <v>154</v>
      </c>
      <c r="S426" t="s">
        <v>187</v>
      </c>
      <c r="T426" s="4">
        <v>462.83</v>
      </c>
      <c r="U426" s="4">
        <v>0</v>
      </c>
      <c r="V426" s="4">
        <v>4</v>
      </c>
      <c r="W426" s="4">
        <v>513.57000000000005</v>
      </c>
      <c r="X426" s="4">
        <v>67.16</v>
      </c>
      <c r="Y426" s="4">
        <v>1043.56</v>
      </c>
      <c r="Z426" s="4" t="s">
        <v>147</v>
      </c>
      <c r="AA426" s="4" t="s">
        <v>148</v>
      </c>
      <c r="AB426" s="4">
        <f>SUMIF('Trip Changes'!$B:$B,A426,'Trip Changes'!$E:$E)</f>
        <v>0</v>
      </c>
      <c r="AC426" s="4">
        <f>SUMIF('Trip Cancellations'!$B:$B,A426,'Trip Cancellations'!$E:$E)</f>
        <v>53.48</v>
      </c>
      <c r="AD426" s="4">
        <f>SUMIF('Trip Cancellations'!$B:$B,A426,'Trip Cancellations'!$F:$F)</f>
        <v>244.1</v>
      </c>
      <c r="AE426" s="4">
        <f t="shared" si="6"/>
        <v>852.93999999999994</v>
      </c>
      <c r="AF426" t="s">
        <v>148</v>
      </c>
      <c r="AG426">
        <v>4</v>
      </c>
      <c r="AH426" s="5">
        <v>413.7</v>
      </c>
      <c r="AI426" t="s">
        <v>148</v>
      </c>
    </row>
    <row r="427" spans="1:35">
      <c r="A427" t="s">
        <v>754</v>
      </c>
      <c r="B427" t="s">
        <v>750</v>
      </c>
      <c r="C427" t="s">
        <v>193</v>
      </c>
      <c r="D427" t="s">
        <v>248</v>
      </c>
      <c r="E427" t="s">
        <v>169</v>
      </c>
      <c r="F427" t="s">
        <v>170</v>
      </c>
      <c r="G427" s="3">
        <v>46185</v>
      </c>
      <c r="H427" s="3">
        <v>46211</v>
      </c>
      <c r="I427" s="3">
        <v>46213</v>
      </c>
      <c r="J427" t="s">
        <v>150</v>
      </c>
      <c r="K427" t="s">
        <v>193</v>
      </c>
      <c r="L427" t="s">
        <v>233</v>
      </c>
      <c r="M427" t="s">
        <v>152</v>
      </c>
      <c r="N427" t="s">
        <v>153</v>
      </c>
      <c r="O427">
        <v>3444</v>
      </c>
      <c r="P427">
        <v>26</v>
      </c>
      <c r="Q427" t="s">
        <v>159</v>
      </c>
      <c r="R427" t="s">
        <v>160</v>
      </c>
      <c r="S427" t="s">
        <v>187</v>
      </c>
      <c r="T427" s="4">
        <v>601.54</v>
      </c>
      <c r="U427" s="4">
        <v>0</v>
      </c>
      <c r="V427" s="4">
        <v>1</v>
      </c>
      <c r="W427" s="4">
        <v>147.18</v>
      </c>
      <c r="X427" s="4">
        <v>58.94</v>
      </c>
      <c r="Y427" s="4">
        <v>807.66</v>
      </c>
      <c r="Z427" s="4" t="s">
        <v>147</v>
      </c>
      <c r="AA427" s="4" t="s">
        <v>147</v>
      </c>
      <c r="AB427" s="4">
        <f>SUMIF('Trip Changes'!$B:$B,A427,'Trip Changes'!$E:$E)</f>
        <v>0</v>
      </c>
      <c r="AC427" s="4">
        <f>SUMIF('Trip Cancellations'!$B:$B,A427,'Trip Cancellations'!$E:$E)</f>
        <v>0</v>
      </c>
      <c r="AD427" s="4">
        <f>SUMIF('Trip Cancellations'!$B:$B,A427,'Trip Cancellations'!$F:$F)</f>
        <v>0</v>
      </c>
      <c r="AE427" s="4">
        <f t="shared" si="6"/>
        <v>807.66</v>
      </c>
      <c r="AF427" t="s">
        <v>148</v>
      </c>
      <c r="AG427">
        <v>4</v>
      </c>
      <c r="AH427" s="5">
        <v>516.6</v>
      </c>
      <c r="AI427" t="s">
        <v>147</v>
      </c>
    </row>
    <row r="428" spans="1:35">
      <c r="A428" t="s">
        <v>755</v>
      </c>
      <c r="B428" t="s">
        <v>750</v>
      </c>
      <c r="C428" t="s">
        <v>193</v>
      </c>
      <c r="D428" t="s">
        <v>248</v>
      </c>
      <c r="E428" t="s">
        <v>169</v>
      </c>
      <c r="F428" t="s">
        <v>170</v>
      </c>
      <c r="G428" s="3">
        <v>46137</v>
      </c>
      <c r="H428" s="3">
        <v>46147</v>
      </c>
      <c r="I428" s="3">
        <v>46149</v>
      </c>
      <c r="J428" t="s">
        <v>163</v>
      </c>
      <c r="K428" t="s">
        <v>193</v>
      </c>
      <c r="L428" t="s">
        <v>233</v>
      </c>
      <c r="M428" t="s">
        <v>152</v>
      </c>
      <c r="N428" t="s">
        <v>153</v>
      </c>
      <c r="O428">
        <v>1686</v>
      </c>
      <c r="P428">
        <v>10</v>
      </c>
      <c r="Q428" t="s">
        <v>145</v>
      </c>
      <c r="R428" t="s">
        <v>160</v>
      </c>
      <c r="S428" t="s">
        <v>187</v>
      </c>
      <c r="T428" s="4">
        <v>270.63</v>
      </c>
      <c r="U428" s="4">
        <v>0</v>
      </c>
      <c r="V428" s="4">
        <v>1</v>
      </c>
      <c r="W428" s="4">
        <v>216.07</v>
      </c>
      <c r="X428" s="4">
        <v>117.25</v>
      </c>
      <c r="Y428" s="4">
        <v>603.95000000000005</v>
      </c>
      <c r="Z428" s="4" t="s">
        <v>147</v>
      </c>
      <c r="AA428" s="4" t="s">
        <v>147</v>
      </c>
      <c r="AB428" s="4">
        <f>SUMIF('Trip Changes'!$B:$B,A428,'Trip Changes'!$E:$E)</f>
        <v>0</v>
      </c>
      <c r="AC428" s="4">
        <f>SUMIF('Trip Cancellations'!$B:$B,A428,'Trip Cancellations'!$E:$E)</f>
        <v>0</v>
      </c>
      <c r="AD428" s="4">
        <f>SUMIF('Trip Cancellations'!$B:$B,A428,'Trip Cancellations'!$F:$F)</f>
        <v>0</v>
      </c>
      <c r="AE428" s="4">
        <f t="shared" si="6"/>
        <v>603.95000000000005</v>
      </c>
      <c r="AF428" t="s">
        <v>148</v>
      </c>
      <c r="AG428">
        <v>5</v>
      </c>
      <c r="AH428" s="5">
        <v>252.9</v>
      </c>
      <c r="AI428" t="s">
        <v>147</v>
      </c>
    </row>
    <row r="429" spans="1:35">
      <c r="A429" t="s">
        <v>756</v>
      </c>
      <c r="B429" t="s">
        <v>750</v>
      </c>
      <c r="C429" t="s">
        <v>193</v>
      </c>
      <c r="D429" t="s">
        <v>248</v>
      </c>
      <c r="E429" t="s">
        <v>169</v>
      </c>
      <c r="F429" t="s">
        <v>157</v>
      </c>
      <c r="G429" s="3">
        <v>46150</v>
      </c>
      <c r="H429" s="3">
        <v>46165</v>
      </c>
      <c r="I429" s="3">
        <v>46170</v>
      </c>
      <c r="J429" t="s">
        <v>163</v>
      </c>
      <c r="K429" t="s">
        <v>193</v>
      </c>
      <c r="L429" t="s">
        <v>305</v>
      </c>
      <c r="M429" t="s">
        <v>152</v>
      </c>
      <c r="N429" t="s">
        <v>153</v>
      </c>
      <c r="O429">
        <v>12992</v>
      </c>
      <c r="P429">
        <v>15</v>
      </c>
      <c r="Q429" t="s">
        <v>145</v>
      </c>
      <c r="R429" t="s">
        <v>186</v>
      </c>
      <c r="S429" t="s">
        <v>187</v>
      </c>
      <c r="T429" s="4">
        <v>974.79</v>
      </c>
      <c r="U429" s="4">
        <v>0</v>
      </c>
      <c r="V429" s="4">
        <v>4</v>
      </c>
      <c r="W429" s="4">
        <v>719.35</v>
      </c>
      <c r="X429" s="4">
        <v>104.28</v>
      </c>
      <c r="Y429" s="4">
        <v>1798.42</v>
      </c>
      <c r="Z429" s="4" t="s">
        <v>147</v>
      </c>
      <c r="AA429" s="4" t="s">
        <v>148</v>
      </c>
      <c r="AB429" s="4">
        <f>SUMIF('Trip Changes'!$B:$B,A429,'Trip Changes'!$E:$E)</f>
        <v>0</v>
      </c>
      <c r="AC429" s="4">
        <f>SUMIF('Trip Cancellations'!$B:$B,A429,'Trip Cancellations'!$E:$E)</f>
        <v>88.43</v>
      </c>
      <c r="AD429" s="4">
        <f>SUMIF('Trip Cancellations'!$B:$B,A429,'Trip Cancellations'!$F:$F)</f>
        <v>847.07</v>
      </c>
      <c r="AE429" s="4">
        <f t="shared" si="6"/>
        <v>1039.7800000000002</v>
      </c>
      <c r="AF429" t="s">
        <v>148</v>
      </c>
      <c r="AG429">
        <v>3</v>
      </c>
      <c r="AH429" s="5">
        <v>1948.8</v>
      </c>
      <c r="AI429" t="s">
        <v>147</v>
      </c>
    </row>
    <row r="430" spans="1:35">
      <c r="A430" t="s">
        <v>757</v>
      </c>
      <c r="B430" t="s">
        <v>758</v>
      </c>
      <c r="C430" t="s">
        <v>282</v>
      </c>
      <c r="D430" t="s">
        <v>204</v>
      </c>
      <c r="E430" t="s">
        <v>268</v>
      </c>
      <c r="F430" t="s">
        <v>140</v>
      </c>
      <c r="G430" s="3">
        <v>46126</v>
      </c>
      <c r="H430" s="3">
        <v>46152</v>
      </c>
      <c r="I430" s="3">
        <v>46157</v>
      </c>
      <c r="J430" t="s">
        <v>163</v>
      </c>
      <c r="K430" t="s">
        <v>282</v>
      </c>
      <c r="L430" t="s">
        <v>199</v>
      </c>
      <c r="M430" t="s">
        <v>152</v>
      </c>
      <c r="N430" t="s">
        <v>153</v>
      </c>
      <c r="O430">
        <v>2748</v>
      </c>
      <c r="P430">
        <v>26</v>
      </c>
      <c r="Q430" t="s">
        <v>159</v>
      </c>
      <c r="R430" t="s">
        <v>200</v>
      </c>
      <c r="S430" t="s">
        <v>164</v>
      </c>
      <c r="T430" s="4">
        <v>508.02</v>
      </c>
      <c r="U430" s="4">
        <v>0</v>
      </c>
      <c r="V430" s="4">
        <v>4</v>
      </c>
      <c r="W430" s="4">
        <v>616.24</v>
      </c>
      <c r="X430" s="4">
        <v>76.540000000000006</v>
      </c>
      <c r="Y430" s="4">
        <v>1200.8</v>
      </c>
      <c r="Z430" s="4" t="s">
        <v>147</v>
      </c>
      <c r="AA430" s="4" t="s">
        <v>147</v>
      </c>
      <c r="AB430" s="4">
        <f>SUMIF('Trip Changes'!$B:$B,A430,'Trip Changes'!$E:$E)</f>
        <v>0</v>
      </c>
      <c r="AC430" s="4">
        <f>SUMIF('Trip Cancellations'!$B:$B,A430,'Trip Cancellations'!$E:$E)</f>
        <v>0</v>
      </c>
      <c r="AD430" s="4">
        <f>SUMIF('Trip Cancellations'!$B:$B,A430,'Trip Cancellations'!$F:$F)</f>
        <v>0</v>
      </c>
      <c r="AE430" s="4">
        <f t="shared" si="6"/>
        <v>1200.8</v>
      </c>
      <c r="AF430" t="s">
        <v>148</v>
      </c>
      <c r="AG430">
        <v>4</v>
      </c>
      <c r="AH430" s="5">
        <v>412.2</v>
      </c>
      <c r="AI430" t="s">
        <v>148</v>
      </c>
    </row>
    <row r="431" spans="1:35">
      <c r="A431" t="s">
        <v>759</v>
      </c>
      <c r="B431" t="s">
        <v>758</v>
      </c>
      <c r="C431" t="s">
        <v>282</v>
      </c>
      <c r="D431" t="s">
        <v>204</v>
      </c>
      <c r="E431" t="s">
        <v>268</v>
      </c>
      <c r="F431" t="s">
        <v>170</v>
      </c>
      <c r="G431" s="3">
        <v>46153</v>
      </c>
      <c r="H431" s="3">
        <v>46165</v>
      </c>
      <c r="I431" s="3">
        <v>46167</v>
      </c>
      <c r="J431" t="s">
        <v>163</v>
      </c>
      <c r="K431" t="s">
        <v>282</v>
      </c>
      <c r="L431" t="s">
        <v>233</v>
      </c>
      <c r="M431" t="s">
        <v>152</v>
      </c>
      <c r="N431" t="s">
        <v>153</v>
      </c>
      <c r="O431">
        <v>1788</v>
      </c>
      <c r="P431">
        <v>12</v>
      </c>
      <c r="Q431" t="s">
        <v>216</v>
      </c>
      <c r="R431" t="s">
        <v>160</v>
      </c>
      <c r="S431" t="s">
        <v>190</v>
      </c>
      <c r="T431" s="4">
        <v>493.1</v>
      </c>
      <c r="U431" s="4">
        <v>0</v>
      </c>
      <c r="V431" s="4">
        <v>1</v>
      </c>
      <c r="W431" s="4">
        <v>155.19</v>
      </c>
      <c r="X431" s="4">
        <v>81.67</v>
      </c>
      <c r="Y431" s="4">
        <v>729.96</v>
      </c>
      <c r="Z431" s="4" t="s">
        <v>147</v>
      </c>
      <c r="AA431" s="4" t="s">
        <v>148</v>
      </c>
      <c r="AB431" s="4">
        <f>SUMIF('Trip Changes'!$B:$B,A431,'Trip Changes'!$E:$E)</f>
        <v>0</v>
      </c>
      <c r="AC431" s="4">
        <f>SUMIF('Trip Cancellations'!$B:$B,A431,'Trip Cancellations'!$E:$E)</f>
        <v>133.41999999999999</v>
      </c>
      <c r="AD431" s="4">
        <f>SUMIF('Trip Cancellations'!$B:$B,A431,'Trip Cancellations'!$F:$F)</f>
        <v>324.14</v>
      </c>
      <c r="AE431" s="4">
        <f t="shared" si="6"/>
        <v>539.24</v>
      </c>
      <c r="AF431" t="s">
        <v>148</v>
      </c>
      <c r="AG431">
        <v>3</v>
      </c>
      <c r="AH431" s="5">
        <v>268.2</v>
      </c>
      <c r="AI431" t="s">
        <v>147</v>
      </c>
    </row>
    <row r="432" spans="1:35">
      <c r="A432" t="s">
        <v>760</v>
      </c>
      <c r="B432" t="s">
        <v>761</v>
      </c>
      <c r="C432" t="s">
        <v>257</v>
      </c>
      <c r="D432" t="s">
        <v>248</v>
      </c>
      <c r="E432" t="s">
        <v>169</v>
      </c>
      <c r="F432" t="s">
        <v>178</v>
      </c>
      <c r="G432" s="3">
        <v>46215</v>
      </c>
      <c r="H432" s="3">
        <v>46216</v>
      </c>
      <c r="I432" s="3">
        <v>46222</v>
      </c>
      <c r="J432" t="s">
        <v>150</v>
      </c>
      <c r="K432" t="s">
        <v>257</v>
      </c>
      <c r="L432" t="s">
        <v>199</v>
      </c>
      <c r="M432" t="s">
        <v>152</v>
      </c>
      <c r="N432" t="s">
        <v>153</v>
      </c>
      <c r="O432">
        <v>3540</v>
      </c>
      <c r="P432">
        <v>1</v>
      </c>
      <c r="Q432" t="s">
        <v>145</v>
      </c>
      <c r="R432" t="s">
        <v>291</v>
      </c>
      <c r="S432" t="s">
        <v>155</v>
      </c>
      <c r="T432" s="4">
        <v>526.21</v>
      </c>
      <c r="U432" s="4">
        <v>0</v>
      </c>
      <c r="V432" s="4">
        <v>5</v>
      </c>
      <c r="W432" s="4">
        <v>684.26</v>
      </c>
      <c r="X432" s="4">
        <v>90.34</v>
      </c>
      <c r="Y432" s="4">
        <v>1300.81</v>
      </c>
      <c r="Z432" s="4" t="s">
        <v>147</v>
      </c>
      <c r="AA432" s="4" t="s">
        <v>147</v>
      </c>
      <c r="AB432" s="4">
        <f>SUMIF('Trip Changes'!$B:$B,A432,'Trip Changes'!$E:$E)</f>
        <v>0</v>
      </c>
      <c r="AC432" s="4">
        <f>SUMIF('Trip Cancellations'!$B:$B,A432,'Trip Cancellations'!$E:$E)</f>
        <v>0</v>
      </c>
      <c r="AD432" s="4">
        <f>SUMIF('Trip Cancellations'!$B:$B,A432,'Trip Cancellations'!$F:$F)</f>
        <v>0</v>
      </c>
      <c r="AE432" s="4">
        <f t="shared" si="6"/>
        <v>1300.81</v>
      </c>
      <c r="AF432" t="s">
        <v>148</v>
      </c>
      <c r="AG432">
        <v>3</v>
      </c>
      <c r="AH432" s="5">
        <v>531</v>
      </c>
      <c r="AI432" t="s">
        <v>147</v>
      </c>
    </row>
    <row r="433" spans="1:35">
      <c r="A433" t="s">
        <v>762</v>
      </c>
      <c r="B433" t="s">
        <v>761</v>
      </c>
      <c r="C433" t="s">
        <v>257</v>
      </c>
      <c r="D433" t="s">
        <v>248</v>
      </c>
      <c r="E433" t="s">
        <v>169</v>
      </c>
      <c r="F433" t="s">
        <v>157</v>
      </c>
      <c r="G433" s="3">
        <v>46160</v>
      </c>
      <c r="H433" s="3">
        <v>46166</v>
      </c>
      <c r="I433" s="3">
        <v>46170</v>
      </c>
      <c r="J433" t="s">
        <v>163</v>
      </c>
      <c r="K433" t="s">
        <v>257</v>
      </c>
      <c r="L433" t="s">
        <v>209</v>
      </c>
      <c r="M433" t="s">
        <v>152</v>
      </c>
      <c r="N433" t="s">
        <v>153</v>
      </c>
      <c r="O433">
        <v>3396</v>
      </c>
      <c r="P433">
        <v>6</v>
      </c>
      <c r="Q433" t="s">
        <v>145</v>
      </c>
      <c r="R433" t="s">
        <v>172</v>
      </c>
      <c r="S433" t="s">
        <v>173</v>
      </c>
      <c r="T433" s="4">
        <v>377.99</v>
      </c>
      <c r="U433" s="4">
        <v>0</v>
      </c>
      <c r="V433" s="4">
        <v>3</v>
      </c>
      <c r="W433" s="4">
        <v>356.27</v>
      </c>
      <c r="X433" s="4">
        <v>122.86</v>
      </c>
      <c r="Y433" s="4">
        <v>857.12</v>
      </c>
      <c r="Z433" s="4" t="s">
        <v>147</v>
      </c>
      <c r="AA433" s="4" t="s">
        <v>147</v>
      </c>
      <c r="AB433" s="4">
        <f>SUMIF('Trip Changes'!$B:$B,A433,'Trip Changes'!$E:$E)</f>
        <v>0</v>
      </c>
      <c r="AC433" s="4">
        <f>SUMIF('Trip Cancellations'!$B:$B,A433,'Trip Cancellations'!$E:$E)</f>
        <v>0</v>
      </c>
      <c r="AD433" s="4">
        <f>SUMIF('Trip Cancellations'!$B:$B,A433,'Trip Cancellations'!$F:$F)</f>
        <v>0</v>
      </c>
      <c r="AE433" s="4">
        <f t="shared" si="6"/>
        <v>857.12</v>
      </c>
      <c r="AF433" t="s">
        <v>148</v>
      </c>
      <c r="AG433">
        <v>5</v>
      </c>
      <c r="AH433" s="5">
        <v>509.4</v>
      </c>
      <c r="AI433" t="s">
        <v>148</v>
      </c>
    </row>
    <row r="434" spans="1:35">
      <c r="A434" t="s">
        <v>763</v>
      </c>
      <c r="B434" t="s">
        <v>761</v>
      </c>
      <c r="C434" t="s">
        <v>257</v>
      </c>
      <c r="D434" t="s">
        <v>248</v>
      </c>
      <c r="E434" t="s">
        <v>169</v>
      </c>
      <c r="F434" t="s">
        <v>157</v>
      </c>
      <c r="G434" s="3">
        <v>46151</v>
      </c>
      <c r="H434" s="3">
        <v>46169</v>
      </c>
      <c r="I434" s="3">
        <v>46172</v>
      </c>
      <c r="J434" t="s">
        <v>163</v>
      </c>
      <c r="K434" t="s">
        <v>257</v>
      </c>
      <c r="L434" t="s">
        <v>362</v>
      </c>
      <c r="M434" t="s">
        <v>152</v>
      </c>
      <c r="N434" t="s">
        <v>153</v>
      </c>
      <c r="O434">
        <v>1844</v>
      </c>
      <c r="P434">
        <v>18</v>
      </c>
      <c r="Q434" t="s">
        <v>216</v>
      </c>
      <c r="R434" t="s">
        <v>160</v>
      </c>
      <c r="S434" t="s">
        <v>190</v>
      </c>
      <c r="T434" s="4">
        <v>331.34</v>
      </c>
      <c r="U434" s="4">
        <v>0</v>
      </c>
      <c r="V434" s="4">
        <v>2</v>
      </c>
      <c r="W434" s="4">
        <v>439.04</v>
      </c>
      <c r="X434" s="4">
        <v>40.86</v>
      </c>
      <c r="Y434" s="4">
        <v>811.24</v>
      </c>
      <c r="Z434" s="4" t="s">
        <v>147</v>
      </c>
      <c r="AA434" s="4" t="s">
        <v>147</v>
      </c>
      <c r="AB434" s="4">
        <f>SUMIF('Trip Changes'!$B:$B,A434,'Trip Changes'!$E:$E)</f>
        <v>0</v>
      </c>
      <c r="AC434" s="4">
        <f>SUMIF('Trip Cancellations'!$B:$B,A434,'Trip Cancellations'!$E:$E)</f>
        <v>0</v>
      </c>
      <c r="AD434" s="4">
        <f>SUMIF('Trip Cancellations'!$B:$B,A434,'Trip Cancellations'!$F:$F)</f>
        <v>0</v>
      </c>
      <c r="AE434" s="4">
        <f t="shared" si="6"/>
        <v>811.24</v>
      </c>
      <c r="AF434" t="s">
        <v>147</v>
      </c>
      <c r="AG434">
        <v>4</v>
      </c>
      <c r="AH434" s="5">
        <v>276.60000000000002</v>
      </c>
      <c r="AI434" t="s">
        <v>147</v>
      </c>
    </row>
    <row r="435" spans="1:35">
      <c r="A435" t="s">
        <v>764</v>
      </c>
      <c r="B435" t="s">
        <v>761</v>
      </c>
      <c r="C435" t="s">
        <v>257</v>
      </c>
      <c r="D435" t="s">
        <v>248</v>
      </c>
      <c r="E435" t="s">
        <v>169</v>
      </c>
      <c r="F435" t="s">
        <v>189</v>
      </c>
      <c r="G435" s="3">
        <v>46200</v>
      </c>
      <c r="H435" s="3">
        <v>46229</v>
      </c>
      <c r="I435" s="3">
        <v>46232</v>
      </c>
      <c r="J435" t="s">
        <v>150</v>
      </c>
      <c r="K435" t="s">
        <v>257</v>
      </c>
      <c r="L435" t="s">
        <v>233</v>
      </c>
      <c r="M435" t="s">
        <v>152</v>
      </c>
      <c r="N435" t="s">
        <v>153</v>
      </c>
      <c r="O435">
        <v>1458</v>
      </c>
      <c r="P435">
        <v>29</v>
      </c>
      <c r="Q435" t="s">
        <v>159</v>
      </c>
      <c r="R435" t="s">
        <v>154</v>
      </c>
      <c r="S435" t="s">
        <v>155</v>
      </c>
      <c r="T435" s="4">
        <v>514.22</v>
      </c>
      <c r="U435" s="4">
        <v>0</v>
      </c>
      <c r="V435" s="4">
        <v>2</v>
      </c>
      <c r="W435" s="4">
        <v>367.37</v>
      </c>
      <c r="X435" s="4">
        <v>110.05</v>
      </c>
      <c r="Y435" s="4">
        <v>991.64</v>
      </c>
      <c r="Z435" s="4" t="s">
        <v>147</v>
      </c>
      <c r="AA435" s="4" t="s">
        <v>147</v>
      </c>
      <c r="AB435" s="4">
        <f>SUMIF('Trip Changes'!$B:$B,A435,'Trip Changes'!$E:$E)</f>
        <v>0</v>
      </c>
      <c r="AC435" s="4">
        <f>SUMIF('Trip Cancellations'!$B:$B,A435,'Trip Cancellations'!$E:$E)</f>
        <v>0</v>
      </c>
      <c r="AD435" s="4">
        <f>SUMIF('Trip Cancellations'!$B:$B,A435,'Trip Cancellations'!$F:$F)</f>
        <v>0</v>
      </c>
      <c r="AE435" s="4">
        <f t="shared" si="6"/>
        <v>991.64</v>
      </c>
      <c r="AF435" t="s">
        <v>148</v>
      </c>
      <c r="AG435">
        <v>5</v>
      </c>
      <c r="AH435" s="5">
        <v>218.7</v>
      </c>
      <c r="AI435" t="s">
        <v>148</v>
      </c>
    </row>
    <row r="436" spans="1:35">
      <c r="A436" t="s">
        <v>765</v>
      </c>
      <c r="B436" t="s">
        <v>766</v>
      </c>
      <c r="C436" t="s">
        <v>257</v>
      </c>
      <c r="D436" t="s">
        <v>230</v>
      </c>
      <c r="E436" t="s">
        <v>262</v>
      </c>
      <c r="F436" t="s">
        <v>162</v>
      </c>
      <c r="G436" s="3">
        <v>46172</v>
      </c>
      <c r="H436" s="3">
        <v>46181</v>
      </c>
      <c r="I436" s="3">
        <v>46185</v>
      </c>
      <c r="J436" t="s">
        <v>141</v>
      </c>
      <c r="K436" t="s">
        <v>257</v>
      </c>
      <c r="L436" t="s">
        <v>227</v>
      </c>
      <c r="M436" t="s">
        <v>152</v>
      </c>
      <c r="N436" t="s">
        <v>153</v>
      </c>
      <c r="O436">
        <v>3262</v>
      </c>
      <c r="P436">
        <v>9</v>
      </c>
      <c r="Q436" t="s">
        <v>145</v>
      </c>
      <c r="R436" t="s">
        <v>154</v>
      </c>
      <c r="S436" t="s">
        <v>173</v>
      </c>
      <c r="T436" s="4">
        <v>353.85</v>
      </c>
      <c r="U436" s="4">
        <v>0</v>
      </c>
      <c r="V436" s="4">
        <v>3</v>
      </c>
      <c r="W436" s="4">
        <v>498.76</v>
      </c>
      <c r="X436" s="4">
        <v>74.13</v>
      </c>
      <c r="Y436" s="4">
        <v>926.74</v>
      </c>
      <c r="Z436" s="4" t="s">
        <v>148</v>
      </c>
      <c r="AA436" s="4" t="s">
        <v>147</v>
      </c>
      <c r="AB436" s="4">
        <f>SUMIF('Trip Changes'!$B:$B,A436,'Trip Changes'!$E:$E)</f>
        <v>74.599999999999994</v>
      </c>
      <c r="AC436" s="4">
        <f>SUMIF('Trip Cancellations'!$B:$B,A436,'Trip Cancellations'!$E:$E)</f>
        <v>0</v>
      </c>
      <c r="AD436" s="4">
        <f>SUMIF('Trip Cancellations'!$B:$B,A436,'Trip Cancellations'!$F:$F)</f>
        <v>0</v>
      </c>
      <c r="AE436" s="4">
        <f t="shared" si="6"/>
        <v>1001.34</v>
      </c>
      <c r="AF436" t="s">
        <v>148</v>
      </c>
      <c r="AG436">
        <v>4</v>
      </c>
      <c r="AH436" s="5">
        <v>489.3</v>
      </c>
      <c r="AI436" t="s">
        <v>147</v>
      </c>
    </row>
    <row r="437" spans="1:35">
      <c r="A437" t="s">
        <v>767</v>
      </c>
      <c r="B437" t="s">
        <v>766</v>
      </c>
      <c r="C437" t="s">
        <v>257</v>
      </c>
      <c r="D437" t="s">
        <v>230</v>
      </c>
      <c r="E437" t="s">
        <v>262</v>
      </c>
      <c r="F437" t="s">
        <v>189</v>
      </c>
      <c r="G437" s="3">
        <v>46152</v>
      </c>
      <c r="H437" s="3">
        <v>46154</v>
      </c>
      <c r="I437" s="3">
        <v>46156</v>
      </c>
      <c r="J437" t="s">
        <v>163</v>
      </c>
      <c r="K437" t="s">
        <v>257</v>
      </c>
      <c r="L437" t="s">
        <v>283</v>
      </c>
      <c r="M437" t="s">
        <v>152</v>
      </c>
      <c r="N437" t="s">
        <v>153</v>
      </c>
      <c r="O437">
        <v>12200</v>
      </c>
      <c r="P437">
        <v>2</v>
      </c>
      <c r="Q437" t="s">
        <v>145</v>
      </c>
      <c r="R437" t="s">
        <v>154</v>
      </c>
      <c r="S437" t="s">
        <v>164</v>
      </c>
      <c r="T437" s="4">
        <v>995.21</v>
      </c>
      <c r="U437" s="4">
        <v>0</v>
      </c>
      <c r="V437" s="4">
        <v>1</v>
      </c>
      <c r="W437" s="4">
        <v>193.39</v>
      </c>
      <c r="X437" s="4">
        <v>96.77</v>
      </c>
      <c r="Y437" s="4">
        <v>1285.3699999999999</v>
      </c>
      <c r="Z437" s="4" t="s">
        <v>148</v>
      </c>
      <c r="AA437" s="4" t="s">
        <v>147</v>
      </c>
      <c r="AB437" s="4">
        <f>SUMIF('Trip Changes'!$B:$B,A437,'Trip Changes'!$E:$E)</f>
        <v>120.94</v>
      </c>
      <c r="AC437" s="4">
        <f>SUMIF('Trip Cancellations'!$B:$B,A437,'Trip Cancellations'!$E:$E)</f>
        <v>0</v>
      </c>
      <c r="AD437" s="4">
        <f>SUMIF('Trip Cancellations'!$B:$B,A437,'Trip Cancellations'!$F:$F)</f>
        <v>0</v>
      </c>
      <c r="AE437" s="4">
        <f t="shared" si="6"/>
        <v>1406.31</v>
      </c>
      <c r="AF437" t="s">
        <v>148</v>
      </c>
      <c r="AG437">
        <v>5</v>
      </c>
      <c r="AH437" s="5">
        <v>1830</v>
      </c>
      <c r="AI437" t="s">
        <v>148</v>
      </c>
    </row>
    <row r="438" spans="1:35">
      <c r="A438" t="s">
        <v>768</v>
      </c>
      <c r="B438" t="s">
        <v>766</v>
      </c>
      <c r="C438" t="s">
        <v>257</v>
      </c>
      <c r="D438" t="s">
        <v>230</v>
      </c>
      <c r="E438" t="s">
        <v>262</v>
      </c>
      <c r="F438" t="s">
        <v>157</v>
      </c>
      <c r="G438" s="3">
        <v>46212</v>
      </c>
      <c r="H438" s="3">
        <v>46218</v>
      </c>
      <c r="I438" s="3">
        <v>46222</v>
      </c>
      <c r="J438" t="s">
        <v>150</v>
      </c>
      <c r="K438" t="s">
        <v>257</v>
      </c>
      <c r="L438" t="s">
        <v>185</v>
      </c>
      <c r="M438" t="s">
        <v>152</v>
      </c>
      <c r="N438" t="s">
        <v>153</v>
      </c>
      <c r="O438">
        <v>11356</v>
      </c>
      <c r="P438">
        <v>6</v>
      </c>
      <c r="Q438" t="s">
        <v>207</v>
      </c>
      <c r="R438" t="s">
        <v>186</v>
      </c>
      <c r="S438" t="s">
        <v>164</v>
      </c>
      <c r="T438" s="4">
        <v>1486.17</v>
      </c>
      <c r="U438" s="4">
        <v>0</v>
      </c>
      <c r="V438" s="4">
        <v>3</v>
      </c>
      <c r="W438" s="4">
        <v>682.77</v>
      </c>
      <c r="X438" s="4">
        <v>116.45</v>
      </c>
      <c r="Y438" s="4">
        <v>2285.39</v>
      </c>
      <c r="Z438" s="4" t="s">
        <v>147</v>
      </c>
      <c r="AA438" s="4" t="s">
        <v>147</v>
      </c>
      <c r="AB438" s="4">
        <f>SUMIF('Trip Changes'!$B:$B,A438,'Trip Changes'!$E:$E)</f>
        <v>0</v>
      </c>
      <c r="AC438" s="4">
        <f>SUMIF('Trip Cancellations'!$B:$B,A438,'Trip Cancellations'!$E:$E)</f>
        <v>0</v>
      </c>
      <c r="AD438" s="4">
        <f>SUMIF('Trip Cancellations'!$B:$B,A438,'Trip Cancellations'!$F:$F)</f>
        <v>0</v>
      </c>
      <c r="AE438" s="4">
        <f t="shared" si="6"/>
        <v>2285.39</v>
      </c>
      <c r="AF438" t="s">
        <v>148</v>
      </c>
      <c r="AG438">
        <v>4</v>
      </c>
      <c r="AH438" s="5">
        <v>1703.4</v>
      </c>
      <c r="AI438" t="s">
        <v>147</v>
      </c>
    </row>
    <row r="439" spans="1:35">
      <c r="A439" t="s">
        <v>769</v>
      </c>
      <c r="B439" t="s">
        <v>766</v>
      </c>
      <c r="C439" t="s">
        <v>257</v>
      </c>
      <c r="D439" t="s">
        <v>230</v>
      </c>
      <c r="E439" t="s">
        <v>262</v>
      </c>
      <c r="F439" t="s">
        <v>162</v>
      </c>
      <c r="G439" s="3">
        <v>46185</v>
      </c>
      <c r="H439" s="3">
        <v>46190</v>
      </c>
      <c r="I439" s="3">
        <v>46194</v>
      </c>
      <c r="J439" t="s">
        <v>141</v>
      </c>
      <c r="K439" t="s">
        <v>257</v>
      </c>
      <c r="L439" t="s">
        <v>307</v>
      </c>
      <c r="M439" t="s">
        <v>143</v>
      </c>
      <c r="N439" t="s">
        <v>144</v>
      </c>
      <c r="O439">
        <v>1164</v>
      </c>
      <c r="P439">
        <v>5</v>
      </c>
      <c r="Q439" t="s">
        <v>159</v>
      </c>
      <c r="S439" t="s">
        <v>146</v>
      </c>
      <c r="T439" s="4">
        <v>0</v>
      </c>
      <c r="U439" s="4">
        <v>217.92</v>
      </c>
      <c r="V439" s="4">
        <v>3</v>
      </c>
      <c r="W439" s="4">
        <v>323.12</v>
      </c>
      <c r="X439" s="4">
        <v>26.68</v>
      </c>
      <c r="Y439" s="4">
        <v>567.72</v>
      </c>
      <c r="Z439" s="4" t="s">
        <v>147</v>
      </c>
      <c r="AA439" s="4" t="s">
        <v>147</v>
      </c>
      <c r="AB439" s="4">
        <f>SUMIF('Trip Changes'!$B:$B,A439,'Trip Changes'!$E:$E)</f>
        <v>0</v>
      </c>
      <c r="AC439" s="4">
        <f>SUMIF('Trip Cancellations'!$B:$B,A439,'Trip Cancellations'!$E:$E)</f>
        <v>0</v>
      </c>
      <c r="AD439" s="4">
        <f>SUMIF('Trip Cancellations'!$B:$B,A439,'Trip Cancellations'!$F:$F)</f>
        <v>0</v>
      </c>
      <c r="AE439" s="4">
        <f t="shared" si="6"/>
        <v>567.72</v>
      </c>
      <c r="AF439" t="s">
        <v>148</v>
      </c>
      <c r="AG439">
        <v>4</v>
      </c>
      <c r="AH439" s="5">
        <v>46.6</v>
      </c>
      <c r="AI439" t="s">
        <v>147</v>
      </c>
    </row>
    <row r="440" spans="1:35">
      <c r="A440" t="s">
        <v>770</v>
      </c>
      <c r="B440" t="s">
        <v>766</v>
      </c>
      <c r="C440" t="s">
        <v>257</v>
      </c>
      <c r="D440" t="s">
        <v>230</v>
      </c>
      <c r="E440" t="s">
        <v>262</v>
      </c>
      <c r="F440" t="s">
        <v>140</v>
      </c>
      <c r="G440" s="3">
        <v>46198</v>
      </c>
      <c r="H440" s="3">
        <v>46217</v>
      </c>
      <c r="I440" s="3">
        <v>46223</v>
      </c>
      <c r="J440" t="s">
        <v>150</v>
      </c>
      <c r="K440" t="s">
        <v>257</v>
      </c>
      <c r="L440" t="s">
        <v>283</v>
      </c>
      <c r="M440" t="s">
        <v>152</v>
      </c>
      <c r="N440" t="s">
        <v>153</v>
      </c>
      <c r="O440">
        <v>12474</v>
      </c>
      <c r="P440">
        <v>19</v>
      </c>
      <c r="Q440" t="s">
        <v>159</v>
      </c>
      <c r="R440" t="s">
        <v>154</v>
      </c>
      <c r="S440" t="s">
        <v>164</v>
      </c>
      <c r="T440" s="4">
        <v>1180.72</v>
      </c>
      <c r="U440" s="4">
        <v>0</v>
      </c>
      <c r="V440" s="4">
        <v>5</v>
      </c>
      <c r="W440" s="4">
        <v>941.53</v>
      </c>
      <c r="X440" s="4">
        <v>72.010000000000005</v>
      </c>
      <c r="Y440" s="4">
        <v>2194.2600000000002</v>
      </c>
      <c r="Z440" s="4" t="s">
        <v>147</v>
      </c>
      <c r="AA440" s="4" t="s">
        <v>148</v>
      </c>
      <c r="AB440" s="4">
        <f>SUMIF('Trip Changes'!$B:$B,A440,'Trip Changes'!$E:$E)</f>
        <v>0</v>
      </c>
      <c r="AC440" s="4">
        <f>SUMIF('Trip Cancellations'!$B:$B,A440,'Trip Cancellations'!$E:$E)</f>
        <v>40.58</v>
      </c>
      <c r="AD440" s="4">
        <f>SUMIF('Trip Cancellations'!$B:$B,A440,'Trip Cancellations'!$F:$F)</f>
        <v>1910.03</v>
      </c>
      <c r="AE440" s="4">
        <f t="shared" si="6"/>
        <v>324.81000000000017</v>
      </c>
      <c r="AF440" t="s">
        <v>148</v>
      </c>
      <c r="AG440">
        <v>4</v>
      </c>
      <c r="AH440" s="5">
        <v>1871.1</v>
      </c>
      <c r="AI440" t="s">
        <v>148</v>
      </c>
    </row>
    <row r="441" spans="1:35">
      <c r="A441" t="s">
        <v>771</v>
      </c>
      <c r="B441" t="s">
        <v>766</v>
      </c>
      <c r="C441" t="s">
        <v>257</v>
      </c>
      <c r="D441" t="s">
        <v>230</v>
      </c>
      <c r="E441" t="s">
        <v>262</v>
      </c>
      <c r="F441" t="s">
        <v>162</v>
      </c>
      <c r="G441" s="3">
        <v>46191</v>
      </c>
      <c r="H441" s="3">
        <v>46211</v>
      </c>
      <c r="I441" s="3">
        <v>46216</v>
      </c>
      <c r="J441" t="s">
        <v>150</v>
      </c>
      <c r="K441" t="s">
        <v>257</v>
      </c>
      <c r="L441" t="s">
        <v>151</v>
      </c>
      <c r="M441" t="s">
        <v>152</v>
      </c>
      <c r="N441" t="s">
        <v>153</v>
      </c>
      <c r="O441">
        <v>1236</v>
      </c>
      <c r="P441">
        <v>20</v>
      </c>
      <c r="Q441" t="s">
        <v>145</v>
      </c>
      <c r="R441" t="s">
        <v>154</v>
      </c>
      <c r="S441" t="s">
        <v>173</v>
      </c>
      <c r="T441" s="4">
        <v>302.8</v>
      </c>
      <c r="U441" s="4">
        <v>0</v>
      </c>
      <c r="V441" s="4">
        <v>4</v>
      </c>
      <c r="W441" s="4">
        <v>605.88</v>
      </c>
      <c r="X441" s="4">
        <v>79.64</v>
      </c>
      <c r="Y441" s="4">
        <v>988.32</v>
      </c>
      <c r="Z441" s="4" t="s">
        <v>147</v>
      </c>
      <c r="AA441" s="4" t="s">
        <v>147</v>
      </c>
      <c r="AB441" s="4">
        <f>SUMIF('Trip Changes'!$B:$B,A441,'Trip Changes'!$E:$E)</f>
        <v>0</v>
      </c>
      <c r="AC441" s="4">
        <f>SUMIF('Trip Cancellations'!$B:$B,A441,'Trip Cancellations'!$E:$E)</f>
        <v>0</v>
      </c>
      <c r="AD441" s="4">
        <f>SUMIF('Trip Cancellations'!$B:$B,A441,'Trip Cancellations'!$F:$F)</f>
        <v>0</v>
      </c>
      <c r="AE441" s="4">
        <f t="shared" si="6"/>
        <v>988.32</v>
      </c>
      <c r="AF441" t="s">
        <v>147</v>
      </c>
      <c r="AG441">
        <v>4</v>
      </c>
      <c r="AH441" s="5">
        <v>185.4</v>
      </c>
      <c r="AI441" t="s">
        <v>147</v>
      </c>
    </row>
    <row r="442" spans="1:35">
      <c r="A442" t="s">
        <v>772</v>
      </c>
      <c r="B442" t="s">
        <v>773</v>
      </c>
      <c r="C442" t="s">
        <v>182</v>
      </c>
      <c r="D442" t="s">
        <v>248</v>
      </c>
      <c r="E442" t="s">
        <v>139</v>
      </c>
      <c r="F442" t="s">
        <v>162</v>
      </c>
      <c r="G442" s="3">
        <v>46213</v>
      </c>
      <c r="H442" s="3">
        <v>46215</v>
      </c>
      <c r="I442" s="3">
        <v>46218</v>
      </c>
      <c r="J442" t="s">
        <v>150</v>
      </c>
      <c r="K442" t="s">
        <v>182</v>
      </c>
      <c r="L442" t="s">
        <v>171</v>
      </c>
      <c r="M442" t="s">
        <v>152</v>
      </c>
      <c r="N442" t="s">
        <v>153</v>
      </c>
      <c r="O442">
        <v>2786</v>
      </c>
      <c r="P442">
        <v>2</v>
      </c>
      <c r="Q442" t="s">
        <v>159</v>
      </c>
      <c r="R442" t="s">
        <v>172</v>
      </c>
      <c r="S442" t="s">
        <v>155</v>
      </c>
      <c r="T442" s="4">
        <v>371.15</v>
      </c>
      <c r="U442" s="4">
        <v>0</v>
      </c>
      <c r="V442" s="4">
        <v>2</v>
      </c>
      <c r="W442" s="4">
        <v>435.42</v>
      </c>
      <c r="X442" s="4">
        <v>71.42</v>
      </c>
      <c r="Y442" s="4">
        <v>877.99</v>
      </c>
      <c r="Z442" s="4" t="s">
        <v>147</v>
      </c>
      <c r="AA442" s="4" t="s">
        <v>147</v>
      </c>
      <c r="AB442" s="4">
        <f>SUMIF('Trip Changes'!$B:$B,A442,'Trip Changes'!$E:$E)</f>
        <v>0</v>
      </c>
      <c r="AC442" s="4">
        <f>SUMIF('Trip Cancellations'!$B:$B,A442,'Trip Cancellations'!$E:$E)</f>
        <v>0</v>
      </c>
      <c r="AD442" s="4">
        <f>SUMIF('Trip Cancellations'!$B:$B,A442,'Trip Cancellations'!$F:$F)</f>
        <v>0</v>
      </c>
      <c r="AE442" s="4">
        <f t="shared" si="6"/>
        <v>877.99</v>
      </c>
      <c r="AF442" t="s">
        <v>148</v>
      </c>
      <c r="AG442">
        <v>5</v>
      </c>
      <c r="AH442" s="5">
        <v>417.9</v>
      </c>
      <c r="AI442" t="s">
        <v>148</v>
      </c>
    </row>
    <row r="443" spans="1:35">
      <c r="A443" t="s">
        <v>774</v>
      </c>
      <c r="B443" t="s">
        <v>773</v>
      </c>
      <c r="C443" t="s">
        <v>182</v>
      </c>
      <c r="D443" t="s">
        <v>248</v>
      </c>
      <c r="E443" t="s">
        <v>139</v>
      </c>
      <c r="F443" t="s">
        <v>178</v>
      </c>
      <c r="G443" s="3">
        <v>46190</v>
      </c>
      <c r="H443" s="3">
        <v>46198</v>
      </c>
      <c r="I443" s="3">
        <v>46205</v>
      </c>
      <c r="J443" t="s">
        <v>141</v>
      </c>
      <c r="K443" t="s">
        <v>182</v>
      </c>
      <c r="L443" t="s">
        <v>179</v>
      </c>
      <c r="M443" t="s">
        <v>152</v>
      </c>
      <c r="N443" t="s">
        <v>153</v>
      </c>
      <c r="O443">
        <v>11300</v>
      </c>
      <c r="P443">
        <v>8</v>
      </c>
      <c r="Q443" t="s">
        <v>145</v>
      </c>
      <c r="R443" t="s">
        <v>441</v>
      </c>
      <c r="S443" t="s">
        <v>164</v>
      </c>
      <c r="T443" s="4">
        <v>1735.6</v>
      </c>
      <c r="U443" s="4">
        <v>0</v>
      </c>
      <c r="V443" s="4">
        <v>6</v>
      </c>
      <c r="W443" s="4">
        <v>1063.04</v>
      </c>
      <c r="X443" s="4">
        <v>48.58</v>
      </c>
      <c r="Y443" s="4">
        <v>2847.22</v>
      </c>
      <c r="Z443" s="4" t="s">
        <v>147</v>
      </c>
      <c r="AA443" s="4" t="s">
        <v>147</v>
      </c>
      <c r="AB443" s="4">
        <f>SUMIF('Trip Changes'!$B:$B,A443,'Trip Changes'!$E:$E)</f>
        <v>0</v>
      </c>
      <c r="AC443" s="4">
        <f>SUMIF('Trip Cancellations'!$B:$B,A443,'Trip Cancellations'!$E:$E)</f>
        <v>0</v>
      </c>
      <c r="AD443" s="4">
        <f>SUMIF('Trip Cancellations'!$B:$B,A443,'Trip Cancellations'!$F:$F)</f>
        <v>0</v>
      </c>
      <c r="AE443" s="4">
        <f t="shared" si="6"/>
        <v>2847.22</v>
      </c>
      <c r="AF443" t="s">
        <v>147</v>
      </c>
      <c r="AG443">
        <v>4</v>
      </c>
      <c r="AH443" s="5">
        <v>1695</v>
      </c>
      <c r="AI443" t="s">
        <v>147</v>
      </c>
    </row>
    <row r="444" spans="1:35">
      <c r="A444" t="s">
        <v>775</v>
      </c>
      <c r="B444" t="s">
        <v>776</v>
      </c>
      <c r="C444" t="s">
        <v>307</v>
      </c>
      <c r="D444" t="s">
        <v>248</v>
      </c>
      <c r="E444" t="s">
        <v>169</v>
      </c>
      <c r="F444" t="s">
        <v>178</v>
      </c>
      <c r="G444" s="3">
        <v>46145</v>
      </c>
      <c r="H444" s="3">
        <v>46146</v>
      </c>
      <c r="I444" s="3">
        <v>46149</v>
      </c>
      <c r="J444" t="s">
        <v>163</v>
      </c>
      <c r="K444" t="s">
        <v>307</v>
      </c>
      <c r="L444" t="s">
        <v>199</v>
      </c>
      <c r="M444" t="s">
        <v>152</v>
      </c>
      <c r="N444" t="s">
        <v>153</v>
      </c>
      <c r="O444">
        <v>1228</v>
      </c>
      <c r="P444">
        <v>1</v>
      </c>
      <c r="Q444" t="s">
        <v>145</v>
      </c>
      <c r="R444" t="s">
        <v>200</v>
      </c>
      <c r="S444" t="s">
        <v>164</v>
      </c>
      <c r="T444" s="4">
        <v>651.97</v>
      </c>
      <c r="U444" s="4">
        <v>0</v>
      </c>
      <c r="V444" s="4">
        <v>2</v>
      </c>
      <c r="W444" s="4">
        <v>267.29000000000002</v>
      </c>
      <c r="X444" s="4">
        <v>118.01</v>
      </c>
      <c r="Y444" s="4">
        <v>1037.27</v>
      </c>
      <c r="Z444" s="4" t="s">
        <v>147</v>
      </c>
      <c r="AA444" s="4" t="s">
        <v>147</v>
      </c>
      <c r="AB444" s="4">
        <f>SUMIF('Trip Changes'!$B:$B,A444,'Trip Changes'!$E:$E)</f>
        <v>0</v>
      </c>
      <c r="AC444" s="4">
        <f>SUMIF('Trip Cancellations'!$B:$B,A444,'Trip Cancellations'!$E:$E)</f>
        <v>0</v>
      </c>
      <c r="AD444" s="4">
        <f>SUMIF('Trip Cancellations'!$B:$B,A444,'Trip Cancellations'!$F:$F)</f>
        <v>0</v>
      </c>
      <c r="AE444" s="4">
        <f t="shared" si="6"/>
        <v>1037.27</v>
      </c>
      <c r="AF444" t="s">
        <v>148</v>
      </c>
      <c r="AG444">
        <v>5</v>
      </c>
      <c r="AH444" s="5">
        <v>184.2</v>
      </c>
      <c r="AI444" t="s">
        <v>147</v>
      </c>
    </row>
    <row r="445" spans="1:35">
      <c r="A445" t="s">
        <v>777</v>
      </c>
      <c r="B445" t="s">
        <v>776</v>
      </c>
      <c r="C445" t="s">
        <v>307</v>
      </c>
      <c r="D445" t="s">
        <v>248</v>
      </c>
      <c r="E445" t="s">
        <v>169</v>
      </c>
      <c r="F445" t="s">
        <v>189</v>
      </c>
      <c r="G445" s="3">
        <v>46208</v>
      </c>
      <c r="H445" s="3">
        <v>46230</v>
      </c>
      <c r="I445" s="3">
        <v>46233</v>
      </c>
      <c r="J445" t="s">
        <v>150</v>
      </c>
      <c r="K445" t="s">
        <v>307</v>
      </c>
      <c r="L445" t="s">
        <v>199</v>
      </c>
      <c r="M445" t="s">
        <v>152</v>
      </c>
      <c r="N445" t="s">
        <v>153</v>
      </c>
      <c r="O445">
        <v>3490</v>
      </c>
      <c r="P445">
        <v>22</v>
      </c>
      <c r="Q445" t="s">
        <v>145</v>
      </c>
      <c r="R445" t="s">
        <v>200</v>
      </c>
      <c r="S445" t="s">
        <v>155</v>
      </c>
      <c r="T445" s="4">
        <v>173.64</v>
      </c>
      <c r="U445" s="4">
        <v>0</v>
      </c>
      <c r="V445" s="4">
        <v>2</v>
      </c>
      <c r="W445" s="4">
        <v>464.56</v>
      </c>
      <c r="X445" s="4">
        <v>124.6</v>
      </c>
      <c r="Y445" s="4">
        <v>762.8</v>
      </c>
      <c r="Z445" s="4" t="s">
        <v>147</v>
      </c>
      <c r="AA445" s="4" t="s">
        <v>147</v>
      </c>
      <c r="AB445" s="4">
        <f>SUMIF('Trip Changes'!$B:$B,A445,'Trip Changes'!$E:$E)</f>
        <v>0</v>
      </c>
      <c r="AC445" s="4">
        <f>SUMIF('Trip Cancellations'!$B:$B,A445,'Trip Cancellations'!$E:$E)</f>
        <v>0</v>
      </c>
      <c r="AD445" s="4">
        <f>SUMIF('Trip Cancellations'!$B:$B,A445,'Trip Cancellations'!$F:$F)</f>
        <v>0</v>
      </c>
      <c r="AE445" s="4">
        <f t="shared" si="6"/>
        <v>762.8</v>
      </c>
      <c r="AF445" t="s">
        <v>148</v>
      </c>
      <c r="AG445">
        <v>5</v>
      </c>
      <c r="AH445" s="5">
        <v>523.5</v>
      </c>
      <c r="AI445" t="s">
        <v>148</v>
      </c>
    </row>
    <row r="446" spans="1:35">
      <c r="A446" t="s">
        <v>778</v>
      </c>
      <c r="B446" t="s">
        <v>776</v>
      </c>
      <c r="C446" t="s">
        <v>307</v>
      </c>
      <c r="D446" t="s">
        <v>248</v>
      </c>
      <c r="E446" t="s">
        <v>169</v>
      </c>
      <c r="F446" t="s">
        <v>162</v>
      </c>
      <c r="G446" s="3">
        <v>46152</v>
      </c>
      <c r="H446" s="3">
        <v>46172</v>
      </c>
      <c r="I446" s="3">
        <v>46176</v>
      </c>
      <c r="J446" t="s">
        <v>163</v>
      </c>
      <c r="K446" t="s">
        <v>307</v>
      </c>
      <c r="L446" t="s">
        <v>199</v>
      </c>
      <c r="M446" t="s">
        <v>152</v>
      </c>
      <c r="N446" t="s">
        <v>153</v>
      </c>
      <c r="O446">
        <v>3598</v>
      </c>
      <c r="P446">
        <v>20</v>
      </c>
      <c r="Q446" t="s">
        <v>216</v>
      </c>
      <c r="R446" t="s">
        <v>154</v>
      </c>
      <c r="S446" t="s">
        <v>164</v>
      </c>
      <c r="T446" s="4">
        <v>185.8</v>
      </c>
      <c r="U446" s="4">
        <v>0</v>
      </c>
      <c r="V446" s="4">
        <v>3</v>
      </c>
      <c r="W446" s="4">
        <v>542.94000000000005</v>
      </c>
      <c r="X446" s="4">
        <v>39.15</v>
      </c>
      <c r="Y446" s="4">
        <v>767.89</v>
      </c>
      <c r="Z446" s="4" t="s">
        <v>148</v>
      </c>
      <c r="AA446" s="4" t="s">
        <v>147</v>
      </c>
      <c r="AB446" s="4">
        <f>SUMIF('Trip Changes'!$B:$B,A446,'Trip Changes'!$E:$E)</f>
        <v>175.92</v>
      </c>
      <c r="AC446" s="4">
        <f>SUMIF('Trip Cancellations'!$B:$B,A446,'Trip Cancellations'!$E:$E)</f>
        <v>0</v>
      </c>
      <c r="AD446" s="4">
        <f>SUMIF('Trip Cancellations'!$B:$B,A446,'Trip Cancellations'!$F:$F)</f>
        <v>0</v>
      </c>
      <c r="AE446" s="4">
        <f t="shared" si="6"/>
        <v>943.81</v>
      </c>
      <c r="AF446" t="s">
        <v>148</v>
      </c>
      <c r="AG446">
        <v>4</v>
      </c>
      <c r="AH446" s="5">
        <v>539.70000000000005</v>
      </c>
      <c r="AI446" t="s">
        <v>148</v>
      </c>
    </row>
    <row r="447" spans="1:35">
      <c r="A447" t="s">
        <v>779</v>
      </c>
      <c r="B447" t="s">
        <v>780</v>
      </c>
      <c r="C447" t="s">
        <v>182</v>
      </c>
      <c r="D447" t="s">
        <v>230</v>
      </c>
      <c r="E447" t="s">
        <v>268</v>
      </c>
      <c r="F447" t="s">
        <v>178</v>
      </c>
      <c r="G447" s="3">
        <v>46205</v>
      </c>
      <c r="H447" s="3">
        <v>46217</v>
      </c>
      <c r="I447" s="3">
        <v>46220</v>
      </c>
      <c r="J447" t="s">
        <v>150</v>
      </c>
      <c r="K447" t="s">
        <v>182</v>
      </c>
      <c r="L447" t="s">
        <v>175</v>
      </c>
      <c r="M447" t="s">
        <v>152</v>
      </c>
      <c r="N447" t="s">
        <v>153</v>
      </c>
      <c r="O447">
        <v>2626</v>
      </c>
      <c r="P447">
        <v>12</v>
      </c>
      <c r="Q447" t="s">
        <v>145</v>
      </c>
      <c r="R447" t="s">
        <v>160</v>
      </c>
      <c r="S447" t="s">
        <v>164</v>
      </c>
      <c r="T447" s="4">
        <v>162</v>
      </c>
      <c r="U447" s="4">
        <v>0</v>
      </c>
      <c r="V447" s="4">
        <v>2</v>
      </c>
      <c r="W447" s="4">
        <v>415.02</v>
      </c>
      <c r="X447" s="4">
        <v>67.569999999999993</v>
      </c>
      <c r="Y447" s="4">
        <v>644.59</v>
      </c>
      <c r="Z447" s="4" t="s">
        <v>147</v>
      </c>
      <c r="AA447" s="4" t="s">
        <v>147</v>
      </c>
      <c r="AB447" s="4">
        <f>SUMIF('Trip Changes'!$B:$B,A447,'Trip Changes'!$E:$E)</f>
        <v>0</v>
      </c>
      <c r="AC447" s="4">
        <f>SUMIF('Trip Cancellations'!$B:$B,A447,'Trip Cancellations'!$E:$E)</f>
        <v>0</v>
      </c>
      <c r="AD447" s="4">
        <f>SUMIF('Trip Cancellations'!$B:$B,A447,'Trip Cancellations'!$F:$F)</f>
        <v>0</v>
      </c>
      <c r="AE447" s="4">
        <f t="shared" si="6"/>
        <v>644.59</v>
      </c>
      <c r="AF447" t="s">
        <v>148</v>
      </c>
      <c r="AG447">
        <v>4</v>
      </c>
      <c r="AH447" s="5">
        <v>393.9</v>
      </c>
      <c r="AI447" t="s">
        <v>148</v>
      </c>
    </row>
    <row r="448" spans="1:35">
      <c r="A448" t="s">
        <v>781</v>
      </c>
      <c r="B448" t="s">
        <v>780</v>
      </c>
      <c r="C448" t="s">
        <v>182</v>
      </c>
      <c r="D448" t="s">
        <v>230</v>
      </c>
      <c r="E448" t="s">
        <v>268</v>
      </c>
      <c r="F448" t="s">
        <v>207</v>
      </c>
      <c r="G448" s="3">
        <v>46159</v>
      </c>
      <c r="H448" s="3">
        <v>46168</v>
      </c>
      <c r="I448" s="3">
        <v>46170</v>
      </c>
      <c r="J448" t="s">
        <v>163</v>
      </c>
      <c r="K448" t="s">
        <v>182</v>
      </c>
      <c r="L448" t="s">
        <v>283</v>
      </c>
      <c r="M448" t="s">
        <v>152</v>
      </c>
      <c r="N448" t="s">
        <v>153</v>
      </c>
      <c r="O448">
        <v>10250</v>
      </c>
      <c r="P448">
        <v>9</v>
      </c>
      <c r="Q448" t="s">
        <v>145</v>
      </c>
      <c r="R448" t="s">
        <v>186</v>
      </c>
      <c r="S448" t="s">
        <v>187</v>
      </c>
      <c r="T448" s="4">
        <v>865.5</v>
      </c>
      <c r="U448" s="4">
        <v>0</v>
      </c>
      <c r="V448" s="4">
        <v>1</v>
      </c>
      <c r="W448" s="4">
        <v>141.16999999999999</v>
      </c>
      <c r="X448" s="4">
        <v>125.15</v>
      </c>
      <c r="Y448" s="4">
        <v>1131.82</v>
      </c>
      <c r="Z448" s="4" t="s">
        <v>147</v>
      </c>
      <c r="AA448" s="4" t="s">
        <v>147</v>
      </c>
      <c r="AB448" s="4">
        <f>SUMIF('Trip Changes'!$B:$B,A448,'Trip Changes'!$E:$E)</f>
        <v>0</v>
      </c>
      <c r="AC448" s="4">
        <f>SUMIF('Trip Cancellations'!$B:$B,A448,'Trip Cancellations'!$E:$E)</f>
        <v>0</v>
      </c>
      <c r="AD448" s="4">
        <f>SUMIF('Trip Cancellations'!$B:$B,A448,'Trip Cancellations'!$F:$F)</f>
        <v>0</v>
      </c>
      <c r="AE448" s="4">
        <f t="shared" si="6"/>
        <v>1131.82</v>
      </c>
      <c r="AF448" t="s">
        <v>148</v>
      </c>
      <c r="AG448">
        <v>5</v>
      </c>
      <c r="AH448" s="5">
        <v>1537.5</v>
      </c>
      <c r="AI448" t="s">
        <v>148</v>
      </c>
    </row>
    <row r="449" spans="1:35">
      <c r="A449" t="s">
        <v>782</v>
      </c>
      <c r="B449" t="s">
        <v>780</v>
      </c>
      <c r="C449" t="s">
        <v>182</v>
      </c>
      <c r="D449" t="s">
        <v>230</v>
      </c>
      <c r="E449" t="s">
        <v>268</v>
      </c>
      <c r="F449" t="s">
        <v>162</v>
      </c>
      <c r="G449" s="3">
        <v>46187</v>
      </c>
      <c r="H449" s="3">
        <v>46213</v>
      </c>
      <c r="I449" s="3">
        <v>46215</v>
      </c>
      <c r="J449" t="s">
        <v>150</v>
      </c>
      <c r="K449" t="s">
        <v>182</v>
      </c>
      <c r="L449" t="s">
        <v>142</v>
      </c>
      <c r="M449" t="s">
        <v>143</v>
      </c>
      <c r="N449" t="s">
        <v>153</v>
      </c>
      <c r="O449">
        <v>826</v>
      </c>
      <c r="P449">
        <v>26</v>
      </c>
      <c r="Q449" t="s">
        <v>159</v>
      </c>
      <c r="R449" t="s">
        <v>176</v>
      </c>
      <c r="S449" t="s">
        <v>146</v>
      </c>
      <c r="T449" s="4">
        <v>288.7</v>
      </c>
      <c r="U449" s="4">
        <v>0</v>
      </c>
      <c r="V449" s="4">
        <v>1</v>
      </c>
      <c r="W449" s="4">
        <v>161.19</v>
      </c>
      <c r="X449" s="4">
        <v>63</v>
      </c>
      <c r="Y449" s="4">
        <v>512.89</v>
      </c>
      <c r="Z449" s="4" t="s">
        <v>147</v>
      </c>
      <c r="AA449" s="4" t="s">
        <v>147</v>
      </c>
      <c r="AB449" s="4">
        <f>SUMIF('Trip Changes'!$B:$B,A449,'Trip Changes'!$E:$E)</f>
        <v>0</v>
      </c>
      <c r="AC449" s="4">
        <f>SUMIF('Trip Cancellations'!$B:$B,A449,'Trip Cancellations'!$E:$E)</f>
        <v>0</v>
      </c>
      <c r="AD449" s="4">
        <f>SUMIF('Trip Cancellations'!$B:$B,A449,'Trip Cancellations'!$F:$F)</f>
        <v>0</v>
      </c>
      <c r="AE449" s="4">
        <f t="shared" si="6"/>
        <v>512.89</v>
      </c>
      <c r="AF449" t="s">
        <v>148</v>
      </c>
      <c r="AG449">
        <v>4</v>
      </c>
      <c r="AH449" s="5">
        <v>123.9</v>
      </c>
      <c r="AI449" t="s">
        <v>147</v>
      </c>
    </row>
    <row r="450" spans="1:35">
      <c r="A450" t="s">
        <v>783</v>
      </c>
      <c r="B450" t="s">
        <v>784</v>
      </c>
      <c r="C450" t="s">
        <v>182</v>
      </c>
      <c r="D450" t="s">
        <v>194</v>
      </c>
      <c r="E450" t="s">
        <v>249</v>
      </c>
      <c r="F450" t="s">
        <v>181</v>
      </c>
      <c r="G450" s="3">
        <v>46186</v>
      </c>
      <c r="H450" s="3">
        <v>46214</v>
      </c>
      <c r="I450" s="3">
        <v>46217</v>
      </c>
      <c r="J450" t="s">
        <v>150</v>
      </c>
      <c r="K450" t="s">
        <v>182</v>
      </c>
      <c r="L450" t="s">
        <v>151</v>
      </c>
      <c r="M450" t="s">
        <v>152</v>
      </c>
      <c r="N450" t="s">
        <v>153</v>
      </c>
      <c r="O450">
        <v>1136</v>
      </c>
      <c r="P450">
        <v>28</v>
      </c>
      <c r="Q450" t="s">
        <v>216</v>
      </c>
      <c r="R450" t="s">
        <v>172</v>
      </c>
      <c r="S450" t="s">
        <v>155</v>
      </c>
      <c r="T450" s="4">
        <v>280.23</v>
      </c>
      <c r="U450" s="4">
        <v>0</v>
      </c>
      <c r="V450" s="4">
        <v>2</v>
      </c>
      <c r="W450" s="4">
        <v>311.36</v>
      </c>
      <c r="X450" s="4">
        <v>55.5</v>
      </c>
      <c r="Y450" s="4">
        <v>647.09</v>
      </c>
      <c r="Z450" s="4" t="s">
        <v>148</v>
      </c>
      <c r="AA450" s="4" t="s">
        <v>147</v>
      </c>
      <c r="AB450" s="4">
        <f>SUMIF('Trip Changes'!$B:$B,A450,'Trip Changes'!$E:$E)</f>
        <v>236.28</v>
      </c>
      <c r="AC450" s="4">
        <f>SUMIF('Trip Cancellations'!$B:$B,A450,'Trip Cancellations'!$E:$E)</f>
        <v>0</v>
      </c>
      <c r="AD450" s="4">
        <f>SUMIF('Trip Cancellations'!$B:$B,A450,'Trip Cancellations'!$F:$F)</f>
        <v>0</v>
      </c>
      <c r="AE450" s="4">
        <f t="shared" ref="AE450:AE513" si="7">Y450+AB450+AC450-AD450</f>
        <v>883.37</v>
      </c>
      <c r="AF450" t="s">
        <v>148</v>
      </c>
      <c r="AG450">
        <v>4</v>
      </c>
      <c r="AH450" s="5">
        <v>170.4</v>
      </c>
      <c r="AI450" t="s">
        <v>148</v>
      </c>
    </row>
    <row r="451" spans="1:35">
      <c r="A451" t="s">
        <v>785</v>
      </c>
      <c r="B451" t="s">
        <v>784</v>
      </c>
      <c r="C451" t="s">
        <v>182</v>
      </c>
      <c r="D451" t="s">
        <v>194</v>
      </c>
      <c r="E451" t="s">
        <v>249</v>
      </c>
      <c r="F451" t="s">
        <v>140</v>
      </c>
      <c r="G451" s="3">
        <v>46203</v>
      </c>
      <c r="H451" s="3">
        <v>46219</v>
      </c>
      <c r="I451" s="3">
        <v>46224</v>
      </c>
      <c r="J451" t="s">
        <v>150</v>
      </c>
      <c r="K451" t="s">
        <v>182</v>
      </c>
      <c r="L451" t="s">
        <v>199</v>
      </c>
      <c r="M451" t="s">
        <v>152</v>
      </c>
      <c r="N451" t="s">
        <v>153</v>
      </c>
      <c r="O451">
        <v>1480</v>
      </c>
      <c r="P451">
        <v>16</v>
      </c>
      <c r="Q451" t="s">
        <v>216</v>
      </c>
      <c r="R451" t="s">
        <v>154</v>
      </c>
      <c r="S451" t="s">
        <v>155</v>
      </c>
      <c r="T451" s="4">
        <v>362.43</v>
      </c>
      <c r="U451" s="4">
        <v>0</v>
      </c>
      <c r="V451" s="4">
        <v>4</v>
      </c>
      <c r="W451" s="4">
        <v>714.54</v>
      </c>
      <c r="X451" s="4">
        <v>108.48</v>
      </c>
      <c r="Y451" s="4">
        <v>1185.45</v>
      </c>
      <c r="Z451" s="4" t="s">
        <v>147</v>
      </c>
      <c r="AA451" s="4" t="s">
        <v>147</v>
      </c>
      <c r="AB451" s="4">
        <f>SUMIF('Trip Changes'!$B:$B,A451,'Trip Changes'!$E:$E)</f>
        <v>0</v>
      </c>
      <c r="AC451" s="4">
        <f>SUMIF('Trip Cancellations'!$B:$B,A451,'Trip Cancellations'!$E:$E)</f>
        <v>0</v>
      </c>
      <c r="AD451" s="4">
        <f>SUMIF('Trip Cancellations'!$B:$B,A451,'Trip Cancellations'!$F:$F)</f>
        <v>0</v>
      </c>
      <c r="AE451" s="4">
        <f t="shared" si="7"/>
        <v>1185.45</v>
      </c>
      <c r="AF451" t="s">
        <v>148</v>
      </c>
      <c r="AG451">
        <v>5</v>
      </c>
      <c r="AH451" s="5">
        <v>222</v>
      </c>
      <c r="AI451" t="s">
        <v>148</v>
      </c>
    </row>
    <row r="452" spans="1:35">
      <c r="A452" t="s">
        <v>786</v>
      </c>
      <c r="B452" t="s">
        <v>784</v>
      </c>
      <c r="C452" t="s">
        <v>182</v>
      </c>
      <c r="D452" t="s">
        <v>194</v>
      </c>
      <c r="E452" t="s">
        <v>249</v>
      </c>
      <c r="F452" t="s">
        <v>162</v>
      </c>
      <c r="G452" s="3">
        <v>46163</v>
      </c>
      <c r="H452" s="3">
        <v>46168</v>
      </c>
      <c r="I452" s="3">
        <v>46171</v>
      </c>
      <c r="J452" t="s">
        <v>163</v>
      </c>
      <c r="K452" t="s">
        <v>182</v>
      </c>
      <c r="L452" t="s">
        <v>199</v>
      </c>
      <c r="M452" t="s">
        <v>152</v>
      </c>
      <c r="N452" t="s">
        <v>153</v>
      </c>
      <c r="O452">
        <v>2436</v>
      </c>
      <c r="P452">
        <v>5</v>
      </c>
      <c r="Q452" t="s">
        <v>145</v>
      </c>
      <c r="R452" t="s">
        <v>291</v>
      </c>
      <c r="S452" t="s">
        <v>187</v>
      </c>
      <c r="T452" s="4">
        <v>282.99</v>
      </c>
      <c r="U452" s="4">
        <v>0</v>
      </c>
      <c r="V452" s="4">
        <v>2</v>
      </c>
      <c r="W452" s="4">
        <v>314.87</v>
      </c>
      <c r="X452" s="4">
        <v>110.69</v>
      </c>
      <c r="Y452" s="4">
        <v>708.55</v>
      </c>
      <c r="Z452" s="4" t="s">
        <v>147</v>
      </c>
      <c r="AA452" s="4" t="s">
        <v>147</v>
      </c>
      <c r="AB452" s="4">
        <f>SUMIF('Trip Changes'!$B:$B,A452,'Trip Changes'!$E:$E)</f>
        <v>0</v>
      </c>
      <c r="AC452" s="4">
        <f>SUMIF('Trip Cancellations'!$B:$B,A452,'Trip Cancellations'!$E:$E)</f>
        <v>0</v>
      </c>
      <c r="AD452" s="4">
        <f>SUMIF('Trip Cancellations'!$B:$B,A452,'Trip Cancellations'!$F:$F)</f>
        <v>0</v>
      </c>
      <c r="AE452" s="4">
        <f t="shared" si="7"/>
        <v>708.55</v>
      </c>
      <c r="AF452" t="s">
        <v>148</v>
      </c>
      <c r="AG452">
        <v>4</v>
      </c>
      <c r="AH452" s="5">
        <v>365.4</v>
      </c>
      <c r="AI452" t="s">
        <v>147</v>
      </c>
    </row>
    <row r="453" spans="1:35">
      <c r="A453" t="s">
        <v>787</v>
      </c>
      <c r="B453" t="s">
        <v>788</v>
      </c>
      <c r="C453" t="s">
        <v>142</v>
      </c>
      <c r="D453" t="s">
        <v>204</v>
      </c>
      <c r="E453" t="s">
        <v>268</v>
      </c>
      <c r="F453" t="s">
        <v>140</v>
      </c>
      <c r="G453" s="3">
        <v>46152</v>
      </c>
      <c r="H453" s="3">
        <v>46153</v>
      </c>
      <c r="I453" s="3">
        <v>46155</v>
      </c>
      <c r="J453" t="s">
        <v>163</v>
      </c>
      <c r="K453" t="s">
        <v>142</v>
      </c>
      <c r="L453" t="s">
        <v>233</v>
      </c>
      <c r="M453" t="s">
        <v>152</v>
      </c>
      <c r="N453" t="s">
        <v>153</v>
      </c>
      <c r="O453">
        <v>1710</v>
      </c>
      <c r="P453">
        <v>1</v>
      </c>
      <c r="Q453" t="s">
        <v>159</v>
      </c>
      <c r="R453" t="s">
        <v>176</v>
      </c>
      <c r="S453" t="s">
        <v>173</v>
      </c>
      <c r="T453" s="4">
        <v>462.09</v>
      </c>
      <c r="U453" s="4">
        <v>0</v>
      </c>
      <c r="V453" s="4">
        <v>1</v>
      </c>
      <c r="W453" s="4">
        <v>184.3</v>
      </c>
      <c r="X453" s="4">
        <v>69.62</v>
      </c>
      <c r="Y453" s="4">
        <v>716.01</v>
      </c>
      <c r="Z453" s="4" t="s">
        <v>147</v>
      </c>
      <c r="AA453" s="4" t="s">
        <v>147</v>
      </c>
      <c r="AB453" s="4">
        <f>SUMIF('Trip Changes'!$B:$B,A453,'Trip Changes'!$E:$E)</f>
        <v>0</v>
      </c>
      <c r="AC453" s="4">
        <f>SUMIF('Trip Cancellations'!$B:$B,A453,'Trip Cancellations'!$E:$E)</f>
        <v>0</v>
      </c>
      <c r="AD453" s="4">
        <f>SUMIF('Trip Cancellations'!$B:$B,A453,'Trip Cancellations'!$F:$F)</f>
        <v>0</v>
      </c>
      <c r="AE453" s="4">
        <f t="shared" si="7"/>
        <v>716.01</v>
      </c>
      <c r="AF453" t="s">
        <v>147</v>
      </c>
      <c r="AG453">
        <v>4</v>
      </c>
      <c r="AH453" s="5">
        <v>256.5</v>
      </c>
      <c r="AI453" t="s">
        <v>147</v>
      </c>
    </row>
    <row r="454" spans="1:35">
      <c r="A454" t="s">
        <v>789</v>
      </c>
      <c r="B454" t="s">
        <v>788</v>
      </c>
      <c r="C454" t="s">
        <v>142</v>
      </c>
      <c r="D454" t="s">
        <v>204</v>
      </c>
      <c r="E454" t="s">
        <v>268</v>
      </c>
      <c r="F454" t="s">
        <v>140</v>
      </c>
      <c r="G454" s="3">
        <v>46153</v>
      </c>
      <c r="H454" s="3">
        <v>46154</v>
      </c>
      <c r="I454" s="3">
        <v>46155</v>
      </c>
      <c r="J454" t="s">
        <v>163</v>
      </c>
      <c r="K454" t="s">
        <v>142</v>
      </c>
      <c r="L454" t="s">
        <v>182</v>
      </c>
      <c r="M454" t="s">
        <v>143</v>
      </c>
      <c r="N454" t="s">
        <v>144</v>
      </c>
      <c r="O454">
        <v>894</v>
      </c>
      <c r="P454">
        <v>1</v>
      </c>
      <c r="Q454" t="s">
        <v>145</v>
      </c>
      <c r="T454" s="4">
        <v>0</v>
      </c>
      <c r="U454" s="4">
        <v>235.02</v>
      </c>
      <c r="V454" s="4">
        <v>0</v>
      </c>
      <c r="W454" s="4">
        <v>0</v>
      </c>
      <c r="X454" s="4">
        <v>45.83</v>
      </c>
      <c r="Y454" s="4">
        <v>280.85000000000002</v>
      </c>
      <c r="Z454" s="4" t="s">
        <v>147</v>
      </c>
      <c r="AA454" s="4" t="s">
        <v>147</v>
      </c>
      <c r="AB454" s="4">
        <f>SUMIF('Trip Changes'!$B:$B,A454,'Trip Changes'!$E:$E)</f>
        <v>0</v>
      </c>
      <c r="AC454" s="4">
        <f>SUMIF('Trip Cancellations'!$B:$B,A454,'Trip Cancellations'!$E:$E)</f>
        <v>0</v>
      </c>
      <c r="AD454" s="4">
        <f>SUMIF('Trip Cancellations'!$B:$B,A454,'Trip Cancellations'!$F:$F)</f>
        <v>0</v>
      </c>
      <c r="AE454" s="4">
        <f t="shared" si="7"/>
        <v>280.85000000000002</v>
      </c>
      <c r="AF454" t="s">
        <v>148</v>
      </c>
      <c r="AG454">
        <v>4</v>
      </c>
      <c r="AH454" s="5">
        <v>35.799999999999997</v>
      </c>
      <c r="AI454" t="s">
        <v>147</v>
      </c>
    </row>
    <row r="455" spans="1:35">
      <c r="A455" t="s">
        <v>790</v>
      </c>
      <c r="B455" t="s">
        <v>788</v>
      </c>
      <c r="C455" t="s">
        <v>142</v>
      </c>
      <c r="D455" t="s">
        <v>204</v>
      </c>
      <c r="E455" t="s">
        <v>268</v>
      </c>
      <c r="F455" t="s">
        <v>162</v>
      </c>
      <c r="G455" s="3">
        <v>46209</v>
      </c>
      <c r="H455" s="3">
        <v>46228</v>
      </c>
      <c r="I455" s="3">
        <v>46232</v>
      </c>
      <c r="J455" t="s">
        <v>150</v>
      </c>
      <c r="K455" t="s">
        <v>142</v>
      </c>
      <c r="L455" t="s">
        <v>283</v>
      </c>
      <c r="M455" t="s">
        <v>152</v>
      </c>
      <c r="N455" t="s">
        <v>153</v>
      </c>
      <c r="O455">
        <v>10294</v>
      </c>
      <c r="P455">
        <v>19</v>
      </c>
      <c r="Q455" t="s">
        <v>159</v>
      </c>
      <c r="R455" t="s">
        <v>154</v>
      </c>
      <c r="S455" t="s">
        <v>164</v>
      </c>
      <c r="T455" s="4">
        <v>978.88</v>
      </c>
      <c r="U455" s="4">
        <v>0</v>
      </c>
      <c r="V455" s="4">
        <v>3</v>
      </c>
      <c r="W455" s="4">
        <v>424.45</v>
      </c>
      <c r="X455" s="4">
        <v>84.78</v>
      </c>
      <c r="Y455" s="4">
        <v>1488.11</v>
      </c>
      <c r="Z455" s="4" t="s">
        <v>147</v>
      </c>
      <c r="AA455" s="4" t="s">
        <v>147</v>
      </c>
      <c r="AB455" s="4">
        <f>SUMIF('Trip Changes'!$B:$B,A455,'Trip Changes'!$E:$E)</f>
        <v>0</v>
      </c>
      <c r="AC455" s="4">
        <f>SUMIF('Trip Cancellations'!$B:$B,A455,'Trip Cancellations'!$E:$E)</f>
        <v>0</v>
      </c>
      <c r="AD455" s="4">
        <f>SUMIF('Trip Cancellations'!$B:$B,A455,'Trip Cancellations'!$F:$F)</f>
        <v>0</v>
      </c>
      <c r="AE455" s="4">
        <f t="shared" si="7"/>
        <v>1488.11</v>
      </c>
      <c r="AF455" t="s">
        <v>148</v>
      </c>
      <c r="AG455">
        <v>4</v>
      </c>
      <c r="AH455" s="5">
        <v>1544.1</v>
      </c>
      <c r="AI455" t="s">
        <v>147</v>
      </c>
    </row>
    <row r="456" spans="1:35">
      <c r="A456" t="s">
        <v>791</v>
      </c>
      <c r="B456" t="s">
        <v>792</v>
      </c>
      <c r="C456" t="s">
        <v>182</v>
      </c>
      <c r="D456" t="s">
        <v>168</v>
      </c>
      <c r="E456" t="s">
        <v>249</v>
      </c>
      <c r="F456" t="s">
        <v>157</v>
      </c>
      <c r="G456" s="3">
        <v>46190</v>
      </c>
      <c r="H456" s="3">
        <v>46226</v>
      </c>
      <c r="I456" s="3">
        <v>46228</v>
      </c>
      <c r="J456" t="s">
        <v>150</v>
      </c>
      <c r="K456" t="s">
        <v>182</v>
      </c>
      <c r="L456" t="s">
        <v>203</v>
      </c>
      <c r="M456" t="s">
        <v>143</v>
      </c>
      <c r="N456" t="s">
        <v>144</v>
      </c>
      <c r="O456">
        <v>770</v>
      </c>
      <c r="P456">
        <v>36</v>
      </c>
      <c r="Q456" t="s">
        <v>145</v>
      </c>
      <c r="S456" t="s">
        <v>164</v>
      </c>
      <c r="T456" s="4">
        <v>0</v>
      </c>
      <c r="U456" s="4">
        <v>310</v>
      </c>
      <c r="V456" s="4">
        <v>1</v>
      </c>
      <c r="W456" s="4">
        <v>208.43</v>
      </c>
      <c r="X456" s="4">
        <v>81.290000000000006</v>
      </c>
      <c r="Y456" s="4">
        <v>599.72</v>
      </c>
      <c r="Z456" s="4" t="s">
        <v>148</v>
      </c>
      <c r="AA456" s="4" t="s">
        <v>147</v>
      </c>
      <c r="AB456" s="4">
        <f>SUMIF('Trip Changes'!$B:$B,A456,'Trip Changes'!$E:$E)</f>
        <v>134.74</v>
      </c>
      <c r="AC456" s="4">
        <f>SUMIF('Trip Cancellations'!$B:$B,A456,'Trip Cancellations'!$E:$E)</f>
        <v>0</v>
      </c>
      <c r="AD456" s="4">
        <f>SUMIF('Trip Cancellations'!$B:$B,A456,'Trip Cancellations'!$F:$F)</f>
        <v>0</v>
      </c>
      <c r="AE456" s="4">
        <f t="shared" si="7"/>
        <v>734.46</v>
      </c>
      <c r="AF456" t="s">
        <v>148</v>
      </c>
      <c r="AG456">
        <v>4</v>
      </c>
      <c r="AH456" s="5">
        <v>30.8</v>
      </c>
      <c r="AI456" t="s">
        <v>147</v>
      </c>
    </row>
    <row r="457" spans="1:35">
      <c r="A457" t="s">
        <v>793</v>
      </c>
      <c r="B457" t="s">
        <v>792</v>
      </c>
      <c r="C457" t="s">
        <v>182</v>
      </c>
      <c r="D457" t="s">
        <v>168</v>
      </c>
      <c r="E457" t="s">
        <v>249</v>
      </c>
      <c r="F457" t="s">
        <v>162</v>
      </c>
      <c r="G457" s="3">
        <v>46144</v>
      </c>
      <c r="H457" s="3">
        <v>46160</v>
      </c>
      <c r="I457" s="3">
        <v>46164</v>
      </c>
      <c r="J457" t="s">
        <v>163</v>
      </c>
      <c r="K457" t="s">
        <v>182</v>
      </c>
      <c r="L457" t="s">
        <v>233</v>
      </c>
      <c r="M457" t="s">
        <v>152</v>
      </c>
      <c r="N457" t="s">
        <v>153</v>
      </c>
      <c r="O457">
        <v>1596</v>
      </c>
      <c r="P457">
        <v>16</v>
      </c>
      <c r="Q457" t="s">
        <v>159</v>
      </c>
      <c r="R457" t="s">
        <v>176</v>
      </c>
      <c r="S457" t="s">
        <v>164</v>
      </c>
      <c r="T457" s="4">
        <v>391.62</v>
      </c>
      <c r="U457" s="4">
        <v>0</v>
      </c>
      <c r="V457" s="4">
        <v>3</v>
      </c>
      <c r="W457" s="4">
        <v>497.25</v>
      </c>
      <c r="X457" s="4">
        <v>93.67</v>
      </c>
      <c r="Y457" s="4">
        <v>982.54</v>
      </c>
      <c r="Z457" s="4" t="s">
        <v>147</v>
      </c>
      <c r="AA457" s="4" t="s">
        <v>147</v>
      </c>
      <c r="AB457" s="4">
        <f>SUMIF('Trip Changes'!$B:$B,A457,'Trip Changes'!$E:$E)</f>
        <v>0</v>
      </c>
      <c r="AC457" s="4">
        <f>SUMIF('Trip Cancellations'!$B:$B,A457,'Trip Cancellations'!$E:$E)</f>
        <v>0</v>
      </c>
      <c r="AD457" s="4">
        <f>SUMIF('Trip Cancellations'!$B:$B,A457,'Trip Cancellations'!$F:$F)</f>
        <v>0</v>
      </c>
      <c r="AE457" s="4">
        <f t="shared" si="7"/>
        <v>982.54</v>
      </c>
      <c r="AF457" t="s">
        <v>148</v>
      </c>
      <c r="AG457">
        <v>5</v>
      </c>
      <c r="AH457" s="5">
        <v>239.4</v>
      </c>
      <c r="AI457" t="s">
        <v>148</v>
      </c>
    </row>
    <row r="458" spans="1:35">
      <c r="A458" t="s">
        <v>794</v>
      </c>
      <c r="B458" t="s">
        <v>792</v>
      </c>
      <c r="C458" t="s">
        <v>182</v>
      </c>
      <c r="D458" t="s">
        <v>168</v>
      </c>
      <c r="E458" t="s">
        <v>249</v>
      </c>
      <c r="F458" t="s">
        <v>157</v>
      </c>
      <c r="G458" s="3">
        <v>46168</v>
      </c>
      <c r="H458" s="3">
        <v>46185</v>
      </c>
      <c r="I458" s="3">
        <v>46187</v>
      </c>
      <c r="J458" t="s">
        <v>141</v>
      </c>
      <c r="K458" t="s">
        <v>182</v>
      </c>
      <c r="L458" t="s">
        <v>225</v>
      </c>
      <c r="M458" t="s">
        <v>152</v>
      </c>
      <c r="N458" t="s">
        <v>153</v>
      </c>
      <c r="O458">
        <v>2030</v>
      </c>
      <c r="P458">
        <v>17</v>
      </c>
      <c r="Q458" t="s">
        <v>207</v>
      </c>
      <c r="R458" t="s">
        <v>236</v>
      </c>
      <c r="S458" t="s">
        <v>187</v>
      </c>
      <c r="T458" s="4">
        <v>465.62</v>
      </c>
      <c r="U458" s="4">
        <v>0</v>
      </c>
      <c r="V458" s="4">
        <v>1</v>
      </c>
      <c r="W458" s="4">
        <v>144.59</v>
      </c>
      <c r="X458" s="4">
        <v>115.01</v>
      </c>
      <c r="Y458" s="4">
        <v>725.22</v>
      </c>
      <c r="Z458" s="4" t="s">
        <v>147</v>
      </c>
      <c r="AA458" s="4" t="s">
        <v>147</v>
      </c>
      <c r="AB458" s="4">
        <f>SUMIF('Trip Changes'!$B:$B,A458,'Trip Changes'!$E:$E)</f>
        <v>0</v>
      </c>
      <c r="AC458" s="4">
        <f>SUMIF('Trip Cancellations'!$B:$B,A458,'Trip Cancellations'!$E:$E)</f>
        <v>0</v>
      </c>
      <c r="AD458" s="4">
        <f>SUMIF('Trip Cancellations'!$B:$B,A458,'Trip Cancellations'!$F:$F)</f>
        <v>0</v>
      </c>
      <c r="AE458" s="4">
        <f t="shared" si="7"/>
        <v>725.22</v>
      </c>
      <c r="AF458" t="s">
        <v>148</v>
      </c>
      <c r="AG458">
        <v>3</v>
      </c>
      <c r="AH458" s="5">
        <v>304.5</v>
      </c>
      <c r="AI458" t="s">
        <v>147</v>
      </c>
    </row>
    <row r="459" spans="1:35">
      <c r="A459" t="s">
        <v>795</v>
      </c>
      <c r="B459" t="s">
        <v>796</v>
      </c>
      <c r="C459" t="s">
        <v>142</v>
      </c>
      <c r="D459" t="s">
        <v>168</v>
      </c>
      <c r="E459" t="s">
        <v>249</v>
      </c>
      <c r="F459" t="s">
        <v>162</v>
      </c>
      <c r="G459" s="3">
        <v>46219</v>
      </c>
      <c r="H459" s="3">
        <v>46234</v>
      </c>
      <c r="I459" s="3">
        <v>46238</v>
      </c>
      <c r="J459" t="s">
        <v>150</v>
      </c>
      <c r="K459" t="s">
        <v>142</v>
      </c>
      <c r="L459" t="s">
        <v>264</v>
      </c>
      <c r="M459" t="s">
        <v>152</v>
      </c>
      <c r="N459" t="s">
        <v>153</v>
      </c>
      <c r="O459">
        <v>1796</v>
      </c>
      <c r="P459">
        <v>15</v>
      </c>
      <c r="Q459" t="s">
        <v>145</v>
      </c>
      <c r="R459" t="s">
        <v>176</v>
      </c>
      <c r="S459" t="s">
        <v>190</v>
      </c>
      <c r="T459" s="4">
        <v>390.15</v>
      </c>
      <c r="U459" s="4">
        <v>0</v>
      </c>
      <c r="V459" s="4">
        <v>3</v>
      </c>
      <c r="W459" s="4">
        <v>759.57</v>
      </c>
      <c r="X459" s="4">
        <v>56.63</v>
      </c>
      <c r="Y459" s="4">
        <v>1206.3499999999999</v>
      </c>
      <c r="Z459" s="4" t="s">
        <v>148</v>
      </c>
      <c r="AA459" s="4" t="s">
        <v>147</v>
      </c>
      <c r="AB459" s="4">
        <f>SUMIF('Trip Changes'!$B:$B,A459,'Trip Changes'!$E:$E)</f>
        <v>56.34</v>
      </c>
      <c r="AC459" s="4">
        <f>SUMIF('Trip Cancellations'!$B:$B,A459,'Trip Cancellations'!$E:$E)</f>
        <v>0</v>
      </c>
      <c r="AD459" s="4">
        <f>SUMIF('Trip Cancellations'!$B:$B,A459,'Trip Cancellations'!$F:$F)</f>
        <v>0</v>
      </c>
      <c r="AE459" s="4">
        <f t="shared" si="7"/>
        <v>1262.6899999999998</v>
      </c>
      <c r="AF459" t="s">
        <v>148</v>
      </c>
      <c r="AG459">
        <v>3</v>
      </c>
      <c r="AH459" s="5">
        <v>269.39999999999998</v>
      </c>
      <c r="AI459" t="s">
        <v>147</v>
      </c>
    </row>
    <row r="460" spans="1:35">
      <c r="A460" t="s">
        <v>797</v>
      </c>
      <c r="B460" t="s">
        <v>796</v>
      </c>
      <c r="C460" t="s">
        <v>142</v>
      </c>
      <c r="D460" t="s">
        <v>168</v>
      </c>
      <c r="E460" t="s">
        <v>249</v>
      </c>
      <c r="F460" t="s">
        <v>189</v>
      </c>
      <c r="G460" s="3">
        <v>46183</v>
      </c>
      <c r="H460" s="3">
        <v>46198</v>
      </c>
      <c r="I460" s="3">
        <v>46202</v>
      </c>
      <c r="J460" t="s">
        <v>141</v>
      </c>
      <c r="K460" t="s">
        <v>142</v>
      </c>
      <c r="L460" t="s">
        <v>227</v>
      </c>
      <c r="M460" t="s">
        <v>152</v>
      </c>
      <c r="N460" t="s">
        <v>153</v>
      </c>
      <c r="O460">
        <v>2752</v>
      </c>
      <c r="P460">
        <v>15</v>
      </c>
      <c r="Q460" t="s">
        <v>145</v>
      </c>
      <c r="R460" t="s">
        <v>154</v>
      </c>
      <c r="S460" t="s">
        <v>164</v>
      </c>
      <c r="T460" s="4">
        <v>462.38</v>
      </c>
      <c r="U460" s="4">
        <v>0</v>
      </c>
      <c r="V460" s="4">
        <v>3</v>
      </c>
      <c r="W460" s="4">
        <v>384.56</v>
      </c>
      <c r="X460" s="4">
        <v>72.2</v>
      </c>
      <c r="Y460" s="4">
        <v>919.14</v>
      </c>
      <c r="Z460" s="4" t="s">
        <v>147</v>
      </c>
      <c r="AA460" s="4" t="s">
        <v>147</v>
      </c>
      <c r="AB460" s="4">
        <f>SUMIF('Trip Changes'!$B:$B,A460,'Trip Changes'!$E:$E)</f>
        <v>0</v>
      </c>
      <c r="AC460" s="4">
        <f>SUMIF('Trip Cancellations'!$B:$B,A460,'Trip Cancellations'!$E:$E)</f>
        <v>0</v>
      </c>
      <c r="AD460" s="4">
        <f>SUMIF('Trip Cancellations'!$B:$B,A460,'Trip Cancellations'!$F:$F)</f>
        <v>0</v>
      </c>
      <c r="AE460" s="4">
        <f t="shared" si="7"/>
        <v>919.14</v>
      </c>
      <c r="AF460" t="s">
        <v>148</v>
      </c>
      <c r="AG460">
        <v>4</v>
      </c>
      <c r="AH460" s="5">
        <v>412.8</v>
      </c>
      <c r="AI460" t="s">
        <v>147</v>
      </c>
    </row>
    <row r="461" spans="1:35">
      <c r="A461" t="s">
        <v>798</v>
      </c>
      <c r="B461" t="s">
        <v>796</v>
      </c>
      <c r="C461" t="s">
        <v>142</v>
      </c>
      <c r="D461" t="s">
        <v>168</v>
      </c>
      <c r="E461" t="s">
        <v>249</v>
      </c>
      <c r="F461" t="s">
        <v>140</v>
      </c>
      <c r="G461" s="3">
        <v>46148</v>
      </c>
      <c r="H461" s="3">
        <v>46162</v>
      </c>
      <c r="I461" s="3">
        <v>46167</v>
      </c>
      <c r="J461" t="s">
        <v>163</v>
      </c>
      <c r="K461" t="s">
        <v>142</v>
      </c>
      <c r="L461" t="s">
        <v>223</v>
      </c>
      <c r="M461" t="s">
        <v>152</v>
      </c>
      <c r="N461" t="s">
        <v>153</v>
      </c>
      <c r="O461">
        <v>19816</v>
      </c>
      <c r="P461">
        <v>14</v>
      </c>
      <c r="Q461" t="s">
        <v>216</v>
      </c>
      <c r="R461" t="s">
        <v>441</v>
      </c>
      <c r="S461" t="s">
        <v>164</v>
      </c>
      <c r="T461" s="4">
        <v>795.8</v>
      </c>
      <c r="U461" s="4">
        <v>0</v>
      </c>
      <c r="V461" s="4">
        <v>4</v>
      </c>
      <c r="W461" s="4">
        <v>364.1</v>
      </c>
      <c r="X461" s="4">
        <v>86.95</v>
      </c>
      <c r="Y461" s="4">
        <v>1246.8499999999999</v>
      </c>
      <c r="Z461" s="4" t="s">
        <v>147</v>
      </c>
      <c r="AA461" s="4" t="s">
        <v>147</v>
      </c>
      <c r="AB461" s="4">
        <f>SUMIF('Trip Changes'!$B:$B,A461,'Trip Changes'!$E:$E)</f>
        <v>0</v>
      </c>
      <c r="AC461" s="4">
        <f>SUMIF('Trip Cancellations'!$B:$B,A461,'Trip Cancellations'!$E:$E)</f>
        <v>0</v>
      </c>
      <c r="AD461" s="4">
        <f>SUMIF('Trip Cancellations'!$B:$B,A461,'Trip Cancellations'!$F:$F)</f>
        <v>0</v>
      </c>
      <c r="AE461" s="4">
        <f t="shared" si="7"/>
        <v>1246.8499999999999</v>
      </c>
      <c r="AF461" t="s">
        <v>148</v>
      </c>
      <c r="AG461">
        <v>5</v>
      </c>
      <c r="AH461" s="5">
        <v>2972.4</v>
      </c>
      <c r="AI461" t="s">
        <v>148</v>
      </c>
    </row>
    <row r="462" spans="1:35">
      <c r="A462" t="s">
        <v>799</v>
      </c>
      <c r="B462" t="s">
        <v>800</v>
      </c>
      <c r="C462" t="s">
        <v>257</v>
      </c>
      <c r="D462" t="s">
        <v>204</v>
      </c>
      <c r="E462" t="s">
        <v>249</v>
      </c>
      <c r="F462" t="s">
        <v>178</v>
      </c>
      <c r="G462" s="3">
        <v>46163</v>
      </c>
      <c r="H462" s="3">
        <v>46172</v>
      </c>
      <c r="I462" s="3">
        <v>46174</v>
      </c>
      <c r="J462" t="s">
        <v>163</v>
      </c>
      <c r="K462" t="s">
        <v>257</v>
      </c>
      <c r="L462" t="s">
        <v>142</v>
      </c>
      <c r="M462" t="s">
        <v>143</v>
      </c>
      <c r="N462" t="s">
        <v>144</v>
      </c>
      <c r="O462">
        <v>758</v>
      </c>
      <c r="P462">
        <v>9</v>
      </c>
      <c r="Q462" t="s">
        <v>145</v>
      </c>
      <c r="S462" t="s">
        <v>164</v>
      </c>
      <c r="T462" s="4">
        <v>0</v>
      </c>
      <c r="U462" s="4">
        <v>261.64</v>
      </c>
      <c r="V462" s="4">
        <v>1</v>
      </c>
      <c r="W462" s="4">
        <v>83.16</v>
      </c>
      <c r="X462" s="4">
        <v>20</v>
      </c>
      <c r="Y462" s="4">
        <v>364.8</v>
      </c>
      <c r="Z462" s="4" t="s">
        <v>147</v>
      </c>
      <c r="AA462" s="4" t="s">
        <v>148</v>
      </c>
      <c r="AB462" s="4">
        <f>SUMIF('Trip Changes'!$B:$B,A462,'Trip Changes'!$E:$E)</f>
        <v>0</v>
      </c>
      <c r="AC462" s="4">
        <f>SUMIF('Trip Cancellations'!$B:$B,A462,'Trip Cancellations'!$E:$E)</f>
        <v>22.27</v>
      </c>
      <c r="AD462" s="4">
        <f>SUMIF('Trip Cancellations'!$B:$B,A462,'Trip Cancellations'!$F:$F)</f>
        <v>0</v>
      </c>
      <c r="AE462" s="4">
        <f t="shared" si="7"/>
        <v>387.07</v>
      </c>
      <c r="AF462" t="s">
        <v>148</v>
      </c>
      <c r="AG462">
        <v>3</v>
      </c>
      <c r="AH462" s="5">
        <v>30.3</v>
      </c>
      <c r="AI462" t="s">
        <v>147</v>
      </c>
    </row>
    <row r="463" spans="1:35">
      <c r="A463" t="s">
        <v>801</v>
      </c>
      <c r="B463" t="s">
        <v>800</v>
      </c>
      <c r="C463" t="s">
        <v>257</v>
      </c>
      <c r="D463" t="s">
        <v>204</v>
      </c>
      <c r="E463" t="s">
        <v>249</v>
      </c>
      <c r="F463" t="s">
        <v>170</v>
      </c>
      <c r="G463" s="3">
        <v>46161</v>
      </c>
      <c r="H463" s="3">
        <v>46185</v>
      </c>
      <c r="I463" s="3">
        <v>46189</v>
      </c>
      <c r="J463" t="s">
        <v>141</v>
      </c>
      <c r="K463" t="s">
        <v>257</v>
      </c>
      <c r="L463" t="s">
        <v>264</v>
      </c>
      <c r="M463" t="s">
        <v>152</v>
      </c>
      <c r="N463" t="s">
        <v>153</v>
      </c>
      <c r="O463">
        <v>2660</v>
      </c>
      <c r="P463">
        <v>24</v>
      </c>
      <c r="Q463" t="s">
        <v>145</v>
      </c>
      <c r="R463" t="s">
        <v>172</v>
      </c>
      <c r="S463" t="s">
        <v>164</v>
      </c>
      <c r="T463" s="4">
        <v>363.87</v>
      </c>
      <c r="U463" s="4">
        <v>0</v>
      </c>
      <c r="V463" s="4">
        <v>3</v>
      </c>
      <c r="W463" s="4">
        <v>583.34</v>
      </c>
      <c r="X463" s="4">
        <v>81.62</v>
      </c>
      <c r="Y463" s="4">
        <v>1028.83</v>
      </c>
      <c r="Z463" s="4" t="s">
        <v>147</v>
      </c>
      <c r="AA463" s="4" t="s">
        <v>147</v>
      </c>
      <c r="AB463" s="4">
        <f>SUMIF('Trip Changes'!$B:$B,A463,'Trip Changes'!$E:$E)</f>
        <v>0</v>
      </c>
      <c r="AC463" s="4">
        <f>SUMIF('Trip Cancellations'!$B:$B,A463,'Trip Cancellations'!$E:$E)</f>
        <v>0</v>
      </c>
      <c r="AD463" s="4">
        <f>SUMIF('Trip Cancellations'!$B:$B,A463,'Trip Cancellations'!$F:$F)</f>
        <v>0</v>
      </c>
      <c r="AE463" s="4">
        <f t="shared" si="7"/>
        <v>1028.83</v>
      </c>
      <c r="AF463" t="s">
        <v>148</v>
      </c>
      <c r="AG463">
        <v>4</v>
      </c>
      <c r="AH463" s="5">
        <v>399</v>
      </c>
      <c r="AI463" t="s">
        <v>147</v>
      </c>
    </row>
    <row r="464" spans="1:35">
      <c r="A464" t="s">
        <v>802</v>
      </c>
      <c r="B464" t="s">
        <v>803</v>
      </c>
      <c r="C464" t="s">
        <v>182</v>
      </c>
      <c r="D464" t="s">
        <v>248</v>
      </c>
      <c r="E464" t="s">
        <v>262</v>
      </c>
      <c r="F464" t="s">
        <v>157</v>
      </c>
      <c r="G464" s="3">
        <v>46204</v>
      </c>
      <c r="H464" s="3">
        <v>46216</v>
      </c>
      <c r="I464" s="3">
        <v>46221</v>
      </c>
      <c r="J464" t="s">
        <v>150</v>
      </c>
      <c r="K464" t="s">
        <v>182</v>
      </c>
      <c r="L464" t="s">
        <v>233</v>
      </c>
      <c r="M464" t="s">
        <v>152</v>
      </c>
      <c r="N464" t="s">
        <v>153</v>
      </c>
      <c r="O464">
        <v>2934</v>
      </c>
      <c r="P464">
        <v>12</v>
      </c>
      <c r="Q464" t="s">
        <v>145</v>
      </c>
      <c r="R464" t="s">
        <v>154</v>
      </c>
      <c r="S464" t="s">
        <v>164</v>
      </c>
      <c r="T464" s="4">
        <v>292.22000000000003</v>
      </c>
      <c r="U464" s="4">
        <v>0</v>
      </c>
      <c r="V464" s="4">
        <v>4</v>
      </c>
      <c r="W464" s="4">
        <v>598.79999999999995</v>
      </c>
      <c r="X464" s="4">
        <v>50.4</v>
      </c>
      <c r="Y464" s="4">
        <v>941.42</v>
      </c>
      <c r="Z464" s="4" t="s">
        <v>147</v>
      </c>
      <c r="AA464" s="4" t="s">
        <v>148</v>
      </c>
      <c r="AB464" s="4">
        <f>SUMIF('Trip Changes'!$B:$B,A464,'Trip Changes'!$E:$E)</f>
        <v>0</v>
      </c>
      <c r="AC464" s="4">
        <f>SUMIF('Trip Cancellations'!$B:$B,A464,'Trip Cancellations'!$E:$E)</f>
        <v>104.04</v>
      </c>
      <c r="AD464" s="4">
        <f>SUMIF('Trip Cancellations'!$B:$B,A464,'Trip Cancellations'!$F:$F)</f>
        <v>445.51</v>
      </c>
      <c r="AE464" s="4">
        <f t="shared" si="7"/>
        <v>599.95000000000005</v>
      </c>
      <c r="AF464" t="s">
        <v>148</v>
      </c>
      <c r="AG464">
        <v>4</v>
      </c>
      <c r="AH464" s="5">
        <v>440.1</v>
      </c>
      <c r="AI464" t="s">
        <v>147</v>
      </c>
    </row>
    <row r="465" spans="1:35">
      <c r="A465" t="s">
        <v>804</v>
      </c>
      <c r="B465" t="s">
        <v>803</v>
      </c>
      <c r="C465" t="s">
        <v>182</v>
      </c>
      <c r="D465" t="s">
        <v>248</v>
      </c>
      <c r="E465" t="s">
        <v>262</v>
      </c>
      <c r="F465" t="s">
        <v>140</v>
      </c>
      <c r="G465" s="3">
        <v>46199</v>
      </c>
      <c r="H465" s="3">
        <v>46200</v>
      </c>
      <c r="I465" s="3">
        <v>46203</v>
      </c>
      <c r="J465" t="s">
        <v>141</v>
      </c>
      <c r="K465" t="s">
        <v>182</v>
      </c>
      <c r="L465" t="s">
        <v>307</v>
      </c>
      <c r="M465" t="s">
        <v>143</v>
      </c>
      <c r="N465" t="s">
        <v>153</v>
      </c>
      <c r="O465">
        <v>1076</v>
      </c>
      <c r="P465">
        <v>1</v>
      </c>
      <c r="Q465" t="s">
        <v>159</v>
      </c>
      <c r="R465" t="s">
        <v>154</v>
      </c>
      <c r="S465" t="s">
        <v>164</v>
      </c>
      <c r="T465" s="4">
        <v>290.29000000000002</v>
      </c>
      <c r="U465" s="4">
        <v>0</v>
      </c>
      <c r="V465" s="4">
        <v>2</v>
      </c>
      <c r="W465" s="4">
        <v>385.71</v>
      </c>
      <c r="X465" s="4">
        <v>30.27</v>
      </c>
      <c r="Y465" s="4">
        <v>706.27</v>
      </c>
      <c r="Z465" s="4" t="s">
        <v>147</v>
      </c>
      <c r="AA465" s="4" t="s">
        <v>147</v>
      </c>
      <c r="AB465" s="4">
        <f>SUMIF('Trip Changes'!$B:$B,A465,'Trip Changes'!$E:$E)</f>
        <v>0</v>
      </c>
      <c r="AC465" s="4">
        <f>SUMIF('Trip Cancellations'!$B:$B,A465,'Trip Cancellations'!$E:$E)</f>
        <v>0</v>
      </c>
      <c r="AD465" s="4">
        <f>SUMIF('Trip Cancellations'!$B:$B,A465,'Trip Cancellations'!$F:$F)</f>
        <v>0</v>
      </c>
      <c r="AE465" s="4">
        <f t="shared" si="7"/>
        <v>706.27</v>
      </c>
      <c r="AF465" t="s">
        <v>148</v>
      </c>
      <c r="AG465">
        <v>4</v>
      </c>
      <c r="AH465" s="5">
        <v>161.4</v>
      </c>
      <c r="AI465" t="s">
        <v>147</v>
      </c>
    </row>
    <row r="466" spans="1:35">
      <c r="A466" t="s">
        <v>805</v>
      </c>
      <c r="B466" t="s">
        <v>803</v>
      </c>
      <c r="C466" t="s">
        <v>182</v>
      </c>
      <c r="D466" t="s">
        <v>248</v>
      </c>
      <c r="E466" t="s">
        <v>262</v>
      </c>
      <c r="F466" t="s">
        <v>189</v>
      </c>
      <c r="G466" s="3">
        <v>46215</v>
      </c>
      <c r="H466" s="3">
        <v>46232</v>
      </c>
      <c r="I466" s="3">
        <v>46236</v>
      </c>
      <c r="J466" t="s">
        <v>150</v>
      </c>
      <c r="K466" t="s">
        <v>182</v>
      </c>
      <c r="L466" t="s">
        <v>185</v>
      </c>
      <c r="M466" t="s">
        <v>152</v>
      </c>
      <c r="N466" t="s">
        <v>153</v>
      </c>
      <c r="O466">
        <v>10320</v>
      </c>
      <c r="P466">
        <v>17</v>
      </c>
      <c r="Q466" t="s">
        <v>145</v>
      </c>
      <c r="R466" t="s">
        <v>278</v>
      </c>
      <c r="S466" t="s">
        <v>155</v>
      </c>
      <c r="T466" s="4">
        <v>1212.95</v>
      </c>
      <c r="U466" s="4">
        <v>0</v>
      </c>
      <c r="V466" s="4">
        <v>3</v>
      </c>
      <c r="W466" s="4">
        <v>453.92</v>
      </c>
      <c r="X466" s="4">
        <v>77.84</v>
      </c>
      <c r="Y466" s="4">
        <v>1744.71</v>
      </c>
      <c r="Z466" s="4" t="s">
        <v>147</v>
      </c>
      <c r="AA466" s="4" t="s">
        <v>147</v>
      </c>
      <c r="AB466" s="4">
        <f>SUMIF('Trip Changes'!$B:$B,A466,'Trip Changes'!$E:$E)</f>
        <v>0</v>
      </c>
      <c r="AC466" s="4">
        <f>SUMIF('Trip Cancellations'!$B:$B,A466,'Trip Cancellations'!$E:$E)</f>
        <v>0</v>
      </c>
      <c r="AD466" s="4">
        <f>SUMIF('Trip Cancellations'!$B:$B,A466,'Trip Cancellations'!$F:$F)</f>
        <v>0</v>
      </c>
      <c r="AE466" s="4">
        <f t="shared" si="7"/>
        <v>1744.71</v>
      </c>
      <c r="AF466" t="s">
        <v>148</v>
      </c>
      <c r="AG466">
        <v>5</v>
      </c>
      <c r="AH466" s="5">
        <v>1548</v>
      </c>
      <c r="AI466" t="s">
        <v>147</v>
      </c>
    </row>
    <row r="467" spans="1:35">
      <c r="A467" t="s">
        <v>806</v>
      </c>
      <c r="B467" t="s">
        <v>803</v>
      </c>
      <c r="C467" t="s">
        <v>182</v>
      </c>
      <c r="D467" t="s">
        <v>248</v>
      </c>
      <c r="E467" t="s">
        <v>262</v>
      </c>
      <c r="F467" t="s">
        <v>157</v>
      </c>
      <c r="G467" s="3">
        <v>46152</v>
      </c>
      <c r="H467" s="3">
        <v>46162</v>
      </c>
      <c r="I467" s="3">
        <v>46166</v>
      </c>
      <c r="J467" t="s">
        <v>163</v>
      </c>
      <c r="K467" t="s">
        <v>182</v>
      </c>
      <c r="L467" t="s">
        <v>225</v>
      </c>
      <c r="M467" t="s">
        <v>152</v>
      </c>
      <c r="N467" t="s">
        <v>153</v>
      </c>
      <c r="O467">
        <v>3028</v>
      </c>
      <c r="P467">
        <v>10</v>
      </c>
      <c r="Q467" t="s">
        <v>159</v>
      </c>
      <c r="R467" t="s">
        <v>236</v>
      </c>
      <c r="S467" t="s">
        <v>173</v>
      </c>
      <c r="T467" s="4">
        <v>218.15</v>
      </c>
      <c r="U467" s="4">
        <v>0</v>
      </c>
      <c r="V467" s="4">
        <v>3</v>
      </c>
      <c r="W467" s="4">
        <v>653.46</v>
      </c>
      <c r="X467" s="4">
        <v>87.07</v>
      </c>
      <c r="Y467" s="4">
        <v>958.68</v>
      </c>
      <c r="Z467" s="4" t="s">
        <v>147</v>
      </c>
      <c r="AA467" s="4" t="s">
        <v>147</v>
      </c>
      <c r="AB467" s="4">
        <f>SUMIF('Trip Changes'!$B:$B,A467,'Trip Changes'!$E:$E)</f>
        <v>0</v>
      </c>
      <c r="AC467" s="4">
        <f>SUMIF('Trip Cancellations'!$B:$B,A467,'Trip Cancellations'!$E:$E)</f>
        <v>0</v>
      </c>
      <c r="AD467" s="4">
        <f>SUMIF('Trip Cancellations'!$B:$B,A467,'Trip Cancellations'!$F:$F)</f>
        <v>0</v>
      </c>
      <c r="AE467" s="4">
        <f t="shared" si="7"/>
        <v>958.68</v>
      </c>
      <c r="AF467" t="s">
        <v>148</v>
      </c>
      <c r="AG467">
        <v>5</v>
      </c>
      <c r="AH467" s="5">
        <v>454.2</v>
      </c>
      <c r="AI467" t="s">
        <v>148</v>
      </c>
    </row>
    <row r="468" spans="1:35">
      <c r="A468" t="s">
        <v>807</v>
      </c>
      <c r="B468" t="s">
        <v>808</v>
      </c>
      <c r="C468" t="s">
        <v>182</v>
      </c>
      <c r="D468" t="s">
        <v>168</v>
      </c>
      <c r="E468" t="s">
        <v>268</v>
      </c>
      <c r="F468" t="s">
        <v>157</v>
      </c>
      <c r="G468" s="3">
        <v>46159</v>
      </c>
      <c r="H468" s="3">
        <v>46177</v>
      </c>
      <c r="I468" s="3">
        <v>46180</v>
      </c>
      <c r="J468" t="s">
        <v>141</v>
      </c>
      <c r="K468" t="s">
        <v>182</v>
      </c>
      <c r="L468" t="s">
        <v>203</v>
      </c>
      <c r="M468" t="s">
        <v>143</v>
      </c>
      <c r="N468" t="s">
        <v>144</v>
      </c>
      <c r="O468">
        <v>476</v>
      </c>
      <c r="P468">
        <v>18</v>
      </c>
      <c r="Q468" t="s">
        <v>159</v>
      </c>
      <c r="S468" t="s">
        <v>146</v>
      </c>
      <c r="T468" s="4">
        <v>0</v>
      </c>
      <c r="U468" s="4">
        <v>147.72</v>
      </c>
      <c r="V468" s="4">
        <v>2</v>
      </c>
      <c r="W468" s="4">
        <v>368.92</v>
      </c>
      <c r="X468" s="4">
        <v>20</v>
      </c>
      <c r="Y468" s="4">
        <v>536.64</v>
      </c>
      <c r="Z468" s="4" t="s">
        <v>148</v>
      </c>
      <c r="AA468" s="4" t="s">
        <v>147</v>
      </c>
      <c r="AB468" s="4">
        <f>SUMIF('Trip Changes'!$B:$B,A468,'Trip Changes'!$E:$E)</f>
        <v>18.170000000000002</v>
      </c>
      <c r="AC468" s="4">
        <f>SUMIF('Trip Cancellations'!$B:$B,A468,'Trip Cancellations'!$E:$E)</f>
        <v>0</v>
      </c>
      <c r="AD468" s="4">
        <f>SUMIF('Trip Cancellations'!$B:$B,A468,'Trip Cancellations'!$F:$F)</f>
        <v>0</v>
      </c>
      <c r="AE468" s="4">
        <f t="shared" si="7"/>
        <v>554.80999999999995</v>
      </c>
      <c r="AF468" t="s">
        <v>148</v>
      </c>
      <c r="AG468">
        <v>3</v>
      </c>
      <c r="AH468" s="5">
        <v>19</v>
      </c>
      <c r="AI468" t="s">
        <v>148</v>
      </c>
    </row>
    <row r="469" spans="1:35">
      <c r="A469" t="s">
        <v>809</v>
      </c>
      <c r="B469" t="s">
        <v>808</v>
      </c>
      <c r="C469" t="s">
        <v>182</v>
      </c>
      <c r="D469" t="s">
        <v>168</v>
      </c>
      <c r="E469" t="s">
        <v>268</v>
      </c>
      <c r="F469" t="s">
        <v>140</v>
      </c>
      <c r="G469" s="3">
        <v>46169</v>
      </c>
      <c r="H469" s="3">
        <v>46189</v>
      </c>
      <c r="I469" s="3">
        <v>46193</v>
      </c>
      <c r="J469" t="s">
        <v>141</v>
      </c>
      <c r="K469" t="s">
        <v>182</v>
      </c>
      <c r="L469" t="s">
        <v>264</v>
      </c>
      <c r="M469" t="s">
        <v>152</v>
      </c>
      <c r="N469" t="s">
        <v>153</v>
      </c>
      <c r="O469">
        <v>2368</v>
      </c>
      <c r="P469">
        <v>20</v>
      </c>
      <c r="Q469" t="s">
        <v>145</v>
      </c>
      <c r="R469" t="s">
        <v>236</v>
      </c>
      <c r="S469" t="s">
        <v>155</v>
      </c>
      <c r="T469" s="4">
        <v>505.73</v>
      </c>
      <c r="U469" s="4">
        <v>0</v>
      </c>
      <c r="V469" s="4">
        <v>3</v>
      </c>
      <c r="W469" s="4">
        <v>666.52</v>
      </c>
      <c r="X469" s="4">
        <v>71.23</v>
      </c>
      <c r="Y469" s="4">
        <v>1243.48</v>
      </c>
      <c r="Z469" s="4" t="s">
        <v>147</v>
      </c>
      <c r="AA469" s="4" t="s">
        <v>147</v>
      </c>
      <c r="AB469" s="4">
        <f>SUMIF('Trip Changes'!$B:$B,A469,'Trip Changes'!$E:$E)</f>
        <v>0</v>
      </c>
      <c r="AC469" s="4">
        <f>SUMIF('Trip Cancellations'!$B:$B,A469,'Trip Cancellations'!$E:$E)</f>
        <v>0</v>
      </c>
      <c r="AD469" s="4">
        <f>SUMIF('Trip Cancellations'!$B:$B,A469,'Trip Cancellations'!$F:$F)</f>
        <v>0</v>
      </c>
      <c r="AE469" s="4">
        <f t="shared" si="7"/>
        <v>1243.48</v>
      </c>
      <c r="AF469" t="s">
        <v>148</v>
      </c>
      <c r="AG469">
        <v>4</v>
      </c>
      <c r="AH469" s="5">
        <v>355.2</v>
      </c>
      <c r="AI469" t="s">
        <v>148</v>
      </c>
    </row>
    <row r="470" spans="1:35">
      <c r="A470" t="s">
        <v>810</v>
      </c>
      <c r="B470" t="s">
        <v>808</v>
      </c>
      <c r="C470" t="s">
        <v>182</v>
      </c>
      <c r="D470" t="s">
        <v>168</v>
      </c>
      <c r="E470" t="s">
        <v>268</v>
      </c>
      <c r="F470" t="s">
        <v>157</v>
      </c>
      <c r="G470" s="3">
        <v>46144</v>
      </c>
      <c r="H470" s="3">
        <v>46172</v>
      </c>
      <c r="I470" s="3">
        <v>46176</v>
      </c>
      <c r="J470" t="s">
        <v>163</v>
      </c>
      <c r="K470" t="s">
        <v>182</v>
      </c>
      <c r="L470" t="s">
        <v>199</v>
      </c>
      <c r="M470" t="s">
        <v>152</v>
      </c>
      <c r="N470" t="s">
        <v>153</v>
      </c>
      <c r="O470">
        <v>1256</v>
      </c>
      <c r="P470">
        <v>28</v>
      </c>
      <c r="Q470" t="s">
        <v>145</v>
      </c>
      <c r="R470" t="s">
        <v>291</v>
      </c>
      <c r="S470" t="s">
        <v>164</v>
      </c>
      <c r="T470" s="4">
        <v>150</v>
      </c>
      <c r="U470" s="4">
        <v>0</v>
      </c>
      <c r="V470" s="4">
        <v>3</v>
      </c>
      <c r="W470" s="4">
        <v>583.04999999999995</v>
      </c>
      <c r="X470" s="4">
        <v>48.17</v>
      </c>
      <c r="Y470" s="4">
        <v>781.22</v>
      </c>
      <c r="Z470" s="4" t="s">
        <v>147</v>
      </c>
      <c r="AA470" s="4" t="s">
        <v>147</v>
      </c>
      <c r="AB470" s="4">
        <f>SUMIF('Trip Changes'!$B:$B,A470,'Trip Changes'!$E:$E)</f>
        <v>0</v>
      </c>
      <c r="AC470" s="4">
        <f>SUMIF('Trip Cancellations'!$B:$B,A470,'Trip Cancellations'!$E:$E)</f>
        <v>0</v>
      </c>
      <c r="AD470" s="4">
        <f>SUMIF('Trip Cancellations'!$B:$B,A470,'Trip Cancellations'!$F:$F)</f>
        <v>0</v>
      </c>
      <c r="AE470" s="4">
        <f t="shared" si="7"/>
        <v>781.22</v>
      </c>
      <c r="AF470" t="s">
        <v>148</v>
      </c>
      <c r="AG470">
        <v>4</v>
      </c>
      <c r="AH470" s="5">
        <v>188.4</v>
      </c>
      <c r="AI470" t="s">
        <v>148</v>
      </c>
    </row>
    <row r="471" spans="1:35">
      <c r="A471" t="s">
        <v>811</v>
      </c>
      <c r="B471" t="s">
        <v>808</v>
      </c>
      <c r="C471" t="s">
        <v>182</v>
      </c>
      <c r="D471" t="s">
        <v>168</v>
      </c>
      <c r="E471" t="s">
        <v>268</v>
      </c>
      <c r="F471" t="s">
        <v>157</v>
      </c>
      <c r="G471" s="3">
        <v>46164</v>
      </c>
      <c r="H471" s="3">
        <v>46167</v>
      </c>
      <c r="I471" s="3">
        <v>46170</v>
      </c>
      <c r="J471" t="s">
        <v>163</v>
      </c>
      <c r="K471" t="s">
        <v>182</v>
      </c>
      <c r="L471" t="s">
        <v>203</v>
      </c>
      <c r="M471" t="s">
        <v>143</v>
      </c>
      <c r="N471" t="s">
        <v>144</v>
      </c>
      <c r="O471">
        <v>806</v>
      </c>
      <c r="P471">
        <v>3</v>
      </c>
      <c r="Q471" t="s">
        <v>145</v>
      </c>
      <c r="S471" t="s">
        <v>155</v>
      </c>
      <c r="T471" s="4">
        <v>0</v>
      </c>
      <c r="U471" s="4">
        <v>287.41000000000003</v>
      </c>
      <c r="V471" s="4">
        <v>2</v>
      </c>
      <c r="W471" s="4">
        <v>476.08</v>
      </c>
      <c r="X471" s="4">
        <v>49.49</v>
      </c>
      <c r="Y471" s="4">
        <v>812.98</v>
      </c>
      <c r="Z471" s="4" t="s">
        <v>147</v>
      </c>
      <c r="AA471" s="4" t="s">
        <v>147</v>
      </c>
      <c r="AB471" s="4">
        <f>SUMIF('Trip Changes'!$B:$B,A471,'Trip Changes'!$E:$E)</f>
        <v>0</v>
      </c>
      <c r="AC471" s="4">
        <f>SUMIF('Trip Cancellations'!$B:$B,A471,'Trip Cancellations'!$E:$E)</f>
        <v>0</v>
      </c>
      <c r="AD471" s="4">
        <f>SUMIF('Trip Cancellations'!$B:$B,A471,'Trip Cancellations'!$F:$F)</f>
        <v>0</v>
      </c>
      <c r="AE471" s="4">
        <f t="shared" si="7"/>
        <v>812.98</v>
      </c>
      <c r="AF471" t="s">
        <v>148</v>
      </c>
      <c r="AG471">
        <v>4</v>
      </c>
      <c r="AH471" s="5">
        <v>32.200000000000003</v>
      </c>
      <c r="AI471" t="s">
        <v>147</v>
      </c>
    </row>
    <row r="472" spans="1:35">
      <c r="A472" t="s">
        <v>812</v>
      </c>
      <c r="B472" t="s">
        <v>808</v>
      </c>
      <c r="C472" t="s">
        <v>182</v>
      </c>
      <c r="D472" t="s">
        <v>168</v>
      </c>
      <c r="E472" t="s">
        <v>268</v>
      </c>
      <c r="F472" t="s">
        <v>181</v>
      </c>
      <c r="G472" s="3">
        <v>46155</v>
      </c>
      <c r="H472" s="3">
        <v>46174</v>
      </c>
      <c r="I472" s="3">
        <v>46179</v>
      </c>
      <c r="J472" t="s">
        <v>141</v>
      </c>
      <c r="K472" t="s">
        <v>182</v>
      </c>
      <c r="L472" t="s">
        <v>223</v>
      </c>
      <c r="M472" t="s">
        <v>152</v>
      </c>
      <c r="N472" t="s">
        <v>153</v>
      </c>
      <c r="O472">
        <v>13262</v>
      </c>
      <c r="P472">
        <v>19</v>
      </c>
      <c r="Q472" t="s">
        <v>159</v>
      </c>
      <c r="R472" t="s">
        <v>441</v>
      </c>
      <c r="S472" t="s">
        <v>187</v>
      </c>
      <c r="T472" s="4">
        <v>1264.67</v>
      </c>
      <c r="U472" s="4">
        <v>0</v>
      </c>
      <c r="V472" s="4">
        <v>4</v>
      </c>
      <c r="W472" s="4">
        <v>611.54999999999995</v>
      </c>
      <c r="X472" s="4">
        <v>98.23</v>
      </c>
      <c r="Y472" s="4">
        <v>1974.45</v>
      </c>
      <c r="Z472" s="4" t="s">
        <v>147</v>
      </c>
      <c r="AA472" s="4" t="s">
        <v>147</v>
      </c>
      <c r="AB472" s="4">
        <f>SUMIF('Trip Changes'!$B:$B,A472,'Trip Changes'!$E:$E)</f>
        <v>0</v>
      </c>
      <c r="AC472" s="4">
        <f>SUMIF('Trip Cancellations'!$B:$B,A472,'Trip Cancellations'!$E:$E)</f>
        <v>0</v>
      </c>
      <c r="AD472" s="4">
        <f>SUMIF('Trip Cancellations'!$B:$B,A472,'Trip Cancellations'!$F:$F)</f>
        <v>0</v>
      </c>
      <c r="AE472" s="4">
        <f t="shared" si="7"/>
        <v>1974.45</v>
      </c>
      <c r="AF472" t="s">
        <v>148</v>
      </c>
      <c r="AG472">
        <v>4</v>
      </c>
      <c r="AH472" s="5">
        <v>1989.3</v>
      </c>
      <c r="AI472" t="s">
        <v>147</v>
      </c>
    </row>
    <row r="473" spans="1:35">
      <c r="A473" t="s">
        <v>813</v>
      </c>
      <c r="B473" t="s">
        <v>814</v>
      </c>
      <c r="C473" t="s">
        <v>220</v>
      </c>
      <c r="D473" t="s">
        <v>230</v>
      </c>
      <c r="E473" t="s">
        <v>262</v>
      </c>
      <c r="F473" t="s">
        <v>162</v>
      </c>
      <c r="G473" s="3">
        <v>46171</v>
      </c>
      <c r="H473" s="3">
        <v>46183</v>
      </c>
      <c r="I473" s="3">
        <v>46189</v>
      </c>
      <c r="J473" t="s">
        <v>141</v>
      </c>
      <c r="K473" t="s">
        <v>220</v>
      </c>
      <c r="L473" t="s">
        <v>197</v>
      </c>
      <c r="M473" t="s">
        <v>152</v>
      </c>
      <c r="N473" t="s">
        <v>153</v>
      </c>
      <c r="O473">
        <v>11448</v>
      </c>
      <c r="P473">
        <v>12</v>
      </c>
      <c r="Q473" t="s">
        <v>145</v>
      </c>
      <c r="R473" t="s">
        <v>186</v>
      </c>
      <c r="S473" t="s">
        <v>173</v>
      </c>
      <c r="T473" s="4">
        <v>1092.9000000000001</v>
      </c>
      <c r="U473" s="4">
        <v>0</v>
      </c>
      <c r="V473" s="4">
        <v>5</v>
      </c>
      <c r="W473" s="4">
        <v>802.59</v>
      </c>
      <c r="X473" s="4">
        <v>92.73</v>
      </c>
      <c r="Y473" s="4">
        <v>1988.22</v>
      </c>
      <c r="Z473" s="4" t="s">
        <v>147</v>
      </c>
      <c r="AA473" s="4" t="s">
        <v>147</v>
      </c>
      <c r="AB473" s="4">
        <f>SUMIF('Trip Changes'!$B:$B,A473,'Trip Changes'!$E:$E)</f>
        <v>0</v>
      </c>
      <c r="AC473" s="4">
        <f>SUMIF('Trip Cancellations'!$B:$B,A473,'Trip Cancellations'!$E:$E)</f>
        <v>0</v>
      </c>
      <c r="AD473" s="4">
        <f>SUMIF('Trip Cancellations'!$B:$B,A473,'Trip Cancellations'!$F:$F)</f>
        <v>0</v>
      </c>
      <c r="AE473" s="4">
        <f t="shared" si="7"/>
        <v>1988.22</v>
      </c>
      <c r="AF473" t="s">
        <v>148</v>
      </c>
      <c r="AG473">
        <v>4</v>
      </c>
      <c r="AH473" s="5">
        <v>1717.2</v>
      </c>
      <c r="AI473" t="s">
        <v>147</v>
      </c>
    </row>
    <row r="474" spans="1:35">
      <c r="A474" t="s">
        <v>815</v>
      </c>
      <c r="B474" t="s">
        <v>814</v>
      </c>
      <c r="C474" t="s">
        <v>220</v>
      </c>
      <c r="D474" t="s">
        <v>230</v>
      </c>
      <c r="E474" t="s">
        <v>262</v>
      </c>
      <c r="F474" t="s">
        <v>162</v>
      </c>
      <c r="G474" s="3">
        <v>46192</v>
      </c>
      <c r="H474" s="3">
        <v>46204</v>
      </c>
      <c r="I474" s="3">
        <v>46207</v>
      </c>
      <c r="J474" t="s">
        <v>150</v>
      </c>
      <c r="K474" t="s">
        <v>220</v>
      </c>
      <c r="L474" t="s">
        <v>185</v>
      </c>
      <c r="M474" t="s">
        <v>152</v>
      </c>
      <c r="N474" t="s">
        <v>153</v>
      </c>
      <c r="O474">
        <v>11908</v>
      </c>
      <c r="P474">
        <v>12</v>
      </c>
      <c r="Q474" t="s">
        <v>145</v>
      </c>
      <c r="R474" t="s">
        <v>154</v>
      </c>
      <c r="S474" t="s">
        <v>164</v>
      </c>
      <c r="T474" s="4">
        <v>1212.01</v>
      </c>
      <c r="U474" s="4">
        <v>0</v>
      </c>
      <c r="V474" s="4">
        <v>2</v>
      </c>
      <c r="W474" s="4">
        <v>380.68</v>
      </c>
      <c r="X474" s="4">
        <v>84.5</v>
      </c>
      <c r="Y474" s="4">
        <v>1677.19</v>
      </c>
      <c r="Z474" s="4" t="s">
        <v>148</v>
      </c>
      <c r="AA474" s="4" t="s">
        <v>147</v>
      </c>
      <c r="AB474" s="4">
        <f>SUMIF('Trip Changes'!$B:$B,A474,'Trip Changes'!$E:$E)</f>
        <v>15</v>
      </c>
      <c r="AC474" s="4">
        <f>SUMIF('Trip Cancellations'!$B:$B,A474,'Trip Cancellations'!$E:$E)</f>
        <v>0</v>
      </c>
      <c r="AD474" s="4">
        <f>SUMIF('Trip Cancellations'!$B:$B,A474,'Trip Cancellations'!$F:$F)</f>
        <v>0</v>
      </c>
      <c r="AE474" s="4">
        <f t="shared" si="7"/>
        <v>1692.19</v>
      </c>
      <c r="AF474" t="s">
        <v>148</v>
      </c>
      <c r="AG474">
        <v>5</v>
      </c>
      <c r="AH474" s="5">
        <v>1786.2</v>
      </c>
      <c r="AI474" t="s">
        <v>148</v>
      </c>
    </row>
    <row r="475" spans="1:35">
      <c r="A475" t="s">
        <v>816</v>
      </c>
      <c r="B475" t="s">
        <v>814</v>
      </c>
      <c r="C475" t="s">
        <v>220</v>
      </c>
      <c r="D475" t="s">
        <v>230</v>
      </c>
      <c r="E475" t="s">
        <v>262</v>
      </c>
      <c r="F475" t="s">
        <v>170</v>
      </c>
      <c r="G475" s="3">
        <v>46166</v>
      </c>
      <c r="H475" s="3">
        <v>46184</v>
      </c>
      <c r="I475" s="3">
        <v>46186</v>
      </c>
      <c r="J475" t="s">
        <v>141</v>
      </c>
      <c r="K475" t="s">
        <v>220</v>
      </c>
      <c r="L475" t="s">
        <v>182</v>
      </c>
      <c r="M475" t="s">
        <v>143</v>
      </c>
      <c r="N475" t="s">
        <v>144</v>
      </c>
      <c r="O475">
        <v>1080</v>
      </c>
      <c r="P475">
        <v>18</v>
      </c>
      <c r="Q475" t="s">
        <v>145</v>
      </c>
      <c r="S475" t="s">
        <v>146</v>
      </c>
      <c r="T475" s="4">
        <v>0</v>
      </c>
      <c r="U475" s="4">
        <v>316.89999999999998</v>
      </c>
      <c r="V475" s="4">
        <v>1</v>
      </c>
      <c r="W475" s="4">
        <v>94.88</v>
      </c>
      <c r="X475" s="4">
        <v>31.77</v>
      </c>
      <c r="Y475" s="4">
        <v>443.55</v>
      </c>
      <c r="Z475" s="4" t="s">
        <v>148</v>
      </c>
      <c r="AA475" s="4" t="s">
        <v>147</v>
      </c>
      <c r="AB475" s="4">
        <f>SUMIF('Trip Changes'!$B:$B,A475,'Trip Changes'!$E:$E)</f>
        <v>38.17</v>
      </c>
      <c r="AC475" s="4">
        <f>SUMIF('Trip Cancellations'!$B:$B,A475,'Trip Cancellations'!$E:$E)</f>
        <v>0</v>
      </c>
      <c r="AD475" s="4">
        <f>SUMIF('Trip Cancellations'!$B:$B,A475,'Trip Cancellations'!$F:$F)</f>
        <v>0</v>
      </c>
      <c r="AE475" s="4">
        <f t="shared" si="7"/>
        <v>481.72</v>
      </c>
      <c r="AF475" t="s">
        <v>147</v>
      </c>
      <c r="AG475">
        <v>4</v>
      </c>
      <c r="AH475" s="5">
        <v>43.2</v>
      </c>
      <c r="AI475" t="s">
        <v>147</v>
      </c>
    </row>
    <row r="476" spans="1:35">
      <c r="A476" t="s">
        <v>817</v>
      </c>
      <c r="B476" t="s">
        <v>818</v>
      </c>
      <c r="C476" t="s">
        <v>182</v>
      </c>
      <c r="D476" t="s">
        <v>168</v>
      </c>
      <c r="E476" t="s">
        <v>139</v>
      </c>
      <c r="F476" t="s">
        <v>157</v>
      </c>
      <c r="G476" s="3">
        <v>46191</v>
      </c>
      <c r="H476" s="3">
        <v>46204</v>
      </c>
      <c r="I476" s="3">
        <v>46207</v>
      </c>
      <c r="J476" t="s">
        <v>150</v>
      </c>
      <c r="K476" t="s">
        <v>182</v>
      </c>
      <c r="L476" t="s">
        <v>158</v>
      </c>
      <c r="M476" t="s">
        <v>152</v>
      </c>
      <c r="N476" t="s">
        <v>153</v>
      </c>
      <c r="O476">
        <v>2434</v>
      </c>
      <c r="P476">
        <v>13</v>
      </c>
      <c r="Q476" t="s">
        <v>145</v>
      </c>
      <c r="R476" t="s">
        <v>172</v>
      </c>
      <c r="S476" t="s">
        <v>155</v>
      </c>
      <c r="T476" s="4">
        <v>559.4</v>
      </c>
      <c r="U476" s="4">
        <v>0</v>
      </c>
      <c r="V476" s="4">
        <v>2</v>
      </c>
      <c r="W476" s="4">
        <v>382.08</v>
      </c>
      <c r="X476" s="4">
        <v>74.45</v>
      </c>
      <c r="Y476" s="4">
        <v>1015.93</v>
      </c>
      <c r="Z476" s="4" t="s">
        <v>147</v>
      </c>
      <c r="AA476" s="4" t="s">
        <v>147</v>
      </c>
      <c r="AB476" s="4">
        <f>SUMIF('Trip Changes'!$B:$B,A476,'Trip Changes'!$E:$E)</f>
        <v>0</v>
      </c>
      <c r="AC476" s="4">
        <f>SUMIF('Trip Cancellations'!$B:$B,A476,'Trip Cancellations'!$E:$E)</f>
        <v>0</v>
      </c>
      <c r="AD476" s="4">
        <f>SUMIF('Trip Cancellations'!$B:$B,A476,'Trip Cancellations'!$F:$F)</f>
        <v>0</v>
      </c>
      <c r="AE476" s="4">
        <f t="shared" si="7"/>
        <v>1015.93</v>
      </c>
      <c r="AF476" t="s">
        <v>148</v>
      </c>
      <c r="AG476">
        <v>3</v>
      </c>
      <c r="AH476" s="5">
        <v>365.1</v>
      </c>
      <c r="AI476" t="s">
        <v>147</v>
      </c>
    </row>
    <row r="477" spans="1:35">
      <c r="A477" t="s">
        <v>819</v>
      </c>
      <c r="B477" t="s">
        <v>818</v>
      </c>
      <c r="C477" t="s">
        <v>182</v>
      </c>
      <c r="D477" t="s">
        <v>168</v>
      </c>
      <c r="E477" t="s">
        <v>139</v>
      </c>
      <c r="F477" t="s">
        <v>162</v>
      </c>
      <c r="G477" s="3">
        <v>46193</v>
      </c>
      <c r="H477" s="3">
        <v>46198</v>
      </c>
      <c r="I477" s="3">
        <v>46200</v>
      </c>
      <c r="J477" t="s">
        <v>141</v>
      </c>
      <c r="K477" t="s">
        <v>182</v>
      </c>
      <c r="L477" t="s">
        <v>199</v>
      </c>
      <c r="M477" t="s">
        <v>152</v>
      </c>
      <c r="N477" t="s">
        <v>153</v>
      </c>
      <c r="O477">
        <v>2204</v>
      </c>
      <c r="P477">
        <v>5</v>
      </c>
      <c r="Q477" t="s">
        <v>159</v>
      </c>
      <c r="R477" t="s">
        <v>291</v>
      </c>
      <c r="S477" t="s">
        <v>155</v>
      </c>
      <c r="T477" s="4">
        <v>604.74</v>
      </c>
      <c r="U477" s="4">
        <v>0</v>
      </c>
      <c r="V477" s="4">
        <v>1</v>
      </c>
      <c r="W477" s="4">
        <v>179.34</v>
      </c>
      <c r="X477" s="4">
        <v>132.69</v>
      </c>
      <c r="Y477" s="4">
        <v>916.77</v>
      </c>
      <c r="Z477" s="4" t="s">
        <v>147</v>
      </c>
      <c r="AA477" s="4" t="s">
        <v>147</v>
      </c>
      <c r="AB477" s="4">
        <f>SUMIF('Trip Changes'!$B:$B,A477,'Trip Changes'!$E:$E)</f>
        <v>0</v>
      </c>
      <c r="AC477" s="4">
        <f>SUMIF('Trip Cancellations'!$B:$B,A477,'Trip Cancellations'!$E:$E)</f>
        <v>0</v>
      </c>
      <c r="AD477" s="4">
        <f>SUMIF('Trip Cancellations'!$B:$B,A477,'Trip Cancellations'!$F:$F)</f>
        <v>0</v>
      </c>
      <c r="AE477" s="4">
        <f t="shared" si="7"/>
        <v>916.77</v>
      </c>
      <c r="AF477" t="s">
        <v>148</v>
      </c>
      <c r="AG477">
        <v>5</v>
      </c>
      <c r="AH477" s="5">
        <v>330.6</v>
      </c>
      <c r="AI477" t="s">
        <v>147</v>
      </c>
    </row>
    <row r="478" spans="1:35">
      <c r="A478" t="s">
        <v>820</v>
      </c>
      <c r="B478" t="s">
        <v>818</v>
      </c>
      <c r="C478" t="s">
        <v>182</v>
      </c>
      <c r="D478" t="s">
        <v>168</v>
      </c>
      <c r="E478" t="s">
        <v>139</v>
      </c>
      <c r="F478" t="s">
        <v>189</v>
      </c>
      <c r="G478" s="3">
        <v>46154</v>
      </c>
      <c r="H478" s="3">
        <v>46171</v>
      </c>
      <c r="I478" s="3">
        <v>46175</v>
      </c>
      <c r="J478" t="s">
        <v>163</v>
      </c>
      <c r="K478" t="s">
        <v>182</v>
      </c>
      <c r="L478" t="s">
        <v>225</v>
      </c>
      <c r="M478" t="s">
        <v>152</v>
      </c>
      <c r="N478" t="s">
        <v>153</v>
      </c>
      <c r="O478">
        <v>3228</v>
      </c>
      <c r="P478">
        <v>17</v>
      </c>
      <c r="Q478" t="s">
        <v>216</v>
      </c>
      <c r="R478" t="s">
        <v>236</v>
      </c>
      <c r="S478" t="s">
        <v>187</v>
      </c>
      <c r="T478" s="4">
        <v>348.05</v>
      </c>
      <c r="U478" s="4">
        <v>0</v>
      </c>
      <c r="V478" s="4">
        <v>3</v>
      </c>
      <c r="W478" s="4">
        <v>415.19</v>
      </c>
      <c r="X478" s="4">
        <v>64.3</v>
      </c>
      <c r="Y478" s="4">
        <v>827.54</v>
      </c>
      <c r="Z478" s="4" t="s">
        <v>147</v>
      </c>
      <c r="AA478" s="4" t="s">
        <v>147</v>
      </c>
      <c r="AB478" s="4">
        <f>SUMIF('Trip Changes'!$B:$B,A478,'Trip Changes'!$E:$E)</f>
        <v>0</v>
      </c>
      <c r="AC478" s="4">
        <f>SUMIF('Trip Cancellations'!$B:$B,A478,'Trip Cancellations'!$E:$E)</f>
        <v>0</v>
      </c>
      <c r="AD478" s="4">
        <f>SUMIF('Trip Cancellations'!$B:$B,A478,'Trip Cancellations'!$F:$F)</f>
        <v>0</v>
      </c>
      <c r="AE478" s="4">
        <f t="shared" si="7"/>
        <v>827.54</v>
      </c>
      <c r="AF478" t="s">
        <v>147</v>
      </c>
      <c r="AG478">
        <v>4</v>
      </c>
      <c r="AH478" s="5">
        <v>484.2</v>
      </c>
      <c r="AI478" t="s">
        <v>147</v>
      </c>
    </row>
    <row r="479" spans="1:35">
      <c r="A479" t="s">
        <v>821</v>
      </c>
      <c r="B479" t="s">
        <v>822</v>
      </c>
      <c r="C479" t="s">
        <v>203</v>
      </c>
      <c r="D479" t="s">
        <v>204</v>
      </c>
      <c r="E479" t="s">
        <v>139</v>
      </c>
      <c r="F479" t="s">
        <v>140</v>
      </c>
      <c r="G479" s="3">
        <v>46182</v>
      </c>
      <c r="H479" s="3">
        <v>46203</v>
      </c>
      <c r="I479" s="3">
        <v>46207</v>
      </c>
      <c r="J479" t="s">
        <v>141</v>
      </c>
      <c r="K479" t="s">
        <v>203</v>
      </c>
      <c r="L479" t="s">
        <v>305</v>
      </c>
      <c r="M479" t="s">
        <v>152</v>
      </c>
      <c r="N479" t="s">
        <v>153</v>
      </c>
      <c r="O479">
        <v>11964</v>
      </c>
      <c r="P479">
        <v>21</v>
      </c>
      <c r="Q479" t="s">
        <v>216</v>
      </c>
      <c r="R479" t="s">
        <v>154</v>
      </c>
      <c r="S479" t="s">
        <v>187</v>
      </c>
      <c r="T479" s="4">
        <v>791.88</v>
      </c>
      <c r="U479" s="4">
        <v>0</v>
      </c>
      <c r="V479" s="4">
        <v>3</v>
      </c>
      <c r="W479" s="4">
        <v>482.28</v>
      </c>
      <c r="X479" s="4">
        <v>79.95</v>
      </c>
      <c r="Y479" s="4">
        <v>1354.11</v>
      </c>
      <c r="Z479" s="4" t="s">
        <v>148</v>
      </c>
      <c r="AA479" s="4" t="s">
        <v>147</v>
      </c>
      <c r="AB479" s="4">
        <f>SUMIF('Trip Changes'!$B:$B,A479,'Trip Changes'!$E:$E)</f>
        <v>15</v>
      </c>
      <c r="AC479" s="4">
        <f>SUMIF('Trip Cancellations'!$B:$B,A479,'Trip Cancellations'!$E:$E)</f>
        <v>0</v>
      </c>
      <c r="AD479" s="4">
        <f>SUMIF('Trip Cancellations'!$B:$B,A479,'Trip Cancellations'!$F:$F)</f>
        <v>0</v>
      </c>
      <c r="AE479" s="4">
        <f t="shared" si="7"/>
        <v>1369.11</v>
      </c>
      <c r="AF479" t="s">
        <v>148</v>
      </c>
      <c r="AG479">
        <v>4</v>
      </c>
      <c r="AH479" s="5">
        <v>1794.6</v>
      </c>
      <c r="AI479" t="s">
        <v>147</v>
      </c>
    </row>
    <row r="480" spans="1:35">
      <c r="A480" t="s">
        <v>823</v>
      </c>
      <c r="B480" t="s">
        <v>822</v>
      </c>
      <c r="C480" t="s">
        <v>203</v>
      </c>
      <c r="D480" t="s">
        <v>204</v>
      </c>
      <c r="E480" t="s">
        <v>139</v>
      </c>
      <c r="F480" t="s">
        <v>140</v>
      </c>
      <c r="G480" s="3">
        <v>46209</v>
      </c>
      <c r="H480" s="3">
        <v>46210</v>
      </c>
      <c r="I480" s="3">
        <v>46212</v>
      </c>
      <c r="J480" t="s">
        <v>150</v>
      </c>
      <c r="K480" t="s">
        <v>203</v>
      </c>
      <c r="L480" t="s">
        <v>233</v>
      </c>
      <c r="M480" t="s">
        <v>152</v>
      </c>
      <c r="N480" t="s">
        <v>153</v>
      </c>
      <c r="O480">
        <v>3524</v>
      </c>
      <c r="P480">
        <v>1</v>
      </c>
      <c r="Q480" t="s">
        <v>159</v>
      </c>
      <c r="R480" t="s">
        <v>154</v>
      </c>
      <c r="S480" t="s">
        <v>190</v>
      </c>
      <c r="T480" s="4">
        <v>556.66</v>
      </c>
      <c r="U480" s="4">
        <v>0</v>
      </c>
      <c r="V480" s="4">
        <v>1</v>
      </c>
      <c r="W480" s="4">
        <v>150.9</v>
      </c>
      <c r="X480" s="4">
        <v>98.98</v>
      </c>
      <c r="Y480" s="4">
        <v>806.54</v>
      </c>
      <c r="Z480" s="4" t="s">
        <v>147</v>
      </c>
      <c r="AA480" s="4" t="s">
        <v>147</v>
      </c>
      <c r="AB480" s="4">
        <f>SUMIF('Trip Changes'!$B:$B,A480,'Trip Changes'!$E:$E)</f>
        <v>0</v>
      </c>
      <c r="AC480" s="4">
        <f>SUMIF('Trip Cancellations'!$B:$B,A480,'Trip Cancellations'!$E:$E)</f>
        <v>0</v>
      </c>
      <c r="AD480" s="4">
        <f>SUMIF('Trip Cancellations'!$B:$B,A480,'Trip Cancellations'!$F:$F)</f>
        <v>0</v>
      </c>
      <c r="AE480" s="4">
        <f t="shared" si="7"/>
        <v>806.54</v>
      </c>
      <c r="AF480" t="s">
        <v>147</v>
      </c>
      <c r="AG480">
        <v>3</v>
      </c>
      <c r="AH480" s="5">
        <v>528.6</v>
      </c>
      <c r="AI480" t="s">
        <v>147</v>
      </c>
    </row>
    <row r="481" spans="1:35">
      <c r="A481" t="s">
        <v>824</v>
      </c>
      <c r="B481" t="s">
        <v>822</v>
      </c>
      <c r="C481" t="s">
        <v>203</v>
      </c>
      <c r="D481" t="s">
        <v>204</v>
      </c>
      <c r="E481" t="s">
        <v>139</v>
      </c>
      <c r="F481" t="s">
        <v>157</v>
      </c>
      <c r="G481" s="3">
        <v>46185</v>
      </c>
      <c r="H481" s="3">
        <v>46202</v>
      </c>
      <c r="I481" s="3">
        <v>46204</v>
      </c>
      <c r="J481" t="s">
        <v>141</v>
      </c>
      <c r="K481" t="s">
        <v>203</v>
      </c>
      <c r="L481" t="s">
        <v>182</v>
      </c>
      <c r="M481" t="s">
        <v>143</v>
      </c>
      <c r="N481" t="s">
        <v>144</v>
      </c>
      <c r="O481">
        <v>1230</v>
      </c>
      <c r="P481">
        <v>17</v>
      </c>
      <c r="Q481" t="s">
        <v>145</v>
      </c>
      <c r="S481" t="s">
        <v>146</v>
      </c>
      <c r="T481" s="4">
        <v>0</v>
      </c>
      <c r="U481" s="4">
        <v>358.23</v>
      </c>
      <c r="V481" s="4">
        <v>1</v>
      </c>
      <c r="W481" s="4">
        <v>138.69999999999999</v>
      </c>
      <c r="X481" s="4">
        <v>20</v>
      </c>
      <c r="Y481" s="4">
        <v>516.92999999999995</v>
      </c>
      <c r="Z481" s="4" t="s">
        <v>147</v>
      </c>
      <c r="AA481" s="4" t="s">
        <v>147</v>
      </c>
      <c r="AB481" s="4">
        <f>SUMIF('Trip Changes'!$B:$B,A481,'Trip Changes'!$E:$E)</f>
        <v>0</v>
      </c>
      <c r="AC481" s="4">
        <f>SUMIF('Trip Cancellations'!$B:$B,A481,'Trip Cancellations'!$E:$E)</f>
        <v>0</v>
      </c>
      <c r="AD481" s="4">
        <f>SUMIF('Trip Cancellations'!$B:$B,A481,'Trip Cancellations'!$F:$F)</f>
        <v>0</v>
      </c>
      <c r="AE481" s="4">
        <f t="shared" si="7"/>
        <v>516.92999999999995</v>
      </c>
      <c r="AF481" t="s">
        <v>148</v>
      </c>
      <c r="AG481">
        <v>4</v>
      </c>
      <c r="AH481" s="5">
        <v>49.2</v>
      </c>
      <c r="AI481" t="s">
        <v>147</v>
      </c>
    </row>
    <row r="482" spans="1:35">
      <c r="A482" t="s">
        <v>825</v>
      </c>
      <c r="B482" t="s">
        <v>822</v>
      </c>
      <c r="C482" t="s">
        <v>203</v>
      </c>
      <c r="D482" t="s">
        <v>204</v>
      </c>
      <c r="E482" t="s">
        <v>139</v>
      </c>
      <c r="F482" t="s">
        <v>140</v>
      </c>
      <c r="G482" s="3">
        <v>46183</v>
      </c>
      <c r="H482" s="3">
        <v>46185</v>
      </c>
      <c r="I482" s="3">
        <v>46188</v>
      </c>
      <c r="J482" t="s">
        <v>141</v>
      </c>
      <c r="K482" t="s">
        <v>203</v>
      </c>
      <c r="L482" t="s">
        <v>225</v>
      </c>
      <c r="M482" t="s">
        <v>152</v>
      </c>
      <c r="N482" t="s">
        <v>153</v>
      </c>
      <c r="O482">
        <v>2916</v>
      </c>
      <c r="P482">
        <v>2</v>
      </c>
      <c r="Q482" t="s">
        <v>145</v>
      </c>
      <c r="R482" t="s">
        <v>154</v>
      </c>
      <c r="S482" t="s">
        <v>155</v>
      </c>
      <c r="T482" s="4">
        <v>563.79999999999995</v>
      </c>
      <c r="U482" s="4">
        <v>0</v>
      </c>
      <c r="V482" s="4">
        <v>2</v>
      </c>
      <c r="W482" s="4">
        <v>521.82000000000005</v>
      </c>
      <c r="X482" s="4">
        <v>117.8</v>
      </c>
      <c r="Y482" s="4">
        <v>1203.42</v>
      </c>
      <c r="Z482" s="4" t="s">
        <v>148</v>
      </c>
      <c r="AA482" s="4" t="s">
        <v>147</v>
      </c>
      <c r="AB482" s="4">
        <f>SUMIF('Trip Changes'!$B:$B,A482,'Trip Changes'!$E:$E)</f>
        <v>81.96</v>
      </c>
      <c r="AC482" s="4">
        <f>SUMIF('Trip Cancellations'!$B:$B,A482,'Trip Cancellations'!$E:$E)</f>
        <v>0</v>
      </c>
      <c r="AD482" s="4">
        <f>SUMIF('Trip Cancellations'!$B:$B,A482,'Trip Cancellations'!$F:$F)</f>
        <v>0</v>
      </c>
      <c r="AE482" s="4">
        <f t="shared" si="7"/>
        <v>1285.3800000000001</v>
      </c>
      <c r="AF482" t="s">
        <v>147</v>
      </c>
      <c r="AG482">
        <v>4</v>
      </c>
      <c r="AH482" s="5">
        <v>437.4</v>
      </c>
      <c r="AI482" t="s">
        <v>148</v>
      </c>
    </row>
    <row r="483" spans="1:35">
      <c r="A483" t="s">
        <v>826</v>
      </c>
      <c r="B483" t="s">
        <v>822</v>
      </c>
      <c r="C483" t="s">
        <v>203</v>
      </c>
      <c r="D483" t="s">
        <v>204</v>
      </c>
      <c r="E483" t="s">
        <v>139</v>
      </c>
      <c r="F483" t="s">
        <v>140</v>
      </c>
      <c r="G483" s="3">
        <v>46132</v>
      </c>
      <c r="H483" s="3">
        <v>46153</v>
      </c>
      <c r="I483" s="3">
        <v>46159</v>
      </c>
      <c r="J483" t="s">
        <v>163</v>
      </c>
      <c r="K483" t="s">
        <v>203</v>
      </c>
      <c r="L483" t="s">
        <v>223</v>
      </c>
      <c r="M483" t="s">
        <v>152</v>
      </c>
      <c r="N483" t="s">
        <v>153</v>
      </c>
      <c r="O483">
        <v>12548</v>
      </c>
      <c r="P483">
        <v>21</v>
      </c>
      <c r="Q483" t="s">
        <v>159</v>
      </c>
      <c r="R483" t="s">
        <v>441</v>
      </c>
      <c r="S483" t="s">
        <v>187</v>
      </c>
      <c r="T483" s="4">
        <v>1075.92</v>
      </c>
      <c r="U483" s="4">
        <v>0</v>
      </c>
      <c r="V483" s="4">
        <v>5</v>
      </c>
      <c r="W483" s="4">
        <v>852.98</v>
      </c>
      <c r="X483" s="4">
        <v>71.08</v>
      </c>
      <c r="Y483" s="4">
        <v>1999.98</v>
      </c>
      <c r="Z483" s="4" t="s">
        <v>147</v>
      </c>
      <c r="AA483" s="4" t="s">
        <v>147</v>
      </c>
      <c r="AB483" s="4">
        <f>SUMIF('Trip Changes'!$B:$B,A483,'Trip Changes'!$E:$E)</f>
        <v>0</v>
      </c>
      <c r="AC483" s="4">
        <f>SUMIF('Trip Cancellations'!$B:$B,A483,'Trip Cancellations'!$E:$E)</f>
        <v>0</v>
      </c>
      <c r="AD483" s="4">
        <f>SUMIF('Trip Cancellations'!$B:$B,A483,'Trip Cancellations'!$F:$F)</f>
        <v>0</v>
      </c>
      <c r="AE483" s="4">
        <f t="shared" si="7"/>
        <v>1999.98</v>
      </c>
      <c r="AF483" t="s">
        <v>148</v>
      </c>
      <c r="AG483">
        <v>5</v>
      </c>
      <c r="AH483" s="5">
        <v>1882.2</v>
      </c>
      <c r="AI483" t="s">
        <v>148</v>
      </c>
    </row>
    <row r="484" spans="1:35">
      <c r="A484" t="s">
        <v>827</v>
      </c>
      <c r="B484" t="s">
        <v>828</v>
      </c>
      <c r="C484" t="s">
        <v>182</v>
      </c>
      <c r="D484" t="s">
        <v>138</v>
      </c>
      <c r="E484" t="s">
        <v>205</v>
      </c>
      <c r="F484" t="s">
        <v>178</v>
      </c>
      <c r="G484" s="3">
        <v>46163</v>
      </c>
      <c r="H484" s="3">
        <v>46181</v>
      </c>
      <c r="I484" s="3">
        <v>46184</v>
      </c>
      <c r="J484" t="s">
        <v>141</v>
      </c>
      <c r="K484" t="s">
        <v>182</v>
      </c>
      <c r="L484" t="s">
        <v>227</v>
      </c>
      <c r="M484" t="s">
        <v>152</v>
      </c>
      <c r="N484" t="s">
        <v>153</v>
      </c>
      <c r="O484">
        <v>2896</v>
      </c>
      <c r="P484">
        <v>18</v>
      </c>
      <c r="Q484" t="s">
        <v>145</v>
      </c>
      <c r="R484" t="s">
        <v>172</v>
      </c>
      <c r="S484" t="s">
        <v>190</v>
      </c>
      <c r="T484" s="4">
        <v>282.48</v>
      </c>
      <c r="U484" s="4">
        <v>0</v>
      </c>
      <c r="V484" s="4">
        <v>2</v>
      </c>
      <c r="W484" s="4">
        <v>334.26</v>
      </c>
      <c r="X484" s="4">
        <v>88.05</v>
      </c>
      <c r="Y484" s="4">
        <v>704.79</v>
      </c>
      <c r="Z484" s="4" t="s">
        <v>147</v>
      </c>
      <c r="AA484" s="4" t="s">
        <v>147</v>
      </c>
      <c r="AB484" s="4">
        <f>SUMIF('Trip Changes'!$B:$B,A484,'Trip Changes'!$E:$E)</f>
        <v>0</v>
      </c>
      <c r="AC484" s="4">
        <f>SUMIF('Trip Cancellations'!$B:$B,A484,'Trip Cancellations'!$E:$E)</f>
        <v>0</v>
      </c>
      <c r="AD484" s="4">
        <f>SUMIF('Trip Cancellations'!$B:$B,A484,'Trip Cancellations'!$F:$F)</f>
        <v>0</v>
      </c>
      <c r="AE484" s="4">
        <f t="shared" si="7"/>
        <v>704.79</v>
      </c>
      <c r="AF484" t="s">
        <v>148</v>
      </c>
      <c r="AG484">
        <v>4</v>
      </c>
      <c r="AH484" s="5">
        <v>434.4</v>
      </c>
      <c r="AI484" t="s">
        <v>147</v>
      </c>
    </row>
    <row r="485" spans="1:35">
      <c r="A485" t="s">
        <v>829</v>
      </c>
      <c r="B485" t="s">
        <v>828</v>
      </c>
      <c r="C485" t="s">
        <v>182</v>
      </c>
      <c r="D485" t="s">
        <v>138</v>
      </c>
      <c r="E485" t="s">
        <v>205</v>
      </c>
      <c r="F485" t="s">
        <v>140</v>
      </c>
      <c r="G485" s="3">
        <v>46202</v>
      </c>
      <c r="H485" s="3">
        <v>46222</v>
      </c>
      <c r="I485" s="3">
        <v>46224</v>
      </c>
      <c r="J485" t="s">
        <v>150</v>
      </c>
      <c r="K485" t="s">
        <v>182</v>
      </c>
      <c r="L485" t="s">
        <v>185</v>
      </c>
      <c r="M485" t="s">
        <v>152</v>
      </c>
      <c r="N485" t="s">
        <v>153</v>
      </c>
      <c r="O485">
        <v>10496</v>
      </c>
      <c r="P485">
        <v>20</v>
      </c>
      <c r="Q485" t="s">
        <v>159</v>
      </c>
      <c r="R485" t="s">
        <v>186</v>
      </c>
      <c r="S485" t="s">
        <v>164</v>
      </c>
      <c r="T485" s="4">
        <v>815.12</v>
      </c>
      <c r="U485" s="4">
        <v>0</v>
      </c>
      <c r="V485" s="4">
        <v>1</v>
      </c>
      <c r="W485" s="4">
        <v>170.92</v>
      </c>
      <c r="X485" s="4">
        <v>104.47</v>
      </c>
      <c r="Y485" s="4">
        <v>1090.51</v>
      </c>
      <c r="Z485" s="4" t="s">
        <v>147</v>
      </c>
      <c r="AA485" s="4" t="s">
        <v>147</v>
      </c>
      <c r="AB485" s="4">
        <f>SUMIF('Trip Changes'!$B:$B,A485,'Trip Changes'!$E:$E)</f>
        <v>0</v>
      </c>
      <c r="AC485" s="4">
        <f>SUMIF('Trip Cancellations'!$B:$B,A485,'Trip Cancellations'!$E:$E)</f>
        <v>0</v>
      </c>
      <c r="AD485" s="4">
        <f>SUMIF('Trip Cancellations'!$B:$B,A485,'Trip Cancellations'!$F:$F)</f>
        <v>0</v>
      </c>
      <c r="AE485" s="4">
        <f t="shared" si="7"/>
        <v>1090.51</v>
      </c>
      <c r="AF485" t="s">
        <v>148</v>
      </c>
      <c r="AG485">
        <v>4</v>
      </c>
      <c r="AH485" s="5">
        <v>1574.4</v>
      </c>
      <c r="AI485" t="s">
        <v>147</v>
      </c>
    </row>
    <row r="486" spans="1:35">
      <c r="A486" t="s">
        <v>830</v>
      </c>
      <c r="B486" t="s">
        <v>828</v>
      </c>
      <c r="C486" t="s">
        <v>182</v>
      </c>
      <c r="D486" t="s">
        <v>138</v>
      </c>
      <c r="E486" t="s">
        <v>205</v>
      </c>
      <c r="F486" t="s">
        <v>170</v>
      </c>
      <c r="G486" s="3">
        <v>46195</v>
      </c>
      <c r="H486" s="3">
        <v>46214</v>
      </c>
      <c r="I486" s="3">
        <v>46217</v>
      </c>
      <c r="J486" t="s">
        <v>150</v>
      </c>
      <c r="K486" t="s">
        <v>182</v>
      </c>
      <c r="L486" t="s">
        <v>193</v>
      </c>
      <c r="M486" t="s">
        <v>143</v>
      </c>
      <c r="N486" t="s">
        <v>153</v>
      </c>
      <c r="O486">
        <v>1214</v>
      </c>
      <c r="P486">
        <v>19</v>
      </c>
      <c r="Q486" t="s">
        <v>145</v>
      </c>
      <c r="R486" t="s">
        <v>154</v>
      </c>
      <c r="S486" t="s">
        <v>146</v>
      </c>
      <c r="T486" s="4">
        <v>311.04000000000002</v>
      </c>
      <c r="U486" s="4">
        <v>0</v>
      </c>
      <c r="V486" s="4">
        <v>2</v>
      </c>
      <c r="W486" s="4">
        <v>255.25</v>
      </c>
      <c r="X486" s="4">
        <v>64.94</v>
      </c>
      <c r="Y486" s="4">
        <v>631.23</v>
      </c>
      <c r="Z486" s="4" t="s">
        <v>148</v>
      </c>
      <c r="AA486" s="4" t="s">
        <v>147</v>
      </c>
      <c r="AB486" s="4">
        <f>SUMIF('Trip Changes'!$B:$B,A486,'Trip Changes'!$E:$E)</f>
        <v>100.62</v>
      </c>
      <c r="AC486" s="4">
        <f>SUMIF('Trip Cancellations'!$B:$B,A486,'Trip Cancellations'!$E:$E)</f>
        <v>0</v>
      </c>
      <c r="AD486" s="4">
        <f>SUMIF('Trip Cancellations'!$B:$B,A486,'Trip Cancellations'!$F:$F)</f>
        <v>0</v>
      </c>
      <c r="AE486" s="4">
        <f t="shared" si="7"/>
        <v>731.85</v>
      </c>
      <c r="AF486" t="s">
        <v>148</v>
      </c>
      <c r="AG486">
        <v>4</v>
      </c>
      <c r="AH486" s="5">
        <v>182.1</v>
      </c>
      <c r="AI486" t="s">
        <v>147</v>
      </c>
    </row>
    <row r="487" spans="1:35">
      <c r="A487" t="s">
        <v>831</v>
      </c>
      <c r="B487" t="s">
        <v>832</v>
      </c>
      <c r="C487" t="s">
        <v>282</v>
      </c>
      <c r="D487" t="s">
        <v>138</v>
      </c>
      <c r="E487" t="s">
        <v>169</v>
      </c>
      <c r="F487" t="s">
        <v>140</v>
      </c>
      <c r="G487" s="3">
        <v>46183</v>
      </c>
      <c r="H487" s="3">
        <v>46198</v>
      </c>
      <c r="I487" s="3">
        <v>46201</v>
      </c>
      <c r="J487" t="s">
        <v>141</v>
      </c>
      <c r="K487" t="s">
        <v>282</v>
      </c>
      <c r="L487" t="s">
        <v>225</v>
      </c>
      <c r="M487" t="s">
        <v>152</v>
      </c>
      <c r="N487" t="s">
        <v>153</v>
      </c>
      <c r="O487">
        <v>2384</v>
      </c>
      <c r="P487">
        <v>15</v>
      </c>
      <c r="Q487" t="s">
        <v>159</v>
      </c>
      <c r="R487" t="s">
        <v>154</v>
      </c>
      <c r="S487" t="s">
        <v>173</v>
      </c>
      <c r="T487" s="4">
        <v>464.93</v>
      </c>
      <c r="U487" s="4">
        <v>0</v>
      </c>
      <c r="V487" s="4">
        <v>2</v>
      </c>
      <c r="W487" s="4">
        <v>437.5</v>
      </c>
      <c r="X487" s="4">
        <v>61.51</v>
      </c>
      <c r="Y487" s="4">
        <v>963.94</v>
      </c>
      <c r="Z487" s="4" t="s">
        <v>147</v>
      </c>
      <c r="AA487" s="4" t="s">
        <v>147</v>
      </c>
      <c r="AB487" s="4">
        <f>SUMIF('Trip Changes'!$B:$B,A487,'Trip Changes'!$E:$E)</f>
        <v>0</v>
      </c>
      <c r="AC487" s="4">
        <f>SUMIF('Trip Cancellations'!$B:$B,A487,'Trip Cancellations'!$E:$E)</f>
        <v>0</v>
      </c>
      <c r="AD487" s="4">
        <f>SUMIF('Trip Cancellations'!$B:$B,A487,'Trip Cancellations'!$F:$F)</f>
        <v>0</v>
      </c>
      <c r="AE487" s="4">
        <f t="shared" si="7"/>
        <v>963.94</v>
      </c>
      <c r="AF487" t="s">
        <v>148</v>
      </c>
      <c r="AG487">
        <v>4</v>
      </c>
      <c r="AH487" s="5">
        <v>357.6</v>
      </c>
      <c r="AI487" t="s">
        <v>147</v>
      </c>
    </row>
    <row r="488" spans="1:35">
      <c r="A488" t="s">
        <v>833</v>
      </c>
      <c r="B488" t="s">
        <v>832</v>
      </c>
      <c r="C488" t="s">
        <v>282</v>
      </c>
      <c r="D488" t="s">
        <v>138</v>
      </c>
      <c r="E488" t="s">
        <v>169</v>
      </c>
      <c r="F488" t="s">
        <v>140</v>
      </c>
      <c r="G488" s="3">
        <v>46203</v>
      </c>
      <c r="H488" s="3">
        <v>46215</v>
      </c>
      <c r="I488" s="3">
        <v>46221</v>
      </c>
      <c r="J488" t="s">
        <v>150</v>
      </c>
      <c r="K488" t="s">
        <v>282</v>
      </c>
      <c r="L488" t="s">
        <v>197</v>
      </c>
      <c r="M488" t="s">
        <v>152</v>
      </c>
      <c r="N488" t="s">
        <v>153</v>
      </c>
      <c r="O488">
        <v>10096</v>
      </c>
      <c r="P488">
        <v>12</v>
      </c>
      <c r="Q488" t="s">
        <v>216</v>
      </c>
      <c r="R488" t="s">
        <v>154</v>
      </c>
      <c r="S488" t="s">
        <v>173</v>
      </c>
      <c r="T488" s="4">
        <v>1317.48</v>
      </c>
      <c r="U488" s="4">
        <v>0</v>
      </c>
      <c r="V488" s="4">
        <v>5</v>
      </c>
      <c r="W488" s="4">
        <v>1254.83</v>
      </c>
      <c r="X488" s="4">
        <v>76.930000000000007</v>
      </c>
      <c r="Y488" s="4">
        <v>2649.24</v>
      </c>
      <c r="Z488" s="4" t="s">
        <v>148</v>
      </c>
      <c r="AA488" s="4" t="s">
        <v>147</v>
      </c>
      <c r="AB488" s="4">
        <f>SUMIF('Trip Changes'!$B:$B,A488,'Trip Changes'!$E:$E)</f>
        <v>174.95999999999998</v>
      </c>
      <c r="AC488" s="4">
        <f>SUMIF('Trip Cancellations'!$B:$B,A488,'Trip Cancellations'!$E:$E)</f>
        <v>0</v>
      </c>
      <c r="AD488" s="4">
        <f>SUMIF('Trip Cancellations'!$B:$B,A488,'Trip Cancellations'!$F:$F)</f>
        <v>0</v>
      </c>
      <c r="AE488" s="4">
        <f t="shared" si="7"/>
        <v>2824.2</v>
      </c>
      <c r="AF488" t="s">
        <v>148</v>
      </c>
      <c r="AG488">
        <v>4</v>
      </c>
      <c r="AH488" s="5">
        <v>1514.4</v>
      </c>
      <c r="AI488" t="s">
        <v>147</v>
      </c>
    </row>
    <row r="489" spans="1:35">
      <c r="A489" t="s">
        <v>834</v>
      </c>
      <c r="B489" t="s">
        <v>835</v>
      </c>
      <c r="C489" t="s">
        <v>257</v>
      </c>
      <c r="D489" t="s">
        <v>138</v>
      </c>
      <c r="E489" t="s">
        <v>262</v>
      </c>
      <c r="F489" t="s">
        <v>157</v>
      </c>
      <c r="G489" s="3">
        <v>46201</v>
      </c>
      <c r="H489" s="3">
        <v>46210</v>
      </c>
      <c r="I489" s="3">
        <v>46215</v>
      </c>
      <c r="J489" t="s">
        <v>150</v>
      </c>
      <c r="K489" t="s">
        <v>257</v>
      </c>
      <c r="L489" t="s">
        <v>179</v>
      </c>
      <c r="M489" t="s">
        <v>152</v>
      </c>
      <c r="N489" t="s">
        <v>153</v>
      </c>
      <c r="O489">
        <v>18858</v>
      </c>
      <c r="P489">
        <v>9</v>
      </c>
      <c r="Q489" t="s">
        <v>159</v>
      </c>
      <c r="R489" t="s">
        <v>154</v>
      </c>
      <c r="S489" t="s">
        <v>155</v>
      </c>
      <c r="T489" s="4">
        <v>1518.98</v>
      </c>
      <c r="U489" s="4">
        <v>0</v>
      </c>
      <c r="V489" s="4">
        <v>4</v>
      </c>
      <c r="W489" s="4">
        <v>897.56</v>
      </c>
      <c r="X489" s="4">
        <v>61</v>
      </c>
      <c r="Y489" s="4">
        <v>2477.54</v>
      </c>
      <c r="Z489" s="4" t="s">
        <v>147</v>
      </c>
      <c r="AA489" s="4" t="s">
        <v>147</v>
      </c>
      <c r="AB489" s="4">
        <f>SUMIF('Trip Changes'!$B:$B,A489,'Trip Changes'!$E:$E)</f>
        <v>0</v>
      </c>
      <c r="AC489" s="4">
        <f>SUMIF('Trip Cancellations'!$B:$B,A489,'Trip Cancellations'!$E:$E)</f>
        <v>0</v>
      </c>
      <c r="AD489" s="4">
        <f>SUMIF('Trip Cancellations'!$B:$B,A489,'Trip Cancellations'!$F:$F)</f>
        <v>0</v>
      </c>
      <c r="AE489" s="4">
        <f t="shared" si="7"/>
        <v>2477.54</v>
      </c>
      <c r="AF489" t="s">
        <v>148</v>
      </c>
      <c r="AG489">
        <v>4</v>
      </c>
      <c r="AH489" s="5">
        <v>2828.7</v>
      </c>
      <c r="AI489" t="s">
        <v>147</v>
      </c>
    </row>
    <row r="490" spans="1:35">
      <c r="A490" t="s">
        <v>836</v>
      </c>
      <c r="B490" t="s">
        <v>835</v>
      </c>
      <c r="C490" t="s">
        <v>257</v>
      </c>
      <c r="D490" t="s">
        <v>138</v>
      </c>
      <c r="E490" t="s">
        <v>262</v>
      </c>
      <c r="F490" t="s">
        <v>178</v>
      </c>
      <c r="G490" s="3">
        <v>46187</v>
      </c>
      <c r="H490" s="3">
        <v>46191</v>
      </c>
      <c r="I490" s="3">
        <v>46195</v>
      </c>
      <c r="J490" t="s">
        <v>141</v>
      </c>
      <c r="K490" t="s">
        <v>257</v>
      </c>
      <c r="L490" t="s">
        <v>175</v>
      </c>
      <c r="M490" t="s">
        <v>152</v>
      </c>
      <c r="N490" t="s">
        <v>153</v>
      </c>
      <c r="O490">
        <v>3050</v>
      </c>
      <c r="P490">
        <v>4</v>
      </c>
      <c r="Q490" t="s">
        <v>145</v>
      </c>
      <c r="R490" t="s">
        <v>176</v>
      </c>
      <c r="S490" t="s">
        <v>155</v>
      </c>
      <c r="T490" s="4">
        <v>788.95</v>
      </c>
      <c r="U490" s="4">
        <v>0</v>
      </c>
      <c r="V490" s="4">
        <v>3</v>
      </c>
      <c r="W490" s="4">
        <v>455.42</v>
      </c>
      <c r="X490" s="4">
        <v>92.6</v>
      </c>
      <c r="Y490" s="4">
        <v>1336.97</v>
      </c>
      <c r="Z490" s="4" t="s">
        <v>147</v>
      </c>
      <c r="AA490" s="4" t="s">
        <v>147</v>
      </c>
      <c r="AB490" s="4">
        <f>SUMIF('Trip Changes'!$B:$B,A490,'Trip Changes'!$E:$E)</f>
        <v>0</v>
      </c>
      <c r="AC490" s="4">
        <f>SUMIF('Trip Cancellations'!$B:$B,A490,'Trip Cancellations'!$E:$E)</f>
        <v>0</v>
      </c>
      <c r="AD490" s="4">
        <f>SUMIF('Trip Cancellations'!$B:$B,A490,'Trip Cancellations'!$F:$F)</f>
        <v>0</v>
      </c>
      <c r="AE490" s="4">
        <f t="shared" si="7"/>
        <v>1336.97</v>
      </c>
      <c r="AF490" t="s">
        <v>148</v>
      </c>
      <c r="AG490">
        <v>4</v>
      </c>
      <c r="AH490" s="5">
        <v>457.5</v>
      </c>
      <c r="AI490" t="s">
        <v>147</v>
      </c>
    </row>
    <row r="491" spans="1:35">
      <c r="A491" t="s">
        <v>837</v>
      </c>
      <c r="B491" t="s">
        <v>835</v>
      </c>
      <c r="C491" t="s">
        <v>257</v>
      </c>
      <c r="D491" t="s">
        <v>138</v>
      </c>
      <c r="E491" t="s">
        <v>262</v>
      </c>
      <c r="F491" t="s">
        <v>140</v>
      </c>
      <c r="G491" s="3">
        <v>46205</v>
      </c>
      <c r="H491" s="3">
        <v>46214</v>
      </c>
      <c r="I491" s="3">
        <v>46221</v>
      </c>
      <c r="J491" t="s">
        <v>150</v>
      </c>
      <c r="K491" t="s">
        <v>257</v>
      </c>
      <c r="L491" t="s">
        <v>223</v>
      </c>
      <c r="M491" t="s">
        <v>152</v>
      </c>
      <c r="N491" t="s">
        <v>153</v>
      </c>
      <c r="O491">
        <v>11972</v>
      </c>
      <c r="P491">
        <v>9</v>
      </c>
      <c r="Q491" t="s">
        <v>145</v>
      </c>
      <c r="R491" t="s">
        <v>154</v>
      </c>
      <c r="S491" t="s">
        <v>164</v>
      </c>
      <c r="T491" s="4">
        <v>1109.56</v>
      </c>
      <c r="U491" s="4">
        <v>0</v>
      </c>
      <c r="V491" s="4">
        <v>6</v>
      </c>
      <c r="W491" s="4">
        <v>878.55</v>
      </c>
      <c r="X491" s="4">
        <v>63.46</v>
      </c>
      <c r="Y491" s="4">
        <v>2051.5700000000002</v>
      </c>
      <c r="Z491" s="4" t="s">
        <v>147</v>
      </c>
      <c r="AA491" s="4" t="s">
        <v>147</v>
      </c>
      <c r="AB491" s="4">
        <f>SUMIF('Trip Changes'!$B:$B,A491,'Trip Changes'!$E:$E)</f>
        <v>0</v>
      </c>
      <c r="AC491" s="4">
        <f>SUMIF('Trip Cancellations'!$B:$B,A491,'Trip Cancellations'!$E:$E)</f>
        <v>0</v>
      </c>
      <c r="AD491" s="4">
        <f>SUMIF('Trip Cancellations'!$B:$B,A491,'Trip Cancellations'!$F:$F)</f>
        <v>0</v>
      </c>
      <c r="AE491" s="4">
        <f t="shared" si="7"/>
        <v>2051.5700000000002</v>
      </c>
      <c r="AF491" t="s">
        <v>148</v>
      </c>
      <c r="AG491">
        <v>5</v>
      </c>
      <c r="AH491" s="5">
        <v>1795.8</v>
      </c>
      <c r="AI491" t="s">
        <v>148</v>
      </c>
    </row>
    <row r="492" spans="1:35">
      <c r="A492" t="s">
        <v>838</v>
      </c>
      <c r="B492" t="s">
        <v>835</v>
      </c>
      <c r="C492" t="s">
        <v>257</v>
      </c>
      <c r="D492" t="s">
        <v>138</v>
      </c>
      <c r="E492" t="s">
        <v>262</v>
      </c>
      <c r="F492" t="s">
        <v>162</v>
      </c>
      <c r="G492" s="3">
        <v>46140</v>
      </c>
      <c r="H492" s="3">
        <v>46155</v>
      </c>
      <c r="I492" s="3">
        <v>46159</v>
      </c>
      <c r="J492" t="s">
        <v>163</v>
      </c>
      <c r="K492" t="s">
        <v>257</v>
      </c>
      <c r="L492" t="s">
        <v>264</v>
      </c>
      <c r="M492" t="s">
        <v>152</v>
      </c>
      <c r="N492" t="s">
        <v>153</v>
      </c>
      <c r="O492">
        <v>3200</v>
      </c>
      <c r="P492">
        <v>15</v>
      </c>
      <c r="Q492" t="s">
        <v>145</v>
      </c>
      <c r="R492" t="s">
        <v>160</v>
      </c>
      <c r="S492" t="s">
        <v>164</v>
      </c>
      <c r="T492" s="4">
        <v>297.92</v>
      </c>
      <c r="U492" s="4">
        <v>0</v>
      </c>
      <c r="V492" s="4">
        <v>3</v>
      </c>
      <c r="W492" s="4">
        <v>379.29</v>
      </c>
      <c r="X492" s="4">
        <v>134.22999999999999</v>
      </c>
      <c r="Y492" s="4">
        <v>811.44</v>
      </c>
      <c r="Z492" s="4" t="s">
        <v>148</v>
      </c>
      <c r="AA492" s="4" t="s">
        <v>147</v>
      </c>
      <c r="AB492" s="4">
        <f>SUMIF('Trip Changes'!$B:$B,A492,'Trip Changes'!$E:$E)</f>
        <v>166.52</v>
      </c>
      <c r="AC492" s="4">
        <f>SUMIF('Trip Cancellations'!$B:$B,A492,'Trip Cancellations'!$E:$E)</f>
        <v>0</v>
      </c>
      <c r="AD492" s="4">
        <f>SUMIF('Trip Cancellations'!$B:$B,A492,'Trip Cancellations'!$F:$F)</f>
        <v>0</v>
      </c>
      <c r="AE492" s="4">
        <f t="shared" si="7"/>
        <v>977.96</v>
      </c>
      <c r="AF492" t="s">
        <v>148</v>
      </c>
      <c r="AG492">
        <v>4</v>
      </c>
      <c r="AH492" s="5">
        <v>480</v>
      </c>
      <c r="AI492" t="s">
        <v>147</v>
      </c>
    </row>
    <row r="493" spans="1:35">
      <c r="A493" t="s">
        <v>839</v>
      </c>
      <c r="B493" t="s">
        <v>835</v>
      </c>
      <c r="C493" t="s">
        <v>257</v>
      </c>
      <c r="D493" t="s">
        <v>138</v>
      </c>
      <c r="E493" t="s">
        <v>262</v>
      </c>
      <c r="F493" t="s">
        <v>140</v>
      </c>
      <c r="G493" s="3">
        <v>46209</v>
      </c>
      <c r="H493" s="3">
        <v>46229</v>
      </c>
      <c r="I493" s="3">
        <v>46231</v>
      </c>
      <c r="J493" t="s">
        <v>150</v>
      </c>
      <c r="K493" t="s">
        <v>257</v>
      </c>
      <c r="L493" t="s">
        <v>193</v>
      </c>
      <c r="M493" t="s">
        <v>143</v>
      </c>
      <c r="N493" t="s">
        <v>144</v>
      </c>
      <c r="O493">
        <v>382</v>
      </c>
      <c r="P493">
        <v>20</v>
      </c>
      <c r="Q493" t="s">
        <v>216</v>
      </c>
      <c r="S493" t="s">
        <v>164</v>
      </c>
      <c r="T493" s="4">
        <v>0</v>
      </c>
      <c r="U493" s="4">
        <v>234.26</v>
      </c>
      <c r="V493" s="4">
        <v>1</v>
      </c>
      <c r="W493" s="4">
        <v>160.01</v>
      </c>
      <c r="X493" s="4">
        <v>43.37</v>
      </c>
      <c r="Y493" s="4">
        <v>437.64</v>
      </c>
      <c r="Z493" s="4" t="s">
        <v>147</v>
      </c>
      <c r="AA493" s="4" t="s">
        <v>147</v>
      </c>
      <c r="AB493" s="4">
        <f>SUMIF('Trip Changes'!$B:$B,A493,'Trip Changes'!$E:$E)</f>
        <v>0</v>
      </c>
      <c r="AC493" s="4">
        <f>SUMIF('Trip Cancellations'!$B:$B,A493,'Trip Cancellations'!$E:$E)</f>
        <v>0</v>
      </c>
      <c r="AD493" s="4">
        <f>SUMIF('Trip Cancellations'!$B:$B,A493,'Trip Cancellations'!$F:$F)</f>
        <v>0</v>
      </c>
      <c r="AE493" s="4">
        <f t="shared" si="7"/>
        <v>437.64</v>
      </c>
      <c r="AF493" t="s">
        <v>148</v>
      </c>
      <c r="AG493">
        <v>4</v>
      </c>
      <c r="AH493" s="5">
        <v>15.3</v>
      </c>
      <c r="AI493" t="s">
        <v>147</v>
      </c>
    </row>
    <row r="494" spans="1:35">
      <c r="A494" t="s">
        <v>840</v>
      </c>
      <c r="B494" t="s">
        <v>841</v>
      </c>
      <c r="C494" t="s">
        <v>193</v>
      </c>
      <c r="D494" t="s">
        <v>230</v>
      </c>
      <c r="E494" t="s">
        <v>262</v>
      </c>
      <c r="F494" t="s">
        <v>140</v>
      </c>
      <c r="G494" s="3">
        <v>46185</v>
      </c>
      <c r="H494" s="3">
        <v>46195</v>
      </c>
      <c r="I494" s="3">
        <v>46199</v>
      </c>
      <c r="J494" t="s">
        <v>141</v>
      </c>
      <c r="K494" t="s">
        <v>193</v>
      </c>
      <c r="L494" t="s">
        <v>175</v>
      </c>
      <c r="M494" t="s">
        <v>152</v>
      </c>
      <c r="N494" t="s">
        <v>153</v>
      </c>
      <c r="O494">
        <v>3076</v>
      </c>
      <c r="P494">
        <v>10</v>
      </c>
      <c r="Q494" t="s">
        <v>159</v>
      </c>
      <c r="R494" t="s">
        <v>154</v>
      </c>
      <c r="S494" t="s">
        <v>164</v>
      </c>
      <c r="T494" s="4">
        <v>366.89</v>
      </c>
      <c r="U494" s="4">
        <v>0</v>
      </c>
      <c r="V494" s="4">
        <v>3</v>
      </c>
      <c r="W494" s="4">
        <v>412.82</v>
      </c>
      <c r="X494" s="4">
        <v>31.55</v>
      </c>
      <c r="Y494" s="4">
        <v>811.26</v>
      </c>
      <c r="Z494" s="4" t="s">
        <v>147</v>
      </c>
      <c r="AA494" s="4" t="s">
        <v>147</v>
      </c>
      <c r="AB494" s="4">
        <f>SUMIF('Trip Changes'!$B:$B,A494,'Trip Changes'!$E:$E)</f>
        <v>0</v>
      </c>
      <c r="AC494" s="4">
        <f>SUMIF('Trip Cancellations'!$B:$B,A494,'Trip Cancellations'!$E:$E)</f>
        <v>0</v>
      </c>
      <c r="AD494" s="4">
        <f>SUMIF('Trip Cancellations'!$B:$B,A494,'Trip Cancellations'!$F:$F)</f>
        <v>0</v>
      </c>
      <c r="AE494" s="4">
        <f t="shared" si="7"/>
        <v>811.26</v>
      </c>
      <c r="AF494" t="s">
        <v>148</v>
      </c>
      <c r="AG494">
        <v>5</v>
      </c>
      <c r="AH494" s="5">
        <v>461.4</v>
      </c>
      <c r="AI494" t="s">
        <v>147</v>
      </c>
    </row>
    <row r="495" spans="1:35">
      <c r="A495" t="s">
        <v>842</v>
      </c>
      <c r="B495" t="s">
        <v>841</v>
      </c>
      <c r="C495" t="s">
        <v>193</v>
      </c>
      <c r="D495" t="s">
        <v>230</v>
      </c>
      <c r="E495" t="s">
        <v>262</v>
      </c>
      <c r="F495" t="s">
        <v>140</v>
      </c>
      <c r="G495" s="3">
        <v>46193</v>
      </c>
      <c r="H495" s="3">
        <v>46194</v>
      </c>
      <c r="I495" s="3">
        <v>46196</v>
      </c>
      <c r="J495" t="s">
        <v>141</v>
      </c>
      <c r="K495" t="s">
        <v>193</v>
      </c>
      <c r="L495" t="s">
        <v>225</v>
      </c>
      <c r="M495" t="s">
        <v>152</v>
      </c>
      <c r="N495" t="s">
        <v>153</v>
      </c>
      <c r="O495">
        <v>2504</v>
      </c>
      <c r="P495">
        <v>1</v>
      </c>
      <c r="Q495" t="s">
        <v>159</v>
      </c>
      <c r="R495" t="s">
        <v>176</v>
      </c>
      <c r="S495" t="s">
        <v>173</v>
      </c>
      <c r="T495" s="4">
        <v>502.76</v>
      </c>
      <c r="U495" s="4">
        <v>0</v>
      </c>
      <c r="V495" s="4">
        <v>1</v>
      </c>
      <c r="W495" s="4">
        <v>227.55</v>
      </c>
      <c r="X495" s="4">
        <v>134.72999999999999</v>
      </c>
      <c r="Y495" s="4">
        <v>865.04</v>
      </c>
      <c r="Z495" s="4" t="s">
        <v>147</v>
      </c>
      <c r="AA495" s="4" t="s">
        <v>147</v>
      </c>
      <c r="AB495" s="4">
        <f>SUMIF('Trip Changes'!$B:$B,A495,'Trip Changes'!$E:$E)</f>
        <v>0</v>
      </c>
      <c r="AC495" s="4">
        <f>SUMIF('Trip Cancellations'!$B:$B,A495,'Trip Cancellations'!$E:$E)</f>
        <v>0</v>
      </c>
      <c r="AD495" s="4">
        <f>SUMIF('Trip Cancellations'!$B:$B,A495,'Trip Cancellations'!$F:$F)</f>
        <v>0</v>
      </c>
      <c r="AE495" s="4">
        <f t="shared" si="7"/>
        <v>865.04</v>
      </c>
      <c r="AF495" t="s">
        <v>148</v>
      </c>
      <c r="AG495">
        <v>5</v>
      </c>
      <c r="AH495" s="5">
        <v>375.6</v>
      </c>
      <c r="AI495" t="s">
        <v>147</v>
      </c>
    </row>
    <row r="496" spans="1:35">
      <c r="A496" t="s">
        <v>843</v>
      </c>
      <c r="B496" t="s">
        <v>844</v>
      </c>
      <c r="C496" t="s">
        <v>167</v>
      </c>
      <c r="D496" t="s">
        <v>248</v>
      </c>
      <c r="E496" t="s">
        <v>139</v>
      </c>
      <c r="F496" t="s">
        <v>189</v>
      </c>
      <c r="G496" s="3">
        <v>46154</v>
      </c>
      <c r="H496" s="3">
        <v>46157</v>
      </c>
      <c r="I496" s="3">
        <v>46161</v>
      </c>
      <c r="J496" t="s">
        <v>163</v>
      </c>
      <c r="K496" t="s">
        <v>167</v>
      </c>
      <c r="L496" t="s">
        <v>199</v>
      </c>
      <c r="M496" t="s">
        <v>152</v>
      </c>
      <c r="N496" t="s">
        <v>153</v>
      </c>
      <c r="O496">
        <v>1252</v>
      </c>
      <c r="P496">
        <v>3</v>
      </c>
      <c r="Q496" t="s">
        <v>159</v>
      </c>
      <c r="R496" t="s">
        <v>200</v>
      </c>
      <c r="S496" t="s">
        <v>164</v>
      </c>
      <c r="T496" s="4">
        <v>190.88</v>
      </c>
      <c r="U496" s="4">
        <v>0</v>
      </c>
      <c r="V496" s="4">
        <v>3</v>
      </c>
      <c r="W496" s="4">
        <v>589.77</v>
      </c>
      <c r="X496" s="4">
        <v>60.12</v>
      </c>
      <c r="Y496" s="4">
        <v>840.77</v>
      </c>
      <c r="Z496" s="4" t="s">
        <v>147</v>
      </c>
      <c r="AA496" s="4" t="s">
        <v>147</v>
      </c>
      <c r="AB496" s="4">
        <f>SUMIF('Trip Changes'!$B:$B,A496,'Trip Changes'!$E:$E)</f>
        <v>0</v>
      </c>
      <c r="AC496" s="4">
        <f>SUMIF('Trip Cancellations'!$B:$B,A496,'Trip Cancellations'!$E:$E)</f>
        <v>0</v>
      </c>
      <c r="AD496" s="4">
        <f>SUMIF('Trip Cancellations'!$B:$B,A496,'Trip Cancellations'!$F:$F)</f>
        <v>0</v>
      </c>
      <c r="AE496" s="4">
        <f t="shared" si="7"/>
        <v>840.77</v>
      </c>
      <c r="AF496" t="s">
        <v>148</v>
      </c>
      <c r="AG496">
        <v>4</v>
      </c>
      <c r="AH496" s="5">
        <v>187.8</v>
      </c>
      <c r="AI496" t="s">
        <v>147</v>
      </c>
    </row>
    <row r="497" spans="1:35">
      <c r="A497" t="s">
        <v>845</v>
      </c>
      <c r="B497" t="s">
        <v>844</v>
      </c>
      <c r="C497" t="s">
        <v>167</v>
      </c>
      <c r="D497" t="s">
        <v>248</v>
      </c>
      <c r="E497" t="s">
        <v>139</v>
      </c>
      <c r="F497" t="s">
        <v>162</v>
      </c>
      <c r="G497" s="3">
        <v>46160</v>
      </c>
      <c r="H497" s="3">
        <v>46175</v>
      </c>
      <c r="I497" s="3">
        <v>46180</v>
      </c>
      <c r="J497" t="s">
        <v>141</v>
      </c>
      <c r="K497" t="s">
        <v>167</v>
      </c>
      <c r="L497" t="s">
        <v>199</v>
      </c>
      <c r="M497" t="s">
        <v>152</v>
      </c>
      <c r="N497" t="s">
        <v>153</v>
      </c>
      <c r="O497">
        <v>3052</v>
      </c>
      <c r="P497">
        <v>15</v>
      </c>
      <c r="Q497" t="s">
        <v>216</v>
      </c>
      <c r="R497" t="s">
        <v>200</v>
      </c>
      <c r="S497" t="s">
        <v>155</v>
      </c>
      <c r="T497" s="4">
        <v>575.1</v>
      </c>
      <c r="U497" s="4">
        <v>0</v>
      </c>
      <c r="V497" s="4">
        <v>4</v>
      </c>
      <c r="W497" s="4">
        <v>698.06</v>
      </c>
      <c r="X497" s="4">
        <v>61.17</v>
      </c>
      <c r="Y497" s="4">
        <v>1334.33</v>
      </c>
      <c r="Z497" s="4" t="s">
        <v>148</v>
      </c>
      <c r="AA497" s="4" t="s">
        <v>147</v>
      </c>
      <c r="AB497" s="4">
        <f>SUMIF('Trip Changes'!$B:$B,A497,'Trip Changes'!$E:$E)</f>
        <v>92.66</v>
      </c>
      <c r="AC497" s="4">
        <f>SUMIF('Trip Cancellations'!$B:$B,A497,'Trip Cancellations'!$E:$E)</f>
        <v>0</v>
      </c>
      <c r="AD497" s="4">
        <f>SUMIF('Trip Cancellations'!$B:$B,A497,'Trip Cancellations'!$F:$F)</f>
        <v>0</v>
      </c>
      <c r="AE497" s="4">
        <f t="shared" si="7"/>
        <v>1426.99</v>
      </c>
      <c r="AF497" t="s">
        <v>148</v>
      </c>
      <c r="AG497">
        <v>3</v>
      </c>
      <c r="AH497" s="5">
        <v>457.8</v>
      </c>
      <c r="AI497" t="s">
        <v>147</v>
      </c>
    </row>
    <row r="498" spans="1:35">
      <c r="A498" t="s">
        <v>846</v>
      </c>
      <c r="B498" t="s">
        <v>844</v>
      </c>
      <c r="C498" t="s">
        <v>167</v>
      </c>
      <c r="D498" t="s">
        <v>248</v>
      </c>
      <c r="E498" t="s">
        <v>139</v>
      </c>
      <c r="F498" t="s">
        <v>157</v>
      </c>
      <c r="G498" s="3">
        <v>46134</v>
      </c>
      <c r="H498" s="3">
        <v>46146</v>
      </c>
      <c r="I498" s="3">
        <v>46148</v>
      </c>
      <c r="J498" t="s">
        <v>163</v>
      </c>
      <c r="K498" t="s">
        <v>167</v>
      </c>
      <c r="L498" t="s">
        <v>185</v>
      </c>
      <c r="M498" t="s">
        <v>152</v>
      </c>
      <c r="N498" t="s">
        <v>153</v>
      </c>
      <c r="O498">
        <v>12654</v>
      </c>
      <c r="P498">
        <v>12</v>
      </c>
      <c r="Q498" t="s">
        <v>145</v>
      </c>
      <c r="R498" t="s">
        <v>186</v>
      </c>
      <c r="S498" t="s">
        <v>173</v>
      </c>
      <c r="T498" s="4">
        <v>720.85</v>
      </c>
      <c r="U498" s="4">
        <v>0</v>
      </c>
      <c r="V498" s="4">
        <v>1</v>
      </c>
      <c r="W498" s="4">
        <v>223.5</v>
      </c>
      <c r="X498" s="4">
        <v>128.44</v>
      </c>
      <c r="Y498" s="4">
        <v>1072.79</v>
      </c>
      <c r="Z498" s="4" t="s">
        <v>147</v>
      </c>
      <c r="AA498" s="4" t="s">
        <v>147</v>
      </c>
      <c r="AB498" s="4">
        <f>SUMIF('Trip Changes'!$B:$B,A498,'Trip Changes'!$E:$E)</f>
        <v>0</v>
      </c>
      <c r="AC498" s="4">
        <f>SUMIF('Trip Cancellations'!$B:$B,A498,'Trip Cancellations'!$E:$E)</f>
        <v>0</v>
      </c>
      <c r="AD498" s="4">
        <f>SUMIF('Trip Cancellations'!$B:$B,A498,'Trip Cancellations'!$F:$F)</f>
        <v>0</v>
      </c>
      <c r="AE498" s="4">
        <f t="shared" si="7"/>
        <v>1072.79</v>
      </c>
      <c r="AF498" t="s">
        <v>148</v>
      </c>
      <c r="AG498">
        <v>5</v>
      </c>
      <c r="AH498" s="5">
        <v>1898.1</v>
      </c>
      <c r="AI498" t="s">
        <v>148</v>
      </c>
    </row>
    <row r="499" spans="1:35">
      <c r="A499" t="s">
        <v>847</v>
      </c>
      <c r="B499" t="s">
        <v>848</v>
      </c>
      <c r="C499" t="s">
        <v>182</v>
      </c>
      <c r="D499" t="s">
        <v>194</v>
      </c>
      <c r="E499" t="s">
        <v>139</v>
      </c>
      <c r="F499" t="s">
        <v>162</v>
      </c>
      <c r="G499" s="3">
        <v>46157</v>
      </c>
      <c r="H499" s="3">
        <v>46175</v>
      </c>
      <c r="I499" s="3">
        <v>46181</v>
      </c>
      <c r="J499" t="s">
        <v>141</v>
      </c>
      <c r="K499" t="s">
        <v>182</v>
      </c>
      <c r="L499" t="s">
        <v>283</v>
      </c>
      <c r="M499" t="s">
        <v>152</v>
      </c>
      <c r="N499" t="s">
        <v>153</v>
      </c>
      <c r="O499">
        <v>12606</v>
      </c>
      <c r="P499">
        <v>18</v>
      </c>
      <c r="Q499" t="s">
        <v>145</v>
      </c>
      <c r="R499" t="s">
        <v>278</v>
      </c>
      <c r="S499" t="s">
        <v>187</v>
      </c>
      <c r="T499" s="4">
        <v>889.83</v>
      </c>
      <c r="U499" s="4">
        <v>0</v>
      </c>
      <c r="V499" s="4">
        <v>5</v>
      </c>
      <c r="W499" s="4">
        <v>820.05</v>
      </c>
      <c r="X499" s="4">
        <v>101.62</v>
      </c>
      <c r="Y499" s="4">
        <v>1811.5</v>
      </c>
      <c r="Z499" s="4" t="s">
        <v>147</v>
      </c>
      <c r="AA499" s="4" t="s">
        <v>147</v>
      </c>
      <c r="AB499" s="4">
        <f>SUMIF('Trip Changes'!$B:$B,A499,'Trip Changes'!$E:$E)</f>
        <v>0</v>
      </c>
      <c r="AC499" s="4">
        <f>SUMIF('Trip Cancellations'!$B:$B,A499,'Trip Cancellations'!$E:$E)</f>
        <v>0</v>
      </c>
      <c r="AD499" s="4">
        <f>SUMIF('Trip Cancellations'!$B:$B,A499,'Trip Cancellations'!$F:$F)</f>
        <v>0</v>
      </c>
      <c r="AE499" s="4">
        <f t="shared" si="7"/>
        <v>1811.5</v>
      </c>
      <c r="AF499" t="s">
        <v>148</v>
      </c>
      <c r="AG499">
        <v>4</v>
      </c>
      <c r="AH499" s="5">
        <v>1890.9</v>
      </c>
      <c r="AI499" t="s">
        <v>147</v>
      </c>
    </row>
    <row r="500" spans="1:35">
      <c r="A500" t="s">
        <v>849</v>
      </c>
      <c r="B500" t="s">
        <v>848</v>
      </c>
      <c r="C500" t="s">
        <v>182</v>
      </c>
      <c r="D500" t="s">
        <v>194</v>
      </c>
      <c r="E500" t="s">
        <v>139</v>
      </c>
      <c r="F500" t="s">
        <v>140</v>
      </c>
      <c r="G500" s="3">
        <v>46152</v>
      </c>
      <c r="H500" s="3">
        <v>46175</v>
      </c>
      <c r="I500" s="3">
        <v>46179</v>
      </c>
      <c r="J500" t="s">
        <v>141</v>
      </c>
      <c r="K500" t="s">
        <v>182</v>
      </c>
      <c r="L500" t="s">
        <v>233</v>
      </c>
      <c r="M500" t="s">
        <v>152</v>
      </c>
      <c r="N500" t="s">
        <v>153</v>
      </c>
      <c r="O500">
        <v>2482</v>
      </c>
      <c r="P500">
        <v>23</v>
      </c>
      <c r="Q500" t="s">
        <v>145</v>
      </c>
      <c r="R500" t="s">
        <v>160</v>
      </c>
      <c r="S500" t="s">
        <v>187</v>
      </c>
      <c r="T500" s="4">
        <v>466.36</v>
      </c>
      <c r="U500" s="4">
        <v>0</v>
      </c>
      <c r="V500" s="4">
        <v>3</v>
      </c>
      <c r="W500" s="4">
        <v>505.22</v>
      </c>
      <c r="X500" s="4">
        <v>48.18</v>
      </c>
      <c r="Y500" s="4">
        <v>1019.76</v>
      </c>
      <c r="Z500" s="4" t="s">
        <v>147</v>
      </c>
      <c r="AA500" s="4" t="s">
        <v>147</v>
      </c>
      <c r="AB500" s="4">
        <f>SUMIF('Trip Changes'!$B:$B,A500,'Trip Changes'!$E:$E)</f>
        <v>0</v>
      </c>
      <c r="AC500" s="4">
        <f>SUMIF('Trip Cancellations'!$B:$B,A500,'Trip Cancellations'!$E:$E)</f>
        <v>0</v>
      </c>
      <c r="AD500" s="4">
        <f>SUMIF('Trip Cancellations'!$B:$B,A500,'Trip Cancellations'!$F:$F)</f>
        <v>0</v>
      </c>
      <c r="AE500" s="4">
        <f t="shared" si="7"/>
        <v>1019.76</v>
      </c>
      <c r="AF500" t="s">
        <v>148</v>
      </c>
      <c r="AG500">
        <v>4</v>
      </c>
      <c r="AH500" s="5">
        <v>372.3</v>
      </c>
      <c r="AI500" t="s">
        <v>147</v>
      </c>
    </row>
    <row r="501" spans="1:35">
      <c r="A501" t="s">
        <v>850</v>
      </c>
      <c r="B501" t="s">
        <v>848</v>
      </c>
      <c r="C501" t="s">
        <v>182</v>
      </c>
      <c r="D501" t="s">
        <v>194</v>
      </c>
      <c r="E501" t="s">
        <v>139</v>
      </c>
      <c r="F501" t="s">
        <v>157</v>
      </c>
      <c r="G501" s="3">
        <v>46147</v>
      </c>
      <c r="H501" s="3">
        <v>46152</v>
      </c>
      <c r="I501" s="3">
        <v>46156</v>
      </c>
      <c r="J501" t="s">
        <v>163</v>
      </c>
      <c r="K501" t="s">
        <v>182</v>
      </c>
      <c r="L501" t="s">
        <v>240</v>
      </c>
      <c r="M501" t="s">
        <v>152</v>
      </c>
      <c r="N501" t="s">
        <v>153</v>
      </c>
      <c r="O501">
        <v>16310</v>
      </c>
      <c r="P501">
        <v>5</v>
      </c>
      <c r="Q501" t="s">
        <v>159</v>
      </c>
      <c r="R501" t="s">
        <v>441</v>
      </c>
      <c r="S501" t="s">
        <v>173</v>
      </c>
      <c r="T501" s="4">
        <v>1545.92</v>
      </c>
      <c r="U501" s="4">
        <v>0</v>
      </c>
      <c r="V501" s="4">
        <v>3</v>
      </c>
      <c r="W501" s="4">
        <v>298.52999999999997</v>
      </c>
      <c r="X501" s="4">
        <v>127.53</v>
      </c>
      <c r="Y501" s="4">
        <v>1971.98</v>
      </c>
      <c r="Z501" s="4" t="s">
        <v>147</v>
      </c>
      <c r="AA501" s="4" t="s">
        <v>147</v>
      </c>
      <c r="AB501" s="4">
        <f>SUMIF('Trip Changes'!$B:$B,A501,'Trip Changes'!$E:$E)</f>
        <v>0</v>
      </c>
      <c r="AC501" s="4">
        <f>SUMIF('Trip Cancellations'!$B:$B,A501,'Trip Cancellations'!$E:$E)</f>
        <v>0</v>
      </c>
      <c r="AD501" s="4">
        <f>SUMIF('Trip Cancellations'!$B:$B,A501,'Trip Cancellations'!$F:$F)</f>
        <v>0</v>
      </c>
      <c r="AE501" s="4">
        <f t="shared" si="7"/>
        <v>1971.98</v>
      </c>
      <c r="AF501" t="s">
        <v>148</v>
      </c>
      <c r="AG501">
        <v>4</v>
      </c>
      <c r="AH501" s="5">
        <v>2446.5</v>
      </c>
      <c r="AI501" t="s">
        <v>148</v>
      </c>
    </row>
    <row r="502" spans="1:35">
      <c r="A502" t="s">
        <v>851</v>
      </c>
      <c r="B502" t="s">
        <v>848</v>
      </c>
      <c r="C502" t="s">
        <v>182</v>
      </c>
      <c r="D502" t="s">
        <v>194</v>
      </c>
      <c r="E502" t="s">
        <v>139</v>
      </c>
      <c r="F502" t="s">
        <v>162</v>
      </c>
      <c r="G502" s="3">
        <v>46185</v>
      </c>
      <c r="H502" s="3">
        <v>46192</v>
      </c>
      <c r="I502" s="3">
        <v>46195</v>
      </c>
      <c r="J502" t="s">
        <v>141</v>
      </c>
      <c r="K502" t="s">
        <v>182</v>
      </c>
      <c r="L502" t="s">
        <v>199</v>
      </c>
      <c r="M502" t="s">
        <v>152</v>
      </c>
      <c r="N502" t="s">
        <v>153</v>
      </c>
      <c r="O502">
        <v>3226</v>
      </c>
      <c r="P502">
        <v>7</v>
      </c>
      <c r="Q502" t="s">
        <v>216</v>
      </c>
      <c r="R502" t="s">
        <v>154</v>
      </c>
      <c r="S502" t="s">
        <v>155</v>
      </c>
      <c r="T502" s="4">
        <v>526.15</v>
      </c>
      <c r="U502" s="4">
        <v>0</v>
      </c>
      <c r="V502" s="4">
        <v>2</v>
      </c>
      <c r="W502" s="4">
        <v>296.92</v>
      </c>
      <c r="X502" s="4">
        <v>88</v>
      </c>
      <c r="Y502" s="4">
        <v>911.07</v>
      </c>
      <c r="Z502" s="4" t="s">
        <v>147</v>
      </c>
      <c r="AA502" s="4" t="s">
        <v>147</v>
      </c>
      <c r="AB502" s="4">
        <f>SUMIF('Trip Changes'!$B:$B,A502,'Trip Changes'!$E:$E)</f>
        <v>0</v>
      </c>
      <c r="AC502" s="4">
        <f>SUMIF('Trip Cancellations'!$B:$B,A502,'Trip Cancellations'!$E:$E)</f>
        <v>0</v>
      </c>
      <c r="AD502" s="4">
        <f>SUMIF('Trip Cancellations'!$B:$B,A502,'Trip Cancellations'!$F:$F)</f>
        <v>0</v>
      </c>
      <c r="AE502" s="4">
        <f t="shared" si="7"/>
        <v>911.07</v>
      </c>
      <c r="AF502" t="s">
        <v>148</v>
      </c>
      <c r="AG502">
        <v>5</v>
      </c>
      <c r="AH502" s="5">
        <v>483.9</v>
      </c>
      <c r="AI502" t="s">
        <v>148</v>
      </c>
    </row>
    <row r="503" spans="1:35">
      <c r="A503" t="s">
        <v>852</v>
      </c>
      <c r="B503" t="s">
        <v>848</v>
      </c>
      <c r="C503" t="s">
        <v>182</v>
      </c>
      <c r="D503" t="s">
        <v>194</v>
      </c>
      <c r="E503" t="s">
        <v>139</v>
      </c>
      <c r="F503" t="s">
        <v>162</v>
      </c>
      <c r="G503" s="3">
        <v>46193</v>
      </c>
      <c r="H503" s="3">
        <v>46225</v>
      </c>
      <c r="I503" s="3">
        <v>46227</v>
      </c>
      <c r="J503" t="s">
        <v>150</v>
      </c>
      <c r="K503" t="s">
        <v>182</v>
      </c>
      <c r="L503" t="s">
        <v>307</v>
      </c>
      <c r="M503" t="s">
        <v>143</v>
      </c>
      <c r="N503" t="s">
        <v>153</v>
      </c>
      <c r="O503">
        <v>444</v>
      </c>
      <c r="P503">
        <v>32</v>
      </c>
      <c r="Q503" t="s">
        <v>216</v>
      </c>
      <c r="R503" t="s">
        <v>154</v>
      </c>
      <c r="S503" t="s">
        <v>146</v>
      </c>
      <c r="T503" s="4">
        <v>321.07</v>
      </c>
      <c r="U503" s="4">
        <v>0</v>
      </c>
      <c r="V503" s="4">
        <v>1</v>
      </c>
      <c r="W503" s="4">
        <v>107.96</v>
      </c>
      <c r="X503" s="4">
        <v>85.76</v>
      </c>
      <c r="Y503" s="4">
        <v>514.79</v>
      </c>
      <c r="Z503" s="4" t="s">
        <v>147</v>
      </c>
      <c r="AA503" s="4" t="s">
        <v>147</v>
      </c>
      <c r="AB503" s="4">
        <f>SUMIF('Trip Changes'!$B:$B,A503,'Trip Changes'!$E:$E)</f>
        <v>0</v>
      </c>
      <c r="AC503" s="4">
        <f>SUMIF('Trip Cancellations'!$B:$B,A503,'Trip Cancellations'!$E:$E)</f>
        <v>0</v>
      </c>
      <c r="AD503" s="4">
        <f>SUMIF('Trip Cancellations'!$B:$B,A503,'Trip Cancellations'!$F:$F)</f>
        <v>0</v>
      </c>
      <c r="AE503" s="4">
        <f t="shared" si="7"/>
        <v>514.79</v>
      </c>
      <c r="AF503" t="s">
        <v>148</v>
      </c>
      <c r="AG503">
        <v>3</v>
      </c>
      <c r="AH503" s="5">
        <v>66.599999999999994</v>
      </c>
      <c r="AI503" t="s">
        <v>147</v>
      </c>
    </row>
    <row r="504" spans="1:35">
      <c r="A504" t="s">
        <v>853</v>
      </c>
      <c r="B504" t="s">
        <v>848</v>
      </c>
      <c r="C504" t="s">
        <v>182</v>
      </c>
      <c r="D504" t="s">
        <v>194</v>
      </c>
      <c r="E504" t="s">
        <v>139</v>
      </c>
      <c r="F504" t="s">
        <v>140</v>
      </c>
      <c r="G504" s="3">
        <v>46122</v>
      </c>
      <c r="H504" s="3">
        <v>46148</v>
      </c>
      <c r="I504" s="3">
        <v>46151</v>
      </c>
      <c r="J504" t="s">
        <v>163</v>
      </c>
      <c r="K504" t="s">
        <v>182</v>
      </c>
      <c r="L504" t="s">
        <v>215</v>
      </c>
      <c r="M504" t="s">
        <v>152</v>
      </c>
      <c r="N504" t="s">
        <v>153</v>
      </c>
      <c r="O504">
        <v>2400</v>
      </c>
      <c r="P504">
        <v>26</v>
      </c>
      <c r="Q504" t="s">
        <v>145</v>
      </c>
      <c r="R504" t="s">
        <v>154</v>
      </c>
      <c r="S504" t="s">
        <v>164</v>
      </c>
      <c r="T504" s="4">
        <v>525.22</v>
      </c>
      <c r="U504" s="4">
        <v>0</v>
      </c>
      <c r="V504" s="4">
        <v>2</v>
      </c>
      <c r="W504" s="4">
        <v>365.64</v>
      </c>
      <c r="X504" s="4">
        <v>56.42</v>
      </c>
      <c r="Y504" s="4">
        <v>947.28</v>
      </c>
      <c r="Z504" s="4" t="s">
        <v>147</v>
      </c>
      <c r="AA504" s="4" t="s">
        <v>147</v>
      </c>
      <c r="AB504" s="4">
        <f>SUMIF('Trip Changes'!$B:$B,A504,'Trip Changes'!$E:$E)</f>
        <v>0</v>
      </c>
      <c r="AC504" s="4">
        <f>SUMIF('Trip Cancellations'!$B:$B,A504,'Trip Cancellations'!$E:$E)</f>
        <v>0</v>
      </c>
      <c r="AD504" s="4">
        <f>SUMIF('Trip Cancellations'!$B:$B,A504,'Trip Cancellations'!$F:$F)</f>
        <v>0</v>
      </c>
      <c r="AE504" s="4">
        <f t="shared" si="7"/>
        <v>947.28</v>
      </c>
      <c r="AF504" t="s">
        <v>148</v>
      </c>
      <c r="AG504">
        <v>4</v>
      </c>
      <c r="AH504" s="5">
        <v>360</v>
      </c>
      <c r="AI504" t="s">
        <v>147</v>
      </c>
    </row>
    <row r="505" spans="1:35">
      <c r="A505" t="s">
        <v>854</v>
      </c>
      <c r="B505" t="s">
        <v>855</v>
      </c>
      <c r="C505" t="s">
        <v>182</v>
      </c>
      <c r="D505" t="s">
        <v>194</v>
      </c>
      <c r="E505" t="s">
        <v>262</v>
      </c>
      <c r="F505" t="s">
        <v>140</v>
      </c>
      <c r="G505" s="3">
        <v>46125</v>
      </c>
      <c r="H505" s="3">
        <v>46151</v>
      </c>
      <c r="I505" s="3">
        <v>46153</v>
      </c>
      <c r="J505" t="s">
        <v>163</v>
      </c>
      <c r="K505" t="s">
        <v>182</v>
      </c>
      <c r="L505" t="s">
        <v>185</v>
      </c>
      <c r="M505" t="s">
        <v>152</v>
      </c>
      <c r="N505" t="s">
        <v>153</v>
      </c>
      <c r="O505">
        <v>10310</v>
      </c>
      <c r="P505">
        <v>26</v>
      </c>
      <c r="Q505" t="s">
        <v>145</v>
      </c>
      <c r="R505" t="s">
        <v>186</v>
      </c>
      <c r="S505" t="s">
        <v>173</v>
      </c>
      <c r="T505" s="4">
        <v>1213.1099999999999</v>
      </c>
      <c r="U505" s="4">
        <v>0</v>
      </c>
      <c r="V505" s="4">
        <v>1</v>
      </c>
      <c r="W505" s="4">
        <v>225.08</v>
      </c>
      <c r="X505" s="4">
        <v>156.94</v>
      </c>
      <c r="Y505" s="4">
        <v>1595.13</v>
      </c>
      <c r="Z505" s="4" t="s">
        <v>147</v>
      </c>
      <c r="AA505" s="4" t="s">
        <v>147</v>
      </c>
      <c r="AB505" s="4">
        <f>SUMIF('Trip Changes'!$B:$B,A505,'Trip Changes'!$E:$E)</f>
        <v>0</v>
      </c>
      <c r="AC505" s="4">
        <f>SUMIF('Trip Cancellations'!$B:$B,A505,'Trip Cancellations'!$E:$E)</f>
        <v>0</v>
      </c>
      <c r="AD505" s="4">
        <f>SUMIF('Trip Cancellations'!$B:$B,A505,'Trip Cancellations'!$F:$F)</f>
        <v>0</v>
      </c>
      <c r="AE505" s="4">
        <f t="shared" si="7"/>
        <v>1595.13</v>
      </c>
      <c r="AF505" t="s">
        <v>148</v>
      </c>
      <c r="AG505">
        <v>4</v>
      </c>
      <c r="AH505" s="5">
        <v>1546.5</v>
      </c>
      <c r="AI505" t="s">
        <v>148</v>
      </c>
    </row>
    <row r="506" spans="1:35">
      <c r="A506" t="s">
        <v>856</v>
      </c>
      <c r="B506" t="s">
        <v>855</v>
      </c>
      <c r="C506" t="s">
        <v>182</v>
      </c>
      <c r="D506" t="s">
        <v>194</v>
      </c>
      <c r="E506" t="s">
        <v>262</v>
      </c>
      <c r="F506" t="s">
        <v>170</v>
      </c>
      <c r="G506" s="3">
        <v>46135</v>
      </c>
      <c r="H506" s="3">
        <v>46158</v>
      </c>
      <c r="I506" s="3">
        <v>46163</v>
      </c>
      <c r="J506" t="s">
        <v>163</v>
      </c>
      <c r="K506" t="s">
        <v>182</v>
      </c>
      <c r="L506" t="s">
        <v>171</v>
      </c>
      <c r="M506" t="s">
        <v>152</v>
      </c>
      <c r="N506" t="s">
        <v>153</v>
      </c>
      <c r="O506">
        <v>3514</v>
      </c>
      <c r="P506">
        <v>23</v>
      </c>
      <c r="Q506" t="s">
        <v>159</v>
      </c>
      <c r="R506" t="s">
        <v>172</v>
      </c>
      <c r="S506" t="s">
        <v>173</v>
      </c>
      <c r="T506" s="4">
        <v>342.97</v>
      </c>
      <c r="U506" s="4">
        <v>0</v>
      </c>
      <c r="V506" s="4">
        <v>4</v>
      </c>
      <c r="W506" s="4">
        <v>855.69</v>
      </c>
      <c r="X506" s="4">
        <v>49.73</v>
      </c>
      <c r="Y506" s="4">
        <v>1248.3900000000001</v>
      </c>
      <c r="Z506" s="4" t="s">
        <v>147</v>
      </c>
      <c r="AA506" s="4" t="s">
        <v>147</v>
      </c>
      <c r="AB506" s="4">
        <f>SUMIF('Trip Changes'!$B:$B,A506,'Trip Changes'!$E:$E)</f>
        <v>0</v>
      </c>
      <c r="AC506" s="4">
        <f>SUMIF('Trip Cancellations'!$B:$B,A506,'Trip Cancellations'!$E:$E)</f>
        <v>0</v>
      </c>
      <c r="AD506" s="4">
        <f>SUMIF('Trip Cancellations'!$B:$B,A506,'Trip Cancellations'!$F:$F)</f>
        <v>0</v>
      </c>
      <c r="AE506" s="4">
        <f t="shared" si="7"/>
        <v>1248.3900000000001</v>
      </c>
      <c r="AF506" t="s">
        <v>148</v>
      </c>
      <c r="AG506">
        <v>5</v>
      </c>
      <c r="AH506" s="5">
        <v>527.1</v>
      </c>
      <c r="AI506" t="s">
        <v>148</v>
      </c>
    </row>
    <row r="507" spans="1:35">
      <c r="A507" t="s">
        <v>857</v>
      </c>
      <c r="B507" t="s">
        <v>855</v>
      </c>
      <c r="C507" t="s">
        <v>182</v>
      </c>
      <c r="D507" t="s">
        <v>194</v>
      </c>
      <c r="E507" t="s">
        <v>262</v>
      </c>
      <c r="F507" t="s">
        <v>140</v>
      </c>
      <c r="G507" s="3">
        <v>46172</v>
      </c>
      <c r="H507" s="3">
        <v>46173</v>
      </c>
      <c r="I507" s="3">
        <v>46177</v>
      </c>
      <c r="J507" t="s">
        <v>163</v>
      </c>
      <c r="K507" t="s">
        <v>182</v>
      </c>
      <c r="L507" t="s">
        <v>197</v>
      </c>
      <c r="M507" t="s">
        <v>152</v>
      </c>
      <c r="N507" t="s">
        <v>153</v>
      </c>
      <c r="O507">
        <v>11094</v>
      </c>
      <c r="P507">
        <v>1</v>
      </c>
      <c r="Q507" t="s">
        <v>145</v>
      </c>
      <c r="R507" t="s">
        <v>278</v>
      </c>
      <c r="S507" t="s">
        <v>187</v>
      </c>
      <c r="T507" s="4">
        <v>687.27</v>
      </c>
      <c r="U507" s="4">
        <v>0</v>
      </c>
      <c r="V507" s="4">
        <v>3</v>
      </c>
      <c r="W507" s="4">
        <v>467.7</v>
      </c>
      <c r="X507" s="4">
        <v>106.8</v>
      </c>
      <c r="Y507" s="4">
        <v>1261.77</v>
      </c>
      <c r="Z507" s="4" t="s">
        <v>148</v>
      </c>
      <c r="AA507" s="4" t="s">
        <v>147</v>
      </c>
      <c r="AB507" s="4">
        <f>SUMIF('Trip Changes'!$B:$B,A507,'Trip Changes'!$E:$E)</f>
        <v>67.33</v>
      </c>
      <c r="AC507" s="4">
        <f>SUMIF('Trip Cancellations'!$B:$B,A507,'Trip Cancellations'!$E:$E)</f>
        <v>0</v>
      </c>
      <c r="AD507" s="4">
        <f>SUMIF('Trip Cancellations'!$B:$B,A507,'Trip Cancellations'!$F:$F)</f>
        <v>0</v>
      </c>
      <c r="AE507" s="4">
        <f t="shared" si="7"/>
        <v>1329.1</v>
      </c>
      <c r="AF507" t="s">
        <v>148</v>
      </c>
      <c r="AG507">
        <v>4</v>
      </c>
      <c r="AH507" s="5">
        <v>1664.1</v>
      </c>
      <c r="AI507" t="s">
        <v>147</v>
      </c>
    </row>
    <row r="508" spans="1:35">
      <c r="A508" t="s">
        <v>858</v>
      </c>
      <c r="B508" t="s">
        <v>855</v>
      </c>
      <c r="C508" t="s">
        <v>182</v>
      </c>
      <c r="D508" t="s">
        <v>194</v>
      </c>
      <c r="E508" t="s">
        <v>262</v>
      </c>
      <c r="F508" t="s">
        <v>157</v>
      </c>
      <c r="G508" s="3">
        <v>46140</v>
      </c>
      <c r="H508" s="3">
        <v>46157</v>
      </c>
      <c r="I508" s="3">
        <v>46162</v>
      </c>
      <c r="J508" t="s">
        <v>163</v>
      </c>
      <c r="K508" t="s">
        <v>182</v>
      </c>
      <c r="L508" t="s">
        <v>185</v>
      </c>
      <c r="M508" t="s">
        <v>152</v>
      </c>
      <c r="N508" t="s">
        <v>153</v>
      </c>
      <c r="O508">
        <v>11662</v>
      </c>
      <c r="P508">
        <v>17</v>
      </c>
      <c r="Q508" t="s">
        <v>216</v>
      </c>
      <c r="R508" t="s">
        <v>154</v>
      </c>
      <c r="S508" t="s">
        <v>155</v>
      </c>
      <c r="T508" s="4">
        <v>1412.07</v>
      </c>
      <c r="U508" s="4">
        <v>0</v>
      </c>
      <c r="V508" s="4">
        <v>4</v>
      </c>
      <c r="W508" s="4">
        <v>475.89</v>
      </c>
      <c r="X508" s="4">
        <v>94.82</v>
      </c>
      <c r="Y508" s="4">
        <v>1982.78</v>
      </c>
      <c r="Z508" s="4" t="s">
        <v>147</v>
      </c>
      <c r="AA508" s="4" t="s">
        <v>147</v>
      </c>
      <c r="AB508" s="4">
        <f>SUMIF('Trip Changes'!$B:$B,A508,'Trip Changes'!$E:$E)</f>
        <v>0</v>
      </c>
      <c r="AC508" s="4">
        <f>SUMIF('Trip Cancellations'!$B:$B,A508,'Trip Cancellations'!$E:$E)</f>
        <v>0</v>
      </c>
      <c r="AD508" s="4">
        <f>SUMIF('Trip Cancellations'!$B:$B,A508,'Trip Cancellations'!$F:$F)</f>
        <v>0</v>
      </c>
      <c r="AE508" s="4">
        <f t="shared" si="7"/>
        <v>1982.78</v>
      </c>
      <c r="AF508" t="s">
        <v>148</v>
      </c>
      <c r="AG508">
        <v>4</v>
      </c>
      <c r="AH508" s="5">
        <v>1749.3</v>
      </c>
      <c r="AI508" t="s">
        <v>147</v>
      </c>
    </row>
    <row r="509" spans="1:35">
      <c r="A509" t="s">
        <v>859</v>
      </c>
      <c r="B509" t="s">
        <v>860</v>
      </c>
      <c r="C509" t="s">
        <v>142</v>
      </c>
      <c r="D509" t="s">
        <v>230</v>
      </c>
      <c r="E509" t="s">
        <v>169</v>
      </c>
      <c r="F509" t="s">
        <v>157</v>
      </c>
      <c r="G509" s="3">
        <v>46163</v>
      </c>
      <c r="H509" s="3">
        <v>46164</v>
      </c>
      <c r="I509" s="3">
        <v>46166</v>
      </c>
      <c r="J509" t="s">
        <v>163</v>
      </c>
      <c r="K509" t="s">
        <v>142</v>
      </c>
      <c r="L509" t="s">
        <v>215</v>
      </c>
      <c r="M509" t="s">
        <v>152</v>
      </c>
      <c r="N509" t="s">
        <v>153</v>
      </c>
      <c r="O509">
        <v>2980</v>
      </c>
      <c r="P509">
        <v>1</v>
      </c>
      <c r="Q509" t="s">
        <v>216</v>
      </c>
      <c r="R509" t="s">
        <v>154</v>
      </c>
      <c r="S509" t="s">
        <v>164</v>
      </c>
      <c r="T509" s="4">
        <v>510.54</v>
      </c>
      <c r="U509" s="4">
        <v>0</v>
      </c>
      <c r="V509" s="4">
        <v>1</v>
      </c>
      <c r="W509" s="4">
        <v>124.2</v>
      </c>
      <c r="X509" s="4">
        <v>66.92</v>
      </c>
      <c r="Y509" s="4">
        <v>701.66</v>
      </c>
      <c r="Z509" s="4" t="s">
        <v>147</v>
      </c>
      <c r="AA509" s="4" t="s">
        <v>147</v>
      </c>
      <c r="AB509" s="4">
        <f>SUMIF('Trip Changes'!$B:$B,A509,'Trip Changes'!$E:$E)</f>
        <v>0</v>
      </c>
      <c r="AC509" s="4">
        <f>SUMIF('Trip Cancellations'!$B:$B,A509,'Trip Cancellations'!$E:$E)</f>
        <v>0</v>
      </c>
      <c r="AD509" s="4">
        <f>SUMIF('Trip Cancellations'!$B:$B,A509,'Trip Cancellations'!$F:$F)</f>
        <v>0</v>
      </c>
      <c r="AE509" s="4">
        <f t="shared" si="7"/>
        <v>701.66</v>
      </c>
      <c r="AF509" t="s">
        <v>148</v>
      </c>
      <c r="AG509">
        <v>4</v>
      </c>
      <c r="AH509" s="5">
        <v>447</v>
      </c>
      <c r="AI509" t="s">
        <v>147</v>
      </c>
    </row>
    <row r="510" spans="1:35">
      <c r="A510" t="s">
        <v>861</v>
      </c>
      <c r="B510" t="s">
        <v>860</v>
      </c>
      <c r="C510" t="s">
        <v>142</v>
      </c>
      <c r="D510" t="s">
        <v>230</v>
      </c>
      <c r="E510" t="s">
        <v>169</v>
      </c>
      <c r="F510" t="s">
        <v>140</v>
      </c>
      <c r="G510" s="3">
        <v>46127</v>
      </c>
      <c r="H510" s="3">
        <v>46152</v>
      </c>
      <c r="I510" s="3">
        <v>46154</v>
      </c>
      <c r="J510" t="s">
        <v>163</v>
      </c>
      <c r="K510" t="s">
        <v>142</v>
      </c>
      <c r="L510" t="s">
        <v>264</v>
      </c>
      <c r="M510" t="s">
        <v>152</v>
      </c>
      <c r="N510" t="s">
        <v>153</v>
      </c>
      <c r="O510">
        <v>1620</v>
      </c>
      <c r="P510">
        <v>25</v>
      </c>
      <c r="Q510" t="s">
        <v>207</v>
      </c>
      <c r="R510" t="s">
        <v>176</v>
      </c>
      <c r="S510" t="s">
        <v>155</v>
      </c>
      <c r="T510" s="4">
        <v>467.78</v>
      </c>
      <c r="U510" s="4">
        <v>0</v>
      </c>
      <c r="V510" s="4">
        <v>1</v>
      </c>
      <c r="W510" s="4">
        <v>154.02000000000001</v>
      </c>
      <c r="X510" s="4">
        <v>20</v>
      </c>
      <c r="Y510" s="4">
        <v>641.79999999999995</v>
      </c>
      <c r="Z510" s="4" t="s">
        <v>147</v>
      </c>
      <c r="AA510" s="4" t="s">
        <v>147</v>
      </c>
      <c r="AB510" s="4">
        <f>SUMIF('Trip Changes'!$B:$B,A510,'Trip Changes'!$E:$E)</f>
        <v>0</v>
      </c>
      <c r="AC510" s="4">
        <f>SUMIF('Trip Cancellations'!$B:$B,A510,'Trip Cancellations'!$E:$E)</f>
        <v>0</v>
      </c>
      <c r="AD510" s="4">
        <f>SUMIF('Trip Cancellations'!$B:$B,A510,'Trip Cancellations'!$F:$F)</f>
        <v>0</v>
      </c>
      <c r="AE510" s="4">
        <f t="shared" si="7"/>
        <v>641.79999999999995</v>
      </c>
      <c r="AF510" t="s">
        <v>148</v>
      </c>
      <c r="AG510">
        <v>4</v>
      </c>
      <c r="AH510" s="5">
        <v>243</v>
      </c>
      <c r="AI510" t="s">
        <v>147</v>
      </c>
    </row>
    <row r="511" spans="1:35">
      <c r="A511" t="s">
        <v>862</v>
      </c>
      <c r="B511" t="s">
        <v>860</v>
      </c>
      <c r="C511" t="s">
        <v>142</v>
      </c>
      <c r="D511" t="s">
        <v>230</v>
      </c>
      <c r="E511" t="s">
        <v>169</v>
      </c>
      <c r="F511" t="s">
        <v>157</v>
      </c>
      <c r="G511" s="3">
        <v>46185</v>
      </c>
      <c r="H511" s="3">
        <v>46194</v>
      </c>
      <c r="I511" s="3">
        <v>46196</v>
      </c>
      <c r="J511" t="s">
        <v>141</v>
      </c>
      <c r="K511" t="s">
        <v>142</v>
      </c>
      <c r="L511" t="s">
        <v>227</v>
      </c>
      <c r="M511" t="s">
        <v>152</v>
      </c>
      <c r="N511" t="s">
        <v>153</v>
      </c>
      <c r="O511">
        <v>2240</v>
      </c>
      <c r="P511">
        <v>9</v>
      </c>
      <c r="Q511" t="s">
        <v>159</v>
      </c>
      <c r="R511" t="s">
        <v>236</v>
      </c>
      <c r="S511" t="s">
        <v>187</v>
      </c>
      <c r="T511" s="4">
        <v>323.01</v>
      </c>
      <c r="U511" s="4">
        <v>0</v>
      </c>
      <c r="V511" s="4">
        <v>1</v>
      </c>
      <c r="W511" s="4">
        <v>217.21</v>
      </c>
      <c r="X511" s="4">
        <v>120.42</v>
      </c>
      <c r="Y511" s="4">
        <v>660.64</v>
      </c>
      <c r="Z511" s="4" t="s">
        <v>147</v>
      </c>
      <c r="AA511" s="4" t="s">
        <v>147</v>
      </c>
      <c r="AB511" s="4">
        <f>SUMIF('Trip Changes'!$B:$B,A511,'Trip Changes'!$E:$E)</f>
        <v>0</v>
      </c>
      <c r="AC511" s="4">
        <f>SUMIF('Trip Cancellations'!$B:$B,A511,'Trip Cancellations'!$E:$E)</f>
        <v>0</v>
      </c>
      <c r="AD511" s="4">
        <f>SUMIF('Trip Cancellations'!$B:$B,A511,'Trip Cancellations'!$F:$F)</f>
        <v>0</v>
      </c>
      <c r="AE511" s="4">
        <f t="shared" si="7"/>
        <v>660.64</v>
      </c>
      <c r="AF511" t="s">
        <v>148</v>
      </c>
      <c r="AG511">
        <v>5</v>
      </c>
      <c r="AH511" s="5">
        <v>336</v>
      </c>
      <c r="AI511" t="s">
        <v>148</v>
      </c>
    </row>
    <row r="512" spans="1:35">
      <c r="A512" t="s">
        <v>863</v>
      </c>
      <c r="B512" t="s">
        <v>860</v>
      </c>
      <c r="C512" t="s">
        <v>142</v>
      </c>
      <c r="D512" t="s">
        <v>230</v>
      </c>
      <c r="E512" t="s">
        <v>169</v>
      </c>
      <c r="F512" t="s">
        <v>189</v>
      </c>
      <c r="G512" s="3">
        <v>46147</v>
      </c>
      <c r="H512" s="3">
        <v>46168</v>
      </c>
      <c r="I512" s="3">
        <v>46170</v>
      </c>
      <c r="J512" t="s">
        <v>163</v>
      </c>
      <c r="K512" t="s">
        <v>142</v>
      </c>
      <c r="L512" t="s">
        <v>225</v>
      </c>
      <c r="M512" t="s">
        <v>152</v>
      </c>
      <c r="N512" t="s">
        <v>153</v>
      </c>
      <c r="O512">
        <v>2648</v>
      </c>
      <c r="P512">
        <v>21</v>
      </c>
      <c r="Q512" t="s">
        <v>159</v>
      </c>
      <c r="R512" t="s">
        <v>236</v>
      </c>
      <c r="S512" t="s">
        <v>187</v>
      </c>
      <c r="T512" s="4">
        <v>175.96</v>
      </c>
      <c r="U512" s="4">
        <v>0</v>
      </c>
      <c r="V512" s="4">
        <v>1</v>
      </c>
      <c r="W512" s="4">
        <v>137.28</v>
      </c>
      <c r="X512" s="4">
        <v>86.76</v>
      </c>
      <c r="Y512" s="4">
        <v>400</v>
      </c>
      <c r="Z512" s="4" t="s">
        <v>147</v>
      </c>
      <c r="AA512" s="4" t="s">
        <v>147</v>
      </c>
      <c r="AB512" s="4">
        <f>SUMIF('Trip Changes'!$B:$B,A512,'Trip Changes'!$E:$E)</f>
        <v>0</v>
      </c>
      <c r="AC512" s="4">
        <f>SUMIF('Trip Cancellations'!$B:$B,A512,'Trip Cancellations'!$E:$E)</f>
        <v>0</v>
      </c>
      <c r="AD512" s="4">
        <f>SUMIF('Trip Cancellations'!$B:$B,A512,'Trip Cancellations'!$F:$F)</f>
        <v>0</v>
      </c>
      <c r="AE512" s="4">
        <f t="shared" si="7"/>
        <v>400</v>
      </c>
      <c r="AF512" t="s">
        <v>148</v>
      </c>
      <c r="AG512">
        <v>4</v>
      </c>
      <c r="AH512" s="5">
        <v>397.2</v>
      </c>
      <c r="AI512" t="s">
        <v>147</v>
      </c>
    </row>
    <row r="513" spans="1:35">
      <c r="A513" t="s">
        <v>864</v>
      </c>
      <c r="B513" t="s">
        <v>865</v>
      </c>
      <c r="C513" t="s">
        <v>182</v>
      </c>
      <c r="D513" t="s">
        <v>248</v>
      </c>
      <c r="E513" t="s">
        <v>249</v>
      </c>
      <c r="F513" t="s">
        <v>178</v>
      </c>
      <c r="G513" s="3">
        <v>46222</v>
      </c>
      <c r="H513" s="3">
        <v>46225</v>
      </c>
      <c r="I513" s="3">
        <v>46228</v>
      </c>
      <c r="J513" t="s">
        <v>150</v>
      </c>
      <c r="K513" t="s">
        <v>182</v>
      </c>
      <c r="L513" t="s">
        <v>151</v>
      </c>
      <c r="M513" t="s">
        <v>152</v>
      </c>
      <c r="N513" t="s">
        <v>153</v>
      </c>
      <c r="O513">
        <v>2026</v>
      </c>
      <c r="P513">
        <v>3</v>
      </c>
      <c r="Q513" t="s">
        <v>145</v>
      </c>
      <c r="R513" t="s">
        <v>172</v>
      </c>
      <c r="S513" t="s">
        <v>164</v>
      </c>
      <c r="T513" s="4">
        <v>673.41</v>
      </c>
      <c r="U513" s="4">
        <v>0</v>
      </c>
      <c r="V513" s="4">
        <v>2</v>
      </c>
      <c r="W513" s="4">
        <v>344.29</v>
      </c>
      <c r="X513" s="4">
        <v>100.01</v>
      </c>
      <c r="Y513" s="4">
        <v>1117.71</v>
      </c>
      <c r="Z513" s="4" t="s">
        <v>147</v>
      </c>
      <c r="AA513" s="4" t="s">
        <v>147</v>
      </c>
      <c r="AB513" s="4">
        <f>SUMIF('Trip Changes'!$B:$B,A513,'Trip Changes'!$E:$E)</f>
        <v>0</v>
      </c>
      <c r="AC513" s="4">
        <f>SUMIF('Trip Cancellations'!$B:$B,A513,'Trip Cancellations'!$E:$E)</f>
        <v>0</v>
      </c>
      <c r="AD513" s="4">
        <f>SUMIF('Trip Cancellations'!$B:$B,A513,'Trip Cancellations'!$F:$F)</f>
        <v>0</v>
      </c>
      <c r="AE513" s="4">
        <f t="shared" si="7"/>
        <v>1117.71</v>
      </c>
      <c r="AF513" t="s">
        <v>148</v>
      </c>
      <c r="AG513">
        <v>4</v>
      </c>
      <c r="AH513" s="5">
        <v>303.89999999999998</v>
      </c>
      <c r="AI513" t="s">
        <v>148</v>
      </c>
    </row>
    <row r="514" spans="1:35">
      <c r="A514" t="s">
        <v>866</v>
      </c>
      <c r="B514" t="s">
        <v>865</v>
      </c>
      <c r="C514" t="s">
        <v>182</v>
      </c>
      <c r="D514" t="s">
        <v>248</v>
      </c>
      <c r="E514" t="s">
        <v>249</v>
      </c>
      <c r="F514" t="s">
        <v>140</v>
      </c>
      <c r="G514" s="3">
        <v>46116</v>
      </c>
      <c r="H514" s="3">
        <v>46149</v>
      </c>
      <c r="I514" s="3">
        <v>46152</v>
      </c>
      <c r="J514" t="s">
        <v>163</v>
      </c>
      <c r="K514" t="s">
        <v>182</v>
      </c>
      <c r="L514" t="s">
        <v>283</v>
      </c>
      <c r="M514" t="s">
        <v>152</v>
      </c>
      <c r="N514" t="s">
        <v>153</v>
      </c>
      <c r="O514">
        <v>12936</v>
      </c>
      <c r="P514">
        <v>33</v>
      </c>
      <c r="Q514" t="s">
        <v>145</v>
      </c>
      <c r="R514" t="s">
        <v>154</v>
      </c>
      <c r="S514" t="s">
        <v>155</v>
      </c>
      <c r="T514" s="4">
        <v>1142.9100000000001</v>
      </c>
      <c r="U514" s="4">
        <v>0</v>
      </c>
      <c r="V514" s="4">
        <v>2</v>
      </c>
      <c r="W514" s="4">
        <v>226.16</v>
      </c>
      <c r="X514" s="4">
        <v>154.83000000000001</v>
      </c>
      <c r="Y514" s="4">
        <v>1523.9</v>
      </c>
      <c r="Z514" s="4" t="s">
        <v>147</v>
      </c>
      <c r="AA514" s="4" t="s">
        <v>147</v>
      </c>
      <c r="AB514" s="4">
        <f>SUMIF('Trip Changes'!$B:$B,A514,'Trip Changes'!$E:$E)</f>
        <v>0</v>
      </c>
      <c r="AC514" s="4">
        <f>SUMIF('Trip Cancellations'!$B:$B,A514,'Trip Cancellations'!$E:$E)</f>
        <v>0</v>
      </c>
      <c r="AD514" s="4">
        <f>SUMIF('Trip Cancellations'!$B:$B,A514,'Trip Cancellations'!$F:$F)</f>
        <v>0</v>
      </c>
      <c r="AE514" s="4">
        <f t="shared" ref="AE514:AE577" si="8">Y514+AB514+AC514-AD514</f>
        <v>1523.9</v>
      </c>
      <c r="AF514" t="s">
        <v>148</v>
      </c>
      <c r="AG514">
        <v>4</v>
      </c>
      <c r="AH514" s="5">
        <v>1940.4</v>
      </c>
      <c r="AI514" t="s">
        <v>147</v>
      </c>
    </row>
    <row r="515" spans="1:35">
      <c r="A515" t="s">
        <v>867</v>
      </c>
      <c r="B515" t="s">
        <v>865</v>
      </c>
      <c r="C515" t="s">
        <v>182</v>
      </c>
      <c r="D515" t="s">
        <v>248</v>
      </c>
      <c r="E515" t="s">
        <v>249</v>
      </c>
      <c r="F515" t="s">
        <v>162</v>
      </c>
      <c r="G515" s="3">
        <v>46162</v>
      </c>
      <c r="H515" s="3">
        <v>46183</v>
      </c>
      <c r="I515" s="3">
        <v>46187</v>
      </c>
      <c r="J515" t="s">
        <v>141</v>
      </c>
      <c r="K515" t="s">
        <v>182</v>
      </c>
      <c r="L515" t="s">
        <v>225</v>
      </c>
      <c r="M515" t="s">
        <v>152</v>
      </c>
      <c r="N515" t="s">
        <v>153</v>
      </c>
      <c r="O515">
        <v>1746</v>
      </c>
      <c r="P515">
        <v>21</v>
      </c>
      <c r="Q515" t="s">
        <v>207</v>
      </c>
      <c r="R515" t="s">
        <v>154</v>
      </c>
      <c r="S515" t="s">
        <v>187</v>
      </c>
      <c r="T515" s="4">
        <v>481.17</v>
      </c>
      <c r="U515" s="4">
        <v>0</v>
      </c>
      <c r="V515" s="4">
        <v>3</v>
      </c>
      <c r="W515" s="4">
        <v>605.30999999999995</v>
      </c>
      <c r="X515" s="4">
        <v>76.23</v>
      </c>
      <c r="Y515" s="4">
        <v>1162.71</v>
      </c>
      <c r="Z515" s="4" t="s">
        <v>147</v>
      </c>
      <c r="AA515" s="4" t="s">
        <v>147</v>
      </c>
      <c r="AB515" s="4">
        <f>SUMIF('Trip Changes'!$B:$B,A515,'Trip Changes'!$E:$E)</f>
        <v>0</v>
      </c>
      <c r="AC515" s="4">
        <f>SUMIF('Trip Cancellations'!$B:$B,A515,'Trip Cancellations'!$E:$E)</f>
        <v>0</v>
      </c>
      <c r="AD515" s="4">
        <f>SUMIF('Trip Cancellations'!$B:$B,A515,'Trip Cancellations'!$F:$F)</f>
        <v>0</v>
      </c>
      <c r="AE515" s="4">
        <f t="shared" si="8"/>
        <v>1162.71</v>
      </c>
      <c r="AF515" t="s">
        <v>148</v>
      </c>
      <c r="AG515">
        <v>5</v>
      </c>
      <c r="AH515" s="5">
        <v>261.89999999999998</v>
      </c>
      <c r="AI515" t="s">
        <v>148</v>
      </c>
    </row>
    <row r="516" spans="1:35">
      <c r="A516" t="s">
        <v>868</v>
      </c>
      <c r="B516" t="s">
        <v>865</v>
      </c>
      <c r="C516" t="s">
        <v>182</v>
      </c>
      <c r="D516" t="s">
        <v>248</v>
      </c>
      <c r="E516" t="s">
        <v>249</v>
      </c>
      <c r="F516" t="s">
        <v>162</v>
      </c>
      <c r="G516" s="3">
        <v>46150</v>
      </c>
      <c r="H516" s="3">
        <v>46164</v>
      </c>
      <c r="I516" s="3">
        <v>46166</v>
      </c>
      <c r="J516" t="s">
        <v>163</v>
      </c>
      <c r="K516" t="s">
        <v>182</v>
      </c>
      <c r="L516" t="s">
        <v>175</v>
      </c>
      <c r="M516" t="s">
        <v>152</v>
      </c>
      <c r="N516" t="s">
        <v>153</v>
      </c>
      <c r="O516">
        <v>3392</v>
      </c>
      <c r="P516">
        <v>14</v>
      </c>
      <c r="Q516" t="s">
        <v>145</v>
      </c>
      <c r="R516" t="s">
        <v>236</v>
      </c>
      <c r="S516" t="s">
        <v>164</v>
      </c>
      <c r="T516" s="4">
        <v>520.83000000000004</v>
      </c>
      <c r="U516" s="4">
        <v>0</v>
      </c>
      <c r="V516" s="4">
        <v>1</v>
      </c>
      <c r="W516" s="4">
        <v>194.08</v>
      </c>
      <c r="X516" s="4">
        <v>20</v>
      </c>
      <c r="Y516" s="4">
        <v>734.91</v>
      </c>
      <c r="Z516" s="4" t="s">
        <v>148</v>
      </c>
      <c r="AA516" s="4" t="s">
        <v>147</v>
      </c>
      <c r="AB516" s="4">
        <f>SUMIF('Trip Changes'!$B:$B,A516,'Trip Changes'!$E:$E)</f>
        <v>286.22000000000003</v>
      </c>
      <c r="AC516" s="4">
        <f>SUMIF('Trip Cancellations'!$B:$B,A516,'Trip Cancellations'!$E:$E)</f>
        <v>0</v>
      </c>
      <c r="AD516" s="4">
        <f>SUMIF('Trip Cancellations'!$B:$B,A516,'Trip Cancellations'!$F:$F)</f>
        <v>0</v>
      </c>
      <c r="AE516" s="4">
        <f t="shared" si="8"/>
        <v>1021.13</v>
      </c>
      <c r="AF516" t="s">
        <v>148</v>
      </c>
      <c r="AG516">
        <v>4</v>
      </c>
      <c r="AH516" s="5">
        <v>508.8</v>
      </c>
      <c r="AI516" t="s">
        <v>148</v>
      </c>
    </row>
    <row r="517" spans="1:35">
      <c r="A517" t="s">
        <v>869</v>
      </c>
      <c r="B517" t="s">
        <v>865</v>
      </c>
      <c r="C517" t="s">
        <v>182</v>
      </c>
      <c r="D517" t="s">
        <v>248</v>
      </c>
      <c r="E517" t="s">
        <v>249</v>
      </c>
      <c r="F517" t="s">
        <v>181</v>
      </c>
      <c r="G517" s="3">
        <v>46196</v>
      </c>
      <c r="H517" s="3">
        <v>46228</v>
      </c>
      <c r="I517" s="3">
        <v>46232</v>
      </c>
      <c r="J517" t="s">
        <v>150</v>
      </c>
      <c r="K517" t="s">
        <v>182</v>
      </c>
      <c r="L517" t="s">
        <v>225</v>
      </c>
      <c r="M517" t="s">
        <v>152</v>
      </c>
      <c r="N517" t="s">
        <v>153</v>
      </c>
      <c r="O517">
        <v>3516</v>
      </c>
      <c r="P517">
        <v>32</v>
      </c>
      <c r="Q517" t="s">
        <v>145</v>
      </c>
      <c r="R517" t="s">
        <v>154</v>
      </c>
      <c r="S517" t="s">
        <v>164</v>
      </c>
      <c r="T517" s="4">
        <v>449.12</v>
      </c>
      <c r="U517" s="4">
        <v>0</v>
      </c>
      <c r="V517" s="4">
        <v>3</v>
      </c>
      <c r="W517" s="4">
        <v>392.7</v>
      </c>
      <c r="X517" s="4">
        <v>105.19</v>
      </c>
      <c r="Y517" s="4">
        <v>947.01</v>
      </c>
      <c r="Z517" s="4" t="s">
        <v>147</v>
      </c>
      <c r="AA517" s="4" t="s">
        <v>147</v>
      </c>
      <c r="AB517" s="4">
        <f>SUMIF('Trip Changes'!$B:$B,A517,'Trip Changes'!$E:$E)</f>
        <v>0</v>
      </c>
      <c r="AC517" s="4">
        <f>SUMIF('Trip Cancellations'!$B:$B,A517,'Trip Cancellations'!$E:$E)</f>
        <v>0</v>
      </c>
      <c r="AD517" s="4">
        <f>SUMIF('Trip Cancellations'!$B:$B,A517,'Trip Cancellations'!$F:$F)</f>
        <v>0</v>
      </c>
      <c r="AE517" s="4">
        <f t="shared" si="8"/>
        <v>947.01</v>
      </c>
      <c r="AF517" t="s">
        <v>148</v>
      </c>
      <c r="AG517">
        <v>3</v>
      </c>
      <c r="AH517" s="5">
        <v>527.4</v>
      </c>
      <c r="AI517" t="s">
        <v>148</v>
      </c>
    </row>
    <row r="518" spans="1:35">
      <c r="A518" t="s">
        <v>870</v>
      </c>
      <c r="B518" t="s">
        <v>865</v>
      </c>
      <c r="C518" t="s">
        <v>182</v>
      </c>
      <c r="D518" t="s">
        <v>248</v>
      </c>
      <c r="E518" t="s">
        <v>249</v>
      </c>
      <c r="F518" t="s">
        <v>140</v>
      </c>
      <c r="G518" s="3">
        <v>46227</v>
      </c>
      <c r="H518" s="3">
        <v>46232</v>
      </c>
      <c r="I518" s="3">
        <v>46234</v>
      </c>
      <c r="J518" t="s">
        <v>150</v>
      </c>
      <c r="K518" t="s">
        <v>182</v>
      </c>
      <c r="L518" t="s">
        <v>171</v>
      </c>
      <c r="M518" t="s">
        <v>152</v>
      </c>
      <c r="N518" t="s">
        <v>153</v>
      </c>
      <c r="O518">
        <v>2364</v>
      </c>
      <c r="P518">
        <v>5</v>
      </c>
      <c r="Q518" t="s">
        <v>145</v>
      </c>
      <c r="R518" t="s">
        <v>154</v>
      </c>
      <c r="S518" t="s">
        <v>187</v>
      </c>
      <c r="T518" s="4">
        <v>643.70000000000005</v>
      </c>
      <c r="U518" s="4">
        <v>0</v>
      </c>
      <c r="V518" s="4">
        <v>1</v>
      </c>
      <c r="W518" s="4">
        <v>124.59</v>
      </c>
      <c r="X518" s="4">
        <v>49.56</v>
      </c>
      <c r="Y518" s="4">
        <v>817.85</v>
      </c>
      <c r="Z518" s="4" t="s">
        <v>147</v>
      </c>
      <c r="AA518" s="4" t="s">
        <v>147</v>
      </c>
      <c r="AB518" s="4">
        <f>SUMIF('Trip Changes'!$B:$B,A518,'Trip Changes'!$E:$E)</f>
        <v>0</v>
      </c>
      <c r="AC518" s="4">
        <f>SUMIF('Trip Cancellations'!$B:$B,A518,'Trip Cancellations'!$E:$E)</f>
        <v>0</v>
      </c>
      <c r="AD518" s="4">
        <f>SUMIF('Trip Cancellations'!$B:$B,A518,'Trip Cancellations'!$F:$F)</f>
        <v>0</v>
      </c>
      <c r="AE518" s="4">
        <f t="shared" si="8"/>
        <v>817.85</v>
      </c>
      <c r="AF518" t="s">
        <v>148</v>
      </c>
      <c r="AG518">
        <v>4</v>
      </c>
      <c r="AH518" s="5">
        <v>354.6</v>
      </c>
      <c r="AI518" t="s">
        <v>147</v>
      </c>
    </row>
    <row r="519" spans="1:35">
      <c r="A519" t="s">
        <v>871</v>
      </c>
      <c r="B519" t="s">
        <v>872</v>
      </c>
      <c r="C519" t="s">
        <v>257</v>
      </c>
      <c r="D519" t="s">
        <v>168</v>
      </c>
      <c r="E519" t="s">
        <v>262</v>
      </c>
      <c r="F519" t="s">
        <v>140</v>
      </c>
      <c r="G519" s="3">
        <v>46147</v>
      </c>
      <c r="H519" s="3">
        <v>46169</v>
      </c>
      <c r="I519" s="3">
        <v>46170</v>
      </c>
      <c r="J519" t="s">
        <v>163</v>
      </c>
      <c r="K519" t="s">
        <v>257</v>
      </c>
      <c r="L519" t="s">
        <v>193</v>
      </c>
      <c r="M519" t="s">
        <v>143</v>
      </c>
      <c r="N519" t="s">
        <v>144</v>
      </c>
      <c r="O519">
        <v>428</v>
      </c>
      <c r="P519">
        <v>22</v>
      </c>
      <c r="Q519" t="s">
        <v>159</v>
      </c>
      <c r="T519" s="4">
        <v>0</v>
      </c>
      <c r="U519" s="4">
        <v>314.79000000000002</v>
      </c>
      <c r="V519" s="4">
        <v>0</v>
      </c>
      <c r="W519" s="4">
        <v>0</v>
      </c>
      <c r="X519" s="4">
        <v>98.01</v>
      </c>
      <c r="Y519" s="4">
        <v>412.8</v>
      </c>
      <c r="Z519" s="4" t="s">
        <v>147</v>
      </c>
      <c r="AA519" s="4" t="s">
        <v>148</v>
      </c>
      <c r="AB519" s="4">
        <f>SUMIF('Trip Changes'!$B:$B,A519,'Trip Changes'!$E:$E)</f>
        <v>0</v>
      </c>
      <c r="AC519" s="4">
        <f>SUMIF('Trip Cancellations'!$B:$B,A519,'Trip Cancellations'!$E:$E)</f>
        <v>32.36</v>
      </c>
      <c r="AD519" s="4">
        <f>SUMIF('Trip Cancellations'!$B:$B,A519,'Trip Cancellations'!$F:$F)</f>
        <v>236.09</v>
      </c>
      <c r="AE519" s="4">
        <f t="shared" si="8"/>
        <v>209.07000000000002</v>
      </c>
      <c r="AF519" t="s">
        <v>148</v>
      </c>
      <c r="AG519">
        <v>4</v>
      </c>
      <c r="AH519" s="5">
        <v>17.100000000000001</v>
      </c>
      <c r="AI519" t="s">
        <v>147</v>
      </c>
    </row>
    <row r="520" spans="1:35">
      <c r="A520" t="s">
        <v>873</v>
      </c>
      <c r="B520" t="s">
        <v>872</v>
      </c>
      <c r="C520" t="s">
        <v>257</v>
      </c>
      <c r="D520" t="s">
        <v>168</v>
      </c>
      <c r="E520" t="s">
        <v>262</v>
      </c>
      <c r="F520" t="s">
        <v>140</v>
      </c>
      <c r="G520" s="3">
        <v>46171</v>
      </c>
      <c r="H520" s="3">
        <v>46190</v>
      </c>
      <c r="I520" s="3">
        <v>46194</v>
      </c>
      <c r="J520" t="s">
        <v>141</v>
      </c>
      <c r="K520" t="s">
        <v>257</v>
      </c>
      <c r="L520" t="s">
        <v>199</v>
      </c>
      <c r="M520" t="s">
        <v>152</v>
      </c>
      <c r="N520" t="s">
        <v>153</v>
      </c>
      <c r="O520">
        <v>1498</v>
      </c>
      <c r="P520">
        <v>19</v>
      </c>
      <c r="Q520" t="s">
        <v>145</v>
      </c>
      <c r="R520" t="s">
        <v>291</v>
      </c>
      <c r="S520" t="s">
        <v>173</v>
      </c>
      <c r="T520" s="4">
        <v>603.4</v>
      </c>
      <c r="U520" s="4">
        <v>0</v>
      </c>
      <c r="V520" s="4">
        <v>3</v>
      </c>
      <c r="W520" s="4">
        <v>391.66</v>
      </c>
      <c r="X520" s="4">
        <v>67.88</v>
      </c>
      <c r="Y520" s="4">
        <v>1062.94</v>
      </c>
      <c r="Z520" s="4" t="s">
        <v>147</v>
      </c>
      <c r="AA520" s="4" t="s">
        <v>147</v>
      </c>
      <c r="AB520" s="4">
        <f>SUMIF('Trip Changes'!$B:$B,A520,'Trip Changes'!$E:$E)</f>
        <v>0</v>
      </c>
      <c r="AC520" s="4">
        <f>SUMIF('Trip Cancellations'!$B:$B,A520,'Trip Cancellations'!$E:$E)</f>
        <v>0</v>
      </c>
      <c r="AD520" s="4">
        <f>SUMIF('Trip Cancellations'!$B:$B,A520,'Trip Cancellations'!$F:$F)</f>
        <v>0</v>
      </c>
      <c r="AE520" s="4">
        <f t="shared" si="8"/>
        <v>1062.94</v>
      </c>
      <c r="AF520" t="s">
        <v>148</v>
      </c>
      <c r="AG520">
        <v>4</v>
      </c>
      <c r="AH520" s="5">
        <v>224.7</v>
      </c>
      <c r="AI520" t="s">
        <v>147</v>
      </c>
    </row>
    <row r="521" spans="1:35">
      <c r="A521" t="s">
        <v>874</v>
      </c>
      <c r="B521" t="s">
        <v>872</v>
      </c>
      <c r="C521" t="s">
        <v>257</v>
      </c>
      <c r="D521" t="s">
        <v>168</v>
      </c>
      <c r="E521" t="s">
        <v>262</v>
      </c>
      <c r="F521" t="s">
        <v>162</v>
      </c>
      <c r="G521" s="3">
        <v>46150</v>
      </c>
      <c r="H521" s="3">
        <v>46166</v>
      </c>
      <c r="I521" s="3">
        <v>46169</v>
      </c>
      <c r="J521" t="s">
        <v>163</v>
      </c>
      <c r="K521" t="s">
        <v>257</v>
      </c>
      <c r="L521" t="s">
        <v>142</v>
      </c>
      <c r="M521" t="s">
        <v>143</v>
      </c>
      <c r="N521" t="s">
        <v>144</v>
      </c>
      <c r="O521">
        <v>378</v>
      </c>
      <c r="P521">
        <v>16</v>
      </c>
      <c r="Q521" t="s">
        <v>145</v>
      </c>
      <c r="S521" t="s">
        <v>146</v>
      </c>
      <c r="T521" s="4">
        <v>0</v>
      </c>
      <c r="U521" s="4">
        <v>215.89</v>
      </c>
      <c r="V521" s="4">
        <v>2</v>
      </c>
      <c r="W521" s="4">
        <v>255.08</v>
      </c>
      <c r="X521" s="4">
        <v>20</v>
      </c>
      <c r="Y521" s="4">
        <v>490.97</v>
      </c>
      <c r="Z521" s="4" t="s">
        <v>147</v>
      </c>
      <c r="AA521" s="4" t="s">
        <v>147</v>
      </c>
      <c r="AB521" s="4">
        <f>SUMIF('Trip Changes'!$B:$B,A521,'Trip Changes'!$E:$E)</f>
        <v>0</v>
      </c>
      <c r="AC521" s="4">
        <f>SUMIF('Trip Cancellations'!$B:$B,A521,'Trip Cancellations'!$E:$E)</f>
        <v>0</v>
      </c>
      <c r="AD521" s="4">
        <f>SUMIF('Trip Cancellations'!$B:$B,A521,'Trip Cancellations'!$F:$F)</f>
        <v>0</v>
      </c>
      <c r="AE521" s="4">
        <f t="shared" si="8"/>
        <v>490.97</v>
      </c>
      <c r="AF521" t="s">
        <v>148</v>
      </c>
      <c r="AG521">
        <v>5</v>
      </c>
      <c r="AH521" s="5">
        <v>15.1</v>
      </c>
      <c r="AI521" t="s">
        <v>148</v>
      </c>
    </row>
    <row r="522" spans="1:35">
      <c r="A522" t="s">
        <v>875</v>
      </c>
      <c r="B522" t="s">
        <v>872</v>
      </c>
      <c r="C522" t="s">
        <v>257</v>
      </c>
      <c r="D522" t="s">
        <v>168</v>
      </c>
      <c r="E522" t="s">
        <v>262</v>
      </c>
      <c r="F522" t="s">
        <v>157</v>
      </c>
      <c r="G522" s="3">
        <v>46159</v>
      </c>
      <c r="H522" s="3">
        <v>46176</v>
      </c>
      <c r="I522" s="3">
        <v>46183</v>
      </c>
      <c r="J522" t="s">
        <v>141</v>
      </c>
      <c r="K522" t="s">
        <v>257</v>
      </c>
      <c r="L522" t="s">
        <v>240</v>
      </c>
      <c r="M522" t="s">
        <v>152</v>
      </c>
      <c r="N522" t="s">
        <v>153</v>
      </c>
      <c r="O522">
        <v>21538</v>
      </c>
      <c r="P522">
        <v>17</v>
      </c>
      <c r="Q522" t="s">
        <v>145</v>
      </c>
      <c r="R522" t="s">
        <v>441</v>
      </c>
      <c r="S522" t="s">
        <v>173</v>
      </c>
      <c r="T522" s="4">
        <v>1273.08</v>
      </c>
      <c r="U522" s="4">
        <v>0</v>
      </c>
      <c r="V522" s="4">
        <v>6</v>
      </c>
      <c r="W522" s="4">
        <v>690.52</v>
      </c>
      <c r="X522" s="4">
        <v>77.930000000000007</v>
      </c>
      <c r="Y522" s="4">
        <v>2041.53</v>
      </c>
      <c r="Z522" s="4" t="s">
        <v>147</v>
      </c>
      <c r="AA522" s="4" t="s">
        <v>147</v>
      </c>
      <c r="AB522" s="4">
        <f>SUMIF('Trip Changes'!$B:$B,A522,'Trip Changes'!$E:$E)</f>
        <v>0</v>
      </c>
      <c r="AC522" s="4">
        <f>SUMIF('Trip Cancellations'!$B:$B,A522,'Trip Cancellations'!$E:$E)</f>
        <v>0</v>
      </c>
      <c r="AD522" s="4">
        <f>SUMIF('Trip Cancellations'!$B:$B,A522,'Trip Cancellations'!$F:$F)</f>
        <v>0</v>
      </c>
      <c r="AE522" s="4">
        <f t="shared" si="8"/>
        <v>2041.53</v>
      </c>
      <c r="AF522" t="s">
        <v>148</v>
      </c>
      <c r="AG522">
        <v>4</v>
      </c>
      <c r="AH522" s="5">
        <v>3230.7</v>
      </c>
      <c r="AI522" t="s">
        <v>148</v>
      </c>
    </row>
    <row r="523" spans="1:35">
      <c r="A523" t="s">
        <v>876</v>
      </c>
      <c r="B523" t="s">
        <v>877</v>
      </c>
      <c r="C523" t="s">
        <v>307</v>
      </c>
      <c r="D523" t="s">
        <v>168</v>
      </c>
      <c r="E523" t="s">
        <v>139</v>
      </c>
      <c r="F523" t="s">
        <v>207</v>
      </c>
      <c r="G523" s="3">
        <v>46197</v>
      </c>
      <c r="H523" s="3">
        <v>46214</v>
      </c>
      <c r="I523" s="3">
        <v>46218</v>
      </c>
      <c r="J523" t="s">
        <v>150</v>
      </c>
      <c r="K523" t="s">
        <v>307</v>
      </c>
      <c r="L523" t="s">
        <v>233</v>
      </c>
      <c r="M523" t="s">
        <v>152</v>
      </c>
      <c r="N523" t="s">
        <v>153</v>
      </c>
      <c r="O523">
        <v>1838</v>
      </c>
      <c r="P523">
        <v>17</v>
      </c>
      <c r="Q523" t="s">
        <v>216</v>
      </c>
      <c r="R523" t="s">
        <v>160</v>
      </c>
      <c r="S523" t="s">
        <v>164</v>
      </c>
      <c r="T523" s="4">
        <v>451.5</v>
      </c>
      <c r="U523" s="4">
        <v>0</v>
      </c>
      <c r="V523" s="4">
        <v>3</v>
      </c>
      <c r="W523" s="4">
        <v>354.84</v>
      </c>
      <c r="X523" s="4">
        <v>73.8</v>
      </c>
      <c r="Y523" s="4">
        <v>880.14</v>
      </c>
      <c r="Z523" s="4" t="s">
        <v>147</v>
      </c>
      <c r="AA523" s="4" t="s">
        <v>147</v>
      </c>
      <c r="AB523" s="4">
        <f>SUMIF('Trip Changes'!$B:$B,A523,'Trip Changes'!$E:$E)</f>
        <v>0</v>
      </c>
      <c r="AC523" s="4">
        <f>SUMIF('Trip Cancellations'!$B:$B,A523,'Trip Cancellations'!$E:$E)</f>
        <v>0</v>
      </c>
      <c r="AD523" s="4">
        <f>SUMIF('Trip Cancellations'!$B:$B,A523,'Trip Cancellations'!$F:$F)</f>
        <v>0</v>
      </c>
      <c r="AE523" s="4">
        <f t="shared" si="8"/>
        <v>880.14</v>
      </c>
      <c r="AF523" t="s">
        <v>148</v>
      </c>
      <c r="AG523">
        <v>4</v>
      </c>
      <c r="AH523" s="5">
        <v>275.7</v>
      </c>
      <c r="AI523" t="s">
        <v>148</v>
      </c>
    </row>
    <row r="524" spans="1:35">
      <c r="A524" t="s">
        <v>878</v>
      </c>
      <c r="B524" t="s">
        <v>877</v>
      </c>
      <c r="C524" t="s">
        <v>307</v>
      </c>
      <c r="D524" t="s">
        <v>168</v>
      </c>
      <c r="E524" t="s">
        <v>139</v>
      </c>
      <c r="F524" t="s">
        <v>189</v>
      </c>
      <c r="G524" s="3">
        <v>46222</v>
      </c>
      <c r="H524" s="3">
        <v>46226</v>
      </c>
      <c r="I524" s="3">
        <v>46228</v>
      </c>
      <c r="J524" t="s">
        <v>150</v>
      </c>
      <c r="K524" t="s">
        <v>307</v>
      </c>
      <c r="L524" t="s">
        <v>209</v>
      </c>
      <c r="M524" t="s">
        <v>152</v>
      </c>
      <c r="N524" t="s">
        <v>153</v>
      </c>
      <c r="O524">
        <v>1520</v>
      </c>
      <c r="P524">
        <v>4</v>
      </c>
      <c r="Q524" t="s">
        <v>216</v>
      </c>
      <c r="R524" t="s">
        <v>172</v>
      </c>
      <c r="S524" t="s">
        <v>155</v>
      </c>
      <c r="T524" s="4">
        <v>374.65</v>
      </c>
      <c r="U524" s="4">
        <v>0</v>
      </c>
      <c r="V524" s="4">
        <v>1</v>
      </c>
      <c r="W524" s="4">
        <v>176.85</v>
      </c>
      <c r="X524" s="4">
        <v>50.5</v>
      </c>
      <c r="Y524" s="4">
        <v>602</v>
      </c>
      <c r="Z524" s="4" t="s">
        <v>147</v>
      </c>
      <c r="AA524" s="4" t="s">
        <v>147</v>
      </c>
      <c r="AB524" s="4">
        <f>SUMIF('Trip Changes'!$B:$B,A524,'Trip Changes'!$E:$E)</f>
        <v>0</v>
      </c>
      <c r="AC524" s="4">
        <f>SUMIF('Trip Cancellations'!$B:$B,A524,'Trip Cancellations'!$E:$E)</f>
        <v>0</v>
      </c>
      <c r="AD524" s="4">
        <f>SUMIF('Trip Cancellations'!$B:$B,A524,'Trip Cancellations'!$F:$F)</f>
        <v>0</v>
      </c>
      <c r="AE524" s="4">
        <f t="shared" si="8"/>
        <v>602</v>
      </c>
      <c r="AF524" t="s">
        <v>148</v>
      </c>
      <c r="AG524">
        <v>4</v>
      </c>
      <c r="AH524" s="5">
        <v>228</v>
      </c>
      <c r="AI524" t="s">
        <v>148</v>
      </c>
    </row>
    <row r="525" spans="1:35">
      <c r="A525" t="s">
        <v>879</v>
      </c>
      <c r="B525" t="s">
        <v>880</v>
      </c>
      <c r="C525" t="s">
        <v>142</v>
      </c>
      <c r="D525" t="s">
        <v>204</v>
      </c>
      <c r="E525" t="s">
        <v>249</v>
      </c>
      <c r="F525" t="s">
        <v>140</v>
      </c>
      <c r="G525" s="3">
        <v>46186</v>
      </c>
      <c r="H525" s="3">
        <v>46204</v>
      </c>
      <c r="I525" s="3">
        <v>46205</v>
      </c>
      <c r="J525" t="s">
        <v>150</v>
      </c>
      <c r="K525" t="s">
        <v>142</v>
      </c>
      <c r="L525" t="s">
        <v>203</v>
      </c>
      <c r="M525" t="s">
        <v>143</v>
      </c>
      <c r="N525" t="s">
        <v>153</v>
      </c>
      <c r="O525">
        <v>1038</v>
      </c>
      <c r="P525">
        <v>18</v>
      </c>
      <c r="Q525" t="s">
        <v>145</v>
      </c>
      <c r="R525" t="s">
        <v>154</v>
      </c>
      <c r="T525" s="4">
        <v>145.03</v>
      </c>
      <c r="U525" s="4">
        <v>0</v>
      </c>
      <c r="V525" s="4">
        <v>0</v>
      </c>
      <c r="W525" s="4">
        <v>0</v>
      </c>
      <c r="X525" s="4">
        <v>87.39</v>
      </c>
      <c r="Y525" s="4">
        <v>232.42</v>
      </c>
      <c r="Z525" s="4" t="s">
        <v>147</v>
      </c>
      <c r="AA525" s="4" t="s">
        <v>147</v>
      </c>
      <c r="AB525" s="4">
        <f>SUMIF('Trip Changes'!$B:$B,A525,'Trip Changes'!$E:$E)</f>
        <v>0</v>
      </c>
      <c r="AC525" s="4">
        <f>SUMIF('Trip Cancellations'!$B:$B,A525,'Trip Cancellations'!$E:$E)</f>
        <v>0</v>
      </c>
      <c r="AD525" s="4">
        <f>SUMIF('Trip Cancellations'!$B:$B,A525,'Trip Cancellations'!$F:$F)</f>
        <v>0</v>
      </c>
      <c r="AE525" s="4">
        <f t="shared" si="8"/>
        <v>232.42</v>
      </c>
      <c r="AF525" t="s">
        <v>148</v>
      </c>
      <c r="AG525">
        <v>5</v>
      </c>
      <c r="AH525" s="5">
        <v>155.69999999999999</v>
      </c>
      <c r="AI525" t="s">
        <v>148</v>
      </c>
    </row>
    <row r="526" spans="1:35">
      <c r="A526" t="s">
        <v>881</v>
      </c>
      <c r="B526" t="s">
        <v>880</v>
      </c>
      <c r="C526" t="s">
        <v>142</v>
      </c>
      <c r="D526" t="s">
        <v>204</v>
      </c>
      <c r="E526" t="s">
        <v>249</v>
      </c>
      <c r="F526" t="s">
        <v>162</v>
      </c>
      <c r="G526" s="3">
        <v>46225</v>
      </c>
      <c r="H526" s="3">
        <v>46231</v>
      </c>
      <c r="I526" s="3">
        <v>46233</v>
      </c>
      <c r="J526" t="s">
        <v>150</v>
      </c>
      <c r="K526" t="s">
        <v>142</v>
      </c>
      <c r="L526" t="s">
        <v>199</v>
      </c>
      <c r="M526" t="s">
        <v>152</v>
      </c>
      <c r="N526" t="s">
        <v>153</v>
      </c>
      <c r="O526">
        <v>3062</v>
      </c>
      <c r="P526">
        <v>6</v>
      </c>
      <c r="Q526" t="s">
        <v>216</v>
      </c>
      <c r="R526" t="s">
        <v>200</v>
      </c>
      <c r="S526" t="s">
        <v>173</v>
      </c>
      <c r="T526" s="4">
        <v>370.24</v>
      </c>
      <c r="U526" s="4">
        <v>0</v>
      </c>
      <c r="V526" s="4">
        <v>1</v>
      </c>
      <c r="W526" s="4">
        <v>188.47</v>
      </c>
      <c r="X526" s="4">
        <v>122.63</v>
      </c>
      <c r="Y526" s="4">
        <v>681.34</v>
      </c>
      <c r="Z526" s="4" t="s">
        <v>147</v>
      </c>
      <c r="AA526" s="4" t="s">
        <v>147</v>
      </c>
      <c r="AB526" s="4">
        <f>SUMIF('Trip Changes'!$B:$B,A526,'Trip Changes'!$E:$E)</f>
        <v>0</v>
      </c>
      <c r="AC526" s="4">
        <f>SUMIF('Trip Cancellations'!$B:$B,A526,'Trip Cancellations'!$E:$E)</f>
        <v>0</v>
      </c>
      <c r="AD526" s="4">
        <f>SUMIF('Trip Cancellations'!$B:$B,A526,'Trip Cancellations'!$F:$F)</f>
        <v>0</v>
      </c>
      <c r="AE526" s="4">
        <f t="shared" si="8"/>
        <v>681.34</v>
      </c>
      <c r="AF526" t="s">
        <v>148</v>
      </c>
      <c r="AG526">
        <v>4</v>
      </c>
      <c r="AH526" s="5">
        <v>459.3</v>
      </c>
      <c r="AI526" t="s">
        <v>147</v>
      </c>
    </row>
    <row r="527" spans="1:35">
      <c r="A527" t="s">
        <v>882</v>
      </c>
      <c r="B527" t="s">
        <v>880</v>
      </c>
      <c r="C527" t="s">
        <v>142</v>
      </c>
      <c r="D527" t="s">
        <v>204</v>
      </c>
      <c r="E527" t="s">
        <v>249</v>
      </c>
      <c r="F527" t="s">
        <v>140</v>
      </c>
      <c r="G527" s="3">
        <v>46150</v>
      </c>
      <c r="H527" s="3">
        <v>46160</v>
      </c>
      <c r="I527" s="3">
        <v>46165</v>
      </c>
      <c r="J527" t="s">
        <v>163</v>
      </c>
      <c r="K527" t="s">
        <v>142</v>
      </c>
      <c r="L527" t="s">
        <v>185</v>
      </c>
      <c r="M527" t="s">
        <v>152</v>
      </c>
      <c r="N527" t="s">
        <v>153</v>
      </c>
      <c r="O527">
        <v>11254</v>
      </c>
      <c r="P527">
        <v>10</v>
      </c>
      <c r="Q527" t="s">
        <v>207</v>
      </c>
      <c r="R527" t="s">
        <v>154</v>
      </c>
      <c r="S527" t="s">
        <v>173</v>
      </c>
      <c r="T527" s="4">
        <v>1143.06</v>
      </c>
      <c r="U527" s="4">
        <v>0</v>
      </c>
      <c r="V527" s="4">
        <v>4</v>
      </c>
      <c r="W527" s="4">
        <v>601.49</v>
      </c>
      <c r="X527" s="4">
        <v>40.61</v>
      </c>
      <c r="Y527" s="4">
        <v>1785.16</v>
      </c>
      <c r="Z527" s="4" t="s">
        <v>147</v>
      </c>
      <c r="AA527" s="4" t="s">
        <v>148</v>
      </c>
      <c r="AB527" s="4">
        <f>SUMIF('Trip Changes'!$B:$B,A527,'Trip Changes'!$E:$E)</f>
        <v>0</v>
      </c>
      <c r="AC527" s="4">
        <f>SUMIF('Trip Cancellations'!$B:$B,A527,'Trip Cancellations'!$E:$E)</f>
        <v>122.22</v>
      </c>
      <c r="AD527" s="4">
        <f>SUMIF('Trip Cancellations'!$B:$B,A527,'Trip Cancellations'!$F:$F)</f>
        <v>872.27</v>
      </c>
      <c r="AE527" s="4">
        <f t="shared" si="8"/>
        <v>1035.1100000000001</v>
      </c>
      <c r="AF527" t="s">
        <v>148</v>
      </c>
      <c r="AG527">
        <v>3</v>
      </c>
      <c r="AH527" s="5">
        <v>1688.1</v>
      </c>
      <c r="AI527" t="s">
        <v>147</v>
      </c>
    </row>
    <row r="528" spans="1:35">
      <c r="A528" t="s">
        <v>883</v>
      </c>
      <c r="B528" t="s">
        <v>880</v>
      </c>
      <c r="C528" t="s">
        <v>142</v>
      </c>
      <c r="D528" t="s">
        <v>204</v>
      </c>
      <c r="E528" t="s">
        <v>249</v>
      </c>
      <c r="F528" t="s">
        <v>162</v>
      </c>
      <c r="G528" s="3">
        <v>46141</v>
      </c>
      <c r="H528" s="3">
        <v>46154</v>
      </c>
      <c r="I528" s="3">
        <v>46158</v>
      </c>
      <c r="J528" t="s">
        <v>163</v>
      </c>
      <c r="K528" t="s">
        <v>142</v>
      </c>
      <c r="L528" t="s">
        <v>283</v>
      </c>
      <c r="M528" t="s">
        <v>152</v>
      </c>
      <c r="N528" t="s">
        <v>153</v>
      </c>
      <c r="O528">
        <v>11140</v>
      </c>
      <c r="P528">
        <v>13</v>
      </c>
      <c r="Q528" t="s">
        <v>145</v>
      </c>
      <c r="R528" t="s">
        <v>186</v>
      </c>
      <c r="S528" t="s">
        <v>187</v>
      </c>
      <c r="T528" s="4">
        <v>820.79</v>
      </c>
      <c r="U528" s="4">
        <v>0</v>
      </c>
      <c r="V528" s="4">
        <v>3</v>
      </c>
      <c r="W528" s="4">
        <v>638.17999999999995</v>
      </c>
      <c r="X528" s="4">
        <v>119.59</v>
      </c>
      <c r="Y528" s="4">
        <v>1578.56</v>
      </c>
      <c r="Z528" s="4" t="s">
        <v>147</v>
      </c>
      <c r="AA528" s="4" t="s">
        <v>147</v>
      </c>
      <c r="AB528" s="4">
        <f>SUMIF('Trip Changes'!$B:$B,A528,'Trip Changes'!$E:$E)</f>
        <v>0</v>
      </c>
      <c r="AC528" s="4">
        <f>SUMIF('Trip Cancellations'!$B:$B,A528,'Trip Cancellations'!$E:$E)</f>
        <v>0</v>
      </c>
      <c r="AD528" s="4">
        <f>SUMIF('Trip Cancellations'!$B:$B,A528,'Trip Cancellations'!$F:$F)</f>
        <v>0</v>
      </c>
      <c r="AE528" s="4">
        <f t="shared" si="8"/>
        <v>1578.56</v>
      </c>
      <c r="AF528" t="s">
        <v>148</v>
      </c>
      <c r="AG528">
        <v>3</v>
      </c>
      <c r="AH528" s="5">
        <v>1671</v>
      </c>
      <c r="AI528" t="s">
        <v>147</v>
      </c>
    </row>
    <row r="529" spans="1:35">
      <c r="A529" t="s">
        <v>884</v>
      </c>
      <c r="B529" t="s">
        <v>880</v>
      </c>
      <c r="C529" t="s">
        <v>142</v>
      </c>
      <c r="D529" t="s">
        <v>204</v>
      </c>
      <c r="E529" t="s">
        <v>249</v>
      </c>
      <c r="F529" t="s">
        <v>181</v>
      </c>
      <c r="G529" s="3">
        <v>46179</v>
      </c>
      <c r="H529" s="3">
        <v>46187</v>
      </c>
      <c r="I529" s="3">
        <v>46190</v>
      </c>
      <c r="J529" t="s">
        <v>141</v>
      </c>
      <c r="K529" t="s">
        <v>142</v>
      </c>
      <c r="L529" t="s">
        <v>203</v>
      </c>
      <c r="M529" t="s">
        <v>143</v>
      </c>
      <c r="N529" t="s">
        <v>153</v>
      </c>
      <c r="O529">
        <v>656</v>
      </c>
      <c r="P529">
        <v>8</v>
      </c>
      <c r="Q529" t="s">
        <v>145</v>
      </c>
      <c r="R529" t="s">
        <v>176</v>
      </c>
      <c r="S529" t="s">
        <v>146</v>
      </c>
      <c r="T529" s="4">
        <v>270.19</v>
      </c>
      <c r="U529" s="4">
        <v>0</v>
      </c>
      <c r="V529" s="4">
        <v>2</v>
      </c>
      <c r="W529" s="4">
        <v>215.8</v>
      </c>
      <c r="X529" s="4">
        <v>101.98</v>
      </c>
      <c r="Y529" s="4">
        <v>587.97</v>
      </c>
      <c r="Z529" s="4" t="s">
        <v>147</v>
      </c>
      <c r="AA529" s="4" t="s">
        <v>147</v>
      </c>
      <c r="AB529" s="4">
        <f>SUMIF('Trip Changes'!$B:$B,A529,'Trip Changes'!$E:$E)</f>
        <v>0</v>
      </c>
      <c r="AC529" s="4">
        <f>SUMIF('Trip Cancellations'!$B:$B,A529,'Trip Cancellations'!$E:$E)</f>
        <v>0</v>
      </c>
      <c r="AD529" s="4">
        <f>SUMIF('Trip Cancellations'!$B:$B,A529,'Trip Cancellations'!$F:$F)</f>
        <v>0</v>
      </c>
      <c r="AE529" s="4">
        <f t="shared" si="8"/>
        <v>587.97</v>
      </c>
      <c r="AF529" t="s">
        <v>148</v>
      </c>
      <c r="AG529">
        <v>4</v>
      </c>
      <c r="AH529" s="5">
        <v>98.4</v>
      </c>
      <c r="AI529" t="s">
        <v>147</v>
      </c>
    </row>
    <row r="530" spans="1:35">
      <c r="A530" t="s">
        <v>885</v>
      </c>
      <c r="B530" t="s">
        <v>886</v>
      </c>
      <c r="C530" t="s">
        <v>887</v>
      </c>
      <c r="D530" t="s">
        <v>204</v>
      </c>
      <c r="E530" t="s">
        <v>169</v>
      </c>
      <c r="F530" t="s">
        <v>162</v>
      </c>
      <c r="G530" s="3">
        <v>46181</v>
      </c>
      <c r="H530" s="3">
        <v>46188</v>
      </c>
      <c r="I530" s="3">
        <v>46192</v>
      </c>
      <c r="J530" t="s">
        <v>141</v>
      </c>
      <c r="K530" t="s">
        <v>887</v>
      </c>
      <c r="L530" t="s">
        <v>185</v>
      </c>
      <c r="M530" t="s">
        <v>152</v>
      </c>
      <c r="N530" t="s">
        <v>153</v>
      </c>
      <c r="O530">
        <v>10004</v>
      </c>
      <c r="P530">
        <v>7</v>
      </c>
      <c r="Q530" t="s">
        <v>159</v>
      </c>
      <c r="R530" t="s">
        <v>278</v>
      </c>
      <c r="S530" t="s">
        <v>187</v>
      </c>
      <c r="T530" s="4">
        <v>1213.48</v>
      </c>
      <c r="U530" s="4">
        <v>0</v>
      </c>
      <c r="V530" s="4">
        <v>3</v>
      </c>
      <c r="W530" s="4">
        <v>551.08000000000004</v>
      </c>
      <c r="X530" s="4">
        <v>20</v>
      </c>
      <c r="Y530" s="4">
        <v>1784.56</v>
      </c>
      <c r="Z530" s="4" t="s">
        <v>147</v>
      </c>
      <c r="AA530" s="4" t="s">
        <v>147</v>
      </c>
      <c r="AB530" s="4">
        <f>SUMIF('Trip Changes'!$B:$B,A530,'Trip Changes'!$E:$E)</f>
        <v>0</v>
      </c>
      <c r="AC530" s="4">
        <f>SUMIF('Trip Cancellations'!$B:$B,A530,'Trip Cancellations'!$E:$E)</f>
        <v>0</v>
      </c>
      <c r="AD530" s="4">
        <f>SUMIF('Trip Cancellations'!$B:$B,A530,'Trip Cancellations'!$F:$F)</f>
        <v>0</v>
      </c>
      <c r="AE530" s="4">
        <f t="shared" si="8"/>
        <v>1784.56</v>
      </c>
      <c r="AF530" t="s">
        <v>148</v>
      </c>
      <c r="AG530">
        <v>4</v>
      </c>
      <c r="AH530" s="5">
        <v>1500.6</v>
      </c>
      <c r="AI530" t="s">
        <v>147</v>
      </c>
    </row>
    <row r="531" spans="1:35">
      <c r="A531" t="s">
        <v>888</v>
      </c>
      <c r="B531" t="s">
        <v>886</v>
      </c>
      <c r="C531" t="s">
        <v>887</v>
      </c>
      <c r="D531" t="s">
        <v>204</v>
      </c>
      <c r="E531" t="s">
        <v>169</v>
      </c>
      <c r="F531" t="s">
        <v>189</v>
      </c>
      <c r="G531" s="3">
        <v>46141</v>
      </c>
      <c r="H531" s="3">
        <v>46169</v>
      </c>
      <c r="I531" s="3">
        <v>46174</v>
      </c>
      <c r="J531" t="s">
        <v>163</v>
      </c>
      <c r="K531" t="s">
        <v>887</v>
      </c>
      <c r="L531" t="s">
        <v>179</v>
      </c>
      <c r="M531" t="s">
        <v>152</v>
      </c>
      <c r="N531" t="s">
        <v>153</v>
      </c>
      <c r="O531">
        <v>14842</v>
      </c>
      <c r="P531">
        <v>28</v>
      </c>
      <c r="Q531" t="s">
        <v>159</v>
      </c>
      <c r="R531" t="s">
        <v>441</v>
      </c>
      <c r="S531" t="s">
        <v>164</v>
      </c>
      <c r="T531" s="4">
        <v>650</v>
      </c>
      <c r="U531" s="4">
        <v>0</v>
      </c>
      <c r="V531" s="4">
        <v>4</v>
      </c>
      <c r="W531" s="4">
        <v>957.78</v>
      </c>
      <c r="X531" s="4">
        <v>20</v>
      </c>
      <c r="Y531" s="4">
        <v>1627.78</v>
      </c>
      <c r="Z531" s="4" t="s">
        <v>148</v>
      </c>
      <c r="AA531" s="4" t="s">
        <v>147</v>
      </c>
      <c r="AB531" s="4">
        <f>SUMIF('Trip Changes'!$B:$B,A531,'Trip Changes'!$E:$E)</f>
        <v>232.67</v>
      </c>
      <c r="AC531" s="4">
        <f>SUMIF('Trip Cancellations'!$B:$B,A531,'Trip Cancellations'!$E:$E)</f>
        <v>0</v>
      </c>
      <c r="AD531" s="4">
        <f>SUMIF('Trip Cancellations'!$B:$B,A531,'Trip Cancellations'!$F:$F)</f>
        <v>0</v>
      </c>
      <c r="AE531" s="4">
        <f t="shared" si="8"/>
        <v>1860.45</v>
      </c>
      <c r="AF531" t="s">
        <v>148</v>
      </c>
      <c r="AG531">
        <v>4</v>
      </c>
      <c r="AH531" s="5">
        <v>2226.3000000000002</v>
      </c>
      <c r="AI531" t="s">
        <v>148</v>
      </c>
    </row>
    <row r="532" spans="1:35">
      <c r="A532" t="s">
        <v>889</v>
      </c>
      <c r="B532" t="s">
        <v>890</v>
      </c>
      <c r="C532" t="s">
        <v>182</v>
      </c>
      <c r="D532" t="s">
        <v>230</v>
      </c>
      <c r="E532" t="s">
        <v>249</v>
      </c>
      <c r="F532" t="s">
        <v>157</v>
      </c>
      <c r="G532" s="3">
        <v>46198</v>
      </c>
      <c r="H532" s="3">
        <v>46207</v>
      </c>
      <c r="I532" s="3">
        <v>46212</v>
      </c>
      <c r="J532" t="s">
        <v>150</v>
      </c>
      <c r="K532" t="s">
        <v>182</v>
      </c>
      <c r="L532" t="s">
        <v>185</v>
      </c>
      <c r="M532" t="s">
        <v>152</v>
      </c>
      <c r="N532" t="s">
        <v>153</v>
      </c>
      <c r="O532">
        <v>11200</v>
      </c>
      <c r="P532">
        <v>9</v>
      </c>
      <c r="Q532" t="s">
        <v>216</v>
      </c>
      <c r="R532" t="s">
        <v>154</v>
      </c>
      <c r="S532" t="s">
        <v>173</v>
      </c>
      <c r="T532" s="4">
        <v>840.75</v>
      </c>
      <c r="U532" s="4">
        <v>0</v>
      </c>
      <c r="V532" s="4">
        <v>4</v>
      </c>
      <c r="W532" s="4">
        <v>720.38</v>
      </c>
      <c r="X532" s="4">
        <v>78.44</v>
      </c>
      <c r="Y532" s="4">
        <v>1639.57</v>
      </c>
      <c r="Z532" s="4" t="s">
        <v>147</v>
      </c>
      <c r="AA532" s="4" t="s">
        <v>147</v>
      </c>
      <c r="AB532" s="4">
        <f>SUMIF('Trip Changes'!$B:$B,A532,'Trip Changes'!$E:$E)</f>
        <v>0</v>
      </c>
      <c r="AC532" s="4">
        <f>SUMIF('Trip Cancellations'!$B:$B,A532,'Trip Cancellations'!$E:$E)</f>
        <v>0</v>
      </c>
      <c r="AD532" s="4">
        <f>SUMIF('Trip Cancellations'!$B:$B,A532,'Trip Cancellations'!$F:$F)</f>
        <v>0</v>
      </c>
      <c r="AE532" s="4">
        <f t="shared" si="8"/>
        <v>1639.57</v>
      </c>
      <c r="AF532" t="s">
        <v>148</v>
      </c>
      <c r="AG532">
        <v>4</v>
      </c>
      <c r="AH532" s="5">
        <v>1680</v>
      </c>
      <c r="AI532" t="s">
        <v>148</v>
      </c>
    </row>
    <row r="533" spans="1:35">
      <c r="A533" t="s">
        <v>891</v>
      </c>
      <c r="B533" t="s">
        <v>890</v>
      </c>
      <c r="C533" t="s">
        <v>182</v>
      </c>
      <c r="D533" t="s">
        <v>230</v>
      </c>
      <c r="E533" t="s">
        <v>249</v>
      </c>
      <c r="F533" t="s">
        <v>207</v>
      </c>
      <c r="G533" s="3">
        <v>46191</v>
      </c>
      <c r="H533" s="3">
        <v>46201</v>
      </c>
      <c r="I533" s="3">
        <v>46204</v>
      </c>
      <c r="J533" t="s">
        <v>141</v>
      </c>
      <c r="K533" t="s">
        <v>182</v>
      </c>
      <c r="L533" t="s">
        <v>199</v>
      </c>
      <c r="M533" t="s">
        <v>152</v>
      </c>
      <c r="N533" t="s">
        <v>153</v>
      </c>
      <c r="O533">
        <v>2752</v>
      </c>
      <c r="P533">
        <v>10</v>
      </c>
      <c r="Q533" t="s">
        <v>145</v>
      </c>
      <c r="R533" t="s">
        <v>200</v>
      </c>
      <c r="S533" t="s">
        <v>187</v>
      </c>
      <c r="T533" s="4">
        <v>527.96</v>
      </c>
      <c r="U533" s="4">
        <v>0</v>
      </c>
      <c r="V533" s="4">
        <v>2</v>
      </c>
      <c r="W533" s="4">
        <v>213.99</v>
      </c>
      <c r="X533" s="4">
        <v>120.76</v>
      </c>
      <c r="Y533" s="4">
        <v>862.71</v>
      </c>
      <c r="Z533" s="4" t="s">
        <v>147</v>
      </c>
      <c r="AA533" s="4" t="s">
        <v>147</v>
      </c>
      <c r="AB533" s="4">
        <f>SUMIF('Trip Changes'!$B:$B,A533,'Trip Changes'!$E:$E)</f>
        <v>0</v>
      </c>
      <c r="AC533" s="4">
        <f>SUMIF('Trip Cancellations'!$B:$B,A533,'Trip Cancellations'!$E:$E)</f>
        <v>0</v>
      </c>
      <c r="AD533" s="4">
        <f>SUMIF('Trip Cancellations'!$B:$B,A533,'Trip Cancellations'!$F:$F)</f>
        <v>0</v>
      </c>
      <c r="AE533" s="4">
        <f t="shared" si="8"/>
        <v>862.71</v>
      </c>
      <c r="AF533" t="s">
        <v>148</v>
      </c>
      <c r="AG533">
        <v>5</v>
      </c>
      <c r="AH533" s="5">
        <v>412.8</v>
      </c>
      <c r="AI533" t="s">
        <v>147</v>
      </c>
    </row>
    <row r="534" spans="1:35">
      <c r="A534" t="s">
        <v>892</v>
      </c>
      <c r="B534" t="s">
        <v>890</v>
      </c>
      <c r="C534" t="s">
        <v>182</v>
      </c>
      <c r="D534" t="s">
        <v>230</v>
      </c>
      <c r="E534" t="s">
        <v>249</v>
      </c>
      <c r="F534" t="s">
        <v>140</v>
      </c>
      <c r="G534" s="3">
        <v>46186</v>
      </c>
      <c r="H534" s="3">
        <v>46198</v>
      </c>
      <c r="I534" s="3">
        <v>46202</v>
      </c>
      <c r="J534" t="s">
        <v>141</v>
      </c>
      <c r="K534" t="s">
        <v>182</v>
      </c>
      <c r="L534" t="s">
        <v>233</v>
      </c>
      <c r="M534" t="s">
        <v>152</v>
      </c>
      <c r="N534" t="s">
        <v>153</v>
      </c>
      <c r="O534">
        <v>1104</v>
      </c>
      <c r="P534">
        <v>12</v>
      </c>
      <c r="Q534" t="s">
        <v>159</v>
      </c>
      <c r="R534" t="s">
        <v>160</v>
      </c>
      <c r="S534" t="s">
        <v>164</v>
      </c>
      <c r="T534" s="4">
        <v>576.02</v>
      </c>
      <c r="U534" s="4">
        <v>0</v>
      </c>
      <c r="V534" s="4">
        <v>3</v>
      </c>
      <c r="W534" s="4">
        <v>514.07000000000005</v>
      </c>
      <c r="X534" s="4">
        <v>48.94</v>
      </c>
      <c r="Y534" s="4">
        <v>1139.03</v>
      </c>
      <c r="Z534" s="4" t="s">
        <v>148</v>
      </c>
      <c r="AA534" s="4" t="s">
        <v>147</v>
      </c>
      <c r="AB534" s="4">
        <f>SUMIF('Trip Changes'!$B:$B,A534,'Trip Changes'!$E:$E)</f>
        <v>173.24</v>
      </c>
      <c r="AC534" s="4">
        <f>SUMIF('Trip Cancellations'!$B:$B,A534,'Trip Cancellations'!$E:$E)</f>
        <v>0</v>
      </c>
      <c r="AD534" s="4">
        <f>SUMIF('Trip Cancellations'!$B:$B,A534,'Trip Cancellations'!$F:$F)</f>
        <v>0</v>
      </c>
      <c r="AE534" s="4">
        <f t="shared" si="8"/>
        <v>1312.27</v>
      </c>
      <c r="AF534" t="s">
        <v>148</v>
      </c>
      <c r="AG534">
        <v>4</v>
      </c>
      <c r="AH534" s="5">
        <v>165.6</v>
      </c>
      <c r="AI534" t="s">
        <v>147</v>
      </c>
    </row>
    <row r="535" spans="1:35">
      <c r="A535" t="s">
        <v>893</v>
      </c>
      <c r="B535" t="s">
        <v>894</v>
      </c>
      <c r="C535" t="s">
        <v>182</v>
      </c>
      <c r="D535" t="s">
        <v>138</v>
      </c>
      <c r="E535" t="s">
        <v>169</v>
      </c>
      <c r="F535" t="s">
        <v>140</v>
      </c>
      <c r="G535" s="3">
        <v>46132</v>
      </c>
      <c r="H535" s="3">
        <v>46150</v>
      </c>
      <c r="I535" s="3">
        <v>46152</v>
      </c>
      <c r="J535" t="s">
        <v>163</v>
      </c>
      <c r="K535" t="s">
        <v>182</v>
      </c>
      <c r="L535" t="s">
        <v>142</v>
      </c>
      <c r="M535" t="s">
        <v>143</v>
      </c>
      <c r="N535" t="s">
        <v>144</v>
      </c>
      <c r="O535">
        <v>522</v>
      </c>
      <c r="P535">
        <v>18</v>
      </c>
      <c r="Q535" t="s">
        <v>159</v>
      </c>
      <c r="S535" t="s">
        <v>146</v>
      </c>
      <c r="T535" s="4">
        <v>0</v>
      </c>
      <c r="U535" s="4">
        <v>184.97</v>
      </c>
      <c r="V535" s="4">
        <v>1</v>
      </c>
      <c r="W535" s="4">
        <v>174.02</v>
      </c>
      <c r="X535" s="4">
        <v>55</v>
      </c>
      <c r="Y535" s="4">
        <v>413.99</v>
      </c>
      <c r="Z535" s="4" t="s">
        <v>147</v>
      </c>
      <c r="AA535" s="4" t="s">
        <v>147</v>
      </c>
      <c r="AB535" s="4">
        <f>SUMIF('Trip Changes'!$B:$B,A535,'Trip Changes'!$E:$E)</f>
        <v>0</v>
      </c>
      <c r="AC535" s="4">
        <f>SUMIF('Trip Cancellations'!$B:$B,A535,'Trip Cancellations'!$E:$E)</f>
        <v>0</v>
      </c>
      <c r="AD535" s="4">
        <f>SUMIF('Trip Cancellations'!$B:$B,A535,'Trip Cancellations'!$F:$F)</f>
        <v>0</v>
      </c>
      <c r="AE535" s="4">
        <f t="shared" si="8"/>
        <v>413.99</v>
      </c>
      <c r="AF535" t="s">
        <v>148</v>
      </c>
      <c r="AG535">
        <v>5</v>
      </c>
      <c r="AH535" s="5">
        <v>20.9</v>
      </c>
      <c r="AI535" t="s">
        <v>147</v>
      </c>
    </row>
    <row r="536" spans="1:35">
      <c r="A536" t="s">
        <v>895</v>
      </c>
      <c r="B536" t="s">
        <v>896</v>
      </c>
      <c r="C536" t="s">
        <v>182</v>
      </c>
      <c r="D536" t="s">
        <v>138</v>
      </c>
      <c r="E536" t="s">
        <v>262</v>
      </c>
      <c r="F536" t="s">
        <v>189</v>
      </c>
      <c r="G536" s="3">
        <v>46134</v>
      </c>
      <c r="H536" s="3">
        <v>46153</v>
      </c>
      <c r="I536" s="3">
        <v>46158</v>
      </c>
      <c r="J536" t="s">
        <v>163</v>
      </c>
      <c r="K536" t="s">
        <v>182</v>
      </c>
      <c r="L536" t="s">
        <v>199</v>
      </c>
      <c r="M536" t="s">
        <v>152</v>
      </c>
      <c r="N536" t="s">
        <v>153</v>
      </c>
      <c r="O536">
        <v>1800</v>
      </c>
      <c r="P536">
        <v>19</v>
      </c>
      <c r="Q536" t="s">
        <v>216</v>
      </c>
      <c r="R536" t="s">
        <v>200</v>
      </c>
      <c r="S536" t="s">
        <v>155</v>
      </c>
      <c r="T536" s="4">
        <v>399.77</v>
      </c>
      <c r="U536" s="4">
        <v>0</v>
      </c>
      <c r="V536" s="4">
        <v>4</v>
      </c>
      <c r="W536" s="4">
        <v>644.70000000000005</v>
      </c>
      <c r="X536" s="4">
        <v>116.24</v>
      </c>
      <c r="Y536" s="4">
        <v>1160.71</v>
      </c>
      <c r="Z536" s="4" t="s">
        <v>148</v>
      </c>
      <c r="AA536" s="4" t="s">
        <v>147</v>
      </c>
      <c r="AB536" s="4">
        <f>SUMIF('Trip Changes'!$B:$B,A536,'Trip Changes'!$E:$E)</f>
        <v>79.78</v>
      </c>
      <c r="AC536" s="4">
        <f>SUMIF('Trip Cancellations'!$B:$B,A536,'Trip Cancellations'!$E:$E)</f>
        <v>0</v>
      </c>
      <c r="AD536" s="4">
        <f>SUMIF('Trip Cancellations'!$B:$B,A536,'Trip Cancellations'!$F:$F)</f>
        <v>0</v>
      </c>
      <c r="AE536" s="4">
        <f t="shared" si="8"/>
        <v>1240.49</v>
      </c>
      <c r="AF536" t="s">
        <v>148</v>
      </c>
      <c r="AG536">
        <v>3</v>
      </c>
      <c r="AH536" s="5">
        <v>270</v>
      </c>
      <c r="AI536" t="s">
        <v>148</v>
      </c>
    </row>
    <row r="537" spans="1:35">
      <c r="A537" t="s">
        <v>897</v>
      </c>
      <c r="B537" t="s">
        <v>896</v>
      </c>
      <c r="C537" t="s">
        <v>182</v>
      </c>
      <c r="D537" t="s">
        <v>138</v>
      </c>
      <c r="E537" t="s">
        <v>262</v>
      </c>
      <c r="F537" t="s">
        <v>170</v>
      </c>
      <c r="G537" s="3">
        <v>46135</v>
      </c>
      <c r="H537" s="3">
        <v>46160</v>
      </c>
      <c r="I537" s="3">
        <v>46166</v>
      </c>
      <c r="J537" t="s">
        <v>163</v>
      </c>
      <c r="K537" t="s">
        <v>182</v>
      </c>
      <c r="L537" t="s">
        <v>264</v>
      </c>
      <c r="M537" t="s">
        <v>152</v>
      </c>
      <c r="N537" t="s">
        <v>153</v>
      </c>
      <c r="O537">
        <v>1132</v>
      </c>
      <c r="P537">
        <v>25</v>
      </c>
      <c r="Q537" t="s">
        <v>145</v>
      </c>
      <c r="R537" t="s">
        <v>176</v>
      </c>
      <c r="S537" t="s">
        <v>164</v>
      </c>
      <c r="T537" s="4">
        <v>365.46</v>
      </c>
      <c r="U537" s="4">
        <v>0</v>
      </c>
      <c r="V537" s="4">
        <v>5</v>
      </c>
      <c r="W537" s="4">
        <v>1020.72</v>
      </c>
      <c r="X537" s="4">
        <v>35.19</v>
      </c>
      <c r="Y537" s="4">
        <v>1421.37</v>
      </c>
      <c r="Z537" s="4" t="s">
        <v>147</v>
      </c>
      <c r="AA537" s="4" t="s">
        <v>148</v>
      </c>
      <c r="AB537" s="4">
        <f>SUMIF('Trip Changes'!$B:$B,A537,'Trip Changes'!$E:$E)</f>
        <v>0</v>
      </c>
      <c r="AC537" s="4">
        <f>SUMIF('Trip Cancellations'!$B:$B,A537,'Trip Cancellations'!$E:$E)</f>
        <v>82.75</v>
      </c>
      <c r="AD537" s="4">
        <f>SUMIF('Trip Cancellations'!$B:$B,A537,'Trip Cancellations'!$F:$F)</f>
        <v>1039.6300000000001</v>
      </c>
      <c r="AE537" s="4">
        <f t="shared" si="8"/>
        <v>464.48999999999978</v>
      </c>
      <c r="AF537" t="s">
        <v>148</v>
      </c>
      <c r="AG537">
        <v>3</v>
      </c>
      <c r="AH537" s="5">
        <v>169.8</v>
      </c>
      <c r="AI537" t="s">
        <v>147</v>
      </c>
    </row>
    <row r="538" spans="1:35">
      <c r="A538" t="s">
        <v>898</v>
      </c>
      <c r="B538" t="s">
        <v>899</v>
      </c>
      <c r="C538" t="s">
        <v>182</v>
      </c>
      <c r="D538" t="s">
        <v>248</v>
      </c>
      <c r="E538" t="s">
        <v>139</v>
      </c>
      <c r="F538" t="s">
        <v>162</v>
      </c>
      <c r="G538" s="3">
        <v>46172</v>
      </c>
      <c r="H538" s="3">
        <v>46180</v>
      </c>
      <c r="I538" s="3">
        <v>46182</v>
      </c>
      <c r="J538" t="s">
        <v>141</v>
      </c>
      <c r="K538" t="s">
        <v>182</v>
      </c>
      <c r="L538" t="s">
        <v>227</v>
      </c>
      <c r="M538" t="s">
        <v>152</v>
      </c>
      <c r="N538" t="s">
        <v>153</v>
      </c>
      <c r="O538">
        <v>1866</v>
      </c>
      <c r="P538">
        <v>8</v>
      </c>
      <c r="Q538" t="s">
        <v>145</v>
      </c>
      <c r="R538" t="s">
        <v>172</v>
      </c>
      <c r="S538" t="s">
        <v>187</v>
      </c>
      <c r="T538" s="4">
        <v>271.32</v>
      </c>
      <c r="U538" s="4">
        <v>0</v>
      </c>
      <c r="V538" s="4">
        <v>1</v>
      </c>
      <c r="W538" s="4">
        <v>161.65</v>
      </c>
      <c r="X538" s="4">
        <v>118.99</v>
      </c>
      <c r="Y538" s="4">
        <v>551.96</v>
      </c>
      <c r="Z538" s="4" t="s">
        <v>148</v>
      </c>
      <c r="AA538" s="4" t="s">
        <v>147</v>
      </c>
      <c r="AB538" s="4">
        <f>SUMIF('Trip Changes'!$B:$B,A538,'Trip Changes'!$E:$E)</f>
        <v>43.39</v>
      </c>
      <c r="AC538" s="4">
        <f>SUMIF('Trip Cancellations'!$B:$B,A538,'Trip Cancellations'!$E:$E)</f>
        <v>0</v>
      </c>
      <c r="AD538" s="4">
        <f>SUMIF('Trip Cancellations'!$B:$B,A538,'Trip Cancellations'!$F:$F)</f>
        <v>0</v>
      </c>
      <c r="AE538" s="4">
        <f t="shared" si="8"/>
        <v>595.35</v>
      </c>
      <c r="AF538" t="s">
        <v>148</v>
      </c>
      <c r="AG538">
        <v>4</v>
      </c>
      <c r="AH538" s="5">
        <v>279.89999999999998</v>
      </c>
      <c r="AI538" t="s">
        <v>147</v>
      </c>
    </row>
    <row r="539" spans="1:35">
      <c r="A539" t="s">
        <v>900</v>
      </c>
      <c r="B539" t="s">
        <v>901</v>
      </c>
      <c r="C539" t="s">
        <v>203</v>
      </c>
      <c r="D539" t="s">
        <v>138</v>
      </c>
      <c r="E539" t="s">
        <v>169</v>
      </c>
      <c r="F539" t="s">
        <v>140</v>
      </c>
      <c r="G539" s="3">
        <v>46135</v>
      </c>
      <c r="H539" s="3">
        <v>46146</v>
      </c>
      <c r="I539" s="3">
        <v>46150</v>
      </c>
      <c r="J539" t="s">
        <v>163</v>
      </c>
      <c r="K539" t="s">
        <v>203</v>
      </c>
      <c r="L539" t="s">
        <v>233</v>
      </c>
      <c r="M539" t="s">
        <v>152</v>
      </c>
      <c r="N539" t="s">
        <v>153</v>
      </c>
      <c r="O539">
        <v>2722</v>
      </c>
      <c r="P539">
        <v>11</v>
      </c>
      <c r="Q539" t="s">
        <v>145</v>
      </c>
      <c r="R539" t="s">
        <v>160</v>
      </c>
      <c r="S539" t="s">
        <v>187</v>
      </c>
      <c r="T539" s="4">
        <v>475.46</v>
      </c>
      <c r="U539" s="4">
        <v>0</v>
      </c>
      <c r="V539" s="4">
        <v>3</v>
      </c>
      <c r="W539" s="4">
        <v>650.53</v>
      </c>
      <c r="X539" s="4">
        <v>94.75</v>
      </c>
      <c r="Y539" s="4">
        <v>1220.74</v>
      </c>
      <c r="Z539" s="4" t="s">
        <v>147</v>
      </c>
      <c r="AA539" s="4" t="s">
        <v>147</v>
      </c>
      <c r="AB539" s="4">
        <f>SUMIF('Trip Changes'!$B:$B,A539,'Trip Changes'!$E:$E)</f>
        <v>0</v>
      </c>
      <c r="AC539" s="4">
        <f>SUMIF('Trip Cancellations'!$B:$B,A539,'Trip Cancellations'!$E:$E)</f>
        <v>0</v>
      </c>
      <c r="AD539" s="4">
        <f>SUMIF('Trip Cancellations'!$B:$B,A539,'Trip Cancellations'!$F:$F)</f>
        <v>0</v>
      </c>
      <c r="AE539" s="4">
        <f t="shared" si="8"/>
        <v>1220.74</v>
      </c>
      <c r="AF539" t="s">
        <v>148</v>
      </c>
      <c r="AG539">
        <v>5</v>
      </c>
      <c r="AH539" s="5">
        <v>408.3</v>
      </c>
      <c r="AI539" t="s">
        <v>147</v>
      </c>
    </row>
    <row r="540" spans="1:35">
      <c r="A540" t="s">
        <v>902</v>
      </c>
      <c r="B540" t="s">
        <v>901</v>
      </c>
      <c r="C540" t="s">
        <v>203</v>
      </c>
      <c r="D540" t="s">
        <v>138</v>
      </c>
      <c r="E540" t="s">
        <v>169</v>
      </c>
      <c r="F540" t="s">
        <v>140</v>
      </c>
      <c r="G540" s="3">
        <v>46202</v>
      </c>
      <c r="H540" s="3">
        <v>46219</v>
      </c>
      <c r="I540" s="3">
        <v>46221</v>
      </c>
      <c r="J540" t="s">
        <v>150</v>
      </c>
      <c r="K540" t="s">
        <v>203</v>
      </c>
      <c r="L540" t="s">
        <v>199</v>
      </c>
      <c r="M540" t="s">
        <v>152</v>
      </c>
      <c r="N540" t="s">
        <v>153</v>
      </c>
      <c r="O540">
        <v>3088</v>
      </c>
      <c r="P540">
        <v>17</v>
      </c>
      <c r="Q540" t="s">
        <v>159</v>
      </c>
      <c r="R540" t="s">
        <v>200</v>
      </c>
      <c r="S540" t="s">
        <v>155</v>
      </c>
      <c r="T540" s="4">
        <v>150</v>
      </c>
      <c r="U540" s="4">
        <v>0</v>
      </c>
      <c r="V540" s="4">
        <v>1</v>
      </c>
      <c r="W540" s="4">
        <v>232.54</v>
      </c>
      <c r="X540" s="4">
        <v>98.27</v>
      </c>
      <c r="Y540" s="4">
        <v>480.81</v>
      </c>
      <c r="Z540" s="4" t="s">
        <v>148</v>
      </c>
      <c r="AA540" s="4" t="s">
        <v>147</v>
      </c>
      <c r="AB540" s="4">
        <f>SUMIF('Trip Changes'!$B:$B,A540,'Trip Changes'!$E:$E)</f>
        <v>49.62</v>
      </c>
      <c r="AC540" s="4">
        <f>SUMIF('Trip Cancellations'!$B:$B,A540,'Trip Cancellations'!$E:$E)</f>
        <v>0</v>
      </c>
      <c r="AD540" s="4">
        <f>SUMIF('Trip Cancellations'!$B:$B,A540,'Trip Cancellations'!$F:$F)</f>
        <v>0</v>
      </c>
      <c r="AE540" s="4">
        <f t="shared" si="8"/>
        <v>530.42999999999995</v>
      </c>
      <c r="AF540" t="s">
        <v>148</v>
      </c>
      <c r="AG540">
        <v>5</v>
      </c>
      <c r="AH540" s="5">
        <v>463.2</v>
      </c>
      <c r="AI540" t="s">
        <v>147</v>
      </c>
    </row>
    <row r="541" spans="1:35">
      <c r="A541" t="s">
        <v>903</v>
      </c>
      <c r="B541" t="s">
        <v>901</v>
      </c>
      <c r="C541" t="s">
        <v>203</v>
      </c>
      <c r="D541" t="s">
        <v>138</v>
      </c>
      <c r="E541" t="s">
        <v>169</v>
      </c>
      <c r="F541" t="s">
        <v>162</v>
      </c>
      <c r="G541" s="3">
        <v>46140</v>
      </c>
      <c r="H541" s="3">
        <v>46150</v>
      </c>
      <c r="I541" s="3">
        <v>46151</v>
      </c>
      <c r="J541" t="s">
        <v>163</v>
      </c>
      <c r="K541" t="s">
        <v>203</v>
      </c>
      <c r="L541" t="s">
        <v>142</v>
      </c>
      <c r="M541" t="s">
        <v>143</v>
      </c>
      <c r="N541" t="s">
        <v>144</v>
      </c>
      <c r="O541">
        <v>718</v>
      </c>
      <c r="P541">
        <v>10</v>
      </c>
      <c r="Q541" t="s">
        <v>145</v>
      </c>
      <c r="T541" s="4">
        <v>0</v>
      </c>
      <c r="U541" s="4">
        <v>199.24</v>
      </c>
      <c r="V541" s="4">
        <v>0</v>
      </c>
      <c r="W541" s="4">
        <v>0</v>
      </c>
      <c r="X541" s="4">
        <v>61.72</v>
      </c>
      <c r="Y541" s="4">
        <v>260.95999999999998</v>
      </c>
      <c r="Z541" s="4" t="s">
        <v>147</v>
      </c>
      <c r="AA541" s="4" t="s">
        <v>147</v>
      </c>
      <c r="AB541" s="4">
        <f>SUMIF('Trip Changes'!$B:$B,A541,'Trip Changes'!$E:$E)</f>
        <v>0</v>
      </c>
      <c r="AC541" s="4">
        <f>SUMIF('Trip Cancellations'!$B:$B,A541,'Trip Cancellations'!$E:$E)</f>
        <v>0</v>
      </c>
      <c r="AD541" s="4">
        <f>SUMIF('Trip Cancellations'!$B:$B,A541,'Trip Cancellations'!$F:$F)</f>
        <v>0</v>
      </c>
      <c r="AE541" s="4">
        <f t="shared" si="8"/>
        <v>260.95999999999998</v>
      </c>
      <c r="AF541" t="s">
        <v>148</v>
      </c>
      <c r="AG541">
        <v>4</v>
      </c>
      <c r="AH541" s="5">
        <v>28.7</v>
      </c>
      <c r="AI541" t="s">
        <v>148</v>
      </c>
    </row>
    <row r="542" spans="1:35">
      <c r="A542" t="s">
        <v>904</v>
      </c>
      <c r="B542" t="s">
        <v>901</v>
      </c>
      <c r="C542" t="s">
        <v>203</v>
      </c>
      <c r="D542" t="s">
        <v>138</v>
      </c>
      <c r="E542" t="s">
        <v>169</v>
      </c>
      <c r="F542" t="s">
        <v>162</v>
      </c>
      <c r="G542" s="3">
        <v>46221</v>
      </c>
      <c r="H542" s="3">
        <v>46222</v>
      </c>
      <c r="I542" s="3">
        <v>46230</v>
      </c>
      <c r="J542" t="s">
        <v>150</v>
      </c>
      <c r="K542" t="s">
        <v>203</v>
      </c>
      <c r="L542" t="s">
        <v>197</v>
      </c>
      <c r="M542" t="s">
        <v>152</v>
      </c>
      <c r="N542" t="s">
        <v>153</v>
      </c>
      <c r="O542">
        <v>12758</v>
      </c>
      <c r="P542">
        <v>1</v>
      </c>
      <c r="Q542" t="s">
        <v>159</v>
      </c>
      <c r="R542" t="s">
        <v>278</v>
      </c>
      <c r="S542" t="s">
        <v>155</v>
      </c>
      <c r="T542" s="4">
        <v>998.65</v>
      </c>
      <c r="U542" s="4">
        <v>0</v>
      </c>
      <c r="V542" s="4">
        <v>7</v>
      </c>
      <c r="W542" s="4">
        <v>1317.66</v>
      </c>
      <c r="X542" s="4">
        <v>42.38</v>
      </c>
      <c r="Y542" s="4">
        <v>2358.69</v>
      </c>
      <c r="Z542" s="4" t="s">
        <v>147</v>
      </c>
      <c r="AA542" s="4" t="s">
        <v>147</v>
      </c>
      <c r="AB542" s="4">
        <f>SUMIF('Trip Changes'!$B:$B,A542,'Trip Changes'!$E:$E)</f>
        <v>0</v>
      </c>
      <c r="AC542" s="4">
        <f>SUMIF('Trip Cancellations'!$B:$B,A542,'Trip Cancellations'!$E:$E)</f>
        <v>0</v>
      </c>
      <c r="AD542" s="4">
        <f>SUMIF('Trip Cancellations'!$B:$B,A542,'Trip Cancellations'!$F:$F)</f>
        <v>0</v>
      </c>
      <c r="AE542" s="4">
        <f t="shared" si="8"/>
        <v>2358.69</v>
      </c>
      <c r="AF542" t="s">
        <v>147</v>
      </c>
      <c r="AG542">
        <v>4</v>
      </c>
      <c r="AH542" s="5">
        <v>1913.7</v>
      </c>
      <c r="AI542" t="s">
        <v>147</v>
      </c>
    </row>
    <row r="543" spans="1:35">
      <c r="A543" t="s">
        <v>905</v>
      </c>
      <c r="B543" t="s">
        <v>906</v>
      </c>
      <c r="C543" t="s">
        <v>307</v>
      </c>
      <c r="D543" t="s">
        <v>230</v>
      </c>
      <c r="E543" t="s">
        <v>169</v>
      </c>
      <c r="F543" t="s">
        <v>140</v>
      </c>
      <c r="G543" s="3">
        <v>46189</v>
      </c>
      <c r="H543" s="3">
        <v>46209</v>
      </c>
      <c r="I543" s="3">
        <v>46213</v>
      </c>
      <c r="J543" t="s">
        <v>150</v>
      </c>
      <c r="K543" t="s">
        <v>307</v>
      </c>
      <c r="L543" t="s">
        <v>225</v>
      </c>
      <c r="M543" t="s">
        <v>152</v>
      </c>
      <c r="N543" t="s">
        <v>153</v>
      </c>
      <c r="O543">
        <v>1406</v>
      </c>
      <c r="P543">
        <v>20</v>
      </c>
      <c r="Q543" t="s">
        <v>145</v>
      </c>
      <c r="R543" t="s">
        <v>236</v>
      </c>
      <c r="S543" t="s">
        <v>190</v>
      </c>
      <c r="T543" s="4">
        <v>152.5</v>
      </c>
      <c r="U543" s="4">
        <v>0</v>
      </c>
      <c r="V543" s="4">
        <v>3</v>
      </c>
      <c r="W543" s="4">
        <v>501.53</v>
      </c>
      <c r="X543" s="4">
        <v>93.11</v>
      </c>
      <c r="Y543" s="4">
        <v>747.14</v>
      </c>
      <c r="Z543" s="4" t="s">
        <v>147</v>
      </c>
      <c r="AA543" s="4" t="s">
        <v>147</v>
      </c>
      <c r="AB543" s="4">
        <f>SUMIF('Trip Changes'!$B:$B,A543,'Trip Changes'!$E:$E)</f>
        <v>0</v>
      </c>
      <c r="AC543" s="4">
        <f>SUMIF('Trip Cancellations'!$B:$B,A543,'Trip Cancellations'!$E:$E)</f>
        <v>0</v>
      </c>
      <c r="AD543" s="4">
        <f>SUMIF('Trip Cancellations'!$B:$B,A543,'Trip Cancellations'!$F:$F)</f>
        <v>0</v>
      </c>
      <c r="AE543" s="4">
        <f t="shared" si="8"/>
        <v>747.14</v>
      </c>
      <c r="AF543" t="s">
        <v>148</v>
      </c>
      <c r="AG543">
        <v>5</v>
      </c>
      <c r="AH543" s="5">
        <v>210.9</v>
      </c>
      <c r="AI543" t="s">
        <v>148</v>
      </c>
    </row>
    <row r="544" spans="1:35">
      <c r="A544" t="s">
        <v>907</v>
      </c>
      <c r="B544" t="s">
        <v>906</v>
      </c>
      <c r="C544" t="s">
        <v>307</v>
      </c>
      <c r="D544" t="s">
        <v>230</v>
      </c>
      <c r="E544" t="s">
        <v>169</v>
      </c>
      <c r="F544" t="s">
        <v>162</v>
      </c>
      <c r="G544" s="3">
        <v>46179</v>
      </c>
      <c r="H544" s="3">
        <v>46180</v>
      </c>
      <c r="I544" s="3">
        <v>46183</v>
      </c>
      <c r="J544" t="s">
        <v>141</v>
      </c>
      <c r="K544" t="s">
        <v>307</v>
      </c>
      <c r="L544" t="s">
        <v>171</v>
      </c>
      <c r="M544" t="s">
        <v>152</v>
      </c>
      <c r="N544" t="s">
        <v>153</v>
      </c>
      <c r="O544">
        <v>3410</v>
      </c>
      <c r="P544">
        <v>1</v>
      </c>
      <c r="Q544" t="s">
        <v>159</v>
      </c>
      <c r="R544" t="s">
        <v>172</v>
      </c>
      <c r="S544" t="s">
        <v>173</v>
      </c>
      <c r="T544" s="4">
        <v>316.76</v>
      </c>
      <c r="U544" s="4">
        <v>0</v>
      </c>
      <c r="V544" s="4">
        <v>2</v>
      </c>
      <c r="W544" s="4">
        <v>272</v>
      </c>
      <c r="X544" s="4">
        <v>108.2</v>
      </c>
      <c r="Y544" s="4">
        <v>696.96</v>
      </c>
      <c r="Z544" s="4" t="s">
        <v>148</v>
      </c>
      <c r="AA544" s="4" t="s">
        <v>147</v>
      </c>
      <c r="AB544" s="4">
        <f>SUMIF('Trip Changes'!$B:$B,A544,'Trip Changes'!$E:$E)</f>
        <v>285.62</v>
      </c>
      <c r="AC544" s="4">
        <f>SUMIF('Trip Cancellations'!$B:$B,A544,'Trip Cancellations'!$E:$E)</f>
        <v>0</v>
      </c>
      <c r="AD544" s="4">
        <f>SUMIF('Trip Cancellations'!$B:$B,A544,'Trip Cancellations'!$F:$F)</f>
        <v>0</v>
      </c>
      <c r="AE544" s="4">
        <f t="shared" si="8"/>
        <v>982.58</v>
      </c>
      <c r="AF544" t="s">
        <v>147</v>
      </c>
      <c r="AG544">
        <v>3</v>
      </c>
      <c r="AH544" s="5">
        <v>511.5</v>
      </c>
      <c r="AI544" t="s">
        <v>147</v>
      </c>
    </row>
    <row r="545" spans="1:35">
      <c r="A545" t="s">
        <v>908</v>
      </c>
      <c r="B545" t="s">
        <v>906</v>
      </c>
      <c r="C545" t="s">
        <v>307</v>
      </c>
      <c r="D545" t="s">
        <v>230</v>
      </c>
      <c r="E545" t="s">
        <v>169</v>
      </c>
      <c r="F545" t="s">
        <v>162</v>
      </c>
      <c r="G545" s="3">
        <v>46186</v>
      </c>
      <c r="H545" s="3">
        <v>46198</v>
      </c>
      <c r="I545" s="3">
        <v>46202</v>
      </c>
      <c r="J545" t="s">
        <v>141</v>
      </c>
      <c r="K545" t="s">
        <v>307</v>
      </c>
      <c r="L545" t="s">
        <v>185</v>
      </c>
      <c r="M545" t="s">
        <v>152</v>
      </c>
      <c r="N545" t="s">
        <v>153</v>
      </c>
      <c r="O545">
        <v>12008</v>
      </c>
      <c r="P545">
        <v>12</v>
      </c>
      <c r="Q545" t="s">
        <v>216</v>
      </c>
      <c r="R545" t="s">
        <v>186</v>
      </c>
      <c r="S545" t="s">
        <v>187</v>
      </c>
      <c r="T545" s="4">
        <v>687.11</v>
      </c>
      <c r="U545" s="4">
        <v>0</v>
      </c>
      <c r="V545" s="4">
        <v>3</v>
      </c>
      <c r="W545" s="4">
        <v>559.09</v>
      </c>
      <c r="X545" s="4">
        <v>73.709999999999994</v>
      </c>
      <c r="Y545" s="4">
        <v>1319.91</v>
      </c>
      <c r="Z545" s="4" t="s">
        <v>147</v>
      </c>
      <c r="AA545" s="4" t="s">
        <v>147</v>
      </c>
      <c r="AB545" s="4">
        <f>SUMIF('Trip Changes'!$B:$B,A545,'Trip Changes'!$E:$E)</f>
        <v>0</v>
      </c>
      <c r="AC545" s="4">
        <f>SUMIF('Trip Cancellations'!$B:$B,A545,'Trip Cancellations'!$E:$E)</f>
        <v>0</v>
      </c>
      <c r="AD545" s="4">
        <f>SUMIF('Trip Cancellations'!$B:$B,A545,'Trip Cancellations'!$F:$F)</f>
        <v>0</v>
      </c>
      <c r="AE545" s="4">
        <f t="shared" si="8"/>
        <v>1319.91</v>
      </c>
      <c r="AF545" t="s">
        <v>147</v>
      </c>
      <c r="AG545">
        <v>4</v>
      </c>
      <c r="AH545" s="5">
        <v>1801.2</v>
      </c>
      <c r="AI545" t="s">
        <v>147</v>
      </c>
    </row>
    <row r="546" spans="1:35">
      <c r="A546" t="s">
        <v>909</v>
      </c>
      <c r="B546" t="s">
        <v>910</v>
      </c>
      <c r="C546" t="s">
        <v>182</v>
      </c>
      <c r="D546" t="s">
        <v>168</v>
      </c>
      <c r="E546" t="s">
        <v>169</v>
      </c>
      <c r="F546" t="s">
        <v>140</v>
      </c>
      <c r="G546" s="3">
        <v>46176</v>
      </c>
      <c r="H546" s="3">
        <v>46189</v>
      </c>
      <c r="I546" s="3">
        <v>46191</v>
      </c>
      <c r="J546" t="s">
        <v>141</v>
      </c>
      <c r="K546" t="s">
        <v>182</v>
      </c>
      <c r="L546" t="s">
        <v>171</v>
      </c>
      <c r="M546" t="s">
        <v>152</v>
      </c>
      <c r="N546" t="s">
        <v>153</v>
      </c>
      <c r="O546">
        <v>1316</v>
      </c>
      <c r="P546">
        <v>13</v>
      </c>
      <c r="Q546" t="s">
        <v>145</v>
      </c>
      <c r="R546" t="s">
        <v>154</v>
      </c>
      <c r="S546" t="s">
        <v>155</v>
      </c>
      <c r="T546" s="4">
        <v>389.19</v>
      </c>
      <c r="U546" s="4">
        <v>0</v>
      </c>
      <c r="V546" s="4">
        <v>1</v>
      </c>
      <c r="W546" s="4">
        <v>170.56</v>
      </c>
      <c r="X546" s="4">
        <v>37.65</v>
      </c>
      <c r="Y546" s="4">
        <v>597.4</v>
      </c>
      <c r="Z546" s="4" t="s">
        <v>147</v>
      </c>
      <c r="AA546" s="4" t="s">
        <v>147</v>
      </c>
      <c r="AB546" s="4">
        <f>SUMIF('Trip Changes'!$B:$B,A546,'Trip Changes'!$E:$E)</f>
        <v>0</v>
      </c>
      <c r="AC546" s="4">
        <f>SUMIF('Trip Cancellations'!$B:$B,A546,'Trip Cancellations'!$E:$E)</f>
        <v>0</v>
      </c>
      <c r="AD546" s="4">
        <f>SUMIF('Trip Cancellations'!$B:$B,A546,'Trip Cancellations'!$F:$F)</f>
        <v>0</v>
      </c>
      <c r="AE546" s="4">
        <f t="shared" si="8"/>
        <v>597.4</v>
      </c>
      <c r="AF546" t="s">
        <v>148</v>
      </c>
      <c r="AG546">
        <v>4</v>
      </c>
      <c r="AH546" s="5">
        <v>197.4</v>
      </c>
      <c r="AI546" t="s">
        <v>148</v>
      </c>
    </row>
    <row r="547" spans="1:35">
      <c r="A547" t="s">
        <v>911</v>
      </c>
      <c r="B547" t="s">
        <v>910</v>
      </c>
      <c r="C547" t="s">
        <v>182</v>
      </c>
      <c r="D547" t="s">
        <v>168</v>
      </c>
      <c r="E547" t="s">
        <v>169</v>
      </c>
      <c r="F547" t="s">
        <v>181</v>
      </c>
      <c r="G547" s="3">
        <v>46202</v>
      </c>
      <c r="H547" s="3">
        <v>46204</v>
      </c>
      <c r="I547" s="3">
        <v>46207</v>
      </c>
      <c r="J547" t="s">
        <v>150</v>
      </c>
      <c r="K547" t="s">
        <v>182</v>
      </c>
      <c r="L547" t="s">
        <v>182</v>
      </c>
      <c r="M547" t="s">
        <v>143</v>
      </c>
      <c r="N547" t="s">
        <v>153</v>
      </c>
      <c r="O547">
        <v>716</v>
      </c>
      <c r="P547">
        <v>2</v>
      </c>
      <c r="Q547" t="s">
        <v>145</v>
      </c>
      <c r="R547" t="s">
        <v>176</v>
      </c>
      <c r="S547" t="s">
        <v>146</v>
      </c>
      <c r="T547" s="4">
        <v>244.22</v>
      </c>
      <c r="U547" s="4">
        <v>0</v>
      </c>
      <c r="V547" s="4">
        <v>2</v>
      </c>
      <c r="W547" s="4">
        <v>222.85</v>
      </c>
      <c r="X547" s="4">
        <v>46.29</v>
      </c>
      <c r="Y547" s="4">
        <v>513.36</v>
      </c>
      <c r="Z547" s="4" t="s">
        <v>147</v>
      </c>
      <c r="AA547" s="4" t="s">
        <v>148</v>
      </c>
      <c r="AB547" s="4">
        <f>SUMIF('Trip Changes'!$B:$B,A547,'Trip Changes'!$E:$E)</f>
        <v>0</v>
      </c>
      <c r="AC547" s="4">
        <f>SUMIF('Trip Cancellations'!$B:$B,A547,'Trip Cancellations'!$E:$E)</f>
        <v>6.71</v>
      </c>
      <c r="AD547" s="4">
        <f>SUMIF('Trip Cancellations'!$B:$B,A547,'Trip Cancellations'!$F:$F)</f>
        <v>350.3</v>
      </c>
      <c r="AE547" s="4">
        <f t="shared" si="8"/>
        <v>169.77000000000004</v>
      </c>
      <c r="AF547" t="s">
        <v>148</v>
      </c>
      <c r="AG547">
        <v>4</v>
      </c>
      <c r="AH547" s="5">
        <v>107.4</v>
      </c>
      <c r="AI547" t="s">
        <v>147</v>
      </c>
    </row>
    <row r="548" spans="1:35">
      <c r="A548" t="s">
        <v>912</v>
      </c>
      <c r="B548" t="s">
        <v>910</v>
      </c>
      <c r="C548" t="s">
        <v>182</v>
      </c>
      <c r="D548" t="s">
        <v>168</v>
      </c>
      <c r="E548" t="s">
        <v>169</v>
      </c>
      <c r="F548" t="s">
        <v>157</v>
      </c>
      <c r="G548" s="3">
        <v>46146</v>
      </c>
      <c r="H548" s="3">
        <v>46149</v>
      </c>
      <c r="I548" s="3">
        <v>46151</v>
      </c>
      <c r="J548" t="s">
        <v>163</v>
      </c>
      <c r="K548" t="s">
        <v>182</v>
      </c>
      <c r="L548" t="s">
        <v>307</v>
      </c>
      <c r="M548" t="s">
        <v>143</v>
      </c>
      <c r="N548" t="s">
        <v>144</v>
      </c>
      <c r="O548">
        <v>504</v>
      </c>
      <c r="P548">
        <v>3</v>
      </c>
      <c r="Q548" t="s">
        <v>145</v>
      </c>
      <c r="S548" t="s">
        <v>164</v>
      </c>
      <c r="T548" s="4">
        <v>0</v>
      </c>
      <c r="U548" s="4">
        <v>241.44</v>
      </c>
      <c r="V548" s="4">
        <v>1</v>
      </c>
      <c r="W548" s="4">
        <v>240.06</v>
      </c>
      <c r="X548" s="4">
        <v>84.01</v>
      </c>
      <c r="Y548" s="4">
        <v>565.51</v>
      </c>
      <c r="Z548" s="4" t="s">
        <v>147</v>
      </c>
      <c r="AA548" s="4" t="s">
        <v>147</v>
      </c>
      <c r="AB548" s="4">
        <f>SUMIF('Trip Changes'!$B:$B,A548,'Trip Changes'!$E:$E)</f>
        <v>0</v>
      </c>
      <c r="AC548" s="4">
        <f>SUMIF('Trip Cancellations'!$B:$B,A548,'Trip Cancellations'!$E:$E)</f>
        <v>0</v>
      </c>
      <c r="AD548" s="4">
        <f>SUMIF('Trip Cancellations'!$B:$B,A548,'Trip Cancellations'!$F:$F)</f>
        <v>0</v>
      </c>
      <c r="AE548" s="4">
        <f t="shared" si="8"/>
        <v>565.51</v>
      </c>
      <c r="AF548" t="s">
        <v>148</v>
      </c>
      <c r="AG548">
        <v>4</v>
      </c>
      <c r="AH548" s="5">
        <v>20.2</v>
      </c>
      <c r="AI548" t="s">
        <v>147</v>
      </c>
    </row>
    <row r="549" spans="1:35">
      <c r="A549" t="s">
        <v>913</v>
      </c>
      <c r="B549" t="s">
        <v>910</v>
      </c>
      <c r="C549" t="s">
        <v>182</v>
      </c>
      <c r="D549" t="s">
        <v>168</v>
      </c>
      <c r="E549" t="s">
        <v>169</v>
      </c>
      <c r="F549" t="s">
        <v>170</v>
      </c>
      <c r="G549" s="3">
        <v>46134</v>
      </c>
      <c r="H549" s="3">
        <v>46145</v>
      </c>
      <c r="I549" s="3">
        <v>46147</v>
      </c>
      <c r="J549" t="s">
        <v>163</v>
      </c>
      <c r="K549" t="s">
        <v>182</v>
      </c>
      <c r="L549" t="s">
        <v>233</v>
      </c>
      <c r="M549" t="s">
        <v>152</v>
      </c>
      <c r="N549" t="s">
        <v>153</v>
      </c>
      <c r="O549">
        <v>1166</v>
      </c>
      <c r="P549">
        <v>11</v>
      </c>
      <c r="Q549" t="s">
        <v>145</v>
      </c>
      <c r="R549" t="s">
        <v>154</v>
      </c>
      <c r="S549" t="s">
        <v>155</v>
      </c>
      <c r="T549" s="4">
        <v>182.77</v>
      </c>
      <c r="U549" s="4">
        <v>0</v>
      </c>
      <c r="V549" s="4">
        <v>1</v>
      </c>
      <c r="W549" s="4">
        <v>96.86</v>
      </c>
      <c r="X549" s="4">
        <v>107.71</v>
      </c>
      <c r="Y549" s="4">
        <v>387.34</v>
      </c>
      <c r="Z549" s="4" t="s">
        <v>147</v>
      </c>
      <c r="AA549" s="4" t="s">
        <v>147</v>
      </c>
      <c r="AB549" s="4">
        <f>SUMIF('Trip Changes'!$B:$B,A549,'Trip Changes'!$E:$E)</f>
        <v>0</v>
      </c>
      <c r="AC549" s="4">
        <f>SUMIF('Trip Cancellations'!$B:$B,A549,'Trip Cancellations'!$E:$E)</f>
        <v>0</v>
      </c>
      <c r="AD549" s="4">
        <f>SUMIF('Trip Cancellations'!$B:$B,A549,'Trip Cancellations'!$F:$F)</f>
        <v>0</v>
      </c>
      <c r="AE549" s="4">
        <f t="shared" si="8"/>
        <v>387.34</v>
      </c>
      <c r="AF549" t="s">
        <v>148</v>
      </c>
      <c r="AG549">
        <v>4</v>
      </c>
      <c r="AH549" s="5">
        <v>174.9</v>
      </c>
      <c r="AI549" t="s">
        <v>148</v>
      </c>
    </row>
    <row r="550" spans="1:35">
      <c r="A550" t="s">
        <v>914</v>
      </c>
      <c r="B550" t="s">
        <v>910</v>
      </c>
      <c r="C550" t="s">
        <v>182</v>
      </c>
      <c r="D550" t="s">
        <v>168</v>
      </c>
      <c r="E550" t="s">
        <v>169</v>
      </c>
      <c r="F550" t="s">
        <v>162</v>
      </c>
      <c r="G550" s="3">
        <v>46152</v>
      </c>
      <c r="H550" s="3">
        <v>46170</v>
      </c>
      <c r="I550" s="3">
        <v>46173</v>
      </c>
      <c r="J550" t="s">
        <v>163</v>
      </c>
      <c r="K550" t="s">
        <v>182</v>
      </c>
      <c r="L550" t="s">
        <v>151</v>
      </c>
      <c r="M550" t="s">
        <v>152</v>
      </c>
      <c r="N550" t="s">
        <v>153</v>
      </c>
      <c r="O550">
        <v>2648</v>
      </c>
      <c r="P550">
        <v>18</v>
      </c>
      <c r="Q550" t="s">
        <v>159</v>
      </c>
      <c r="R550" t="s">
        <v>176</v>
      </c>
      <c r="S550" t="s">
        <v>187</v>
      </c>
      <c r="T550" s="4">
        <v>315.39999999999998</v>
      </c>
      <c r="U550" s="4">
        <v>0</v>
      </c>
      <c r="V550" s="4">
        <v>2</v>
      </c>
      <c r="W550" s="4">
        <v>463.43</v>
      </c>
      <c r="X550" s="4">
        <v>58.15</v>
      </c>
      <c r="Y550" s="4">
        <v>836.98</v>
      </c>
      <c r="Z550" s="4" t="s">
        <v>147</v>
      </c>
      <c r="AA550" s="4" t="s">
        <v>147</v>
      </c>
      <c r="AB550" s="4">
        <f>SUMIF('Trip Changes'!$B:$B,A550,'Trip Changes'!$E:$E)</f>
        <v>0</v>
      </c>
      <c r="AC550" s="4">
        <f>SUMIF('Trip Cancellations'!$B:$B,A550,'Trip Cancellations'!$E:$E)</f>
        <v>0</v>
      </c>
      <c r="AD550" s="4">
        <f>SUMIF('Trip Cancellations'!$B:$B,A550,'Trip Cancellations'!$F:$F)</f>
        <v>0</v>
      </c>
      <c r="AE550" s="4">
        <f t="shared" si="8"/>
        <v>836.98</v>
      </c>
      <c r="AF550" t="s">
        <v>148</v>
      </c>
      <c r="AG550">
        <v>4</v>
      </c>
      <c r="AH550" s="5">
        <v>397.2</v>
      </c>
      <c r="AI550" t="s">
        <v>148</v>
      </c>
    </row>
    <row r="551" spans="1:35">
      <c r="A551" t="s">
        <v>915</v>
      </c>
      <c r="B551" t="s">
        <v>910</v>
      </c>
      <c r="C551" t="s">
        <v>182</v>
      </c>
      <c r="D551" t="s">
        <v>168</v>
      </c>
      <c r="E551" t="s">
        <v>169</v>
      </c>
      <c r="F551" t="s">
        <v>140</v>
      </c>
      <c r="G551" s="3">
        <v>46173</v>
      </c>
      <c r="H551" s="3">
        <v>46189</v>
      </c>
      <c r="I551" s="3">
        <v>46192</v>
      </c>
      <c r="J551" t="s">
        <v>141</v>
      </c>
      <c r="K551" t="s">
        <v>182</v>
      </c>
      <c r="L551" t="s">
        <v>151</v>
      </c>
      <c r="M551" t="s">
        <v>152</v>
      </c>
      <c r="N551" t="s">
        <v>153</v>
      </c>
      <c r="O551">
        <v>2304</v>
      </c>
      <c r="P551">
        <v>16</v>
      </c>
      <c r="Q551" t="s">
        <v>145</v>
      </c>
      <c r="R551" t="s">
        <v>154</v>
      </c>
      <c r="S551" t="s">
        <v>190</v>
      </c>
      <c r="T551" s="4">
        <v>506.19</v>
      </c>
      <c r="U551" s="4">
        <v>0</v>
      </c>
      <c r="V551" s="4">
        <v>2</v>
      </c>
      <c r="W551" s="4">
        <v>362.15</v>
      </c>
      <c r="X551" s="4">
        <v>106.37</v>
      </c>
      <c r="Y551" s="4">
        <v>974.71</v>
      </c>
      <c r="Z551" s="4" t="s">
        <v>148</v>
      </c>
      <c r="AA551" s="4" t="s">
        <v>147</v>
      </c>
      <c r="AB551" s="4">
        <f>SUMIF('Trip Changes'!$B:$B,A551,'Trip Changes'!$E:$E)</f>
        <v>40.14</v>
      </c>
      <c r="AC551" s="4">
        <f>SUMIF('Trip Cancellations'!$B:$B,A551,'Trip Cancellations'!$E:$E)</f>
        <v>0</v>
      </c>
      <c r="AD551" s="4">
        <f>SUMIF('Trip Cancellations'!$B:$B,A551,'Trip Cancellations'!$F:$F)</f>
        <v>0</v>
      </c>
      <c r="AE551" s="4">
        <f t="shared" si="8"/>
        <v>1014.85</v>
      </c>
      <c r="AF551" t="s">
        <v>148</v>
      </c>
      <c r="AG551">
        <v>4</v>
      </c>
      <c r="AH551" s="5">
        <v>345.6</v>
      </c>
      <c r="AI551" t="s">
        <v>148</v>
      </c>
    </row>
    <row r="552" spans="1:35">
      <c r="A552" t="s">
        <v>916</v>
      </c>
      <c r="B552" t="s">
        <v>917</v>
      </c>
      <c r="C552" t="s">
        <v>307</v>
      </c>
      <c r="D552" t="s">
        <v>138</v>
      </c>
      <c r="E552" t="s">
        <v>169</v>
      </c>
      <c r="F552" t="s">
        <v>162</v>
      </c>
      <c r="G552" s="3">
        <v>46179</v>
      </c>
      <c r="H552" s="3">
        <v>46187</v>
      </c>
      <c r="I552" s="3">
        <v>46188</v>
      </c>
      <c r="J552" t="s">
        <v>141</v>
      </c>
      <c r="K552" t="s">
        <v>307</v>
      </c>
      <c r="L552" t="s">
        <v>182</v>
      </c>
      <c r="M552" t="s">
        <v>143</v>
      </c>
      <c r="N552" t="s">
        <v>153</v>
      </c>
      <c r="O552">
        <v>1116</v>
      </c>
      <c r="P552">
        <v>8</v>
      </c>
      <c r="Q552" t="s">
        <v>145</v>
      </c>
      <c r="R552" t="s">
        <v>176</v>
      </c>
      <c r="T552" s="4">
        <v>460.73</v>
      </c>
      <c r="U552" s="4">
        <v>0</v>
      </c>
      <c r="V552" s="4">
        <v>0</v>
      </c>
      <c r="W552" s="4">
        <v>0</v>
      </c>
      <c r="X552" s="4">
        <v>48.7</v>
      </c>
      <c r="Y552" s="4">
        <v>509.43</v>
      </c>
      <c r="Z552" s="4" t="s">
        <v>147</v>
      </c>
      <c r="AA552" s="4" t="s">
        <v>147</v>
      </c>
      <c r="AB552" s="4">
        <f>SUMIF('Trip Changes'!$B:$B,A552,'Trip Changes'!$E:$E)</f>
        <v>0</v>
      </c>
      <c r="AC552" s="4">
        <f>SUMIF('Trip Cancellations'!$B:$B,A552,'Trip Cancellations'!$E:$E)</f>
        <v>0</v>
      </c>
      <c r="AD552" s="4">
        <f>SUMIF('Trip Cancellations'!$B:$B,A552,'Trip Cancellations'!$F:$F)</f>
        <v>0</v>
      </c>
      <c r="AE552" s="4">
        <f t="shared" si="8"/>
        <v>509.43</v>
      </c>
      <c r="AF552" t="s">
        <v>148</v>
      </c>
      <c r="AG552">
        <v>5</v>
      </c>
      <c r="AH552" s="5">
        <v>167.4</v>
      </c>
      <c r="AI552" t="s">
        <v>148</v>
      </c>
    </row>
    <row r="553" spans="1:35">
      <c r="A553" t="s">
        <v>918</v>
      </c>
      <c r="B553" t="s">
        <v>917</v>
      </c>
      <c r="C553" t="s">
        <v>307</v>
      </c>
      <c r="D553" t="s">
        <v>138</v>
      </c>
      <c r="E553" t="s">
        <v>169</v>
      </c>
      <c r="F553" t="s">
        <v>162</v>
      </c>
      <c r="G553" s="3">
        <v>46174</v>
      </c>
      <c r="H553" s="3">
        <v>46184</v>
      </c>
      <c r="I553" s="3">
        <v>46187</v>
      </c>
      <c r="J553" t="s">
        <v>141</v>
      </c>
      <c r="K553" t="s">
        <v>307</v>
      </c>
      <c r="L553" t="s">
        <v>227</v>
      </c>
      <c r="M553" t="s">
        <v>152</v>
      </c>
      <c r="N553" t="s">
        <v>153</v>
      </c>
      <c r="O553">
        <v>3126</v>
      </c>
      <c r="P553">
        <v>10</v>
      </c>
      <c r="Q553" t="s">
        <v>145</v>
      </c>
      <c r="R553" t="s">
        <v>154</v>
      </c>
      <c r="S553" t="s">
        <v>164</v>
      </c>
      <c r="T553" s="4">
        <v>162</v>
      </c>
      <c r="U553" s="4">
        <v>0</v>
      </c>
      <c r="V553" s="4">
        <v>2</v>
      </c>
      <c r="W553" s="4">
        <v>462.96</v>
      </c>
      <c r="X553" s="4">
        <v>58.36</v>
      </c>
      <c r="Y553" s="4">
        <v>683.32</v>
      </c>
      <c r="Z553" s="4" t="s">
        <v>147</v>
      </c>
      <c r="AA553" s="4" t="s">
        <v>147</v>
      </c>
      <c r="AB553" s="4">
        <f>SUMIF('Trip Changes'!$B:$B,A553,'Trip Changes'!$E:$E)</f>
        <v>0</v>
      </c>
      <c r="AC553" s="4">
        <f>SUMIF('Trip Cancellations'!$B:$B,A553,'Trip Cancellations'!$E:$E)</f>
        <v>0</v>
      </c>
      <c r="AD553" s="4">
        <f>SUMIF('Trip Cancellations'!$B:$B,A553,'Trip Cancellations'!$F:$F)</f>
        <v>0</v>
      </c>
      <c r="AE553" s="4">
        <f t="shared" si="8"/>
        <v>683.32</v>
      </c>
      <c r="AF553" t="s">
        <v>148</v>
      </c>
      <c r="AG553">
        <v>5</v>
      </c>
      <c r="AH553" s="5">
        <v>468.9</v>
      </c>
      <c r="AI553" t="s">
        <v>148</v>
      </c>
    </row>
    <row r="554" spans="1:35">
      <c r="A554" t="s">
        <v>919</v>
      </c>
      <c r="B554" t="s">
        <v>917</v>
      </c>
      <c r="C554" t="s">
        <v>307</v>
      </c>
      <c r="D554" t="s">
        <v>138</v>
      </c>
      <c r="E554" t="s">
        <v>169</v>
      </c>
      <c r="F554" t="s">
        <v>140</v>
      </c>
      <c r="G554" s="3">
        <v>46185</v>
      </c>
      <c r="H554" s="3">
        <v>46205</v>
      </c>
      <c r="I554" s="3">
        <v>46208</v>
      </c>
      <c r="J554" t="s">
        <v>150</v>
      </c>
      <c r="K554" t="s">
        <v>307</v>
      </c>
      <c r="L554" t="s">
        <v>151</v>
      </c>
      <c r="M554" t="s">
        <v>152</v>
      </c>
      <c r="N554" t="s">
        <v>153</v>
      </c>
      <c r="O554">
        <v>2456</v>
      </c>
      <c r="P554">
        <v>20</v>
      </c>
      <c r="Q554" t="s">
        <v>145</v>
      </c>
      <c r="R554" t="s">
        <v>154</v>
      </c>
      <c r="S554" t="s">
        <v>190</v>
      </c>
      <c r="T554" s="4">
        <v>483.19</v>
      </c>
      <c r="U554" s="4">
        <v>0</v>
      </c>
      <c r="V554" s="4">
        <v>2</v>
      </c>
      <c r="W554" s="4">
        <v>435.34</v>
      </c>
      <c r="X554" s="4">
        <v>131.18</v>
      </c>
      <c r="Y554" s="4">
        <v>1049.71</v>
      </c>
      <c r="Z554" s="4" t="s">
        <v>147</v>
      </c>
      <c r="AA554" s="4" t="s">
        <v>147</v>
      </c>
      <c r="AB554" s="4">
        <f>SUMIF('Trip Changes'!$B:$B,A554,'Trip Changes'!$E:$E)</f>
        <v>0</v>
      </c>
      <c r="AC554" s="4">
        <f>SUMIF('Trip Cancellations'!$B:$B,A554,'Trip Cancellations'!$E:$E)</f>
        <v>0</v>
      </c>
      <c r="AD554" s="4">
        <f>SUMIF('Trip Cancellations'!$B:$B,A554,'Trip Cancellations'!$F:$F)</f>
        <v>0</v>
      </c>
      <c r="AE554" s="4">
        <f t="shared" si="8"/>
        <v>1049.71</v>
      </c>
      <c r="AF554" t="s">
        <v>148</v>
      </c>
      <c r="AG554">
        <v>4</v>
      </c>
      <c r="AH554" s="5">
        <v>368.4</v>
      </c>
      <c r="AI554" t="s">
        <v>147</v>
      </c>
    </row>
    <row r="555" spans="1:35">
      <c r="A555" t="s">
        <v>920</v>
      </c>
      <c r="B555" t="s">
        <v>921</v>
      </c>
      <c r="C555" t="s">
        <v>142</v>
      </c>
      <c r="D555" t="s">
        <v>194</v>
      </c>
      <c r="E555" t="s">
        <v>249</v>
      </c>
      <c r="F555" t="s">
        <v>140</v>
      </c>
      <c r="G555" s="3">
        <v>46123</v>
      </c>
      <c r="H555" s="3">
        <v>46146</v>
      </c>
      <c r="I555" s="3">
        <v>46149</v>
      </c>
      <c r="J555" t="s">
        <v>163</v>
      </c>
      <c r="K555" t="s">
        <v>142</v>
      </c>
      <c r="L555" t="s">
        <v>225</v>
      </c>
      <c r="M555" t="s">
        <v>152</v>
      </c>
      <c r="N555" t="s">
        <v>153</v>
      </c>
      <c r="O555">
        <v>2962</v>
      </c>
      <c r="P555">
        <v>23</v>
      </c>
      <c r="Q555" t="s">
        <v>159</v>
      </c>
      <c r="R555" t="s">
        <v>154</v>
      </c>
      <c r="S555" t="s">
        <v>173</v>
      </c>
      <c r="T555" s="4">
        <v>315.16000000000003</v>
      </c>
      <c r="U555" s="4">
        <v>0</v>
      </c>
      <c r="V555" s="4">
        <v>2</v>
      </c>
      <c r="W555" s="4">
        <v>428.16</v>
      </c>
      <c r="X555" s="4">
        <v>63.11</v>
      </c>
      <c r="Y555" s="4">
        <v>806.43</v>
      </c>
      <c r="Z555" s="4" t="s">
        <v>147</v>
      </c>
      <c r="AA555" s="4" t="s">
        <v>147</v>
      </c>
      <c r="AB555" s="4">
        <f>SUMIF('Trip Changes'!$B:$B,A555,'Trip Changes'!$E:$E)</f>
        <v>0</v>
      </c>
      <c r="AC555" s="4">
        <f>SUMIF('Trip Cancellations'!$B:$B,A555,'Trip Cancellations'!$E:$E)</f>
        <v>0</v>
      </c>
      <c r="AD555" s="4">
        <f>SUMIF('Trip Cancellations'!$B:$B,A555,'Trip Cancellations'!$F:$F)</f>
        <v>0</v>
      </c>
      <c r="AE555" s="4">
        <f t="shared" si="8"/>
        <v>806.43</v>
      </c>
      <c r="AF555" t="s">
        <v>148</v>
      </c>
      <c r="AG555">
        <v>4</v>
      </c>
      <c r="AH555" s="5">
        <v>444.3</v>
      </c>
      <c r="AI555" t="s">
        <v>147</v>
      </c>
    </row>
    <row r="556" spans="1:35">
      <c r="A556" t="s">
        <v>922</v>
      </c>
      <c r="B556" t="s">
        <v>923</v>
      </c>
      <c r="C556" t="s">
        <v>182</v>
      </c>
      <c r="D556" t="s">
        <v>230</v>
      </c>
      <c r="E556" t="s">
        <v>268</v>
      </c>
      <c r="F556" t="s">
        <v>170</v>
      </c>
      <c r="G556" s="3">
        <v>46190</v>
      </c>
      <c r="H556" s="3">
        <v>46195</v>
      </c>
      <c r="I556" s="3">
        <v>46199</v>
      </c>
      <c r="J556" t="s">
        <v>141</v>
      </c>
      <c r="K556" t="s">
        <v>182</v>
      </c>
      <c r="L556" t="s">
        <v>264</v>
      </c>
      <c r="M556" t="s">
        <v>152</v>
      </c>
      <c r="N556" t="s">
        <v>153</v>
      </c>
      <c r="O556">
        <v>2884</v>
      </c>
      <c r="P556">
        <v>5</v>
      </c>
      <c r="Q556" t="s">
        <v>145</v>
      </c>
      <c r="R556" t="s">
        <v>236</v>
      </c>
      <c r="S556" t="s">
        <v>173</v>
      </c>
      <c r="T556" s="4">
        <v>379.74</v>
      </c>
      <c r="U556" s="4">
        <v>0</v>
      </c>
      <c r="V556" s="4">
        <v>3</v>
      </c>
      <c r="W556" s="4">
        <v>611.65</v>
      </c>
      <c r="X556" s="4">
        <v>108.46</v>
      </c>
      <c r="Y556" s="4">
        <v>1099.8499999999999</v>
      </c>
      <c r="Z556" s="4" t="s">
        <v>147</v>
      </c>
      <c r="AA556" s="4" t="s">
        <v>147</v>
      </c>
      <c r="AB556" s="4">
        <f>SUMIF('Trip Changes'!$B:$B,A556,'Trip Changes'!$E:$E)</f>
        <v>0</v>
      </c>
      <c r="AC556" s="4">
        <f>SUMIF('Trip Cancellations'!$B:$B,A556,'Trip Cancellations'!$E:$E)</f>
        <v>0</v>
      </c>
      <c r="AD556" s="4">
        <f>SUMIF('Trip Cancellations'!$B:$B,A556,'Trip Cancellations'!$F:$F)</f>
        <v>0</v>
      </c>
      <c r="AE556" s="4">
        <f t="shared" si="8"/>
        <v>1099.8499999999999</v>
      </c>
      <c r="AF556" t="s">
        <v>148</v>
      </c>
      <c r="AG556">
        <v>4</v>
      </c>
      <c r="AH556" s="5">
        <v>432.6</v>
      </c>
      <c r="AI556" t="s">
        <v>148</v>
      </c>
    </row>
    <row r="557" spans="1:35">
      <c r="A557" t="s">
        <v>924</v>
      </c>
      <c r="B557" t="s">
        <v>923</v>
      </c>
      <c r="C557" t="s">
        <v>182</v>
      </c>
      <c r="D557" t="s">
        <v>230</v>
      </c>
      <c r="E557" t="s">
        <v>268</v>
      </c>
      <c r="F557" t="s">
        <v>157</v>
      </c>
      <c r="G557" s="3">
        <v>46189</v>
      </c>
      <c r="H557" s="3">
        <v>46208</v>
      </c>
      <c r="I557" s="3">
        <v>46217</v>
      </c>
      <c r="J557" t="s">
        <v>150</v>
      </c>
      <c r="K557" t="s">
        <v>182</v>
      </c>
      <c r="L557" t="s">
        <v>223</v>
      </c>
      <c r="M557" t="s">
        <v>152</v>
      </c>
      <c r="N557" t="s">
        <v>153</v>
      </c>
      <c r="O557">
        <v>21018</v>
      </c>
      <c r="P557">
        <v>19</v>
      </c>
      <c r="Q557" t="s">
        <v>145</v>
      </c>
      <c r="R557" t="s">
        <v>441</v>
      </c>
      <c r="S557" t="s">
        <v>164</v>
      </c>
      <c r="T557" s="4">
        <v>910.26</v>
      </c>
      <c r="U557" s="4">
        <v>0</v>
      </c>
      <c r="V557" s="4">
        <v>8</v>
      </c>
      <c r="W557" s="4">
        <v>1744.42</v>
      </c>
      <c r="X557" s="4">
        <v>54.9</v>
      </c>
      <c r="Y557" s="4">
        <v>2709.58</v>
      </c>
      <c r="Z557" s="4" t="s">
        <v>147</v>
      </c>
      <c r="AA557" s="4" t="s">
        <v>147</v>
      </c>
      <c r="AB557" s="4">
        <f>SUMIF('Trip Changes'!$B:$B,A557,'Trip Changes'!$E:$E)</f>
        <v>0</v>
      </c>
      <c r="AC557" s="4">
        <f>SUMIF('Trip Cancellations'!$B:$B,A557,'Trip Cancellations'!$E:$E)</f>
        <v>0</v>
      </c>
      <c r="AD557" s="4">
        <f>SUMIF('Trip Cancellations'!$B:$B,A557,'Trip Cancellations'!$F:$F)</f>
        <v>0</v>
      </c>
      <c r="AE557" s="4">
        <f t="shared" si="8"/>
        <v>2709.58</v>
      </c>
      <c r="AF557" t="s">
        <v>148</v>
      </c>
      <c r="AG557">
        <v>4</v>
      </c>
      <c r="AH557" s="5">
        <v>3152.7</v>
      </c>
      <c r="AI557" t="s">
        <v>147</v>
      </c>
    </row>
    <row r="558" spans="1:35">
      <c r="A558" t="s">
        <v>925</v>
      </c>
      <c r="B558" t="s">
        <v>926</v>
      </c>
      <c r="C558" t="s">
        <v>182</v>
      </c>
      <c r="D558" t="s">
        <v>168</v>
      </c>
      <c r="E558" t="s">
        <v>249</v>
      </c>
      <c r="F558" t="s">
        <v>189</v>
      </c>
      <c r="G558" s="3">
        <v>46149</v>
      </c>
      <c r="H558" s="3">
        <v>46161</v>
      </c>
      <c r="I558" s="3">
        <v>46168</v>
      </c>
      <c r="J558" t="s">
        <v>163</v>
      </c>
      <c r="K558" t="s">
        <v>182</v>
      </c>
      <c r="L558" t="s">
        <v>240</v>
      </c>
      <c r="M558" t="s">
        <v>152</v>
      </c>
      <c r="N558" t="s">
        <v>153</v>
      </c>
      <c r="O558">
        <v>20998</v>
      </c>
      <c r="P558">
        <v>12</v>
      </c>
      <c r="Q558" t="s">
        <v>159</v>
      </c>
      <c r="R558" t="s">
        <v>441</v>
      </c>
      <c r="S558" t="s">
        <v>155</v>
      </c>
      <c r="T558" s="4">
        <v>1733.67</v>
      </c>
      <c r="U558" s="4">
        <v>0</v>
      </c>
      <c r="V558" s="4">
        <v>6</v>
      </c>
      <c r="W558" s="4">
        <v>1128.43</v>
      </c>
      <c r="X558" s="4">
        <v>73.069999999999993</v>
      </c>
      <c r="Y558" s="4">
        <v>2935.17</v>
      </c>
      <c r="Z558" s="4" t="s">
        <v>147</v>
      </c>
      <c r="AA558" s="4" t="s">
        <v>147</v>
      </c>
      <c r="AB558" s="4">
        <f>SUMIF('Trip Changes'!$B:$B,A558,'Trip Changes'!$E:$E)</f>
        <v>0</v>
      </c>
      <c r="AC558" s="4">
        <f>SUMIF('Trip Cancellations'!$B:$B,A558,'Trip Cancellations'!$E:$E)</f>
        <v>0</v>
      </c>
      <c r="AD558" s="4">
        <f>SUMIF('Trip Cancellations'!$B:$B,A558,'Trip Cancellations'!$F:$F)</f>
        <v>0</v>
      </c>
      <c r="AE558" s="4">
        <f t="shared" si="8"/>
        <v>2935.17</v>
      </c>
      <c r="AF558" t="s">
        <v>147</v>
      </c>
      <c r="AG558">
        <v>4</v>
      </c>
      <c r="AH558" s="5">
        <v>3149.7</v>
      </c>
      <c r="AI558" t="s">
        <v>147</v>
      </c>
    </row>
    <row r="559" spans="1:35">
      <c r="A559" t="s">
        <v>927</v>
      </c>
      <c r="B559" t="s">
        <v>926</v>
      </c>
      <c r="C559" t="s">
        <v>182</v>
      </c>
      <c r="D559" t="s">
        <v>168</v>
      </c>
      <c r="E559" t="s">
        <v>249</v>
      </c>
      <c r="F559" t="s">
        <v>162</v>
      </c>
      <c r="G559" s="3">
        <v>46115</v>
      </c>
      <c r="H559" s="3">
        <v>46150</v>
      </c>
      <c r="I559" s="3">
        <v>46153</v>
      </c>
      <c r="J559" t="s">
        <v>163</v>
      </c>
      <c r="K559" t="s">
        <v>182</v>
      </c>
      <c r="L559" t="s">
        <v>199</v>
      </c>
      <c r="M559" t="s">
        <v>152</v>
      </c>
      <c r="N559" t="s">
        <v>153</v>
      </c>
      <c r="O559">
        <v>2588</v>
      </c>
      <c r="P559">
        <v>35</v>
      </c>
      <c r="Q559" t="s">
        <v>159</v>
      </c>
      <c r="R559" t="s">
        <v>200</v>
      </c>
      <c r="S559" t="s">
        <v>164</v>
      </c>
      <c r="T559" s="4">
        <v>316.27</v>
      </c>
      <c r="U559" s="4">
        <v>0</v>
      </c>
      <c r="V559" s="4">
        <v>2</v>
      </c>
      <c r="W559" s="4">
        <v>268.81</v>
      </c>
      <c r="X559" s="4">
        <v>94.96</v>
      </c>
      <c r="Y559" s="4">
        <v>680.04</v>
      </c>
      <c r="Z559" s="4" t="s">
        <v>148</v>
      </c>
      <c r="AA559" s="4" t="s">
        <v>147</v>
      </c>
      <c r="AB559" s="4">
        <f>SUMIF('Trip Changes'!$B:$B,A559,'Trip Changes'!$E:$E)</f>
        <v>15</v>
      </c>
      <c r="AC559" s="4">
        <f>SUMIF('Trip Cancellations'!$B:$B,A559,'Trip Cancellations'!$E:$E)</f>
        <v>0</v>
      </c>
      <c r="AD559" s="4">
        <f>SUMIF('Trip Cancellations'!$B:$B,A559,'Trip Cancellations'!$F:$F)</f>
        <v>0</v>
      </c>
      <c r="AE559" s="4">
        <f t="shared" si="8"/>
        <v>695.04</v>
      </c>
      <c r="AF559" t="s">
        <v>148</v>
      </c>
      <c r="AG559">
        <v>5</v>
      </c>
      <c r="AH559" s="5">
        <v>388.2</v>
      </c>
      <c r="AI559" t="s">
        <v>147</v>
      </c>
    </row>
    <row r="560" spans="1:35">
      <c r="A560" t="s">
        <v>928</v>
      </c>
      <c r="B560" t="s">
        <v>926</v>
      </c>
      <c r="C560" t="s">
        <v>182</v>
      </c>
      <c r="D560" t="s">
        <v>168</v>
      </c>
      <c r="E560" t="s">
        <v>249</v>
      </c>
      <c r="F560" t="s">
        <v>178</v>
      </c>
      <c r="G560" s="3">
        <v>46206</v>
      </c>
      <c r="H560" s="3">
        <v>46212</v>
      </c>
      <c r="I560" s="3">
        <v>46214</v>
      </c>
      <c r="J560" t="s">
        <v>150</v>
      </c>
      <c r="K560" t="s">
        <v>182</v>
      </c>
      <c r="L560" t="s">
        <v>193</v>
      </c>
      <c r="M560" t="s">
        <v>143</v>
      </c>
      <c r="N560" t="s">
        <v>144</v>
      </c>
      <c r="O560">
        <v>888</v>
      </c>
      <c r="P560">
        <v>6</v>
      </c>
      <c r="Q560" t="s">
        <v>207</v>
      </c>
      <c r="S560" t="s">
        <v>195</v>
      </c>
      <c r="T560" s="4">
        <v>0</v>
      </c>
      <c r="U560" s="4">
        <v>229.54</v>
      </c>
      <c r="V560" s="4">
        <v>1</v>
      </c>
      <c r="W560" s="4">
        <v>142.86000000000001</v>
      </c>
      <c r="X560" s="4">
        <v>73.040000000000006</v>
      </c>
      <c r="Y560" s="4">
        <v>445.44</v>
      </c>
      <c r="Z560" s="4" t="s">
        <v>147</v>
      </c>
      <c r="AA560" s="4" t="s">
        <v>147</v>
      </c>
      <c r="AB560" s="4">
        <f>SUMIF('Trip Changes'!$B:$B,A560,'Trip Changes'!$E:$E)</f>
        <v>0</v>
      </c>
      <c r="AC560" s="4">
        <f>SUMIF('Trip Cancellations'!$B:$B,A560,'Trip Cancellations'!$E:$E)</f>
        <v>0</v>
      </c>
      <c r="AD560" s="4">
        <f>SUMIF('Trip Cancellations'!$B:$B,A560,'Trip Cancellations'!$F:$F)</f>
        <v>0</v>
      </c>
      <c r="AE560" s="4">
        <f t="shared" si="8"/>
        <v>445.44</v>
      </c>
      <c r="AF560" t="s">
        <v>148</v>
      </c>
      <c r="AG560">
        <v>3</v>
      </c>
      <c r="AH560" s="5">
        <v>35.5</v>
      </c>
      <c r="AI560" t="s">
        <v>147</v>
      </c>
    </row>
    <row r="561" spans="1:35">
      <c r="A561" t="s">
        <v>929</v>
      </c>
      <c r="B561" t="s">
        <v>926</v>
      </c>
      <c r="C561" t="s">
        <v>182</v>
      </c>
      <c r="D561" t="s">
        <v>168</v>
      </c>
      <c r="E561" t="s">
        <v>249</v>
      </c>
      <c r="F561" t="s">
        <v>140</v>
      </c>
      <c r="G561" s="3">
        <v>46172</v>
      </c>
      <c r="H561" s="3">
        <v>46178</v>
      </c>
      <c r="I561" s="3">
        <v>46183</v>
      </c>
      <c r="J561" t="s">
        <v>141</v>
      </c>
      <c r="K561" t="s">
        <v>182</v>
      </c>
      <c r="L561" t="s">
        <v>175</v>
      </c>
      <c r="M561" t="s">
        <v>152</v>
      </c>
      <c r="N561" t="s">
        <v>153</v>
      </c>
      <c r="O561">
        <v>3578</v>
      </c>
      <c r="P561">
        <v>6</v>
      </c>
      <c r="Q561" t="s">
        <v>145</v>
      </c>
      <c r="R561" t="s">
        <v>160</v>
      </c>
      <c r="S561" t="s">
        <v>164</v>
      </c>
      <c r="T561" s="4">
        <v>355.25</v>
      </c>
      <c r="U561" s="4">
        <v>0</v>
      </c>
      <c r="V561" s="4">
        <v>4</v>
      </c>
      <c r="W561" s="4">
        <v>649.44000000000005</v>
      </c>
      <c r="X561" s="4">
        <v>77.63</v>
      </c>
      <c r="Y561" s="4">
        <v>1082.32</v>
      </c>
      <c r="Z561" s="4" t="s">
        <v>147</v>
      </c>
      <c r="AA561" s="4" t="s">
        <v>147</v>
      </c>
      <c r="AB561" s="4">
        <f>SUMIF('Trip Changes'!$B:$B,A561,'Trip Changes'!$E:$E)</f>
        <v>0</v>
      </c>
      <c r="AC561" s="4">
        <f>SUMIF('Trip Cancellations'!$B:$B,A561,'Trip Cancellations'!$E:$E)</f>
        <v>0</v>
      </c>
      <c r="AD561" s="4">
        <f>SUMIF('Trip Cancellations'!$B:$B,A561,'Trip Cancellations'!$F:$F)</f>
        <v>0</v>
      </c>
      <c r="AE561" s="4">
        <f t="shared" si="8"/>
        <v>1082.32</v>
      </c>
      <c r="AF561" t="s">
        <v>148</v>
      </c>
      <c r="AG561">
        <v>5</v>
      </c>
      <c r="AH561" s="5">
        <v>536.70000000000005</v>
      </c>
      <c r="AI561" t="s">
        <v>148</v>
      </c>
    </row>
    <row r="562" spans="1:35">
      <c r="A562" t="s">
        <v>930</v>
      </c>
      <c r="B562" t="s">
        <v>926</v>
      </c>
      <c r="C562" t="s">
        <v>182</v>
      </c>
      <c r="D562" t="s">
        <v>168</v>
      </c>
      <c r="E562" t="s">
        <v>249</v>
      </c>
      <c r="F562" t="s">
        <v>189</v>
      </c>
      <c r="G562" s="3">
        <v>46120</v>
      </c>
      <c r="H562" s="3">
        <v>46145</v>
      </c>
      <c r="I562" s="3">
        <v>46147</v>
      </c>
      <c r="J562" t="s">
        <v>163</v>
      </c>
      <c r="K562" t="s">
        <v>182</v>
      </c>
      <c r="L562" t="s">
        <v>227</v>
      </c>
      <c r="M562" t="s">
        <v>152</v>
      </c>
      <c r="N562" t="s">
        <v>153</v>
      </c>
      <c r="O562">
        <v>1364</v>
      </c>
      <c r="P562">
        <v>25</v>
      </c>
      <c r="Q562" t="s">
        <v>145</v>
      </c>
      <c r="R562" t="s">
        <v>160</v>
      </c>
      <c r="S562" t="s">
        <v>164</v>
      </c>
      <c r="T562" s="4">
        <v>325.16000000000003</v>
      </c>
      <c r="U562" s="4">
        <v>0</v>
      </c>
      <c r="V562" s="4">
        <v>1</v>
      </c>
      <c r="W562" s="4">
        <v>136.34</v>
      </c>
      <c r="X562" s="4">
        <v>102.39</v>
      </c>
      <c r="Y562" s="4">
        <v>563.89</v>
      </c>
      <c r="Z562" s="4" t="s">
        <v>147</v>
      </c>
      <c r="AA562" s="4" t="s">
        <v>147</v>
      </c>
      <c r="AB562" s="4">
        <f>SUMIF('Trip Changes'!$B:$B,A562,'Trip Changes'!$E:$E)</f>
        <v>0</v>
      </c>
      <c r="AC562" s="4">
        <f>SUMIF('Trip Cancellations'!$B:$B,A562,'Trip Cancellations'!$E:$E)</f>
        <v>0</v>
      </c>
      <c r="AD562" s="4">
        <f>SUMIF('Trip Cancellations'!$B:$B,A562,'Trip Cancellations'!$F:$F)</f>
        <v>0</v>
      </c>
      <c r="AE562" s="4">
        <f t="shared" si="8"/>
        <v>563.89</v>
      </c>
      <c r="AF562" t="s">
        <v>148</v>
      </c>
      <c r="AG562">
        <v>5</v>
      </c>
      <c r="AH562" s="5">
        <v>204.6</v>
      </c>
      <c r="AI562" t="s">
        <v>148</v>
      </c>
    </row>
    <row r="563" spans="1:35">
      <c r="A563" t="s">
        <v>931</v>
      </c>
      <c r="B563" t="s">
        <v>926</v>
      </c>
      <c r="C563" t="s">
        <v>182</v>
      </c>
      <c r="D563" t="s">
        <v>168</v>
      </c>
      <c r="E563" t="s">
        <v>249</v>
      </c>
      <c r="F563" t="s">
        <v>181</v>
      </c>
      <c r="G563" s="3">
        <v>46210</v>
      </c>
      <c r="H563" s="3">
        <v>46225</v>
      </c>
      <c r="I563" s="3">
        <v>46230</v>
      </c>
      <c r="J563" t="s">
        <v>150</v>
      </c>
      <c r="K563" t="s">
        <v>182</v>
      </c>
      <c r="L563" t="s">
        <v>233</v>
      </c>
      <c r="M563" t="s">
        <v>152</v>
      </c>
      <c r="N563" t="s">
        <v>153</v>
      </c>
      <c r="O563">
        <v>3146</v>
      </c>
      <c r="P563">
        <v>15</v>
      </c>
      <c r="Q563" t="s">
        <v>216</v>
      </c>
      <c r="R563" t="s">
        <v>160</v>
      </c>
      <c r="S563" t="s">
        <v>187</v>
      </c>
      <c r="T563" s="4">
        <v>527.66999999999996</v>
      </c>
      <c r="U563" s="4">
        <v>0</v>
      </c>
      <c r="V563" s="4">
        <v>4</v>
      </c>
      <c r="W563" s="4">
        <v>670.77</v>
      </c>
      <c r="X563" s="4">
        <v>91.99</v>
      </c>
      <c r="Y563" s="4">
        <v>1290.43</v>
      </c>
      <c r="Z563" s="4" t="s">
        <v>147</v>
      </c>
      <c r="AA563" s="4" t="s">
        <v>147</v>
      </c>
      <c r="AB563" s="4">
        <f>SUMIF('Trip Changes'!$B:$B,A563,'Trip Changes'!$E:$E)</f>
        <v>0</v>
      </c>
      <c r="AC563" s="4">
        <f>SUMIF('Trip Cancellations'!$B:$B,A563,'Trip Cancellations'!$E:$E)</f>
        <v>0</v>
      </c>
      <c r="AD563" s="4">
        <f>SUMIF('Trip Cancellations'!$B:$B,A563,'Trip Cancellations'!$F:$F)</f>
        <v>0</v>
      </c>
      <c r="AE563" s="4">
        <f t="shared" si="8"/>
        <v>1290.43</v>
      </c>
      <c r="AF563" t="s">
        <v>147</v>
      </c>
      <c r="AG563">
        <v>5</v>
      </c>
      <c r="AH563" s="5">
        <v>471.9</v>
      </c>
      <c r="AI563" t="s">
        <v>147</v>
      </c>
    </row>
    <row r="564" spans="1:35">
      <c r="A564" t="s">
        <v>932</v>
      </c>
      <c r="B564" t="s">
        <v>933</v>
      </c>
      <c r="C564" t="s">
        <v>142</v>
      </c>
      <c r="D564" t="s">
        <v>168</v>
      </c>
      <c r="E564" t="s">
        <v>139</v>
      </c>
      <c r="F564" t="s">
        <v>181</v>
      </c>
      <c r="G564" s="3">
        <v>46151</v>
      </c>
      <c r="H564" s="3">
        <v>46165</v>
      </c>
      <c r="I564" s="3">
        <v>46168</v>
      </c>
      <c r="J564" t="s">
        <v>163</v>
      </c>
      <c r="K564" t="s">
        <v>142</v>
      </c>
      <c r="L564" t="s">
        <v>182</v>
      </c>
      <c r="M564" t="s">
        <v>143</v>
      </c>
      <c r="N564" t="s">
        <v>144</v>
      </c>
      <c r="O564">
        <v>676</v>
      </c>
      <c r="P564">
        <v>14</v>
      </c>
      <c r="Q564" t="s">
        <v>145</v>
      </c>
      <c r="S564" t="s">
        <v>164</v>
      </c>
      <c r="T564" s="4">
        <v>0</v>
      </c>
      <c r="U564" s="4">
        <v>237.19</v>
      </c>
      <c r="V564" s="4">
        <v>2</v>
      </c>
      <c r="W564" s="4">
        <v>185.2</v>
      </c>
      <c r="X564" s="4">
        <v>20</v>
      </c>
      <c r="Y564" s="4">
        <v>442.39</v>
      </c>
      <c r="Z564" s="4" t="s">
        <v>147</v>
      </c>
      <c r="AA564" s="4" t="s">
        <v>147</v>
      </c>
      <c r="AB564" s="4">
        <f>SUMIF('Trip Changes'!$B:$B,A564,'Trip Changes'!$E:$E)</f>
        <v>0</v>
      </c>
      <c r="AC564" s="4">
        <f>SUMIF('Trip Cancellations'!$B:$B,A564,'Trip Cancellations'!$E:$E)</f>
        <v>0</v>
      </c>
      <c r="AD564" s="4">
        <f>SUMIF('Trip Cancellations'!$B:$B,A564,'Trip Cancellations'!$F:$F)</f>
        <v>0</v>
      </c>
      <c r="AE564" s="4">
        <f t="shared" si="8"/>
        <v>442.39</v>
      </c>
      <c r="AF564" t="s">
        <v>148</v>
      </c>
      <c r="AG564">
        <v>5</v>
      </c>
      <c r="AH564" s="5">
        <v>27</v>
      </c>
      <c r="AI564" t="s">
        <v>147</v>
      </c>
    </row>
    <row r="565" spans="1:35">
      <c r="A565" t="s">
        <v>934</v>
      </c>
      <c r="B565" t="s">
        <v>933</v>
      </c>
      <c r="C565" t="s">
        <v>142</v>
      </c>
      <c r="D565" t="s">
        <v>168</v>
      </c>
      <c r="E565" t="s">
        <v>139</v>
      </c>
      <c r="F565" t="s">
        <v>181</v>
      </c>
      <c r="G565" s="3">
        <v>46158</v>
      </c>
      <c r="H565" s="3">
        <v>46168</v>
      </c>
      <c r="I565" s="3">
        <v>46171</v>
      </c>
      <c r="J565" t="s">
        <v>163</v>
      </c>
      <c r="K565" t="s">
        <v>142</v>
      </c>
      <c r="L565" t="s">
        <v>182</v>
      </c>
      <c r="M565" t="s">
        <v>143</v>
      </c>
      <c r="N565" t="s">
        <v>144</v>
      </c>
      <c r="O565">
        <v>948</v>
      </c>
      <c r="P565">
        <v>10</v>
      </c>
      <c r="Q565" t="s">
        <v>216</v>
      </c>
      <c r="S565" t="s">
        <v>146</v>
      </c>
      <c r="T565" s="4">
        <v>0</v>
      </c>
      <c r="U565" s="4">
        <v>220.55</v>
      </c>
      <c r="V565" s="4">
        <v>2</v>
      </c>
      <c r="W565" s="4">
        <v>356.29</v>
      </c>
      <c r="X565" s="4">
        <v>85.2</v>
      </c>
      <c r="Y565" s="4">
        <v>662.04</v>
      </c>
      <c r="Z565" s="4" t="s">
        <v>147</v>
      </c>
      <c r="AA565" s="4" t="s">
        <v>147</v>
      </c>
      <c r="AB565" s="4">
        <f>SUMIF('Trip Changes'!$B:$B,A565,'Trip Changes'!$E:$E)</f>
        <v>0</v>
      </c>
      <c r="AC565" s="4">
        <f>SUMIF('Trip Cancellations'!$B:$B,A565,'Trip Cancellations'!$E:$E)</f>
        <v>0</v>
      </c>
      <c r="AD565" s="4">
        <f>SUMIF('Trip Cancellations'!$B:$B,A565,'Trip Cancellations'!$F:$F)</f>
        <v>0</v>
      </c>
      <c r="AE565" s="4">
        <f t="shared" si="8"/>
        <v>662.04</v>
      </c>
      <c r="AF565" t="s">
        <v>148</v>
      </c>
      <c r="AG565">
        <v>3</v>
      </c>
      <c r="AH565" s="5">
        <v>37.9</v>
      </c>
      <c r="AI565" t="s">
        <v>148</v>
      </c>
    </row>
    <row r="566" spans="1:35">
      <c r="A566" t="s">
        <v>935</v>
      </c>
      <c r="B566" t="s">
        <v>933</v>
      </c>
      <c r="C566" t="s">
        <v>142</v>
      </c>
      <c r="D566" t="s">
        <v>168</v>
      </c>
      <c r="E566" t="s">
        <v>139</v>
      </c>
      <c r="F566" t="s">
        <v>157</v>
      </c>
      <c r="G566" s="3">
        <v>46135</v>
      </c>
      <c r="H566" s="3">
        <v>46147</v>
      </c>
      <c r="I566" s="3">
        <v>46151</v>
      </c>
      <c r="J566" t="s">
        <v>163</v>
      </c>
      <c r="K566" t="s">
        <v>142</v>
      </c>
      <c r="L566" t="s">
        <v>227</v>
      </c>
      <c r="M566" t="s">
        <v>152</v>
      </c>
      <c r="N566" t="s">
        <v>153</v>
      </c>
      <c r="O566">
        <v>2186</v>
      </c>
      <c r="P566">
        <v>12</v>
      </c>
      <c r="Q566" t="s">
        <v>159</v>
      </c>
      <c r="R566" t="s">
        <v>154</v>
      </c>
      <c r="S566" t="s">
        <v>155</v>
      </c>
      <c r="T566" s="4">
        <v>257.37</v>
      </c>
      <c r="U566" s="4">
        <v>0</v>
      </c>
      <c r="V566" s="4">
        <v>3</v>
      </c>
      <c r="W566" s="4">
        <v>785.23</v>
      </c>
      <c r="X566" s="4">
        <v>91.38</v>
      </c>
      <c r="Y566" s="4">
        <v>1133.98</v>
      </c>
      <c r="Z566" s="4" t="s">
        <v>147</v>
      </c>
      <c r="AA566" s="4" t="s">
        <v>147</v>
      </c>
      <c r="AB566" s="4">
        <f>SUMIF('Trip Changes'!$B:$B,A566,'Trip Changes'!$E:$E)</f>
        <v>0</v>
      </c>
      <c r="AC566" s="4">
        <f>SUMIF('Trip Cancellations'!$B:$B,A566,'Trip Cancellations'!$E:$E)</f>
        <v>0</v>
      </c>
      <c r="AD566" s="4">
        <f>SUMIF('Trip Cancellations'!$B:$B,A566,'Trip Cancellations'!$F:$F)</f>
        <v>0</v>
      </c>
      <c r="AE566" s="4">
        <f t="shared" si="8"/>
        <v>1133.98</v>
      </c>
      <c r="AF566" t="s">
        <v>148</v>
      </c>
      <c r="AG566">
        <v>3</v>
      </c>
      <c r="AH566" s="5">
        <v>327.9</v>
      </c>
      <c r="AI566" t="s">
        <v>147</v>
      </c>
    </row>
    <row r="567" spans="1:35">
      <c r="A567" t="s">
        <v>936</v>
      </c>
      <c r="B567" t="s">
        <v>933</v>
      </c>
      <c r="C567" t="s">
        <v>142</v>
      </c>
      <c r="D567" t="s">
        <v>168</v>
      </c>
      <c r="E567" t="s">
        <v>139</v>
      </c>
      <c r="F567" t="s">
        <v>162</v>
      </c>
      <c r="G567" s="3">
        <v>46196</v>
      </c>
      <c r="H567" s="3">
        <v>46218</v>
      </c>
      <c r="I567" s="3">
        <v>46221</v>
      </c>
      <c r="J567" t="s">
        <v>150</v>
      </c>
      <c r="K567" t="s">
        <v>142</v>
      </c>
      <c r="L567" t="s">
        <v>151</v>
      </c>
      <c r="M567" t="s">
        <v>152</v>
      </c>
      <c r="N567" t="s">
        <v>153</v>
      </c>
      <c r="O567">
        <v>2346</v>
      </c>
      <c r="P567">
        <v>22</v>
      </c>
      <c r="Q567" t="s">
        <v>145</v>
      </c>
      <c r="R567" t="s">
        <v>172</v>
      </c>
      <c r="S567" t="s">
        <v>190</v>
      </c>
      <c r="T567" s="4">
        <v>299.57</v>
      </c>
      <c r="U567" s="4">
        <v>0</v>
      </c>
      <c r="V567" s="4">
        <v>2</v>
      </c>
      <c r="W567" s="4">
        <v>371.89</v>
      </c>
      <c r="X567" s="4">
        <v>99.46</v>
      </c>
      <c r="Y567" s="4">
        <v>770.92</v>
      </c>
      <c r="Z567" s="4" t="s">
        <v>147</v>
      </c>
      <c r="AA567" s="4" t="s">
        <v>147</v>
      </c>
      <c r="AB567" s="4">
        <f>SUMIF('Trip Changes'!$B:$B,A567,'Trip Changes'!$E:$E)</f>
        <v>0</v>
      </c>
      <c r="AC567" s="4">
        <f>SUMIF('Trip Cancellations'!$B:$B,A567,'Trip Cancellations'!$E:$E)</f>
        <v>0</v>
      </c>
      <c r="AD567" s="4">
        <f>SUMIF('Trip Cancellations'!$B:$B,A567,'Trip Cancellations'!$F:$F)</f>
        <v>0</v>
      </c>
      <c r="AE567" s="4">
        <f t="shared" si="8"/>
        <v>770.92</v>
      </c>
      <c r="AF567" t="s">
        <v>148</v>
      </c>
      <c r="AG567">
        <v>4</v>
      </c>
      <c r="AH567" s="5">
        <v>351.9</v>
      </c>
      <c r="AI567" t="s">
        <v>147</v>
      </c>
    </row>
    <row r="568" spans="1:35">
      <c r="A568" t="s">
        <v>937</v>
      </c>
      <c r="B568" t="s">
        <v>933</v>
      </c>
      <c r="C568" t="s">
        <v>142</v>
      </c>
      <c r="D568" t="s">
        <v>168</v>
      </c>
      <c r="E568" t="s">
        <v>139</v>
      </c>
      <c r="F568" t="s">
        <v>207</v>
      </c>
      <c r="G568" s="3">
        <v>46160</v>
      </c>
      <c r="H568" s="3">
        <v>46179</v>
      </c>
      <c r="I568" s="3">
        <v>46182</v>
      </c>
      <c r="J568" t="s">
        <v>141</v>
      </c>
      <c r="K568" t="s">
        <v>142</v>
      </c>
      <c r="L568" t="s">
        <v>225</v>
      </c>
      <c r="M568" t="s">
        <v>152</v>
      </c>
      <c r="N568" t="s">
        <v>153</v>
      </c>
      <c r="O568">
        <v>2792</v>
      </c>
      <c r="P568">
        <v>19</v>
      </c>
      <c r="Q568" t="s">
        <v>159</v>
      </c>
      <c r="R568" t="s">
        <v>236</v>
      </c>
      <c r="S568" t="s">
        <v>187</v>
      </c>
      <c r="T568" s="4">
        <v>150</v>
      </c>
      <c r="U568" s="4">
        <v>0</v>
      </c>
      <c r="V568" s="4">
        <v>2</v>
      </c>
      <c r="W568" s="4">
        <v>357.1</v>
      </c>
      <c r="X568" s="4">
        <v>37.28</v>
      </c>
      <c r="Y568" s="4">
        <v>544.38</v>
      </c>
      <c r="Z568" s="4" t="s">
        <v>147</v>
      </c>
      <c r="AA568" s="4" t="s">
        <v>147</v>
      </c>
      <c r="AB568" s="4">
        <f>SUMIF('Trip Changes'!$B:$B,A568,'Trip Changes'!$E:$E)</f>
        <v>0</v>
      </c>
      <c r="AC568" s="4">
        <f>SUMIF('Trip Cancellations'!$B:$B,A568,'Trip Cancellations'!$E:$E)</f>
        <v>0</v>
      </c>
      <c r="AD568" s="4">
        <f>SUMIF('Trip Cancellations'!$B:$B,A568,'Trip Cancellations'!$F:$F)</f>
        <v>0</v>
      </c>
      <c r="AE568" s="4">
        <f t="shared" si="8"/>
        <v>544.38</v>
      </c>
      <c r="AF568" t="s">
        <v>148</v>
      </c>
      <c r="AG568">
        <v>5</v>
      </c>
      <c r="AH568" s="5">
        <v>418.8</v>
      </c>
      <c r="AI568" t="s">
        <v>148</v>
      </c>
    </row>
    <row r="569" spans="1:35">
      <c r="A569" t="s">
        <v>938</v>
      </c>
      <c r="B569" t="s">
        <v>933</v>
      </c>
      <c r="C569" t="s">
        <v>142</v>
      </c>
      <c r="D569" t="s">
        <v>168</v>
      </c>
      <c r="E569" t="s">
        <v>139</v>
      </c>
      <c r="F569" t="s">
        <v>162</v>
      </c>
      <c r="G569" s="3">
        <v>46204</v>
      </c>
      <c r="H569" s="3">
        <v>46222</v>
      </c>
      <c r="I569" s="3">
        <v>46227</v>
      </c>
      <c r="J569" t="s">
        <v>150</v>
      </c>
      <c r="K569" t="s">
        <v>142</v>
      </c>
      <c r="L569" t="s">
        <v>209</v>
      </c>
      <c r="M569" t="s">
        <v>152</v>
      </c>
      <c r="N569" t="s">
        <v>153</v>
      </c>
      <c r="O569">
        <v>2360</v>
      </c>
      <c r="P569">
        <v>18</v>
      </c>
      <c r="Q569" t="s">
        <v>145</v>
      </c>
      <c r="R569" t="s">
        <v>172</v>
      </c>
      <c r="S569" t="s">
        <v>187</v>
      </c>
      <c r="T569" s="4">
        <v>195.23</v>
      </c>
      <c r="U569" s="4">
        <v>0</v>
      </c>
      <c r="V569" s="4">
        <v>4</v>
      </c>
      <c r="W569" s="4">
        <v>876.82</v>
      </c>
      <c r="X569" s="4">
        <v>62.68</v>
      </c>
      <c r="Y569" s="4">
        <v>1134.73</v>
      </c>
      <c r="Z569" s="4" t="s">
        <v>147</v>
      </c>
      <c r="AA569" s="4" t="s">
        <v>147</v>
      </c>
      <c r="AB569" s="4">
        <f>SUMIF('Trip Changes'!$B:$B,A569,'Trip Changes'!$E:$E)</f>
        <v>0</v>
      </c>
      <c r="AC569" s="4">
        <f>SUMIF('Trip Cancellations'!$B:$B,A569,'Trip Cancellations'!$E:$E)</f>
        <v>0</v>
      </c>
      <c r="AD569" s="4">
        <f>SUMIF('Trip Cancellations'!$B:$B,A569,'Trip Cancellations'!$F:$F)</f>
        <v>0</v>
      </c>
      <c r="AE569" s="4">
        <f t="shared" si="8"/>
        <v>1134.73</v>
      </c>
      <c r="AF569" t="s">
        <v>148</v>
      </c>
      <c r="AG569">
        <v>4</v>
      </c>
      <c r="AH569" s="5">
        <v>354</v>
      </c>
      <c r="AI569" t="s">
        <v>147</v>
      </c>
    </row>
    <row r="570" spans="1:35">
      <c r="A570" t="s">
        <v>939</v>
      </c>
      <c r="B570" t="s">
        <v>940</v>
      </c>
      <c r="C570" t="s">
        <v>142</v>
      </c>
      <c r="D570" t="s">
        <v>248</v>
      </c>
      <c r="E570" t="s">
        <v>169</v>
      </c>
      <c r="F570" t="s">
        <v>162</v>
      </c>
      <c r="G570" s="3">
        <v>46190</v>
      </c>
      <c r="H570" s="3">
        <v>46218</v>
      </c>
      <c r="I570" s="3">
        <v>46221</v>
      </c>
      <c r="J570" t="s">
        <v>150</v>
      </c>
      <c r="K570" t="s">
        <v>142</v>
      </c>
      <c r="L570" t="s">
        <v>225</v>
      </c>
      <c r="M570" t="s">
        <v>152</v>
      </c>
      <c r="N570" t="s">
        <v>153</v>
      </c>
      <c r="O570">
        <v>2428</v>
      </c>
      <c r="P570">
        <v>28</v>
      </c>
      <c r="Q570" t="s">
        <v>145</v>
      </c>
      <c r="R570" t="s">
        <v>154</v>
      </c>
      <c r="S570" t="s">
        <v>164</v>
      </c>
      <c r="T570" s="4">
        <v>349.76</v>
      </c>
      <c r="U570" s="4">
        <v>0</v>
      </c>
      <c r="V570" s="4">
        <v>2</v>
      </c>
      <c r="W570" s="4">
        <v>276.27</v>
      </c>
      <c r="X570" s="4">
        <v>66.430000000000007</v>
      </c>
      <c r="Y570" s="4">
        <v>692.46</v>
      </c>
      <c r="Z570" s="4" t="s">
        <v>147</v>
      </c>
      <c r="AA570" s="4" t="s">
        <v>147</v>
      </c>
      <c r="AB570" s="4">
        <f>SUMIF('Trip Changes'!$B:$B,A570,'Trip Changes'!$E:$E)</f>
        <v>0</v>
      </c>
      <c r="AC570" s="4">
        <f>SUMIF('Trip Cancellations'!$B:$B,A570,'Trip Cancellations'!$E:$E)</f>
        <v>0</v>
      </c>
      <c r="AD570" s="4">
        <f>SUMIF('Trip Cancellations'!$B:$B,A570,'Trip Cancellations'!$F:$F)</f>
        <v>0</v>
      </c>
      <c r="AE570" s="4">
        <f t="shared" si="8"/>
        <v>692.46</v>
      </c>
      <c r="AF570" t="s">
        <v>148</v>
      </c>
      <c r="AG570">
        <v>5</v>
      </c>
      <c r="AH570" s="5">
        <v>364.2</v>
      </c>
      <c r="AI570" t="s">
        <v>147</v>
      </c>
    </row>
    <row r="571" spans="1:35">
      <c r="A571" t="s">
        <v>941</v>
      </c>
      <c r="B571" t="s">
        <v>940</v>
      </c>
      <c r="C571" t="s">
        <v>142</v>
      </c>
      <c r="D571" t="s">
        <v>248</v>
      </c>
      <c r="E571" t="s">
        <v>169</v>
      </c>
      <c r="F571" t="s">
        <v>140</v>
      </c>
      <c r="G571" s="3">
        <v>46159</v>
      </c>
      <c r="H571" s="3">
        <v>46184</v>
      </c>
      <c r="I571" s="3">
        <v>46186</v>
      </c>
      <c r="J571" t="s">
        <v>141</v>
      </c>
      <c r="K571" t="s">
        <v>142</v>
      </c>
      <c r="L571" t="s">
        <v>175</v>
      </c>
      <c r="M571" t="s">
        <v>152</v>
      </c>
      <c r="N571" t="s">
        <v>153</v>
      </c>
      <c r="O571">
        <v>1474</v>
      </c>
      <c r="P571">
        <v>25</v>
      </c>
      <c r="Q571" t="s">
        <v>145</v>
      </c>
      <c r="R571" t="s">
        <v>176</v>
      </c>
      <c r="S571" t="s">
        <v>173</v>
      </c>
      <c r="T571" s="4">
        <v>259.88</v>
      </c>
      <c r="U571" s="4">
        <v>0</v>
      </c>
      <c r="V571" s="4">
        <v>1</v>
      </c>
      <c r="W571" s="4">
        <v>187.1</v>
      </c>
      <c r="X571" s="4">
        <v>83.31</v>
      </c>
      <c r="Y571" s="4">
        <v>530.29</v>
      </c>
      <c r="Z571" s="4" t="s">
        <v>147</v>
      </c>
      <c r="AA571" s="4" t="s">
        <v>147</v>
      </c>
      <c r="AB571" s="4">
        <f>SUMIF('Trip Changes'!$B:$B,A571,'Trip Changes'!$E:$E)</f>
        <v>0</v>
      </c>
      <c r="AC571" s="4">
        <f>SUMIF('Trip Cancellations'!$B:$B,A571,'Trip Cancellations'!$E:$E)</f>
        <v>0</v>
      </c>
      <c r="AD571" s="4">
        <f>SUMIF('Trip Cancellations'!$B:$B,A571,'Trip Cancellations'!$F:$F)</f>
        <v>0</v>
      </c>
      <c r="AE571" s="4">
        <f t="shared" si="8"/>
        <v>530.29</v>
      </c>
      <c r="AF571" t="s">
        <v>148</v>
      </c>
      <c r="AG571">
        <v>4</v>
      </c>
      <c r="AH571" s="5">
        <v>221.1</v>
      </c>
      <c r="AI571" t="s">
        <v>148</v>
      </c>
    </row>
    <row r="572" spans="1:35">
      <c r="A572" t="s">
        <v>942</v>
      </c>
      <c r="B572" t="s">
        <v>940</v>
      </c>
      <c r="C572" t="s">
        <v>142</v>
      </c>
      <c r="D572" t="s">
        <v>248</v>
      </c>
      <c r="E572" t="s">
        <v>169</v>
      </c>
      <c r="F572" t="s">
        <v>189</v>
      </c>
      <c r="G572" s="3">
        <v>46200</v>
      </c>
      <c r="H572" s="3">
        <v>46223</v>
      </c>
      <c r="I572" s="3">
        <v>46227</v>
      </c>
      <c r="J572" t="s">
        <v>150</v>
      </c>
      <c r="K572" t="s">
        <v>142</v>
      </c>
      <c r="L572" t="s">
        <v>151</v>
      </c>
      <c r="M572" t="s">
        <v>152</v>
      </c>
      <c r="N572" t="s">
        <v>153</v>
      </c>
      <c r="O572">
        <v>1220</v>
      </c>
      <c r="P572">
        <v>23</v>
      </c>
      <c r="Q572" t="s">
        <v>145</v>
      </c>
      <c r="R572" t="s">
        <v>172</v>
      </c>
      <c r="S572" t="s">
        <v>173</v>
      </c>
      <c r="T572" s="4">
        <v>253.99</v>
      </c>
      <c r="U572" s="4">
        <v>0</v>
      </c>
      <c r="V572" s="4">
        <v>3</v>
      </c>
      <c r="W572" s="4">
        <v>478.96</v>
      </c>
      <c r="X572" s="4">
        <v>55.52</v>
      </c>
      <c r="Y572" s="4">
        <v>788.47</v>
      </c>
      <c r="Z572" s="4" t="s">
        <v>148</v>
      </c>
      <c r="AA572" s="4" t="s">
        <v>147</v>
      </c>
      <c r="AB572" s="4">
        <f>SUMIF('Trip Changes'!$B:$B,A572,'Trip Changes'!$E:$E)</f>
        <v>40.08</v>
      </c>
      <c r="AC572" s="4">
        <f>SUMIF('Trip Cancellations'!$B:$B,A572,'Trip Cancellations'!$E:$E)</f>
        <v>0</v>
      </c>
      <c r="AD572" s="4">
        <f>SUMIF('Trip Cancellations'!$B:$B,A572,'Trip Cancellations'!$F:$F)</f>
        <v>0</v>
      </c>
      <c r="AE572" s="4">
        <f t="shared" si="8"/>
        <v>828.55000000000007</v>
      </c>
      <c r="AF572" t="s">
        <v>148</v>
      </c>
      <c r="AG572">
        <v>4</v>
      </c>
      <c r="AH572" s="5">
        <v>183</v>
      </c>
      <c r="AI572" t="s">
        <v>148</v>
      </c>
    </row>
    <row r="573" spans="1:35">
      <c r="A573" t="s">
        <v>943</v>
      </c>
      <c r="B573" t="s">
        <v>940</v>
      </c>
      <c r="C573" t="s">
        <v>142</v>
      </c>
      <c r="D573" t="s">
        <v>248</v>
      </c>
      <c r="E573" t="s">
        <v>169</v>
      </c>
      <c r="F573" t="s">
        <v>162</v>
      </c>
      <c r="G573" s="3">
        <v>46223</v>
      </c>
      <c r="H573" s="3">
        <v>46224</v>
      </c>
      <c r="I573" s="3">
        <v>46229</v>
      </c>
      <c r="J573" t="s">
        <v>150</v>
      </c>
      <c r="K573" t="s">
        <v>142</v>
      </c>
      <c r="L573" t="s">
        <v>264</v>
      </c>
      <c r="M573" t="s">
        <v>152</v>
      </c>
      <c r="N573" t="s">
        <v>153</v>
      </c>
      <c r="O573">
        <v>1268</v>
      </c>
      <c r="P573">
        <v>1</v>
      </c>
      <c r="Q573" t="s">
        <v>145</v>
      </c>
      <c r="R573" t="s">
        <v>160</v>
      </c>
      <c r="S573" t="s">
        <v>190</v>
      </c>
      <c r="T573" s="4">
        <v>328.74</v>
      </c>
      <c r="U573" s="4">
        <v>0</v>
      </c>
      <c r="V573" s="4">
        <v>4</v>
      </c>
      <c r="W573" s="4">
        <v>596.47</v>
      </c>
      <c r="X573" s="4">
        <v>63.38</v>
      </c>
      <c r="Y573" s="4">
        <v>988.59</v>
      </c>
      <c r="Z573" s="4" t="s">
        <v>147</v>
      </c>
      <c r="AA573" s="4" t="s">
        <v>147</v>
      </c>
      <c r="AB573" s="4">
        <f>SUMIF('Trip Changes'!$B:$B,A573,'Trip Changes'!$E:$E)</f>
        <v>0</v>
      </c>
      <c r="AC573" s="4">
        <f>SUMIF('Trip Cancellations'!$B:$B,A573,'Trip Cancellations'!$E:$E)</f>
        <v>0</v>
      </c>
      <c r="AD573" s="4">
        <f>SUMIF('Trip Cancellations'!$B:$B,A573,'Trip Cancellations'!$F:$F)</f>
        <v>0</v>
      </c>
      <c r="AE573" s="4">
        <f t="shared" si="8"/>
        <v>988.59</v>
      </c>
      <c r="AF573" t="s">
        <v>148</v>
      </c>
      <c r="AG573">
        <v>4</v>
      </c>
      <c r="AH573" s="5">
        <v>190.2</v>
      </c>
      <c r="AI573" t="s">
        <v>147</v>
      </c>
    </row>
    <row r="574" spans="1:35">
      <c r="A574" t="s">
        <v>944</v>
      </c>
      <c r="B574" t="s">
        <v>945</v>
      </c>
      <c r="C574" t="s">
        <v>182</v>
      </c>
      <c r="D574" t="s">
        <v>168</v>
      </c>
      <c r="E574" t="s">
        <v>268</v>
      </c>
      <c r="F574" t="s">
        <v>162</v>
      </c>
      <c r="G574" s="3">
        <v>46183</v>
      </c>
      <c r="H574" s="3">
        <v>46193</v>
      </c>
      <c r="I574" s="3">
        <v>46197</v>
      </c>
      <c r="J574" t="s">
        <v>141</v>
      </c>
      <c r="K574" t="s">
        <v>182</v>
      </c>
      <c r="L574" t="s">
        <v>199</v>
      </c>
      <c r="M574" t="s">
        <v>152</v>
      </c>
      <c r="N574" t="s">
        <v>153</v>
      </c>
      <c r="O574">
        <v>3482</v>
      </c>
      <c r="P574">
        <v>10</v>
      </c>
      <c r="Q574" t="s">
        <v>159</v>
      </c>
      <c r="R574" t="s">
        <v>200</v>
      </c>
      <c r="S574" t="s">
        <v>155</v>
      </c>
      <c r="T574" s="4">
        <v>510.18</v>
      </c>
      <c r="U574" s="4">
        <v>0</v>
      </c>
      <c r="V574" s="4">
        <v>3</v>
      </c>
      <c r="W574" s="4">
        <v>484.38</v>
      </c>
      <c r="X574" s="4">
        <v>114.37</v>
      </c>
      <c r="Y574" s="4">
        <v>1108.93</v>
      </c>
      <c r="Z574" s="4" t="s">
        <v>147</v>
      </c>
      <c r="AA574" s="4" t="s">
        <v>148</v>
      </c>
      <c r="AB574" s="4">
        <f>SUMIF('Trip Changes'!$B:$B,A574,'Trip Changes'!$E:$E)</f>
        <v>0</v>
      </c>
      <c r="AC574" s="4">
        <f>SUMIF('Trip Cancellations'!$B:$B,A574,'Trip Cancellations'!$E:$E)</f>
        <v>82.8</v>
      </c>
      <c r="AD574" s="4">
        <f>SUMIF('Trip Cancellations'!$B:$B,A574,'Trip Cancellations'!$F:$F)</f>
        <v>745.92</v>
      </c>
      <c r="AE574" s="4">
        <f t="shared" si="8"/>
        <v>445.81000000000006</v>
      </c>
      <c r="AF574" t="s">
        <v>148</v>
      </c>
      <c r="AG574">
        <v>4</v>
      </c>
      <c r="AH574" s="5">
        <v>522.29999999999995</v>
      </c>
      <c r="AI574" t="s">
        <v>147</v>
      </c>
    </row>
    <row r="575" spans="1:35">
      <c r="A575" t="s">
        <v>946</v>
      </c>
      <c r="B575" t="s">
        <v>945</v>
      </c>
      <c r="C575" t="s">
        <v>182</v>
      </c>
      <c r="D575" t="s">
        <v>168</v>
      </c>
      <c r="E575" t="s">
        <v>268</v>
      </c>
      <c r="F575" t="s">
        <v>140</v>
      </c>
      <c r="G575" s="3">
        <v>46176</v>
      </c>
      <c r="H575" s="3">
        <v>46205</v>
      </c>
      <c r="I575" s="3">
        <v>46209</v>
      </c>
      <c r="J575" t="s">
        <v>150</v>
      </c>
      <c r="K575" t="s">
        <v>182</v>
      </c>
      <c r="L575" t="s">
        <v>209</v>
      </c>
      <c r="M575" t="s">
        <v>152</v>
      </c>
      <c r="N575" t="s">
        <v>153</v>
      </c>
      <c r="O575">
        <v>1324</v>
      </c>
      <c r="P575">
        <v>29</v>
      </c>
      <c r="Q575" t="s">
        <v>145</v>
      </c>
      <c r="R575" t="s">
        <v>172</v>
      </c>
      <c r="S575" t="s">
        <v>187</v>
      </c>
      <c r="T575" s="4">
        <v>485.32</v>
      </c>
      <c r="U575" s="4">
        <v>0</v>
      </c>
      <c r="V575" s="4">
        <v>3</v>
      </c>
      <c r="W575" s="4">
        <v>445.27</v>
      </c>
      <c r="X575" s="4">
        <v>65.27</v>
      </c>
      <c r="Y575" s="4">
        <v>995.86</v>
      </c>
      <c r="Z575" s="4" t="s">
        <v>147</v>
      </c>
      <c r="AA575" s="4" t="s">
        <v>147</v>
      </c>
      <c r="AB575" s="4">
        <f>SUMIF('Trip Changes'!$B:$B,A575,'Trip Changes'!$E:$E)</f>
        <v>0</v>
      </c>
      <c r="AC575" s="4">
        <f>SUMIF('Trip Cancellations'!$B:$B,A575,'Trip Cancellations'!$E:$E)</f>
        <v>0</v>
      </c>
      <c r="AD575" s="4">
        <f>SUMIF('Trip Cancellations'!$B:$B,A575,'Trip Cancellations'!$F:$F)</f>
        <v>0</v>
      </c>
      <c r="AE575" s="4">
        <f t="shared" si="8"/>
        <v>995.86</v>
      </c>
      <c r="AF575" t="s">
        <v>148</v>
      </c>
      <c r="AG575">
        <v>4</v>
      </c>
      <c r="AH575" s="5">
        <v>198.6</v>
      </c>
      <c r="AI575" t="s">
        <v>147</v>
      </c>
    </row>
    <row r="576" spans="1:35">
      <c r="A576" t="s">
        <v>947</v>
      </c>
      <c r="B576" t="s">
        <v>948</v>
      </c>
      <c r="C576" t="s">
        <v>182</v>
      </c>
      <c r="D576" t="s">
        <v>230</v>
      </c>
      <c r="E576" t="s">
        <v>139</v>
      </c>
      <c r="F576" t="s">
        <v>140</v>
      </c>
      <c r="G576" s="3">
        <v>46192</v>
      </c>
      <c r="H576" s="3">
        <v>46193</v>
      </c>
      <c r="I576" s="3">
        <v>46198</v>
      </c>
      <c r="J576" t="s">
        <v>141</v>
      </c>
      <c r="K576" t="s">
        <v>182</v>
      </c>
      <c r="L576" t="s">
        <v>209</v>
      </c>
      <c r="M576" t="s">
        <v>152</v>
      </c>
      <c r="N576" t="s">
        <v>153</v>
      </c>
      <c r="O576">
        <v>1130</v>
      </c>
      <c r="P576">
        <v>1</v>
      </c>
      <c r="Q576" t="s">
        <v>145</v>
      </c>
      <c r="R576" t="s">
        <v>154</v>
      </c>
      <c r="S576" t="s">
        <v>190</v>
      </c>
      <c r="T576" s="4">
        <v>189.56</v>
      </c>
      <c r="U576" s="4">
        <v>0</v>
      </c>
      <c r="V576" s="4">
        <v>4</v>
      </c>
      <c r="W576" s="4">
        <v>351.11</v>
      </c>
      <c r="X576" s="4">
        <v>81.61</v>
      </c>
      <c r="Y576" s="4">
        <v>622.28</v>
      </c>
      <c r="Z576" s="4" t="s">
        <v>147</v>
      </c>
      <c r="AA576" s="4" t="s">
        <v>147</v>
      </c>
      <c r="AB576" s="4">
        <f>SUMIF('Trip Changes'!$B:$B,A576,'Trip Changes'!$E:$E)</f>
        <v>0</v>
      </c>
      <c r="AC576" s="4">
        <f>SUMIF('Trip Cancellations'!$B:$B,A576,'Trip Cancellations'!$E:$E)</f>
        <v>0</v>
      </c>
      <c r="AD576" s="4">
        <f>SUMIF('Trip Cancellations'!$B:$B,A576,'Trip Cancellations'!$F:$F)</f>
        <v>0</v>
      </c>
      <c r="AE576" s="4">
        <f t="shared" si="8"/>
        <v>622.28</v>
      </c>
      <c r="AF576" t="s">
        <v>148</v>
      </c>
      <c r="AG576">
        <v>4</v>
      </c>
      <c r="AH576" s="5">
        <v>169.5</v>
      </c>
      <c r="AI576" t="s">
        <v>147</v>
      </c>
    </row>
    <row r="577" spans="1:35">
      <c r="A577" t="s">
        <v>949</v>
      </c>
      <c r="B577" t="s">
        <v>950</v>
      </c>
      <c r="C577" t="s">
        <v>182</v>
      </c>
      <c r="D577" t="s">
        <v>168</v>
      </c>
      <c r="E577" t="s">
        <v>139</v>
      </c>
      <c r="F577" t="s">
        <v>140</v>
      </c>
      <c r="G577" s="3">
        <v>46203</v>
      </c>
      <c r="H577" s="3">
        <v>46208</v>
      </c>
      <c r="I577" s="3">
        <v>46210</v>
      </c>
      <c r="J577" t="s">
        <v>150</v>
      </c>
      <c r="K577" t="s">
        <v>182</v>
      </c>
      <c r="L577" t="s">
        <v>283</v>
      </c>
      <c r="M577" t="s">
        <v>152</v>
      </c>
      <c r="N577" t="s">
        <v>153</v>
      </c>
      <c r="O577">
        <v>12472</v>
      </c>
      <c r="P577">
        <v>5</v>
      </c>
      <c r="Q577" t="s">
        <v>145</v>
      </c>
      <c r="R577" t="s">
        <v>186</v>
      </c>
      <c r="S577" t="s">
        <v>173</v>
      </c>
      <c r="T577" s="4">
        <v>963.64</v>
      </c>
      <c r="U577" s="4">
        <v>0</v>
      </c>
      <c r="V577" s="4">
        <v>1</v>
      </c>
      <c r="W577" s="4">
        <v>116.89</v>
      </c>
      <c r="X577" s="4">
        <v>78.73</v>
      </c>
      <c r="Y577" s="4">
        <v>1159.26</v>
      </c>
      <c r="Z577" s="4" t="s">
        <v>147</v>
      </c>
      <c r="AA577" s="4" t="s">
        <v>147</v>
      </c>
      <c r="AB577" s="4">
        <f>SUMIF('Trip Changes'!$B:$B,A577,'Trip Changes'!$E:$E)</f>
        <v>0</v>
      </c>
      <c r="AC577" s="4">
        <f>SUMIF('Trip Cancellations'!$B:$B,A577,'Trip Cancellations'!$E:$E)</f>
        <v>0</v>
      </c>
      <c r="AD577" s="4">
        <f>SUMIF('Trip Cancellations'!$B:$B,A577,'Trip Cancellations'!$F:$F)</f>
        <v>0</v>
      </c>
      <c r="AE577" s="4">
        <f t="shared" si="8"/>
        <v>1159.26</v>
      </c>
      <c r="AF577" t="s">
        <v>147</v>
      </c>
      <c r="AG577">
        <v>4</v>
      </c>
      <c r="AH577" s="5">
        <v>1870.8</v>
      </c>
      <c r="AI577" t="s">
        <v>148</v>
      </c>
    </row>
    <row r="578" spans="1:35">
      <c r="A578" t="s">
        <v>951</v>
      </c>
      <c r="B578" t="s">
        <v>950</v>
      </c>
      <c r="C578" t="s">
        <v>182</v>
      </c>
      <c r="D578" t="s">
        <v>168</v>
      </c>
      <c r="E578" t="s">
        <v>139</v>
      </c>
      <c r="F578" t="s">
        <v>162</v>
      </c>
      <c r="G578" s="3">
        <v>46169</v>
      </c>
      <c r="H578" s="3">
        <v>46181</v>
      </c>
      <c r="I578" s="3">
        <v>46186</v>
      </c>
      <c r="J578" t="s">
        <v>141</v>
      </c>
      <c r="K578" t="s">
        <v>182</v>
      </c>
      <c r="L578" t="s">
        <v>209</v>
      </c>
      <c r="M578" t="s">
        <v>152</v>
      </c>
      <c r="N578" t="s">
        <v>153</v>
      </c>
      <c r="O578">
        <v>3324</v>
      </c>
      <c r="P578">
        <v>12</v>
      </c>
      <c r="Q578" t="s">
        <v>159</v>
      </c>
      <c r="R578" t="s">
        <v>172</v>
      </c>
      <c r="S578" t="s">
        <v>155</v>
      </c>
      <c r="T578" s="4">
        <v>530.04999999999995</v>
      </c>
      <c r="U578" s="4">
        <v>0</v>
      </c>
      <c r="V578" s="4">
        <v>4</v>
      </c>
      <c r="W578" s="4">
        <v>823.53</v>
      </c>
      <c r="X578" s="4">
        <v>89.75</v>
      </c>
      <c r="Y578" s="4">
        <v>1443.33</v>
      </c>
      <c r="Z578" s="4" t="s">
        <v>147</v>
      </c>
      <c r="AA578" s="4" t="s">
        <v>147</v>
      </c>
      <c r="AB578" s="4">
        <f>SUMIF('Trip Changes'!$B:$B,A578,'Trip Changes'!$E:$E)</f>
        <v>0</v>
      </c>
      <c r="AC578" s="4">
        <f>SUMIF('Trip Cancellations'!$B:$B,A578,'Trip Cancellations'!$E:$E)</f>
        <v>0</v>
      </c>
      <c r="AD578" s="4">
        <f>SUMIF('Trip Cancellations'!$B:$B,A578,'Trip Cancellations'!$F:$F)</f>
        <v>0</v>
      </c>
      <c r="AE578" s="4">
        <f t="shared" ref="AE578:AE583" si="9">Y578+AB578+AC578-AD578</f>
        <v>1443.33</v>
      </c>
      <c r="AF578" t="s">
        <v>148</v>
      </c>
      <c r="AG578">
        <v>4</v>
      </c>
      <c r="AH578" s="5">
        <v>498.6</v>
      </c>
      <c r="AI578" t="s">
        <v>148</v>
      </c>
    </row>
    <row r="579" spans="1:35">
      <c r="A579" t="s">
        <v>952</v>
      </c>
      <c r="B579" t="s">
        <v>950</v>
      </c>
      <c r="C579" t="s">
        <v>182</v>
      </c>
      <c r="D579" t="s">
        <v>168</v>
      </c>
      <c r="E579" t="s">
        <v>139</v>
      </c>
      <c r="F579" t="s">
        <v>189</v>
      </c>
      <c r="G579" s="3">
        <v>46210</v>
      </c>
      <c r="H579" s="3">
        <v>46225</v>
      </c>
      <c r="I579" s="3">
        <v>46227</v>
      </c>
      <c r="J579" t="s">
        <v>150</v>
      </c>
      <c r="K579" t="s">
        <v>182</v>
      </c>
      <c r="L579" t="s">
        <v>225</v>
      </c>
      <c r="M579" t="s">
        <v>152</v>
      </c>
      <c r="N579" t="s">
        <v>153</v>
      </c>
      <c r="O579">
        <v>2570</v>
      </c>
      <c r="P579">
        <v>15</v>
      </c>
      <c r="Q579" t="s">
        <v>145</v>
      </c>
      <c r="R579" t="s">
        <v>236</v>
      </c>
      <c r="S579" t="s">
        <v>187</v>
      </c>
      <c r="T579" s="4">
        <v>321.86</v>
      </c>
      <c r="U579" s="4">
        <v>0</v>
      </c>
      <c r="V579" s="4">
        <v>1</v>
      </c>
      <c r="W579" s="4">
        <v>150.78</v>
      </c>
      <c r="X579" s="4">
        <v>78.38</v>
      </c>
      <c r="Y579" s="4">
        <v>551.02</v>
      </c>
      <c r="Z579" s="4" t="s">
        <v>147</v>
      </c>
      <c r="AA579" s="4" t="s">
        <v>148</v>
      </c>
      <c r="AB579" s="4">
        <f>SUMIF('Trip Changes'!$B:$B,A579,'Trip Changes'!$E:$E)</f>
        <v>0</v>
      </c>
      <c r="AC579" s="4">
        <f>SUMIF('Trip Cancellations'!$B:$B,A579,'Trip Cancellations'!$E:$E)</f>
        <v>47.72</v>
      </c>
      <c r="AD579" s="4">
        <f>SUMIF('Trip Cancellations'!$B:$B,A579,'Trip Cancellations'!$F:$F)</f>
        <v>236.32</v>
      </c>
      <c r="AE579" s="4">
        <f t="shared" si="9"/>
        <v>362.42</v>
      </c>
      <c r="AF579" t="s">
        <v>147</v>
      </c>
      <c r="AG579">
        <v>3</v>
      </c>
      <c r="AH579" s="5">
        <v>385.5</v>
      </c>
      <c r="AI579" t="s">
        <v>148</v>
      </c>
    </row>
    <row r="580" spans="1:35">
      <c r="A580" t="s">
        <v>953</v>
      </c>
      <c r="B580" t="s">
        <v>950</v>
      </c>
      <c r="C580" t="s">
        <v>182</v>
      </c>
      <c r="D580" t="s">
        <v>168</v>
      </c>
      <c r="E580" t="s">
        <v>139</v>
      </c>
      <c r="F580" t="s">
        <v>140</v>
      </c>
      <c r="G580" s="3">
        <v>46162</v>
      </c>
      <c r="H580" s="3">
        <v>46163</v>
      </c>
      <c r="I580" s="3">
        <v>46167</v>
      </c>
      <c r="J580" t="s">
        <v>163</v>
      </c>
      <c r="K580" t="s">
        <v>182</v>
      </c>
      <c r="L580" t="s">
        <v>233</v>
      </c>
      <c r="M580" t="s">
        <v>152</v>
      </c>
      <c r="N580" t="s">
        <v>153</v>
      </c>
      <c r="O580">
        <v>2566</v>
      </c>
      <c r="P580">
        <v>1</v>
      </c>
      <c r="Q580" t="s">
        <v>159</v>
      </c>
      <c r="R580" t="s">
        <v>160</v>
      </c>
      <c r="S580" t="s">
        <v>173</v>
      </c>
      <c r="T580" s="4">
        <v>641.99</v>
      </c>
      <c r="U580" s="4">
        <v>0</v>
      </c>
      <c r="V580" s="4">
        <v>3</v>
      </c>
      <c r="W580" s="4">
        <v>606.35</v>
      </c>
      <c r="X580" s="4">
        <v>71.48</v>
      </c>
      <c r="Y580" s="4">
        <v>1319.82</v>
      </c>
      <c r="Z580" s="4" t="s">
        <v>147</v>
      </c>
      <c r="AA580" s="4" t="s">
        <v>147</v>
      </c>
      <c r="AB580" s="4">
        <f>SUMIF('Trip Changes'!$B:$B,A580,'Trip Changes'!$E:$E)</f>
        <v>0</v>
      </c>
      <c r="AC580" s="4">
        <f>SUMIF('Trip Cancellations'!$B:$B,A580,'Trip Cancellations'!$E:$E)</f>
        <v>0</v>
      </c>
      <c r="AD580" s="4">
        <f>SUMIF('Trip Cancellations'!$B:$B,A580,'Trip Cancellations'!$F:$F)</f>
        <v>0</v>
      </c>
      <c r="AE580" s="4">
        <f t="shared" si="9"/>
        <v>1319.82</v>
      </c>
      <c r="AF580" t="s">
        <v>148</v>
      </c>
      <c r="AG580">
        <v>5</v>
      </c>
      <c r="AH580" s="5">
        <v>384.9</v>
      </c>
      <c r="AI580" t="s">
        <v>147</v>
      </c>
    </row>
    <row r="581" spans="1:35">
      <c r="A581" t="s">
        <v>954</v>
      </c>
      <c r="B581" t="s">
        <v>950</v>
      </c>
      <c r="C581" t="s">
        <v>182</v>
      </c>
      <c r="D581" t="s">
        <v>168</v>
      </c>
      <c r="E581" t="s">
        <v>139</v>
      </c>
      <c r="F581" t="s">
        <v>181</v>
      </c>
      <c r="G581" s="3">
        <v>46165</v>
      </c>
      <c r="H581" s="3">
        <v>46177</v>
      </c>
      <c r="I581" s="3">
        <v>46182</v>
      </c>
      <c r="J581" t="s">
        <v>141</v>
      </c>
      <c r="K581" t="s">
        <v>182</v>
      </c>
      <c r="L581" t="s">
        <v>175</v>
      </c>
      <c r="M581" t="s">
        <v>152</v>
      </c>
      <c r="N581" t="s">
        <v>153</v>
      </c>
      <c r="O581">
        <v>2124</v>
      </c>
      <c r="P581">
        <v>12</v>
      </c>
      <c r="Q581" t="s">
        <v>207</v>
      </c>
      <c r="R581" t="s">
        <v>160</v>
      </c>
      <c r="S581" t="s">
        <v>190</v>
      </c>
      <c r="T581" s="4">
        <v>468.49</v>
      </c>
      <c r="U581" s="4">
        <v>0</v>
      </c>
      <c r="V581" s="4">
        <v>4</v>
      </c>
      <c r="W581" s="4">
        <v>685.31</v>
      </c>
      <c r="X581" s="4">
        <v>86.88</v>
      </c>
      <c r="Y581" s="4">
        <v>1240.68</v>
      </c>
      <c r="Z581" s="4" t="s">
        <v>147</v>
      </c>
      <c r="AA581" s="4" t="s">
        <v>147</v>
      </c>
      <c r="AB581" s="4">
        <f>SUMIF('Trip Changes'!$B:$B,A581,'Trip Changes'!$E:$E)</f>
        <v>0</v>
      </c>
      <c r="AC581" s="4">
        <f>SUMIF('Trip Cancellations'!$B:$B,A581,'Trip Cancellations'!$E:$E)</f>
        <v>0</v>
      </c>
      <c r="AD581" s="4">
        <f>SUMIF('Trip Cancellations'!$B:$B,A581,'Trip Cancellations'!$F:$F)</f>
        <v>0</v>
      </c>
      <c r="AE581" s="4">
        <f t="shared" si="9"/>
        <v>1240.68</v>
      </c>
      <c r="AF581" t="s">
        <v>148</v>
      </c>
      <c r="AG581">
        <v>3</v>
      </c>
      <c r="AH581" s="5">
        <v>318.60000000000002</v>
      </c>
      <c r="AI581" t="s">
        <v>147</v>
      </c>
    </row>
    <row r="582" spans="1:35">
      <c r="A582" t="s">
        <v>955</v>
      </c>
      <c r="B582" t="s">
        <v>950</v>
      </c>
      <c r="C582" t="s">
        <v>182</v>
      </c>
      <c r="D582" t="s">
        <v>168</v>
      </c>
      <c r="E582" t="s">
        <v>139</v>
      </c>
      <c r="F582" t="s">
        <v>189</v>
      </c>
      <c r="G582" s="3">
        <v>46156</v>
      </c>
      <c r="H582" s="3">
        <v>46163</v>
      </c>
      <c r="I582" s="3">
        <v>46167</v>
      </c>
      <c r="J582" t="s">
        <v>163</v>
      </c>
      <c r="K582" t="s">
        <v>182</v>
      </c>
      <c r="L582" t="s">
        <v>227</v>
      </c>
      <c r="M582" t="s">
        <v>152</v>
      </c>
      <c r="N582" t="s">
        <v>153</v>
      </c>
      <c r="O582">
        <v>3434</v>
      </c>
      <c r="P582">
        <v>7</v>
      </c>
      <c r="Q582" t="s">
        <v>145</v>
      </c>
      <c r="R582" t="s">
        <v>160</v>
      </c>
      <c r="S582" t="s">
        <v>155</v>
      </c>
      <c r="T582" s="4">
        <v>351.59</v>
      </c>
      <c r="U582" s="4">
        <v>0</v>
      </c>
      <c r="V582" s="4">
        <v>3</v>
      </c>
      <c r="W582" s="4">
        <v>581.97</v>
      </c>
      <c r="X582" s="4">
        <v>36.159999999999997</v>
      </c>
      <c r="Y582" s="4">
        <v>969.72</v>
      </c>
      <c r="Z582" s="4" t="s">
        <v>147</v>
      </c>
      <c r="AA582" s="4" t="s">
        <v>147</v>
      </c>
      <c r="AB582" s="4">
        <f>SUMIF('Trip Changes'!$B:$B,A582,'Trip Changes'!$E:$E)</f>
        <v>0</v>
      </c>
      <c r="AC582" s="4">
        <f>SUMIF('Trip Cancellations'!$B:$B,A582,'Trip Cancellations'!$E:$E)</f>
        <v>0</v>
      </c>
      <c r="AD582" s="4">
        <f>SUMIF('Trip Cancellations'!$B:$B,A582,'Trip Cancellations'!$F:$F)</f>
        <v>0</v>
      </c>
      <c r="AE582" s="4">
        <f t="shared" si="9"/>
        <v>969.72</v>
      </c>
      <c r="AF582" t="s">
        <v>148</v>
      </c>
      <c r="AG582">
        <v>5</v>
      </c>
      <c r="AH582" s="5">
        <v>515.1</v>
      </c>
      <c r="AI582" t="s">
        <v>147</v>
      </c>
    </row>
    <row r="583" spans="1:35">
      <c r="A583" t="s">
        <v>956</v>
      </c>
      <c r="B583" t="s">
        <v>950</v>
      </c>
      <c r="C583" t="s">
        <v>182</v>
      </c>
      <c r="D583" t="s">
        <v>168</v>
      </c>
      <c r="E583" t="s">
        <v>139</v>
      </c>
      <c r="F583" t="s">
        <v>189</v>
      </c>
      <c r="G583" s="3">
        <v>46178</v>
      </c>
      <c r="H583" s="3">
        <v>46193</v>
      </c>
      <c r="I583" s="3">
        <v>46196</v>
      </c>
      <c r="J583" t="s">
        <v>141</v>
      </c>
      <c r="K583" t="s">
        <v>182</v>
      </c>
      <c r="L583" t="s">
        <v>233</v>
      </c>
      <c r="M583" t="s">
        <v>152</v>
      </c>
      <c r="N583" t="s">
        <v>153</v>
      </c>
      <c r="O583">
        <v>1032</v>
      </c>
      <c r="P583">
        <v>15</v>
      </c>
      <c r="Q583" t="s">
        <v>145</v>
      </c>
      <c r="R583" t="s">
        <v>154</v>
      </c>
      <c r="S583" t="s">
        <v>190</v>
      </c>
      <c r="T583" s="4">
        <v>314.35000000000002</v>
      </c>
      <c r="U583" s="4">
        <v>0</v>
      </c>
      <c r="V583" s="4">
        <v>2</v>
      </c>
      <c r="W583" s="4">
        <v>385.84</v>
      </c>
      <c r="X583" s="4">
        <v>44.13</v>
      </c>
      <c r="Y583" s="4">
        <v>744.32</v>
      </c>
      <c r="Z583" s="4" t="s">
        <v>147</v>
      </c>
      <c r="AA583" s="4" t="s">
        <v>147</v>
      </c>
      <c r="AB583" s="4">
        <f>SUMIF('Trip Changes'!$B:$B,A583,'Trip Changes'!$E:$E)</f>
        <v>0</v>
      </c>
      <c r="AC583" s="4">
        <f>SUMIF('Trip Cancellations'!$B:$B,A583,'Trip Cancellations'!$E:$E)</f>
        <v>0</v>
      </c>
      <c r="AD583" s="4">
        <f>SUMIF('Trip Cancellations'!$B:$B,A583,'Trip Cancellations'!$F:$F)</f>
        <v>0</v>
      </c>
      <c r="AE583" s="4">
        <f t="shared" si="9"/>
        <v>744.32</v>
      </c>
      <c r="AF583" t="s">
        <v>148</v>
      </c>
      <c r="AG583">
        <v>4</v>
      </c>
      <c r="AH583" s="5">
        <v>154.80000000000001</v>
      </c>
      <c r="AI583" t="s">
        <v>148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99D41-F334-7247-82EF-CFD88EEC316A}">
  <dimension ref="A1:BL583"/>
  <sheetViews>
    <sheetView topLeftCell="AQ1" zoomScale="86" zoomScaleNormal="118" workbookViewId="0">
      <selection activeCell="BP14" sqref="BP14"/>
    </sheetView>
  </sheetViews>
  <sheetFormatPr baseColWidth="10" defaultColWidth="8.83203125" defaultRowHeight="15" outlineLevelCol="1"/>
  <cols>
    <col min="1" max="1" width="35.6640625" style="16" customWidth="1"/>
    <col min="2" max="3" width="18" style="16" customWidth="1"/>
    <col min="4" max="4" width="26" style="16" customWidth="1"/>
    <col min="5" max="5" width="18" customWidth="1"/>
    <col min="6" max="6" width="23" style="16" customWidth="1"/>
    <col min="7" max="7" width="23.1640625" style="15" bestFit="1" customWidth="1"/>
    <col min="8" max="8" width="15" style="15" customWidth="1"/>
    <col min="9" max="9" width="12.1640625" style="15" customWidth="1"/>
    <col min="10" max="10" width="18" style="15" customWidth="1"/>
    <col min="11" max="11" width="18" style="16" customWidth="1"/>
    <col min="12" max="12" width="18" customWidth="1"/>
    <col min="13" max="15" width="18" style="16" customWidth="1"/>
    <col min="16" max="16" width="12.6640625" style="18" customWidth="1"/>
    <col min="17" max="18" width="17.6640625" style="21" customWidth="1"/>
    <col min="19" max="21" width="18" style="16" customWidth="1"/>
    <col min="22" max="22" width="18" customWidth="1"/>
    <col min="23" max="23" width="11.83203125" style="14" customWidth="1"/>
    <col min="24" max="24" width="13.1640625" style="14" customWidth="1"/>
    <col min="25" max="25" width="12.5" style="21" customWidth="1"/>
    <col min="26" max="26" width="14.6640625" style="14" customWidth="1"/>
    <col min="27" max="28" width="20.1640625" style="14" customWidth="1"/>
    <col min="29" max="30" width="18" style="16" customWidth="1"/>
    <col min="31" max="31" width="20.6640625" style="14" customWidth="1"/>
    <col min="32" max="32" width="23.6640625" style="14" customWidth="1"/>
    <col min="33" max="33" width="19.1640625" style="14" customWidth="1"/>
    <col min="34" max="34" width="17.6640625" style="14" customWidth="1"/>
    <col min="35" max="41" width="18" style="16" customWidth="1"/>
    <col min="42" max="42" width="18" style="21" customWidth="1"/>
    <col min="43" max="43" width="18" customWidth="1"/>
    <col min="44" max="44" width="22.5" style="5" customWidth="1"/>
    <col min="45" max="45" width="11.5" style="16" customWidth="1"/>
    <col min="46" max="47" width="23.1640625" style="16" customWidth="1"/>
    <col min="48" max="48" width="19" hidden="1" customWidth="1" outlineLevel="1"/>
    <col min="49" max="49" width="9.33203125" style="16" hidden="1" customWidth="1" outlineLevel="1"/>
    <col min="50" max="50" width="11.33203125" style="16" hidden="1" customWidth="1" outlineLevel="1"/>
    <col min="51" max="51" width="9.33203125" style="16" hidden="1" customWidth="1" outlineLevel="1"/>
    <col min="52" max="52" width="8.33203125" style="16" hidden="1" customWidth="1" outlineLevel="1"/>
    <col min="53" max="53" width="5.1640625" style="21" hidden="1" customWidth="1" outlineLevel="1"/>
    <col min="54" max="54" width="7.1640625" style="16" hidden="1" customWidth="1" outlineLevel="1"/>
    <col min="55" max="58" width="0" hidden="1" customWidth="1" outlineLevel="1"/>
    <col min="59" max="59" width="19.33203125" hidden="1" customWidth="1" outlineLevel="1"/>
    <col min="60" max="62" width="0" hidden="1" customWidth="1" outlineLevel="1"/>
    <col min="63" max="63" width="17" hidden="1" customWidth="1" outlineLevel="1"/>
    <col min="64" max="64" width="8.83203125" collapsed="1"/>
  </cols>
  <sheetData>
    <row r="1" spans="1:63">
      <c r="A1" s="11" t="s">
        <v>100</v>
      </c>
      <c r="B1" s="11" t="s">
        <v>101</v>
      </c>
      <c r="C1" s="11" t="s">
        <v>102</v>
      </c>
      <c r="D1" s="11" t="s">
        <v>103</v>
      </c>
      <c r="E1" s="11" t="s">
        <v>104</v>
      </c>
      <c r="F1" s="11" t="s">
        <v>105</v>
      </c>
      <c r="G1" s="12" t="s">
        <v>106</v>
      </c>
      <c r="H1" s="12" t="s">
        <v>107</v>
      </c>
      <c r="I1" s="12" t="s">
        <v>108</v>
      </c>
      <c r="J1" s="12" t="s">
        <v>109</v>
      </c>
      <c r="K1" s="11" t="s">
        <v>110</v>
      </c>
      <c r="L1" s="11" t="s">
        <v>111</v>
      </c>
      <c r="M1" s="11" t="s">
        <v>112</v>
      </c>
      <c r="N1" s="11" t="s">
        <v>113</v>
      </c>
      <c r="O1" s="11" t="s">
        <v>1629</v>
      </c>
      <c r="P1" s="17" t="s">
        <v>114</v>
      </c>
      <c r="Q1" s="20" t="s">
        <v>115</v>
      </c>
      <c r="R1" s="20" t="s">
        <v>1594</v>
      </c>
      <c r="S1" s="11" t="s">
        <v>116</v>
      </c>
      <c r="T1" s="11" t="s">
        <v>117</v>
      </c>
      <c r="U1" s="11" t="s">
        <v>118</v>
      </c>
      <c r="V1" s="2" t="s">
        <v>1639</v>
      </c>
      <c r="W1" s="13" t="s">
        <v>119</v>
      </c>
      <c r="X1" s="13" t="s">
        <v>120</v>
      </c>
      <c r="Y1" s="20" t="s">
        <v>121</v>
      </c>
      <c r="Z1" s="24" t="s">
        <v>1592</v>
      </c>
      <c r="AA1" s="13" t="s">
        <v>122</v>
      </c>
      <c r="AB1" s="13" t="s">
        <v>123</v>
      </c>
      <c r="AC1" s="13" t="s">
        <v>124</v>
      </c>
      <c r="AD1" s="11" t="s">
        <v>1625</v>
      </c>
      <c r="AE1" s="11" t="s">
        <v>1626</v>
      </c>
      <c r="AF1" s="13" t="s">
        <v>127</v>
      </c>
      <c r="AG1" s="22" t="s">
        <v>128</v>
      </c>
      <c r="AH1" s="13" t="s">
        <v>129</v>
      </c>
      <c r="AI1" s="13" t="s">
        <v>130</v>
      </c>
      <c r="AJ1" s="13" t="s">
        <v>1621</v>
      </c>
      <c r="AK1" s="13" t="s">
        <v>1624</v>
      </c>
      <c r="AL1" s="13" t="s">
        <v>1623</v>
      </c>
      <c r="AM1" s="13" t="s">
        <v>1634</v>
      </c>
      <c r="AN1" s="13" t="s">
        <v>1620</v>
      </c>
      <c r="AO1" s="13" t="s">
        <v>1622</v>
      </c>
      <c r="AP1" s="11" t="s">
        <v>1627</v>
      </c>
      <c r="AQ1" s="2" t="s">
        <v>1635</v>
      </c>
      <c r="AR1" s="20" t="s">
        <v>1628</v>
      </c>
      <c r="AS1" s="19" t="s">
        <v>133</v>
      </c>
      <c r="AT1" s="19" t="s">
        <v>1118</v>
      </c>
      <c r="AU1" s="19" t="s">
        <v>1844</v>
      </c>
      <c r="AV1" s="8" t="s">
        <v>134</v>
      </c>
      <c r="AW1" s="24" t="s">
        <v>1574</v>
      </c>
      <c r="AX1" s="24" t="s">
        <v>1575</v>
      </c>
      <c r="AY1" s="24" t="s">
        <v>1576</v>
      </c>
      <c r="AZ1" s="24" t="s">
        <v>1577</v>
      </c>
      <c r="BA1" s="24" t="s">
        <v>1578</v>
      </c>
      <c r="BB1" s="24" t="s">
        <v>1579</v>
      </c>
      <c r="BC1" s="24" t="s">
        <v>1580</v>
      </c>
      <c r="BD1" s="24" t="s">
        <v>125</v>
      </c>
      <c r="BE1" s="24" t="s">
        <v>126</v>
      </c>
      <c r="BF1" s="24" t="s">
        <v>131</v>
      </c>
      <c r="BG1" s="24" t="s">
        <v>1843</v>
      </c>
      <c r="BH1" s="24" t="s">
        <v>132</v>
      </c>
      <c r="BI1" s="24" t="s">
        <v>113</v>
      </c>
      <c r="BJ1" s="24" t="s">
        <v>112</v>
      </c>
      <c r="BK1" s="24" t="s">
        <v>116</v>
      </c>
    </row>
    <row r="2" spans="1:63" ht="16">
      <c r="A2" s="16" t="s">
        <v>135</v>
      </c>
      <c r="B2" s="16" t="s">
        <v>136</v>
      </c>
      <c r="C2" s="16" t="s">
        <v>137</v>
      </c>
      <c r="D2" s="16" t="s">
        <v>138</v>
      </c>
      <c r="E2" s="16" t="s">
        <v>139</v>
      </c>
      <c r="F2" s="16" t="s">
        <v>140</v>
      </c>
      <c r="G2" s="15">
        <v>46176</v>
      </c>
      <c r="H2" s="15">
        <v>46189</v>
      </c>
      <c r="I2" s="15">
        <v>46192</v>
      </c>
      <c r="J2" s="15" t="s">
        <v>141</v>
      </c>
      <c r="K2" s="16" t="s">
        <v>137</v>
      </c>
      <c r="L2" t="s">
        <v>142</v>
      </c>
      <c r="M2" s="16" t="s">
        <v>143</v>
      </c>
      <c r="N2" s="16" t="s">
        <v>144</v>
      </c>
      <c r="O2" t="s">
        <v>1630</v>
      </c>
      <c r="P2" s="18">
        <v>1010</v>
      </c>
      <c r="Q2" s="21">
        <v>13</v>
      </c>
      <c r="R2" s="21" t="str">
        <f t="shared" ref="R2:R65" si="0">IF(Q2&lt;=3,"0-3 days",IF(Q2&lt;=7,"4-7 days",IF(Q2&lt;=14,"8-14 days",IF(Q2&lt;=30,"15-30 days","31+ days"))))</f>
        <v>8-14 days</v>
      </c>
      <c r="S2" s="16" t="s">
        <v>145</v>
      </c>
      <c r="U2" s="16" t="s">
        <v>146</v>
      </c>
      <c r="V2" t="str">
        <f>IF(U2="","",IFERROR(VLOOKUP(U2,Hotels!A:B,2,FALSE),"Not Found"))</f>
        <v>Premier Inn</v>
      </c>
      <c r="W2" s="14">
        <v>0</v>
      </c>
      <c r="X2" s="14">
        <v>182.55</v>
      </c>
      <c r="Y2" s="21">
        <v>2</v>
      </c>
      <c r="Z2" s="29">
        <f t="shared" ref="Z2:Z65" si="1">IF(Y2&gt;0,AA2/Y2,0)</f>
        <v>163.83500000000001</v>
      </c>
      <c r="AA2" s="14">
        <v>327.67</v>
      </c>
      <c r="AB2" s="14">
        <v>56.62</v>
      </c>
      <c r="AC2" s="14">
        <v>566.84</v>
      </c>
      <c r="AD2" s="16" t="s">
        <v>147</v>
      </c>
      <c r="AE2" s="16" t="s">
        <v>147</v>
      </c>
      <c r="AF2" s="14">
        <f>SUMIF('Trip Changes'!$B:$B,A2,'Trip Changes'!$E:$E)</f>
        <v>0</v>
      </c>
      <c r="AG2" s="23">
        <f>SUMIF('Trip Cancellations'!$B:$B,A2,'Trip Cancellations'!$E:$E)</f>
        <v>0</v>
      </c>
      <c r="AH2" s="14">
        <f>SUMIF('Trip Cancellations'!$B:$B,A2,'Trip Cancellations'!$F:$F)</f>
        <v>0</v>
      </c>
      <c r="AI2" s="14">
        <f t="shared" ref="AI2:AI65" si="2">AC2+AF2+AG2-AH2</f>
        <v>566.84</v>
      </c>
      <c r="AJ2" s="14" t="str">
        <f t="shared" ref="AJ2:AJ65" si="3">IF(Y2=0,"N/A",
IF(OR(L2="London",L2="Manchester",L2="Birmingham",L2="Edinburgh",L2="Glasgow",
L2="New York",L2="Boston",L2="Chicago",L2="Zurich",L2="Singapore",L2="Hong Kong",L2="Dubai"),
IF(Z2&lt;=220,"Yes","No"),
IF(Z2&lt;=180,"Yes","No")))</f>
        <v>Yes</v>
      </c>
      <c r="AK2" s="14" t="str">
        <f>IF(Y2=0,"N/A",
IF(_xlfn.XLOOKUP(U2,Hotels!A:A,Hotels!C:C)=TRUE,"Yes","No"))</f>
        <v>Yes</v>
      </c>
      <c r="AL2" s="14" t="str">
        <f>IF(N2="Rail","N/A",IF(_xlfn.XLOOKUP(T2,Airlines!A:A,Airlines!C:C)=TRUE,"Yes","No"))</f>
        <v>N/A</v>
      </c>
      <c r="AM2" s="14" t="str">
        <f t="shared" ref="AM2:AM65" si="4">IF(OR(
AND(N2="Air",O2="Economy"),
AND(N2="Rail",O2="Standard / 2nd Class")
),"Yes","No")</f>
        <v>Yes</v>
      </c>
      <c r="AN2" s="14" t="str">
        <f t="shared" ref="AN2:AN65" si="5">IF(OR(S2="Online Booking Tool",S2="TMC Assisted"),"Yes","No")</f>
        <v>Yes</v>
      </c>
      <c r="AO2" s="14" t="str">
        <f t="shared" ref="AO2:AO65" si="6">IF(AND(OR(AK2="Yes",AK2="N/A"),OR(AL2="Yes",AL2="N/A")),"Yes","No")</f>
        <v>Yes</v>
      </c>
      <c r="AP2" s="16" t="s">
        <v>148</v>
      </c>
      <c r="AQ2" s="1" t="str">
        <f>IF(AND(OR(AJ2="Yes",AJ2="N/A"),OR(AK2="Yes",AK2="N/A"),OR(AL2="Yes",AL2="N/A"),AM2="Yes",AN2="Yes"),"Yes","No")</f>
        <v>Yes</v>
      </c>
      <c r="AR2" s="21">
        <v>5</v>
      </c>
      <c r="AS2" s="5">
        <v>40.4</v>
      </c>
      <c r="AT2" s="5" t="str">
        <f>IF(T2="","",_xlfn.XLOOKUP(T2,Airlines!A:A,Airlines!B:B,"Not Found"))</f>
        <v/>
      </c>
      <c r="AU2" s="5" t="str">
        <f>IF(U2="","",_xlfn.XLOOKUP(U2,Hotels!A:A,Hotels!B:B,"Not found"))</f>
        <v>Premier Inn</v>
      </c>
      <c r="AV2" t="s">
        <v>148</v>
      </c>
      <c r="AW2" s="16" t="str">
        <f t="shared" ref="AW2:AW65" si="7">IF(OR(A2="",B2="",G2="",H2="",I2="",K2="",L2="",M2="",N2="",S2="",AC2="",AI2=""),"Check","OK")</f>
        <v>OK</v>
      </c>
      <c r="AX2" s="16" t="str">
        <f t="shared" ref="AX2:AX65" si="8">IF(AND(G2&lt;=H2, H2&lt;=I2),"OK","CHECK")</f>
        <v>OK</v>
      </c>
      <c r="AY2" s="16" t="str">
        <f t="shared" ref="AY2:AY65" si="9">IF(Q2=H2-G2,"OK","Check")</f>
        <v>OK</v>
      </c>
      <c r="AZ2" s="16" t="str">
        <f t="shared" ref="AZ2:AZ65" si="10">IF(ROUND(W2+X2+AA2+AB2,2)=ROUND(AC2,2),"OK","Check")</f>
        <v>OK</v>
      </c>
      <c r="BA2" s="16" t="str">
        <f>IF(ROUND(AC2+AF2+AG2-AH2,2)=ROUND(AI2,2),"OK","Check")</f>
        <v>OK</v>
      </c>
      <c r="BB2" s="21">
        <f>COUNTIF('Trip Changes'!B:B,A2)</f>
        <v>0</v>
      </c>
      <c r="BC2" s="16" t="str">
        <f>IF(OR(AND(AD2="Yes",COUNTIF('Trip Changes'!B:B,A2)&gt;0),AND(AD2="No",COUNTIF('Trip Changes'!B:B,A2)=0)),"OK","Check")</f>
        <v>OK</v>
      </c>
      <c r="BD2" t="str">
        <f>IF(OR(AD2="Yes",AD2="No"),"OK","Check")</f>
        <v>OK</v>
      </c>
      <c r="BE2" t="str">
        <f>IF(OR(AE2="Yes",AE2="No"),"OK","Check")</f>
        <v>OK</v>
      </c>
      <c r="BF2" t="str">
        <f>IF(OR(AP2="Yes",AP2="No"),"OK","Check")</f>
        <v>OK</v>
      </c>
      <c r="BG2" t="str">
        <f>IF(OR(AV2="Yes",AV2="No"),"OK","Check")</f>
        <v>OK</v>
      </c>
      <c r="BH2" t="str">
        <f>IF(AND(ISNUMBER(AR2),AR2&gt;=1,AR2&lt;=5),"OK","Check")</f>
        <v>OK</v>
      </c>
      <c r="BI2" t="str">
        <f t="shared" ref="BI2:BI65" si="11">IF(OR(N2="Air",N2="Rail"),"OK","Check")</f>
        <v>OK</v>
      </c>
      <c r="BJ2" t="str">
        <f t="shared" ref="BJ2:BJ65" si="12">IF(OR(M2="Domestic",M2="International"),"OK","Check")</f>
        <v>OK</v>
      </c>
      <c r="BK2" t="str">
        <f t="shared" ref="BK2:BK65" si="13">IF(OR(S2="Online Booking Tool",S2="TMC Assisted",S2="Direct Supplier",S2="Other"),"OK","Check")</f>
        <v>OK</v>
      </c>
    </row>
    <row r="3" spans="1:63">
      <c r="A3" s="16" t="s">
        <v>149</v>
      </c>
      <c r="B3" s="16" t="s">
        <v>136</v>
      </c>
      <c r="C3" s="16" t="s">
        <v>137</v>
      </c>
      <c r="D3" s="16" t="s">
        <v>138</v>
      </c>
      <c r="E3" s="16" t="s">
        <v>139</v>
      </c>
      <c r="F3" s="16" t="s">
        <v>140</v>
      </c>
      <c r="G3" s="15">
        <v>46224</v>
      </c>
      <c r="H3" s="15">
        <v>46226</v>
      </c>
      <c r="I3" s="15">
        <v>46230</v>
      </c>
      <c r="J3" s="15" t="s">
        <v>150</v>
      </c>
      <c r="K3" s="16" t="s">
        <v>137</v>
      </c>
      <c r="L3" t="s">
        <v>151</v>
      </c>
      <c r="M3" s="16" t="s">
        <v>152</v>
      </c>
      <c r="N3" s="16" t="s">
        <v>153</v>
      </c>
      <c r="O3" t="s">
        <v>1614</v>
      </c>
      <c r="P3" s="18">
        <v>1390</v>
      </c>
      <c r="Q3" s="21">
        <v>2</v>
      </c>
      <c r="R3" s="21" t="str">
        <f t="shared" si="0"/>
        <v>0-3 days</v>
      </c>
      <c r="S3" s="16" t="s">
        <v>145</v>
      </c>
      <c r="T3" s="16" t="s">
        <v>154</v>
      </c>
      <c r="U3" s="16" t="s">
        <v>155</v>
      </c>
      <c r="V3" t="str">
        <f>IF(U3="","",IFERROR(VLOOKUP(U3,Hotels!A:B,2,FALSE),"Not Found"))</f>
        <v>Hilton</v>
      </c>
      <c r="W3" s="14">
        <v>480.08</v>
      </c>
      <c r="X3" s="14">
        <v>0</v>
      </c>
      <c r="Y3" s="21">
        <v>3</v>
      </c>
      <c r="Z3" s="29">
        <f t="shared" si="1"/>
        <v>187.09</v>
      </c>
      <c r="AA3" s="14">
        <v>561.27</v>
      </c>
      <c r="AB3" s="14">
        <v>59</v>
      </c>
      <c r="AC3" s="14">
        <v>1100.3499999999999</v>
      </c>
      <c r="AD3" s="16" t="s">
        <v>147</v>
      </c>
      <c r="AE3" s="16" t="s">
        <v>147</v>
      </c>
      <c r="AF3" s="14">
        <f>SUMIF('Trip Changes'!$B:$B,A3,'Trip Changes'!$E:$E)</f>
        <v>0</v>
      </c>
      <c r="AG3" s="23">
        <f>SUMIF('Trip Cancellations'!$B:$B,A3,'Trip Cancellations'!$E:$E)</f>
        <v>0</v>
      </c>
      <c r="AH3" s="14">
        <f>SUMIF('Trip Cancellations'!$B:$B,A3,'Trip Cancellations'!$F:$F)</f>
        <v>0</v>
      </c>
      <c r="AI3" s="14">
        <f t="shared" si="2"/>
        <v>1100.3499999999999</v>
      </c>
      <c r="AJ3" s="14" t="str">
        <f t="shared" si="3"/>
        <v>No</v>
      </c>
      <c r="AK3" s="14" t="str">
        <f>IF(Y3=0,"N/A",
IF(_xlfn.XLOOKUP(U3,Hotels!A:A,Hotels!C:C)=TRUE,"Yes","No"))</f>
        <v>Yes</v>
      </c>
      <c r="AL3" s="14" t="str">
        <f>IF(N3="Rail","N/A",IF(_xlfn.XLOOKUP(T3,Airlines!A:A,Airlines!C:C)=TRUE,"Yes","No"))</f>
        <v>Yes</v>
      </c>
      <c r="AM3" s="14" t="str">
        <f t="shared" si="4"/>
        <v>Yes</v>
      </c>
      <c r="AN3" s="14" t="str">
        <f t="shared" si="5"/>
        <v>Yes</v>
      </c>
      <c r="AO3" s="14" t="str">
        <f t="shared" si="6"/>
        <v>Yes</v>
      </c>
      <c r="AP3" s="16" t="s">
        <v>148</v>
      </c>
      <c r="AQ3" t="str">
        <f t="shared" ref="AQ3:AQ65" si="14">IF(AND(OR(AJ3="Yes",AJ3="N/A"),OR(AK3="Yes",AK3="N/A"),OR(AL3="Yes",AL3="N/A"),AM3="Yes",AN3="Yes"),"Yes","No")</f>
        <v>No</v>
      </c>
      <c r="AR3" s="21">
        <v>4</v>
      </c>
      <c r="AS3" s="5">
        <v>208.5</v>
      </c>
      <c r="AT3" s="5" t="str">
        <f>IF(T3="","",_xlfn.XLOOKUP(T3,Airlines!A:A,Airlines!B:B,"Not Found"))</f>
        <v>British Airways</v>
      </c>
      <c r="AU3" s="5" t="str">
        <f>IF(U3="","",_xlfn.XLOOKUP(U3,Hotels!A:A,Hotels!B:B,"Not found"))</f>
        <v>Hilton</v>
      </c>
      <c r="AV3" t="s">
        <v>147</v>
      </c>
      <c r="AW3" s="16" t="str">
        <f t="shared" si="7"/>
        <v>OK</v>
      </c>
      <c r="AX3" s="16" t="str">
        <f t="shared" si="8"/>
        <v>OK</v>
      </c>
      <c r="AY3" s="16" t="str">
        <f t="shared" si="9"/>
        <v>OK</v>
      </c>
      <c r="AZ3" s="16" t="str">
        <f t="shared" si="10"/>
        <v>OK</v>
      </c>
      <c r="BA3" s="16" t="str">
        <f t="shared" ref="BA3:BA66" si="15">IF(ROUND(AC3+AF3+AG3-AH3,2)=ROUND(AI3,2),"OK","Check")</f>
        <v>OK</v>
      </c>
      <c r="BB3" s="21">
        <f>COUNTIF('Trip Changes'!B:B,A3)</f>
        <v>0</v>
      </c>
      <c r="BC3" s="16" t="str">
        <f>IF(OR(AND(AD3="Yes",COUNTIF('Trip Changes'!B:B,A3)&gt;0),AND(AD3="No",COUNTIF('Trip Changes'!B:B,A3)=0)),"OK","Check")</f>
        <v>OK</v>
      </c>
      <c r="BD3" t="str">
        <f t="shared" ref="BD3:BD66" si="16">IF(OR(AD3="Yes",AD3="No"),"OK","Check")</f>
        <v>OK</v>
      </c>
      <c r="BE3" t="str">
        <f t="shared" ref="BE3:BE66" si="17">IF(OR(AE3="Yes",AE3="No"),"OK","Check")</f>
        <v>OK</v>
      </c>
      <c r="BF3" t="str">
        <f t="shared" ref="BF3:BF66" si="18">IF(OR(AP3="Yes",AP3="No"),"OK","Check")</f>
        <v>OK</v>
      </c>
      <c r="BG3" t="str">
        <f t="shared" ref="BG3:BG66" si="19">IF(OR(AV3="Yes",AV3="No"),"OK","Check")</f>
        <v>OK</v>
      </c>
      <c r="BH3" t="str">
        <f t="shared" ref="BH3:BH66" si="20">IF(AND(ISNUMBER(AR3),AR3&gt;=1,AR3&lt;=5),"OK","Check")</f>
        <v>OK</v>
      </c>
      <c r="BI3" t="str">
        <f t="shared" si="11"/>
        <v>OK</v>
      </c>
      <c r="BJ3" t="str">
        <f t="shared" si="12"/>
        <v>OK</v>
      </c>
      <c r="BK3" t="str">
        <f t="shared" si="13"/>
        <v>OK</v>
      </c>
    </row>
    <row r="4" spans="1:63">
      <c r="A4" s="16" t="s">
        <v>156</v>
      </c>
      <c r="B4" s="16" t="s">
        <v>136</v>
      </c>
      <c r="C4" s="16" t="s">
        <v>137</v>
      </c>
      <c r="D4" s="16" t="s">
        <v>138</v>
      </c>
      <c r="E4" s="16" t="s">
        <v>139</v>
      </c>
      <c r="F4" s="16" t="s">
        <v>157</v>
      </c>
      <c r="G4" s="15">
        <v>46169</v>
      </c>
      <c r="H4" s="15">
        <v>46178</v>
      </c>
      <c r="I4" s="15">
        <v>46182</v>
      </c>
      <c r="J4" s="15" t="s">
        <v>141</v>
      </c>
      <c r="K4" s="16" t="s">
        <v>137</v>
      </c>
      <c r="L4" t="s">
        <v>158</v>
      </c>
      <c r="M4" s="16" t="s">
        <v>152</v>
      </c>
      <c r="N4" s="16" t="s">
        <v>153</v>
      </c>
      <c r="O4" t="s">
        <v>1614</v>
      </c>
      <c r="P4" s="18">
        <v>1900</v>
      </c>
      <c r="Q4" s="21">
        <v>9</v>
      </c>
      <c r="R4" s="21" t="str">
        <f t="shared" si="0"/>
        <v>8-14 days</v>
      </c>
      <c r="S4" s="16" t="s">
        <v>159</v>
      </c>
      <c r="T4" s="16" t="s">
        <v>160</v>
      </c>
      <c r="U4" s="16" t="s">
        <v>155</v>
      </c>
      <c r="V4" t="str">
        <f>IF(U4="","",IFERROR(VLOOKUP(U4,Hotels!A:B,2,FALSE),"Not Found"))</f>
        <v>Hilton</v>
      </c>
      <c r="W4" s="14">
        <v>416.18</v>
      </c>
      <c r="X4" s="14">
        <v>0</v>
      </c>
      <c r="Y4" s="21">
        <v>3</v>
      </c>
      <c r="Z4" s="29">
        <f t="shared" si="1"/>
        <v>212.51999999999998</v>
      </c>
      <c r="AA4" s="14">
        <v>637.55999999999995</v>
      </c>
      <c r="AB4" s="14">
        <v>140.94</v>
      </c>
      <c r="AC4" s="14">
        <v>1194.68</v>
      </c>
      <c r="AD4" s="16" t="s">
        <v>147</v>
      </c>
      <c r="AE4" s="16" t="s">
        <v>147</v>
      </c>
      <c r="AF4" s="14">
        <f>SUMIF('Trip Changes'!$B:$B,A4,'Trip Changes'!$E:$E)</f>
        <v>0</v>
      </c>
      <c r="AG4" s="23">
        <f>SUMIF('Trip Cancellations'!$B:$B,A4,'Trip Cancellations'!$E:$E)</f>
        <v>0</v>
      </c>
      <c r="AH4" s="14">
        <f>SUMIF('Trip Cancellations'!$B:$B,A4,'Trip Cancellations'!$F:$F)</f>
        <v>0</v>
      </c>
      <c r="AI4" s="14">
        <f t="shared" si="2"/>
        <v>1194.68</v>
      </c>
      <c r="AJ4" s="14" t="str">
        <f t="shared" si="3"/>
        <v>No</v>
      </c>
      <c r="AK4" s="14" t="str">
        <f>IF(Y4=0,"N/A",
IF(_xlfn.XLOOKUP(U4,Hotels!A:A,Hotels!C:C)=TRUE,"Yes","No"))</f>
        <v>Yes</v>
      </c>
      <c r="AL4" s="14" t="str">
        <f>IF(N4="Rail","N/A",IF(_xlfn.XLOOKUP(T4,Airlines!A:A,Airlines!C:C)=TRUE,"Yes","No"))</f>
        <v>Yes</v>
      </c>
      <c r="AM4" s="14" t="str">
        <f t="shared" si="4"/>
        <v>Yes</v>
      </c>
      <c r="AN4" s="14" t="str">
        <f t="shared" si="5"/>
        <v>Yes</v>
      </c>
      <c r="AO4" s="14" t="str">
        <f t="shared" si="6"/>
        <v>Yes</v>
      </c>
      <c r="AP4" s="16" t="s">
        <v>148</v>
      </c>
      <c r="AQ4" t="str">
        <f>IF(AND(OR(AJ4="Yes",AJ4="N/A"),OR(AK4="Yes",AK4="N/A"),OR(AL4="Yes",AL4="N/A"),AM4="Yes",AN4="Yes"),"Yes","No")</f>
        <v>No</v>
      </c>
      <c r="AR4" s="21">
        <v>5</v>
      </c>
      <c r="AS4" s="5">
        <v>285</v>
      </c>
      <c r="AT4" s="5" t="str">
        <f>IF(T4="","",_xlfn.XLOOKUP(T4,Airlines!A:A,Airlines!B:B,"Not Found"))</f>
        <v>Air France</v>
      </c>
      <c r="AU4" s="5" t="str">
        <f>IF(U4="","",_xlfn.XLOOKUP(U4,Hotels!A:A,Hotels!B:B,"Not found"))</f>
        <v>Hilton</v>
      </c>
      <c r="AV4" t="s">
        <v>148</v>
      </c>
      <c r="AW4" s="16" t="str">
        <f t="shared" si="7"/>
        <v>OK</v>
      </c>
      <c r="AX4" s="16" t="str">
        <f t="shared" si="8"/>
        <v>OK</v>
      </c>
      <c r="AY4" s="16" t="str">
        <f t="shared" si="9"/>
        <v>OK</v>
      </c>
      <c r="AZ4" s="16" t="str">
        <f t="shared" si="10"/>
        <v>OK</v>
      </c>
      <c r="BA4" s="16" t="str">
        <f t="shared" si="15"/>
        <v>OK</v>
      </c>
      <c r="BB4" s="21">
        <f>COUNTIF('Trip Changes'!B:B,A4)</f>
        <v>0</v>
      </c>
      <c r="BC4" s="16" t="str">
        <f>IF(OR(AND(AD4="Yes",COUNTIF('Trip Changes'!B:B,A4)&gt;0),AND(AD4="No",COUNTIF('Trip Changes'!B:B,A4)=0)),"OK","Check")</f>
        <v>OK</v>
      </c>
      <c r="BD4" t="str">
        <f t="shared" si="16"/>
        <v>OK</v>
      </c>
      <c r="BE4" t="str">
        <f t="shared" si="17"/>
        <v>OK</v>
      </c>
      <c r="BF4" t="str">
        <f t="shared" si="18"/>
        <v>OK</v>
      </c>
      <c r="BG4" t="str">
        <f t="shared" si="19"/>
        <v>OK</v>
      </c>
      <c r="BH4" t="str">
        <f t="shared" si="20"/>
        <v>OK</v>
      </c>
      <c r="BI4" t="str">
        <f t="shared" si="11"/>
        <v>OK</v>
      </c>
      <c r="BJ4" t="str">
        <f t="shared" si="12"/>
        <v>OK</v>
      </c>
      <c r="BK4" t="str">
        <f t="shared" si="13"/>
        <v>OK</v>
      </c>
    </row>
    <row r="5" spans="1:63">
      <c r="A5" s="16" t="s">
        <v>161</v>
      </c>
      <c r="B5" s="16" t="s">
        <v>136</v>
      </c>
      <c r="C5" s="16" t="s">
        <v>137</v>
      </c>
      <c r="D5" s="16" t="s">
        <v>138</v>
      </c>
      <c r="E5" s="16" t="s">
        <v>139</v>
      </c>
      <c r="F5" s="16" t="s">
        <v>162</v>
      </c>
      <c r="G5" s="15">
        <v>46139</v>
      </c>
      <c r="H5" s="15">
        <v>46153</v>
      </c>
      <c r="I5" s="15">
        <v>46155</v>
      </c>
      <c r="J5" s="15" t="s">
        <v>163</v>
      </c>
      <c r="K5" s="16" t="s">
        <v>137</v>
      </c>
      <c r="L5" t="s">
        <v>151</v>
      </c>
      <c r="M5" s="16" t="s">
        <v>152</v>
      </c>
      <c r="N5" s="16" t="s">
        <v>153</v>
      </c>
      <c r="O5" t="s">
        <v>1614</v>
      </c>
      <c r="P5" s="18">
        <v>1676</v>
      </c>
      <c r="Q5" s="21">
        <v>14</v>
      </c>
      <c r="R5" s="21" t="str">
        <f t="shared" si="0"/>
        <v>8-14 days</v>
      </c>
      <c r="S5" s="16" t="s">
        <v>145</v>
      </c>
      <c r="T5" s="16" t="s">
        <v>154</v>
      </c>
      <c r="U5" s="16" t="s">
        <v>164</v>
      </c>
      <c r="V5" t="str">
        <f>IF(U5="","",IFERROR(VLOOKUP(U5,Hotels!A:B,2,FALSE),"Not Found"))</f>
        <v>Marriott</v>
      </c>
      <c r="W5" s="14">
        <v>261.14999999999998</v>
      </c>
      <c r="X5" s="14">
        <v>0</v>
      </c>
      <c r="Y5" s="21">
        <v>1</v>
      </c>
      <c r="Z5" s="29">
        <f t="shared" si="1"/>
        <v>267.93</v>
      </c>
      <c r="AA5" s="14">
        <v>267.93</v>
      </c>
      <c r="AB5" s="14">
        <v>132.51</v>
      </c>
      <c r="AC5" s="14">
        <v>661.59</v>
      </c>
      <c r="AD5" s="16" t="s">
        <v>147</v>
      </c>
      <c r="AE5" s="16" t="s">
        <v>147</v>
      </c>
      <c r="AF5" s="14">
        <f>SUMIF('Trip Changes'!$B:$B,A5,'Trip Changes'!$E:$E)</f>
        <v>0</v>
      </c>
      <c r="AG5" s="23">
        <f>SUMIF('Trip Cancellations'!$B:$B,A5,'Trip Cancellations'!$E:$E)</f>
        <v>0</v>
      </c>
      <c r="AH5" s="14">
        <f>SUMIF('Trip Cancellations'!$B:$B,A5,'Trip Cancellations'!$F:$F)</f>
        <v>0</v>
      </c>
      <c r="AI5" s="14">
        <f t="shared" si="2"/>
        <v>661.59</v>
      </c>
      <c r="AJ5" s="14" t="str">
        <f t="shared" si="3"/>
        <v>No</v>
      </c>
      <c r="AK5" s="14" t="str">
        <f>IF(Y5=0,"N/A",
IF(_xlfn.XLOOKUP(U5,Hotels!A:A,Hotels!C:C)=TRUE,"Yes","No"))</f>
        <v>Yes</v>
      </c>
      <c r="AL5" s="14" t="str">
        <f>IF(N5="Rail","N/A",IF(_xlfn.XLOOKUP(T5,Airlines!A:A,Airlines!C:C)=TRUE,"Yes","No"))</f>
        <v>Yes</v>
      </c>
      <c r="AM5" s="14" t="str">
        <f t="shared" si="4"/>
        <v>Yes</v>
      </c>
      <c r="AN5" s="14" t="str">
        <f t="shared" si="5"/>
        <v>Yes</v>
      </c>
      <c r="AO5" s="14" t="str">
        <f t="shared" si="6"/>
        <v>Yes</v>
      </c>
      <c r="AP5" s="16" t="s">
        <v>148</v>
      </c>
      <c r="AQ5" t="str">
        <f t="shared" si="14"/>
        <v>No</v>
      </c>
      <c r="AR5" s="21">
        <v>4</v>
      </c>
      <c r="AS5" s="5">
        <v>251.4</v>
      </c>
      <c r="AT5" s="5" t="str">
        <f>IF(T5="","",_xlfn.XLOOKUP(T5,Airlines!A:A,Airlines!B:B,"Not Found"))</f>
        <v>British Airways</v>
      </c>
      <c r="AU5" s="5" t="str">
        <f>IF(U5="","",_xlfn.XLOOKUP(U5,Hotels!A:A,Hotels!B:B,"Not found"))</f>
        <v>Marriott</v>
      </c>
      <c r="AV5" t="s">
        <v>147</v>
      </c>
      <c r="AW5" s="16" t="str">
        <f t="shared" si="7"/>
        <v>OK</v>
      </c>
      <c r="AX5" s="16" t="str">
        <f t="shared" si="8"/>
        <v>OK</v>
      </c>
      <c r="AY5" s="16" t="str">
        <f t="shared" si="9"/>
        <v>OK</v>
      </c>
      <c r="AZ5" s="16" t="str">
        <f t="shared" si="10"/>
        <v>OK</v>
      </c>
      <c r="BA5" s="16" t="str">
        <f t="shared" si="15"/>
        <v>OK</v>
      </c>
      <c r="BB5" s="21">
        <f>COUNTIF('Trip Changes'!B:B,A5)</f>
        <v>0</v>
      </c>
      <c r="BC5" s="16" t="str">
        <f>IF(OR(AND(AD5="Yes",COUNTIF('Trip Changes'!B:B,A5)&gt;0),AND(AD5="No",COUNTIF('Trip Changes'!B:B,A5)=0)),"OK","Check")</f>
        <v>OK</v>
      </c>
      <c r="BD5" t="str">
        <f t="shared" si="16"/>
        <v>OK</v>
      </c>
      <c r="BE5" t="str">
        <f t="shared" si="17"/>
        <v>OK</v>
      </c>
      <c r="BF5" t="str">
        <f t="shared" si="18"/>
        <v>OK</v>
      </c>
      <c r="BG5" t="str">
        <f t="shared" si="19"/>
        <v>OK</v>
      </c>
      <c r="BH5" t="str">
        <f t="shared" si="20"/>
        <v>OK</v>
      </c>
      <c r="BI5" t="str">
        <f t="shared" si="11"/>
        <v>OK</v>
      </c>
      <c r="BJ5" t="str">
        <f t="shared" si="12"/>
        <v>OK</v>
      </c>
      <c r="BK5" t="str">
        <f t="shared" si="13"/>
        <v>OK</v>
      </c>
    </row>
    <row r="6" spans="1:63">
      <c r="A6" s="16" t="s">
        <v>165</v>
      </c>
      <c r="B6" s="16" t="s">
        <v>166</v>
      </c>
      <c r="C6" s="16" t="s">
        <v>167</v>
      </c>
      <c r="D6" s="16" t="s">
        <v>168</v>
      </c>
      <c r="E6" s="16" t="s">
        <v>169</v>
      </c>
      <c r="F6" s="16" t="s">
        <v>170</v>
      </c>
      <c r="G6" s="15">
        <v>46114</v>
      </c>
      <c r="H6" s="15">
        <v>46146</v>
      </c>
      <c r="I6" s="15">
        <v>46149</v>
      </c>
      <c r="J6" s="15" t="s">
        <v>163</v>
      </c>
      <c r="K6" s="16" t="s">
        <v>167</v>
      </c>
      <c r="L6" t="s">
        <v>171</v>
      </c>
      <c r="M6" s="16" t="s">
        <v>152</v>
      </c>
      <c r="N6" s="16" t="s">
        <v>153</v>
      </c>
      <c r="O6" t="s">
        <v>1614</v>
      </c>
      <c r="P6" s="18">
        <v>1146</v>
      </c>
      <c r="Q6" s="21">
        <v>32</v>
      </c>
      <c r="R6" s="21" t="str">
        <f t="shared" si="0"/>
        <v>31+ days</v>
      </c>
      <c r="S6" s="16" t="s">
        <v>159</v>
      </c>
      <c r="T6" s="16" t="s">
        <v>172</v>
      </c>
      <c r="U6" s="16" t="s">
        <v>173</v>
      </c>
      <c r="V6" t="str">
        <f>IF(U6="","",IFERROR(VLOOKUP(U6,Hotels!A:B,2,FALSE),"Not Found"))</f>
        <v>Accor</v>
      </c>
      <c r="W6" s="14">
        <v>502.93</v>
      </c>
      <c r="X6" s="14">
        <v>0</v>
      </c>
      <c r="Y6" s="21">
        <v>2</v>
      </c>
      <c r="Z6" s="29">
        <f t="shared" si="1"/>
        <v>138.55000000000001</v>
      </c>
      <c r="AA6" s="14">
        <v>277.10000000000002</v>
      </c>
      <c r="AB6" s="14">
        <v>65.55</v>
      </c>
      <c r="AC6" s="14">
        <v>845.58</v>
      </c>
      <c r="AD6" s="16" t="s">
        <v>147</v>
      </c>
      <c r="AE6" s="16" t="s">
        <v>147</v>
      </c>
      <c r="AF6" s="14">
        <f>SUMIF('Trip Changes'!$B:$B,A6,'Trip Changes'!$E:$E)</f>
        <v>0</v>
      </c>
      <c r="AG6" s="23">
        <f>SUMIF('Trip Cancellations'!$B:$B,A6,'Trip Cancellations'!$E:$E)</f>
        <v>0</v>
      </c>
      <c r="AH6" s="14">
        <f>SUMIF('Trip Cancellations'!$B:$B,A6,'Trip Cancellations'!$F:$F)</f>
        <v>0</v>
      </c>
      <c r="AI6" s="14">
        <f t="shared" si="2"/>
        <v>845.58</v>
      </c>
      <c r="AJ6" s="14" t="str">
        <f t="shared" si="3"/>
        <v>Yes</v>
      </c>
      <c r="AK6" s="14" t="str">
        <f>IF(Y6=0,"N/A",
IF(_xlfn.XLOOKUP(U6,Hotels!A:A,Hotels!C:C)=TRUE,"Yes","No"))</f>
        <v>Yes</v>
      </c>
      <c r="AL6" s="14" t="str">
        <f>IF(N6="Rail","N/A",IF(_xlfn.XLOOKUP(T6,Airlines!A:A,Airlines!C:C)=TRUE,"Yes","No"))</f>
        <v>Yes</v>
      </c>
      <c r="AM6" s="14" t="str">
        <f t="shared" si="4"/>
        <v>Yes</v>
      </c>
      <c r="AN6" s="14" t="str">
        <f t="shared" si="5"/>
        <v>Yes</v>
      </c>
      <c r="AO6" s="14" t="str">
        <f t="shared" si="6"/>
        <v>Yes</v>
      </c>
      <c r="AP6" s="16" t="s">
        <v>148</v>
      </c>
      <c r="AQ6" t="str">
        <f t="shared" si="14"/>
        <v>Yes</v>
      </c>
      <c r="AR6" s="21">
        <v>5</v>
      </c>
      <c r="AS6" s="5">
        <v>171.9</v>
      </c>
      <c r="AT6" s="5" t="str">
        <f>IF(T6="","",_xlfn.XLOOKUP(T6,Airlines!A:A,Airlines!B:B,"Not Found"))</f>
        <v>Lufthansa</v>
      </c>
      <c r="AU6" s="5" t="str">
        <f>IF(U6="","",_xlfn.XLOOKUP(U6,Hotels!A:A,Hotels!B:B,"Not found"))</f>
        <v>Accor</v>
      </c>
      <c r="AV6" t="s">
        <v>147</v>
      </c>
      <c r="AW6" s="16" t="str">
        <f t="shared" si="7"/>
        <v>OK</v>
      </c>
      <c r="AX6" s="16" t="str">
        <f t="shared" si="8"/>
        <v>OK</v>
      </c>
      <c r="AY6" s="16" t="str">
        <f t="shared" si="9"/>
        <v>OK</v>
      </c>
      <c r="AZ6" s="16" t="str">
        <f t="shared" si="10"/>
        <v>OK</v>
      </c>
      <c r="BA6" s="16" t="str">
        <f t="shared" si="15"/>
        <v>OK</v>
      </c>
      <c r="BB6" s="21">
        <f>COUNTIF('Trip Changes'!B:B,A6)</f>
        <v>0</v>
      </c>
      <c r="BC6" s="16" t="str">
        <f>IF(OR(AND(AD6="Yes",COUNTIF('Trip Changes'!B:B,A6)&gt;0),AND(AD6="No",COUNTIF('Trip Changes'!B:B,A6)=0)),"OK","Check")</f>
        <v>OK</v>
      </c>
      <c r="BD6" t="str">
        <f t="shared" si="16"/>
        <v>OK</v>
      </c>
      <c r="BE6" t="str">
        <f t="shared" si="17"/>
        <v>OK</v>
      </c>
      <c r="BF6" t="str">
        <f t="shared" si="18"/>
        <v>OK</v>
      </c>
      <c r="BG6" t="str">
        <f t="shared" si="19"/>
        <v>OK</v>
      </c>
      <c r="BH6" t="str">
        <f t="shared" si="20"/>
        <v>OK</v>
      </c>
      <c r="BI6" t="str">
        <f t="shared" si="11"/>
        <v>OK</v>
      </c>
      <c r="BJ6" t="str">
        <f t="shared" si="12"/>
        <v>OK</v>
      </c>
      <c r="BK6" t="str">
        <f t="shared" si="13"/>
        <v>OK</v>
      </c>
    </row>
    <row r="7" spans="1:63">
      <c r="A7" s="16" t="s">
        <v>174</v>
      </c>
      <c r="B7" s="16" t="s">
        <v>166</v>
      </c>
      <c r="C7" s="16" t="s">
        <v>167</v>
      </c>
      <c r="D7" s="16" t="s">
        <v>168</v>
      </c>
      <c r="E7" s="16" t="s">
        <v>169</v>
      </c>
      <c r="F7" s="16" t="s">
        <v>140</v>
      </c>
      <c r="G7" s="15">
        <v>46153</v>
      </c>
      <c r="H7" s="15">
        <v>46170</v>
      </c>
      <c r="I7" s="15">
        <v>46174</v>
      </c>
      <c r="J7" s="15" t="s">
        <v>163</v>
      </c>
      <c r="K7" s="16" t="s">
        <v>167</v>
      </c>
      <c r="L7" t="s">
        <v>175</v>
      </c>
      <c r="M7" s="16" t="s">
        <v>152</v>
      </c>
      <c r="N7" s="16" t="s">
        <v>153</v>
      </c>
      <c r="O7" t="s">
        <v>1614</v>
      </c>
      <c r="P7" s="18">
        <v>2472</v>
      </c>
      <c r="Q7" s="21">
        <v>17</v>
      </c>
      <c r="R7" s="21" t="str">
        <f t="shared" si="0"/>
        <v>15-30 days</v>
      </c>
      <c r="S7" s="16" t="s">
        <v>145</v>
      </c>
      <c r="T7" s="16" t="s">
        <v>176</v>
      </c>
      <c r="U7" s="16" t="s">
        <v>155</v>
      </c>
      <c r="V7" t="str">
        <f>IF(U7="","",IFERROR(VLOOKUP(U7,Hotels!A:B,2,FALSE),"Not Found"))</f>
        <v>Hilton</v>
      </c>
      <c r="W7" s="14">
        <v>150</v>
      </c>
      <c r="X7" s="14">
        <v>0</v>
      </c>
      <c r="Y7" s="21">
        <v>3</v>
      </c>
      <c r="Z7" s="29">
        <f t="shared" si="1"/>
        <v>152.62666666666667</v>
      </c>
      <c r="AA7" s="14">
        <v>457.88</v>
      </c>
      <c r="AB7" s="14">
        <v>45.91</v>
      </c>
      <c r="AC7" s="14">
        <v>653.79</v>
      </c>
      <c r="AD7" s="16" t="s">
        <v>147</v>
      </c>
      <c r="AE7" s="16" t="s">
        <v>147</v>
      </c>
      <c r="AF7" s="14">
        <f>SUMIF('Trip Changes'!$B:$B,A7,'Trip Changes'!$E:$E)</f>
        <v>0</v>
      </c>
      <c r="AG7" s="23">
        <f>SUMIF('Trip Cancellations'!$B:$B,A7,'Trip Cancellations'!$E:$E)</f>
        <v>0</v>
      </c>
      <c r="AH7" s="14">
        <f>SUMIF('Trip Cancellations'!$B:$B,A7,'Trip Cancellations'!$F:$F)</f>
        <v>0</v>
      </c>
      <c r="AI7" s="14">
        <f t="shared" si="2"/>
        <v>653.79</v>
      </c>
      <c r="AJ7" s="14" t="str">
        <f t="shared" si="3"/>
        <v>Yes</v>
      </c>
      <c r="AK7" s="14" t="str">
        <f>IF(Y7=0,"N/A",
IF(_xlfn.XLOOKUP(U7,Hotels!A:A,Hotels!C:C)=TRUE,"Yes","No"))</f>
        <v>Yes</v>
      </c>
      <c r="AL7" s="14" t="str">
        <f>IF(N7="Rail","N/A",IF(_xlfn.XLOOKUP(T7,Airlines!A:A,Airlines!C:C)=TRUE,"Yes","No"))</f>
        <v>Yes</v>
      </c>
      <c r="AM7" s="14" t="str">
        <f t="shared" si="4"/>
        <v>Yes</v>
      </c>
      <c r="AN7" s="14" t="str">
        <f t="shared" si="5"/>
        <v>Yes</v>
      </c>
      <c r="AO7" s="14" t="str">
        <f t="shared" si="6"/>
        <v>Yes</v>
      </c>
      <c r="AP7" s="16" t="s">
        <v>148</v>
      </c>
      <c r="AQ7" t="str">
        <f t="shared" si="14"/>
        <v>Yes</v>
      </c>
      <c r="AR7" s="21">
        <v>5</v>
      </c>
      <c r="AS7" s="5">
        <v>370.8</v>
      </c>
      <c r="AT7" s="5" t="str">
        <f>IF(T7="","",_xlfn.XLOOKUP(T7,Airlines!A:A,Airlines!B:B,"Not Found"))</f>
        <v>easyJet</v>
      </c>
      <c r="AU7" s="5" t="str">
        <f>IF(U7="","",_xlfn.XLOOKUP(U7,Hotels!A:A,Hotels!B:B,"Not found"))</f>
        <v>Hilton</v>
      </c>
      <c r="AV7" t="s">
        <v>147</v>
      </c>
      <c r="AW7" s="16" t="str">
        <f t="shared" si="7"/>
        <v>OK</v>
      </c>
      <c r="AX7" s="16" t="str">
        <f t="shared" si="8"/>
        <v>OK</v>
      </c>
      <c r="AY7" s="16" t="str">
        <f t="shared" si="9"/>
        <v>OK</v>
      </c>
      <c r="AZ7" s="16" t="str">
        <f t="shared" si="10"/>
        <v>OK</v>
      </c>
      <c r="BA7" s="16" t="str">
        <f t="shared" si="15"/>
        <v>OK</v>
      </c>
      <c r="BB7" s="21">
        <f>COUNTIF('Trip Changes'!B:B,A7)</f>
        <v>0</v>
      </c>
      <c r="BC7" s="16" t="str">
        <f>IF(OR(AND(AD7="Yes",COUNTIF('Trip Changes'!B:B,A7)&gt;0),AND(AD7="No",COUNTIF('Trip Changes'!B:B,A7)=0)),"OK","Check")</f>
        <v>OK</v>
      </c>
      <c r="BD7" t="str">
        <f t="shared" si="16"/>
        <v>OK</v>
      </c>
      <c r="BE7" t="str">
        <f t="shared" si="17"/>
        <v>OK</v>
      </c>
      <c r="BF7" t="str">
        <f t="shared" si="18"/>
        <v>OK</v>
      </c>
      <c r="BG7" t="str">
        <f t="shared" si="19"/>
        <v>OK</v>
      </c>
      <c r="BH7" t="str">
        <f t="shared" si="20"/>
        <v>OK</v>
      </c>
      <c r="BI7" t="str">
        <f t="shared" si="11"/>
        <v>OK</v>
      </c>
      <c r="BJ7" t="str">
        <f t="shared" si="12"/>
        <v>OK</v>
      </c>
      <c r="BK7" t="str">
        <f t="shared" si="13"/>
        <v>OK</v>
      </c>
    </row>
    <row r="8" spans="1:63">
      <c r="A8" s="16" t="s">
        <v>177</v>
      </c>
      <c r="B8" s="16" t="s">
        <v>166</v>
      </c>
      <c r="C8" s="16" t="s">
        <v>167</v>
      </c>
      <c r="D8" s="16" t="s">
        <v>168</v>
      </c>
      <c r="E8" s="16" t="s">
        <v>169</v>
      </c>
      <c r="F8" s="16" t="s">
        <v>178</v>
      </c>
      <c r="G8" s="15">
        <v>46208</v>
      </c>
      <c r="H8" s="15">
        <v>46226</v>
      </c>
      <c r="I8" s="15">
        <v>46231</v>
      </c>
      <c r="J8" s="15" t="s">
        <v>150</v>
      </c>
      <c r="K8" s="16" t="s">
        <v>167</v>
      </c>
      <c r="L8" t="s">
        <v>179</v>
      </c>
      <c r="M8" s="16" t="s">
        <v>152</v>
      </c>
      <c r="N8" s="16" t="s">
        <v>153</v>
      </c>
      <c r="O8" t="s">
        <v>1614</v>
      </c>
      <c r="P8" s="18">
        <v>16462</v>
      </c>
      <c r="Q8" s="21">
        <v>18</v>
      </c>
      <c r="R8" s="21" t="str">
        <f t="shared" si="0"/>
        <v>15-30 days</v>
      </c>
      <c r="S8" s="16" t="s">
        <v>159</v>
      </c>
      <c r="T8" s="16" t="s">
        <v>154</v>
      </c>
      <c r="U8" s="16" t="s">
        <v>155</v>
      </c>
      <c r="V8" t="str">
        <f>IF(U8="","",IFERROR(VLOOKUP(U8,Hotels!A:B,2,FALSE),"Not Found"))</f>
        <v>Hilton</v>
      </c>
      <c r="W8" s="14">
        <v>1520.77</v>
      </c>
      <c r="X8" s="14">
        <v>0</v>
      </c>
      <c r="Y8" s="21">
        <v>4</v>
      </c>
      <c r="Z8" s="29">
        <f t="shared" si="1"/>
        <v>258.375</v>
      </c>
      <c r="AA8" s="14">
        <v>1033.5</v>
      </c>
      <c r="AB8" s="14">
        <v>73.48</v>
      </c>
      <c r="AC8" s="14">
        <v>2627.75</v>
      </c>
      <c r="AD8" s="16" t="s">
        <v>147</v>
      </c>
      <c r="AE8" s="16" t="s">
        <v>147</v>
      </c>
      <c r="AF8" s="14">
        <f>SUMIF('Trip Changes'!$B:$B,A8,'Trip Changes'!$E:$E)</f>
        <v>0</v>
      </c>
      <c r="AG8" s="23">
        <f>SUMIF('Trip Cancellations'!$B:$B,A8,'Trip Cancellations'!$E:$E)</f>
        <v>0</v>
      </c>
      <c r="AH8" s="14">
        <f>SUMIF('Trip Cancellations'!$B:$B,A8,'Trip Cancellations'!$F:$F)</f>
        <v>0</v>
      </c>
      <c r="AI8" s="14">
        <f t="shared" si="2"/>
        <v>2627.75</v>
      </c>
      <c r="AJ8" s="14" t="str">
        <f t="shared" si="3"/>
        <v>No</v>
      </c>
      <c r="AK8" s="14" t="str">
        <f>IF(Y8=0,"N/A",
IF(_xlfn.XLOOKUP(U8,Hotels!A:A,Hotels!C:C)=TRUE,"Yes","No"))</f>
        <v>Yes</v>
      </c>
      <c r="AL8" s="14" t="str">
        <f>IF(N8="Rail","N/A",IF(_xlfn.XLOOKUP(T8,Airlines!A:A,Airlines!C:C)=TRUE,"Yes","No"))</f>
        <v>Yes</v>
      </c>
      <c r="AM8" s="14" t="str">
        <f t="shared" si="4"/>
        <v>Yes</v>
      </c>
      <c r="AN8" s="14" t="str">
        <f t="shared" si="5"/>
        <v>Yes</v>
      </c>
      <c r="AO8" s="14" t="str">
        <f t="shared" si="6"/>
        <v>Yes</v>
      </c>
      <c r="AP8" s="16" t="s">
        <v>147</v>
      </c>
      <c r="AQ8" t="str">
        <f t="shared" si="14"/>
        <v>No</v>
      </c>
      <c r="AR8" s="21">
        <v>5</v>
      </c>
      <c r="AS8" s="5">
        <v>2469.3000000000002</v>
      </c>
      <c r="AT8" s="5" t="str">
        <f>IF(T8="","",_xlfn.XLOOKUP(T8,Airlines!A:A,Airlines!B:B,"Not Found"))</f>
        <v>British Airways</v>
      </c>
      <c r="AU8" s="5" t="str">
        <f>IF(U8="","",_xlfn.XLOOKUP(U8,Hotels!A:A,Hotels!B:B,"Not found"))</f>
        <v>Hilton</v>
      </c>
      <c r="AV8" t="s">
        <v>147</v>
      </c>
      <c r="AW8" s="16" t="str">
        <f t="shared" si="7"/>
        <v>OK</v>
      </c>
      <c r="AX8" s="16" t="str">
        <f t="shared" si="8"/>
        <v>OK</v>
      </c>
      <c r="AY8" s="16" t="str">
        <f t="shared" si="9"/>
        <v>OK</v>
      </c>
      <c r="AZ8" s="16" t="str">
        <f t="shared" si="10"/>
        <v>OK</v>
      </c>
      <c r="BA8" s="16" t="str">
        <f t="shared" si="15"/>
        <v>OK</v>
      </c>
      <c r="BB8" s="21">
        <f>COUNTIF('Trip Changes'!B:B,A8)</f>
        <v>0</v>
      </c>
      <c r="BC8" s="16" t="str">
        <f>IF(OR(AND(AD8="Yes",COUNTIF('Trip Changes'!B:B,A8)&gt;0),AND(AD8="No",COUNTIF('Trip Changes'!B:B,A8)=0)),"OK","Check")</f>
        <v>OK</v>
      </c>
      <c r="BD8" t="str">
        <f t="shared" si="16"/>
        <v>OK</v>
      </c>
      <c r="BE8" t="str">
        <f t="shared" si="17"/>
        <v>OK</v>
      </c>
      <c r="BF8" t="str">
        <f t="shared" si="18"/>
        <v>OK</v>
      </c>
      <c r="BG8" t="str">
        <f t="shared" si="19"/>
        <v>OK</v>
      </c>
      <c r="BH8" t="str">
        <f t="shared" si="20"/>
        <v>OK</v>
      </c>
      <c r="BI8" t="str">
        <f t="shared" si="11"/>
        <v>OK</v>
      </c>
      <c r="BJ8" t="str">
        <f t="shared" si="12"/>
        <v>OK</v>
      </c>
      <c r="BK8" t="str">
        <f t="shared" si="13"/>
        <v>OK</v>
      </c>
    </row>
    <row r="9" spans="1:63">
      <c r="A9" s="16" t="s">
        <v>180</v>
      </c>
      <c r="B9" s="16" t="s">
        <v>166</v>
      </c>
      <c r="C9" s="16" t="s">
        <v>167</v>
      </c>
      <c r="D9" s="16" t="s">
        <v>168</v>
      </c>
      <c r="E9" s="16" t="s">
        <v>169</v>
      </c>
      <c r="F9" s="16" t="s">
        <v>181</v>
      </c>
      <c r="G9" s="15">
        <v>46193</v>
      </c>
      <c r="H9" s="15">
        <v>46203</v>
      </c>
      <c r="I9" s="15">
        <v>46205</v>
      </c>
      <c r="J9" s="15" t="s">
        <v>141</v>
      </c>
      <c r="K9" s="16" t="s">
        <v>167</v>
      </c>
      <c r="L9" t="s">
        <v>182</v>
      </c>
      <c r="M9" s="16" t="s">
        <v>143</v>
      </c>
      <c r="N9" s="16" t="s">
        <v>144</v>
      </c>
      <c r="O9" t="s">
        <v>1630</v>
      </c>
      <c r="P9" s="18">
        <v>512</v>
      </c>
      <c r="Q9" s="21">
        <v>10</v>
      </c>
      <c r="R9" s="21" t="str">
        <f t="shared" si="0"/>
        <v>8-14 days</v>
      </c>
      <c r="S9" s="16" t="s">
        <v>145</v>
      </c>
      <c r="U9" s="16" t="s">
        <v>155</v>
      </c>
      <c r="V9" t="str">
        <f>IF(U9="","",IFERROR(VLOOKUP(U9,Hotels!A:B,2,FALSE),"Not Found"))</f>
        <v>Hilton</v>
      </c>
      <c r="W9" s="14">
        <v>0</v>
      </c>
      <c r="X9" s="14">
        <v>200.83</v>
      </c>
      <c r="Y9" s="21">
        <v>1</v>
      </c>
      <c r="Z9" s="29">
        <f t="shared" si="1"/>
        <v>133.25</v>
      </c>
      <c r="AA9" s="14">
        <v>133.25</v>
      </c>
      <c r="AB9" s="14">
        <v>26.45</v>
      </c>
      <c r="AC9" s="14">
        <v>360.53</v>
      </c>
      <c r="AD9" s="16" t="s">
        <v>147</v>
      </c>
      <c r="AE9" s="16" t="s">
        <v>147</v>
      </c>
      <c r="AF9" s="14">
        <f>SUMIF('Trip Changes'!$B:$B,A9,'Trip Changes'!$E:$E)</f>
        <v>0</v>
      </c>
      <c r="AG9" s="23">
        <f>SUMIF('Trip Cancellations'!$B:$B,A9,'Trip Cancellations'!$E:$E)</f>
        <v>0</v>
      </c>
      <c r="AH9" s="14">
        <f>SUMIF('Trip Cancellations'!$B:$B,A9,'Trip Cancellations'!$F:$F)</f>
        <v>0</v>
      </c>
      <c r="AI9" s="14">
        <f t="shared" si="2"/>
        <v>360.53</v>
      </c>
      <c r="AJ9" s="14" t="str">
        <f t="shared" si="3"/>
        <v>Yes</v>
      </c>
      <c r="AK9" s="14" t="str">
        <f>IF(Y9=0,"N/A",
IF(_xlfn.XLOOKUP(U9,Hotels!A:A,Hotels!C:C)=TRUE,"Yes","No"))</f>
        <v>Yes</v>
      </c>
      <c r="AL9" s="14" t="str">
        <f>IF(N9="Rail","N/A",IF(_xlfn.XLOOKUP(T9,Airlines!A:A,Airlines!C:C)=TRUE,"Yes","No"))</f>
        <v>N/A</v>
      </c>
      <c r="AM9" s="14" t="str">
        <f t="shared" si="4"/>
        <v>Yes</v>
      </c>
      <c r="AN9" s="14" t="str">
        <f t="shared" si="5"/>
        <v>Yes</v>
      </c>
      <c r="AO9" s="14" t="str">
        <f t="shared" si="6"/>
        <v>Yes</v>
      </c>
      <c r="AP9" s="16" t="s">
        <v>148</v>
      </c>
      <c r="AQ9" t="str">
        <f t="shared" si="14"/>
        <v>Yes</v>
      </c>
      <c r="AR9" s="21">
        <v>4</v>
      </c>
      <c r="AS9" s="5">
        <v>20.5</v>
      </c>
      <c r="AT9" s="5" t="str">
        <f>IF(T9="","",_xlfn.XLOOKUP(T9,Airlines!A:A,Airlines!B:B,"Not Found"))</f>
        <v/>
      </c>
      <c r="AU9" s="5" t="str">
        <f>IF(U9="","",_xlfn.XLOOKUP(U9,Hotels!A:A,Hotels!B:B,"Not found"))</f>
        <v>Hilton</v>
      </c>
      <c r="AV9" t="s">
        <v>147</v>
      </c>
      <c r="AW9" s="16" t="str">
        <f t="shared" si="7"/>
        <v>OK</v>
      </c>
      <c r="AX9" s="16" t="str">
        <f t="shared" si="8"/>
        <v>OK</v>
      </c>
      <c r="AY9" s="16" t="str">
        <f t="shared" si="9"/>
        <v>OK</v>
      </c>
      <c r="AZ9" s="16" t="str">
        <f t="shared" si="10"/>
        <v>OK</v>
      </c>
      <c r="BA9" s="16" t="str">
        <f t="shared" si="15"/>
        <v>OK</v>
      </c>
      <c r="BB9" s="21">
        <f>COUNTIF('Trip Changes'!B:B,A9)</f>
        <v>0</v>
      </c>
      <c r="BC9" s="16" t="str">
        <f>IF(OR(AND(AD9="Yes",COUNTIF('Trip Changes'!B:B,A9)&gt;0),AND(AD9="No",COUNTIF('Trip Changes'!B:B,A9)=0)),"OK","Check")</f>
        <v>OK</v>
      </c>
      <c r="BD9" t="str">
        <f t="shared" si="16"/>
        <v>OK</v>
      </c>
      <c r="BE9" t="str">
        <f t="shared" si="17"/>
        <v>OK</v>
      </c>
      <c r="BF9" t="str">
        <f t="shared" si="18"/>
        <v>OK</v>
      </c>
      <c r="BG9" t="str">
        <f t="shared" si="19"/>
        <v>OK</v>
      </c>
      <c r="BH9" t="str">
        <f t="shared" si="20"/>
        <v>OK</v>
      </c>
      <c r="BI9" t="str">
        <f t="shared" si="11"/>
        <v>OK</v>
      </c>
      <c r="BJ9" t="str">
        <f t="shared" si="12"/>
        <v>OK</v>
      </c>
      <c r="BK9" t="str">
        <f t="shared" si="13"/>
        <v>OK</v>
      </c>
    </row>
    <row r="10" spans="1:63">
      <c r="A10" s="16" t="s">
        <v>183</v>
      </c>
      <c r="B10" s="16" t="s">
        <v>184</v>
      </c>
      <c r="C10" s="16" t="s">
        <v>142</v>
      </c>
      <c r="D10" s="16" t="s">
        <v>138</v>
      </c>
      <c r="E10" s="16" t="s">
        <v>139</v>
      </c>
      <c r="F10" s="16" t="s">
        <v>181</v>
      </c>
      <c r="G10" s="15">
        <v>46160</v>
      </c>
      <c r="H10" s="15">
        <v>46184</v>
      </c>
      <c r="I10" s="15">
        <v>46186</v>
      </c>
      <c r="J10" s="15" t="s">
        <v>141</v>
      </c>
      <c r="K10" s="16" t="s">
        <v>142</v>
      </c>
      <c r="L10" t="s">
        <v>185</v>
      </c>
      <c r="M10" s="16" t="s">
        <v>152</v>
      </c>
      <c r="N10" s="16" t="s">
        <v>153</v>
      </c>
      <c r="O10" t="s">
        <v>1631</v>
      </c>
      <c r="P10" s="18">
        <v>12978</v>
      </c>
      <c r="Q10" s="21">
        <v>24</v>
      </c>
      <c r="R10" s="21" t="str">
        <f t="shared" si="0"/>
        <v>15-30 days</v>
      </c>
      <c r="S10" s="16" t="s">
        <v>145</v>
      </c>
      <c r="T10" s="16" t="s">
        <v>186</v>
      </c>
      <c r="U10" s="16" t="s">
        <v>187</v>
      </c>
      <c r="V10" t="str">
        <f>IF(U10="","",IFERROR(VLOOKUP(U10,Hotels!A:B,2,FALSE),"Not Found"))</f>
        <v>IHG Hotels &amp; Resorts</v>
      </c>
      <c r="W10" s="14">
        <v>520</v>
      </c>
      <c r="X10" s="14">
        <v>0</v>
      </c>
      <c r="Y10" s="21">
        <v>1</v>
      </c>
      <c r="Z10" s="29">
        <f t="shared" si="1"/>
        <v>208.72</v>
      </c>
      <c r="AA10" s="14">
        <v>208.72</v>
      </c>
      <c r="AB10" s="14">
        <v>74.62</v>
      </c>
      <c r="AC10" s="14">
        <v>803.34</v>
      </c>
      <c r="AD10" s="16" t="s">
        <v>147</v>
      </c>
      <c r="AE10" s="16" t="s">
        <v>147</v>
      </c>
      <c r="AF10" s="14">
        <f>SUMIF('Trip Changes'!$B:$B,A10,'Trip Changes'!$E:$E)</f>
        <v>0</v>
      </c>
      <c r="AG10" s="23">
        <f>SUMIF('Trip Cancellations'!$B:$B,A10,'Trip Cancellations'!$E:$E)</f>
        <v>0</v>
      </c>
      <c r="AH10" s="14">
        <f>SUMIF('Trip Cancellations'!$B:$B,A10,'Trip Cancellations'!$F:$F)</f>
        <v>0</v>
      </c>
      <c r="AI10" s="14">
        <f t="shared" si="2"/>
        <v>803.34</v>
      </c>
      <c r="AJ10" s="14" t="str">
        <f t="shared" si="3"/>
        <v>Yes</v>
      </c>
      <c r="AK10" s="14" t="str">
        <f>IF(Y10=0,"N/A",
IF(_xlfn.XLOOKUP(U10,Hotels!A:A,Hotels!C:C)=TRUE,"Yes","No"))</f>
        <v>Yes</v>
      </c>
      <c r="AL10" s="14" t="str">
        <f>IF(N10="Rail","N/A",IF(_xlfn.XLOOKUP(T10,Airlines!A:A,Airlines!C:C)=TRUE,"Yes","No"))</f>
        <v>Yes</v>
      </c>
      <c r="AM10" s="14" t="str">
        <f t="shared" si="4"/>
        <v>No</v>
      </c>
      <c r="AN10" s="14" t="str">
        <f t="shared" si="5"/>
        <v>Yes</v>
      </c>
      <c r="AO10" s="14" t="str">
        <f t="shared" si="6"/>
        <v>Yes</v>
      </c>
      <c r="AP10" s="16" t="s">
        <v>148</v>
      </c>
      <c r="AQ10" t="str">
        <f t="shared" si="14"/>
        <v>No</v>
      </c>
      <c r="AR10" s="21">
        <v>5</v>
      </c>
      <c r="AS10" s="5">
        <v>1946.7</v>
      </c>
      <c r="AT10" s="5" t="str">
        <f>IF(T10="","",_xlfn.XLOOKUP(T10,Airlines!A:A,Airlines!B:B,"Not Found"))</f>
        <v>Virgin Atlantic</v>
      </c>
      <c r="AU10" s="5" t="str">
        <f>IF(U10="","",_xlfn.XLOOKUP(U10,Hotels!A:A,Hotels!B:B,"Not found"))</f>
        <v>IHG Hotels &amp; Resorts</v>
      </c>
      <c r="AV10" t="s">
        <v>147</v>
      </c>
      <c r="AW10" s="16" t="str">
        <f t="shared" si="7"/>
        <v>OK</v>
      </c>
      <c r="AX10" s="16" t="str">
        <f t="shared" si="8"/>
        <v>OK</v>
      </c>
      <c r="AY10" s="16" t="str">
        <f t="shared" si="9"/>
        <v>OK</v>
      </c>
      <c r="AZ10" s="16" t="str">
        <f t="shared" si="10"/>
        <v>OK</v>
      </c>
      <c r="BA10" s="16" t="str">
        <f t="shared" si="15"/>
        <v>OK</v>
      </c>
      <c r="BB10" s="21">
        <f>COUNTIF('Trip Changes'!B:B,A10)</f>
        <v>0</v>
      </c>
      <c r="BC10" s="16" t="str">
        <f>IF(OR(AND(AD10="Yes",COUNTIF('Trip Changes'!B:B,A10)&gt;0),AND(AD10="No",COUNTIF('Trip Changes'!B:B,A10)=0)),"OK","Check")</f>
        <v>OK</v>
      </c>
      <c r="BD10" t="str">
        <f t="shared" si="16"/>
        <v>OK</v>
      </c>
      <c r="BE10" t="str">
        <f t="shared" si="17"/>
        <v>OK</v>
      </c>
      <c r="BF10" t="str">
        <f t="shared" si="18"/>
        <v>OK</v>
      </c>
      <c r="BG10" t="str">
        <f t="shared" si="19"/>
        <v>OK</v>
      </c>
      <c r="BH10" t="str">
        <f t="shared" si="20"/>
        <v>OK</v>
      </c>
      <c r="BI10" t="str">
        <f t="shared" si="11"/>
        <v>OK</v>
      </c>
      <c r="BJ10" t="str">
        <f t="shared" si="12"/>
        <v>OK</v>
      </c>
      <c r="BK10" t="str">
        <f t="shared" si="13"/>
        <v>OK</v>
      </c>
    </row>
    <row r="11" spans="1:63">
      <c r="A11" s="16" t="s">
        <v>188</v>
      </c>
      <c r="B11" s="16" t="s">
        <v>184</v>
      </c>
      <c r="C11" s="16" t="s">
        <v>142</v>
      </c>
      <c r="D11" s="16" t="s">
        <v>138</v>
      </c>
      <c r="E11" s="16" t="s">
        <v>139</v>
      </c>
      <c r="F11" s="16" t="s">
        <v>189</v>
      </c>
      <c r="G11" s="15">
        <v>46212</v>
      </c>
      <c r="H11" s="15">
        <v>46224</v>
      </c>
      <c r="I11" s="15">
        <v>46228</v>
      </c>
      <c r="J11" s="15" t="s">
        <v>150</v>
      </c>
      <c r="K11" s="16" t="s">
        <v>142</v>
      </c>
      <c r="L11" t="s">
        <v>185</v>
      </c>
      <c r="M11" s="16" t="s">
        <v>152</v>
      </c>
      <c r="N11" s="16" t="s">
        <v>153</v>
      </c>
      <c r="O11" t="s">
        <v>1614</v>
      </c>
      <c r="P11" s="18">
        <v>11812</v>
      </c>
      <c r="Q11" s="21">
        <v>12</v>
      </c>
      <c r="R11" s="21" t="str">
        <f t="shared" si="0"/>
        <v>8-14 days</v>
      </c>
      <c r="S11" s="16" t="s">
        <v>159</v>
      </c>
      <c r="T11" s="16" t="s">
        <v>186</v>
      </c>
      <c r="U11" s="16" t="s">
        <v>190</v>
      </c>
      <c r="V11" t="str">
        <f>IF(U11="","",IFERROR(VLOOKUP(U11,Hotels!A:B,2,FALSE),"Not Found"))</f>
        <v>Radisson Hotel Group</v>
      </c>
      <c r="W11" s="14">
        <v>1607.82</v>
      </c>
      <c r="X11" s="14">
        <v>0</v>
      </c>
      <c r="Y11" s="21">
        <v>3</v>
      </c>
      <c r="Z11" s="29">
        <f t="shared" si="1"/>
        <v>188.55666666666664</v>
      </c>
      <c r="AA11" s="14">
        <v>565.66999999999996</v>
      </c>
      <c r="AB11" s="14">
        <v>94.45</v>
      </c>
      <c r="AC11" s="14">
        <v>2267.94</v>
      </c>
      <c r="AD11" s="16" t="s">
        <v>147</v>
      </c>
      <c r="AE11" s="16" t="s">
        <v>148</v>
      </c>
      <c r="AF11" s="14">
        <f>SUMIF('Trip Changes'!$B:$B,A11,'Trip Changes'!$E:$E)</f>
        <v>0</v>
      </c>
      <c r="AG11" s="23">
        <f>SUMIF('Trip Cancellations'!$B:$B,A11,'Trip Cancellations'!$E:$E)</f>
        <v>176.35</v>
      </c>
      <c r="AH11" s="14">
        <f>SUMIF('Trip Cancellations'!$B:$B,A11,'Trip Cancellations'!$F:$F)</f>
        <v>1086.74</v>
      </c>
      <c r="AI11" s="14">
        <f t="shared" si="2"/>
        <v>1357.55</v>
      </c>
      <c r="AJ11" s="14" t="str">
        <f t="shared" si="3"/>
        <v>Yes</v>
      </c>
      <c r="AK11" s="14" t="str">
        <f>IF(Y11=0,"N/A",
IF(_xlfn.XLOOKUP(U11,Hotels!A:A,Hotels!C:C)=TRUE,"Yes","No"))</f>
        <v>No</v>
      </c>
      <c r="AL11" s="14" t="str">
        <f>IF(N11="Rail","N/A",IF(_xlfn.XLOOKUP(T11,Airlines!A:A,Airlines!C:C)=TRUE,"Yes","No"))</f>
        <v>Yes</v>
      </c>
      <c r="AM11" s="14" t="str">
        <f t="shared" si="4"/>
        <v>Yes</v>
      </c>
      <c r="AN11" s="14" t="str">
        <f t="shared" si="5"/>
        <v>Yes</v>
      </c>
      <c r="AO11" s="14" t="str">
        <f t="shared" si="6"/>
        <v>No</v>
      </c>
      <c r="AP11" s="16" t="s">
        <v>148</v>
      </c>
      <c r="AQ11" t="str">
        <f t="shared" si="14"/>
        <v>No</v>
      </c>
      <c r="AR11" s="21">
        <v>3</v>
      </c>
      <c r="AS11" s="5">
        <v>1771.8</v>
      </c>
      <c r="AT11" s="5" t="str">
        <f>IF(T11="","",_xlfn.XLOOKUP(T11,Airlines!A:A,Airlines!B:B,"Not Found"))</f>
        <v>Virgin Atlantic</v>
      </c>
      <c r="AU11" s="5" t="str">
        <f>IF(U11="","",_xlfn.XLOOKUP(U11,Hotels!A:A,Hotels!B:B,"Not found"))</f>
        <v>Radisson Hotel Group</v>
      </c>
      <c r="AV11" t="s">
        <v>148</v>
      </c>
      <c r="AW11" s="16" t="str">
        <f t="shared" si="7"/>
        <v>OK</v>
      </c>
      <c r="AX11" s="16" t="str">
        <f t="shared" si="8"/>
        <v>OK</v>
      </c>
      <c r="AY11" s="16" t="str">
        <f t="shared" si="9"/>
        <v>OK</v>
      </c>
      <c r="AZ11" s="16" t="str">
        <f t="shared" si="10"/>
        <v>OK</v>
      </c>
      <c r="BA11" s="16" t="str">
        <f t="shared" si="15"/>
        <v>OK</v>
      </c>
      <c r="BB11" s="21">
        <f>COUNTIF('Trip Changes'!B:B,A11)</f>
        <v>0</v>
      </c>
      <c r="BC11" s="16" t="str">
        <f>IF(OR(AND(AD11="Yes",COUNTIF('Trip Changes'!B:B,A11)&gt;0),AND(AD11="No",COUNTIF('Trip Changes'!B:B,A11)=0)),"OK","Check")</f>
        <v>OK</v>
      </c>
      <c r="BD11" t="str">
        <f t="shared" si="16"/>
        <v>OK</v>
      </c>
      <c r="BE11" t="str">
        <f t="shared" si="17"/>
        <v>OK</v>
      </c>
      <c r="BF11" t="str">
        <f t="shared" si="18"/>
        <v>OK</v>
      </c>
      <c r="BG11" t="str">
        <f t="shared" si="19"/>
        <v>OK</v>
      </c>
      <c r="BH11" t="str">
        <f t="shared" si="20"/>
        <v>OK</v>
      </c>
      <c r="BI11" t="str">
        <f t="shared" si="11"/>
        <v>OK</v>
      </c>
      <c r="BJ11" t="str">
        <f t="shared" si="12"/>
        <v>OK</v>
      </c>
      <c r="BK11" t="str">
        <f t="shared" si="13"/>
        <v>OK</v>
      </c>
    </row>
    <row r="12" spans="1:63">
      <c r="A12" s="16" t="s">
        <v>191</v>
      </c>
      <c r="B12" s="16" t="s">
        <v>192</v>
      </c>
      <c r="C12" s="16" t="s">
        <v>193</v>
      </c>
      <c r="D12" s="16" t="s">
        <v>194</v>
      </c>
      <c r="E12" s="16" t="s">
        <v>169</v>
      </c>
      <c r="F12" s="16" t="s">
        <v>157</v>
      </c>
      <c r="G12" s="15">
        <v>46204</v>
      </c>
      <c r="H12" s="15">
        <v>46213</v>
      </c>
      <c r="I12" s="15">
        <v>46216</v>
      </c>
      <c r="J12" s="15" t="s">
        <v>150</v>
      </c>
      <c r="K12" s="16" t="s">
        <v>193</v>
      </c>
      <c r="L12" t="s">
        <v>182</v>
      </c>
      <c r="M12" s="16" t="s">
        <v>143</v>
      </c>
      <c r="N12" s="16" t="s">
        <v>144</v>
      </c>
      <c r="O12" t="s">
        <v>1630</v>
      </c>
      <c r="P12" s="18">
        <v>324</v>
      </c>
      <c r="Q12" s="21">
        <v>9</v>
      </c>
      <c r="R12" s="21" t="str">
        <f t="shared" si="0"/>
        <v>8-14 days</v>
      </c>
      <c r="S12" s="16" t="s">
        <v>145</v>
      </c>
      <c r="U12" s="16" t="s">
        <v>195</v>
      </c>
      <c r="V12" t="str">
        <f>IF(U12="","",IFERROR(VLOOKUP(U12,Hotels!A:B,2,FALSE),"Not Found"))</f>
        <v>Travelodge</v>
      </c>
      <c r="W12" s="14">
        <v>0</v>
      </c>
      <c r="X12" s="14">
        <v>171.23</v>
      </c>
      <c r="Y12" s="21">
        <v>2</v>
      </c>
      <c r="Z12" s="29">
        <f t="shared" si="1"/>
        <v>171.86</v>
      </c>
      <c r="AA12" s="14">
        <v>343.72</v>
      </c>
      <c r="AB12" s="14">
        <v>105.02</v>
      </c>
      <c r="AC12" s="14">
        <v>619.97</v>
      </c>
      <c r="AD12" s="16" t="s">
        <v>147</v>
      </c>
      <c r="AE12" s="16" t="s">
        <v>147</v>
      </c>
      <c r="AF12" s="14">
        <f>SUMIF('Trip Changes'!$B:$B,A12,'Trip Changes'!$E:$E)</f>
        <v>0</v>
      </c>
      <c r="AG12" s="23">
        <f>SUMIF('Trip Cancellations'!$B:$B,A12,'Trip Cancellations'!$E:$E)</f>
        <v>0</v>
      </c>
      <c r="AH12" s="14">
        <f>SUMIF('Trip Cancellations'!$B:$B,A12,'Trip Cancellations'!$F:$F)</f>
        <v>0</v>
      </c>
      <c r="AI12" s="14">
        <f t="shared" si="2"/>
        <v>619.97</v>
      </c>
      <c r="AJ12" s="14" t="str">
        <f t="shared" si="3"/>
        <v>Yes</v>
      </c>
      <c r="AK12" s="14" t="str">
        <f>IF(Y12=0,"N/A",
IF(_xlfn.XLOOKUP(U12,Hotels!A:A,Hotels!C:C)=TRUE,"Yes","No"))</f>
        <v>No</v>
      </c>
      <c r="AL12" s="14" t="str">
        <f>IF(N12="Rail","N/A",IF(_xlfn.XLOOKUP(T12,Airlines!A:A,Airlines!C:C)=TRUE,"Yes","No"))</f>
        <v>N/A</v>
      </c>
      <c r="AM12" s="14" t="str">
        <f t="shared" si="4"/>
        <v>Yes</v>
      </c>
      <c r="AN12" s="14" t="str">
        <f t="shared" si="5"/>
        <v>Yes</v>
      </c>
      <c r="AO12" s="14" t="str">
        <f t="shared" si="6"/>
        <v>No</v>
      </c>
      <c r="AP12" s="16" t="s">
        <v>148</v>
      </c>
      <c r="AQ12" t="str">
        <f t="shared" si="14"/>
        <v>No</v>
      </c>
      <c r="AR12" s="21">
        <v>4</v>
      </c>
      <c r="AS12" s="5">
        <v>13</v>
      </c>
      <c r="AT12" s="5" t="str">
        <f>IF(T12="","",_xlfn.XLOOKUP(T12,Airlines!A:A,Airlines!B:B,"Not Found"))</f>
        <v/>
      </c>
      <c r="AU12" s="5" t="str">
        <f>IF(U12="","",_xlfn.XLOOKUP(U12,Hotels!A:A,Hotels!B:B,"Not found"))</f>
        <v>Travelodge</v>
      </c>
      <c r="AV12" t="s">
        <v>147</v>
      </c>
      <c r="AW12" s="16" t="str">
        <f t="shared" si="7"/>
        <v>OK</v>
      </c>
      <c r="AX12" s="16" t="str">
        <f t="shared" si="8"/>
        <v>OK</v>
      </c>
      <c r="AY12" s="16" t="str">
        <f t="shared" si="9"/>
        <v>OK</v>
      </c>
      <c r="AZ12" s="16" t="str">
        <f t="shared" si="10"/>
        <v>OK</v>
      </c>
      <c r="BA12" s="16" t="str">
        <f t="shared" si="15"/>
        <v>OK</v>
      </c>
      <c r="BB12" s="21">
        <f>COUNTIF('Trip Changes'!B:B,A12)</f>
        <v>0</v>
      </c>
      <c r="BC12" s="16" t="str">
        <f>IF(OR(AND(AD12="Yes",COUNTIF('Trip Changes'!B:B,A12)&gt;0),AND(AD12="No",COUNTIF('Trip Changes'!B:B,A12)=0)),"OK","Check")</f>
        <v>OK</v>
      </c>
      <c r="BD12" t="str">
        <f t="shared" si="16"/>
        <v>OK</v>
      </c>
      <c r="BE12" t="str">
        <f t="shared" si="17"/>
        <v>OK</v>
      </c>
      <c r="BF12" t="str">
        <f t="shared" si="18"/>
        <v>OK</v>
      </c>
      <c r="BG12" t="str">
        <f t="shared" si="19"/>
        <v>OK</v>
      </c>
      <c r="BH12" t="str">
        <f t="shared" si="20"/>
        <v>OK</v>
      </c>
      <c r="BI12" t="str">
        <f t="shared" si="11"/>
        <v>OK</v>
      </c>
      <c r="BJ12" t="str">
        <f t="shared" si="12"/>
        <v>OK</v>
      </c>
      <c r="BK12" t="str">
        <f t="shared" si="13"/>
        <v>OK</v>
      </c>
    </row>
    <row r="13" spans="1:63">
      <c r="A13" s="16" t="s">
        <v>196</v>
      </c>
      <c r="B13" s="16" t="s">
        <v>192</v>
      </c>
      <c r="C13" s="16" t="s">
        <v>193</v>
      </c>
      <c r="D13" s="16" t="s">
        <v>194</v>
      </c>
      <c r="E13" s="16" t="s">
        <v>169</v>
      </c>
      <c r="F13" s="16" t="s">
        <v>178</v>
      </c>
      <c r="G13" s="15">
        <v>46186</v>
      </c>
      <c r="H13" s="15">
        <v>46200</v>
      </c>
      <c r="I13" s="15">
        <v>46204</v>
      </c>
      <c r="J13" s="15" t="s">
        <v>141</v>
      </c>
      <c r="K13" s="16" t="s">
        <v>193</v>
      </c>
      <c r="L13" t="s">
        <v>197</v>
      </c>
      <c r="M13" s="16" t="s">
        <v>152</v>
      </c>
      <c r="N13" s="16" t="s">
        <v>153</v>
      </c>
      <c r="O13" t="s">
        <v>1631</v>
      </c>
      <c r="P13" s="18">
        <v>10018</v>
      </c>
      <c r="Q13" s="21">
        <v>14</v>
      </c>
      <c r="R13" s="21" t="str">
        <f t="shared" si="0"/>
        <v>8-14 days</v>
      </c>
      <c r="S13" s="16" t="s">
        <v>145</v>
      </c>
      <c r="T13" s="16" t="s">
        <v>154</v>
      </c>
      <c r="U13" s="16" t="s">
        <v>173</v>
      </c>
      <c r="V13" t="str">
        <f>IF(U13="","",IFERROR(VLOOKUP(U13,Hotels!A:B,2,FALSE),"Not Found"))</f>
        <v>Accor</v>
      </c>
      <c r="W13" s="14">
        <v>696.01</v>
      </c>
      <c r="X13" s="14">
        <v>0</v>
      </c>
      <c r="Y13" s="21">
        <v>3</v>
      </c>
      <c r="Z13" s="29">
        <f t="shared" si="1"/>
        <v>173.72</v>
      </c>
      <c r="AA13" s="14">
        <v>521.16</v>
      </c>
      <c r="AB13" s="14">
        <v>112.08</v>
      </c>
      <c r="AC13" s="14">
        <v>1329.25</v>
      </c>
      <c r="AD13" s="16" t="s">
        <v>147</v>
      </c>
      <c r="AE13" s="16" t="s">
        <v>147</v>
      </c>
      <c r="AF13" s="14">
        <f>SUMIF('Trip Changes'!$B:$B,A13,'Trip Changes'!$E:$E)</f>
        <v>0</v>
      </c>
      <c r="AG13" s="23">
        <f>SUMIF('Trip Cancellations'!$B:$B,A13,'Trip Cancellations'!$E:$E)</f>
        <v>0</v>
      </c>
      <c r="AH13" s="14">
        <f>SUMIF('Trip Cancellations'!$B:$B,A13,'Trip Cancellations'!$F:$F)</f>
        <v>0</v>
      </c>
      <c r="AI13" s="14">
        <f t="shared" si="2"/>
        <v>1329.25</v>
      </c>
      <c r="AJ13" s="14" t="str">
        <f t="shared" si="3"/>
        <v>Yes</v>
      </c>
      <c r="AK13" s="14" t="str">
        <f>IF(Y13=0,"N/A",
IF(_xlfn.XLOOKUP(U13,Hotels!A:A,Hotels!C:C)=TRUE,"Yes","No"))</f>
        <v>Yes</v>
      </c>
      <c r="AL13" s="14" t="str">
        <f>IF(N13="Rail","N/A",IF(_xlfn.XLOOKUP(T13,Airlines!A:A,Airlines!C:C)=TRUE,"Yes","No"))</f>
        <v>Yes</v>
      </c>
      <c r="AM13" s="14" t="str">
        <f t="shared" si="4"/>
        <v>No</v>
      </c>
      <c r="AN13" s="14" t="str">
        <f t="shared" si="5"/>
        <v>Yes</v>
      </c>
      <c r="AO13" s="14" t="str">
        <f t="shared" si="6"/>
        <v>Yes</v>
      </c>
      <c r="AP13" s="16" t="s">
        <v>148</v>
      </c>
      <c r="AQ13" t="str">
        <f t="shared" si="14"/>
        <v>No</v>
      </c>
      <c r="AR13" s="21">
        <v>3</v>
      </c>
      <c r="AS13" s="5">
        <v>1502.7</v>
      </c>
      <c r="AT13" s="5" t="str">
        <f>IF(T13="","",_xlfn.XLOOKUP(T13,Airlines!A:A,Airlines!B:B,"Not Found"))</f>
        <v>British Airways</v>
      </c>
      <c r="AU13" s="5" t="str">
        <f>IF(U13="","",_xlfn.XLOOKUP(U13,Hotels!A:A,Hotels!B:B,"Not found"))</f>
        <v>Accor</v>
      </c>
      <c r="AV13" t="s">
        <v>148</v>
      </c>
      <c r="AW13" s="16" t="str">
        <f t="shared" si="7"/>
        <v>OK</v>
      </c>
      <c r="AX13" s="16" t="str">
        <f t="shared" si="8"/>
        <v>OK</v>
      </c>
      <c r="AY13" s="16" t="str">
        <f t="shared" si="9"/>
        <v>OK</v>
      </c>
      <c r="AZ13" s="16" t="str">
        <f t="shared" si="10"/>
        <v>OK</v>
      </c>
      <c r="BA13" s="16" t="str">
        <f t="shared" si="15"/>
        <v>OK</v>
      </c>
      <c r="BB13" s="21">
        <f>COUNTIF('Trip Changes'!B:B,A13)</f>
        <v>0</v>
      </c>
      <c r="BC13" s="16" t="str">
        <f>IF(OR(AND(AD13="Yes",COUNTIF('Trip Changes'!B:B,A13)&gt;0),AND(AD13="No",COUNTIF('Trip Changes'!B:B,A13)=0)),"OK","Check")</f>
        <v>OK</v>
      </c>
      <c r="BD13" t="str">
        <f t="shared" si="16"/>
        <v>OK</v>
      </c>
      <c r="BE13" t="str">
        <f t="shared" si="17"/>
        <v>OK</v>
      </c>
      <c r="BF13" t="str">
        <f t="shared" si="18"/>
        <v>OK</v>
      </c>
      <c r="BG13" t="str">
        <f t="shared" si="19"/>
        <v>OK</v>
      </c>
      <c r="BH13" t="str">
        <f t="shared" si="20"/>
        <v>OK</v>
      </c>
      <c r="BI13" t="str">
        <f t="shared" si="11"/>
        <v>OK</v>
      </c>
      <c r="BJ13" t="str">
        <f t="shared" si="12"/>
        <v>OK</v>
      </c>
      <c r="BK13" t="str">
        <f t="shared" si="13"/>
        <v>OK</v>
      </c>
    </row>
    <row r="14" spans="1:63">
      <c r="A14" s="16" t="s">
        <v>198</v>
      </c>
      <c r="B14" s="16" t="s">
        <v>192</v>
      </c>
      <c r="C14" s="16" t="s">
        <v>193</v>
      </c>
      <c r="D14" s="16" t="s">
        <v>194</v>
      </c>
      <c r="E14" s="16" t="s">
        <v>169</v>
      </c>
      <c r="F14" s="16" t="s">
        <v>162</v>
      </c>
      <c r="G14" s="15">
        <v>46167</v>
      </c>
      <c r="H14" s="15">
        <v>46187</v>
      </c>
      <c r="I14" s="15">
        <v>46189</v>
      </c>
      <c r="J14" s="15" t="s">
        <v>141</v>
      </c>
      <c r="K14" s="16" t="s">
        <v>193</v>
      </c>
      <c r="L14" t="s">
        <v>199</v>
      </c>
      <c r="M14" s="16" t="s">
        <v>152</v>
      </c>
      <c r="N14" s="16" t="s">
        <v>153</v>
      </c>
      <c r="O14" t="s">
        <v>1614</v>
      </c>
      <c r="P14" s="18">
        <v>2196</v>
      </c>
      <c r="Q14" s="21">
        <v>20</v>
      </c>
      <c r="R14" s="21" t="str">
        <f t="shared" si="0"/>
        <v>15-30 days</v>
      </c>
      <c r="S14" s="16" t="s">
        <v>145</v>
      </c>
      <c r="T14" s="16" t="s">
        <v>200</v>
      </c>
      <c r="U14" s="16" t="s">
        <v>155</v>
      </c>
      <c r="V14" t="str">
        <f>IF(U14="","",IFERROR(VLOOKUP(U14,Hotels!A:B,2,FALSE),"Not Found"))</f>
        <v>Hilton</v>
      </c>
      <c r="W14" s="14">
        <v>538.24</v>
      </c>
      <c r="X14" s="14">
        <v>0</v>
      </c>
      <c r="Y14" s="21">
        <v>1</v>
      </c>
      <c r="Z14" s="29">
        <f t="shared" si="1"/>
        <v>124.82</v>
      </c>
      <c r="AA14" s="14">
        <v>124.82</v>
      </c>
      <c r="AB14" s="14">
        <v>114.97</v>
      </c>
      <c r="AC14" s="14">
        <v>778.03</v>
      </c>
      <c r="AD14" s="16" t="s">
        <v>147</v>
      </c>
      <c r="AE14" s="16" t="s">
        <v>147</v>
      </c>
      <c r="AF14" s="14">
        <f>SUMIF('Trip Changes'!$B:$B,A14,'Trip Changes'!$E:$E)</f>
        <v>0</v>
      </c>
      <c r="AG14" s="23">
        <f>SUMIF('Trip Cancellations'!$B:$B,A14,'Trip Cancellations'!$E:$E)</f>
        <v>0</v>
      </c>
      <c r="AH14" s="14">
        <f>SUMIF('Trip Cancellations'!$B:$B,A14,'Trip Cancellations'!$F:$F)</f>
        <v>0</v>
      </c>
      <c r="AI14" s="14">
        <f t="shared" si="2"/>
        <v>778.03</v>
      </c>
      <c r="AJ14" s="14" t="str">
        <f t="shared" si="3"/>
        <v>Yes</v>
      </c>
      <c r="AK14" s="14" t="str">
        <f>IF(Y14=0,"N/A",
IF(_xlfn.XLOOKUP(U14,Hotels!A:A,Hotels!C:C)=TRUE,"Yes","No"))</f>
        <v>Yes</v>
      </c>
      <c r="AL14" s="14" t="str">
        <f>IF(N14="Rail","N/A",IF(_xlfn.XLOOKUP(T14,Airlines!A:A,Airlines!C:C)=TRUE,"Yes","No"))</f>
        <v>Yes</v>
      </c>
      <c r="AM14" s="14" t="str">
        <f t="shared" si="4"/>
        <v>Yes</v>
      </c>
      <c r="AN14" s="14" t="str">
        <f t="shared" si="5"/>
        <v>Yes</v>
      </c>
      <c r="AO14" s="14" t="str">
        <f t="shared" si="6"/>
        <v>Yes</v>
      </c>
      <c r="AP14" s="16" t="s">
        <v>148</v>
      </c>
      <c r="AQ14" t="str">
        <f t="shared" si="14"/>
        <v>Yes</v>
      </c>
      <c r="AR14" s="21">
        <v>4</v>
      </c>
      <c r="AS14" s="5">
        <v>329.4</v>
      </c>
      <c r="AT14" s="5" t="str">
        <f>IF(T14="","",_xlfn.XLOOKUP(T14,Airlines!A:A,Airlines!B:B,"Not Found"))</f>
        <v>Aer Lingus</v>
      </c>
      <c r="AU14" s="5" t="str">
        <f>IF(U14="","",_xlfn.XLOOKUP(U14,Hotels!A:A,Hotels!B:B,"Not found"))</f>
        <v>Hilton</v>
      </c>
      <c r="AV14" t="s">
        <v>148</v>
      </c>
      <c r="AW14" s="16" t="str">
        <f t="shared" si="7"/>
        <v>OK</v>
      </c>
      <c r="AX14" s="16" t="str">
        <f t="shared" si="8"/>
        <v>OK</v>
      </c>
      <c r="AY14" s="16" t="str">
        <f t="shared" si="9"/>
        <v>OK</v>
      </c>
      <c r="AZ14" s="16" t="str">
        <f t="shared" si="10"/>
        <v>OK</v>
      </c>
      <c r="BA14" s="16" t="str">
        <f t="shared" si="15"/>
        <v>OK</v>
      </c>
      <c r="BB14" s="21">
        <f>COUNTIF('Trip Changes'!B:B,A14)</f>
        <v>0</v>
      </c>
      <c r="BC14" s="16" t="str">
        <f>IF(OR(AND(AD14="Yes",COUNTIF('Trip Changes'!B:B,A14)&gt;0),AND(AD14="No",COUNTIF('Trip Changes'!B:B,A14)=0)),"OK","Check")</f>
        <v>OK</v>
      </c>
      <c r="BD14" t="str">
        <f t="shared" si="16"/>
        <v>OK</v>
      </c>
      <c r="BE14" t="str">
        <f t="shared" si="17"/>
        <v>OK</v>
      </c>
      <c r="BF14" t="str">
        <f t="shared" si="18"/>
        <v>OK</v>
      </c>
      <c r="BG14" t="str">
        <f t="shared" si="19"/>
        <v>OK</v>
      </c>
      <c r="BH14" t="str">
        <f t="shared" si="20"/>
        <v>OK</v>
      </c>
      <c r="BI14" t="str">
        <f t="shared" si="11"/>
        <v>OK</v>
      </c>
      <c r="BJ14" t="str">
        <f t="shared" si="12"/>
        <v>OK</v>
      </c>
      <c r="BK14" t="str">
        <f t="shared" si="13"/>
        <v>OK</v>
      </c>
    </row>
    <row r="15" spans="1:63">
      <c r="A15" s="16" t="s">
        <v>201</v>
      </c>
      <c r="B15" s="16" t="s">
        <v>202</v>
      </c>
      <c r="C15" s="16" t="s">
        <v>203</v>
      </c>
      <c r="D15" s="16" t="s">
        <v>204</v>
      </c>
      <c r="E15" s="16" t="s">
        <v>205</v>
      </c>
      <c r="F15" s="16" t="s">
        <v>157</v>
      </c>
      <c r="G15" s="15">
        <v>46171</v>
      </c>
      <c r="H15" s="15">
        <v>46175</v>
      </c>
      <c r="I15" s="15">
        <v>46178</v>
      </c>
      <c r="J15" s="15" t="s">
        <v>141</v>
      </c>
      <c r="K15" s="16" t="s">
        <v>203</v>
      </c>
      <c r="L15" t="s">
        <v>193</v>
      </c>
      <c r="M15" s="16" t="s">
        <v>143</v>
      </c>
      <c r="N15" s="16" t="s">
        <v>144</v>
      </c>
      <c r="O15" t="s">
        <v>1630</v>
      </c>
      <c r="P15" s="18">
        <v>466</v>
      </c>
      <c r="Q15" s="21">
        <v>4</v>
      </c>
      <c r="R15" s="21" t="str">
        <f t="shared" si="0"/>
        <v>4-7 days</v>
      </c>
      <c r="S15" s="16" t="s">
        <v>159</v>
      </c>
      <c r="U15" s="16" t="s">
        <v>146</v>
      </c>
      <c r="V15" t="str">
        <f>IF(U15="","",IFERROR(VLOOKUP(U15,Hotels!A:B,2,FALSE),"Not Found"))</f>
        <v>Premier Inn</v>
      </c>
      <c r="W15" s="14">
        <v>0</v>
      </c>
      <c r="X15" s="14">
        <v>214.9</v>
      </c>
      <c r="Y15" s="21">
        <v>2</v>
      </c>
      <c r="Z15" s="29">
        <f t="shared" si="1"/>
        <v>176.20500000000001</v>
      </c>
      <c r="AA15" s="14">
        <v>352.41</v>
      </c>
      <c r="AB15" s="14">
        <v>66.37</v>
      </c>
      <c r="AC15" s="14">
        <v>633.67999999999995</v>
      </c>
      <c r="AD15" s="16" t="s">
        <v>147</v>
      </c>
      <c r="AE15" s="16" t="s">
        <v>147</v>
      </c>
      <c r="AF15" s="14">
        <f>SUMIF('Trip Changes'!$B:$B,A15,'Trip Changes'!$E:$E)</f>
        <v>0</v>
      </c>
      <c r="AG15" s="23">
        <f>SUMIF('Trip Cancellations'!$B:$B,A15,'Trip Cancellations'!$E:$E)</f>
        <v>0</v>
      </c>
      <c r="AH15" s="14">
        <f>SUMIF('Trip Cancellations'!$B:$B,A15,'Trip Cancellations'!$F:$F)</f>
        <v>0</v>
      </c>
      <c r="AI15" s="14">
        <f t="shared" si="2"/>
        <v>633.67999999999995</v>
      </c>
      <c r="AJ15" s="14" t="str">
        <f t="shared" si="3"/>
        <v>Yes</v>
      </c>
      <c r="AK15" s="14" t="str">
        <f>IF(Y15=0,"N/A",
IF(_xlfn.XLOOKUP(U15,Hotels!A:A,Hotels!C:C)=TRUE,"Yes","No"))</f>
        <v>Yes</v>
      </c>
      <c r="AL15" s="14" t="str">
        <f>IF(N15="Rail","N/A",IF(_xlfn.XLOOKUP(T15,Airlines!A:A,Airlines!C:C)=TRUE,"Yes","No"))</f>
        <v>N/A</v>
      </c>
      <c r="AM15" s="14" t="str">
        <f t="shared" si="4"/>
        <v>Yes</v>
      </c>
      <c r="AN15" s="14" t="str">
        <f t="shared" si="5"/>
        <v>Yes</v>
      </c>
      <c r="AO15" s="14" t="str">
        <f t="shared" si="6"/>
        <v>Yes</v>
      </c>
      <c r="AP15" s="16" t="s">
        <v>148</v>
      </c>
      <c r="AQ15" t="str">
        <f t="shared" si="14"/>
        <v>Yes</v>
      </c>
      <c r="AR15" s="21">
        <v>4</v>
      </c>
      <c r="AS15" s="5">
        <v>18.600000000000001</v>
      </c>
      <c r="AT15" s="5" t="str">
        <f>IF(T15="","",_xlfn.XLOOKUP(T15,Airlines!A:A,Airlines!B:B,"Not Found"))</f>
        <v/>
      </c>
      <c r="AU15" s="5" t="str">
        <f>IF(U15="","",_xlfn.XLOOKUP(U15,Hotels!A:A,Hotels!B:B,"Not found"))</f>
        <v>Premier Inn</v>
      </c>
      <c r="AV15" t="s">
        <v>147</v>
      </c>
      <c r="AW15" s="16" t="str">
        <f t="shared" si="7"/>
        <v>OK</v>
      </c>
      <c r="AX15" s="16" t="str">
        <f t="shared" si="8"/>
        <v>OK</v>
      </c>
      <c r="AY15" s="16" t="str">
        <f t="shared" si="9"/>
        <v>OK</v>
      </c>
      <c r="AZ15" s="16" t="str">
        <f t="shared" si="10"/>
        <v>OK</v>
      </c>
      <c r="BA15" s="16" t="str">
        <f t="shared" si="15"/>
        <v>OK</v>
      </c>
      <c r="BB15" s="21">
        <f>COUNTIF('Trip Changes'!B:B,A15)</f>
        <v>0</v>
      </c>
      <c r="BC15" s="16" t="str">
        <f>IF(OR(AND(AD15="Yes",COUNTIF('Trip Changes'!B:B,A15)&gt;0),AND(AD15="No",COUNTIF('Trip Changes'!B:B,A15)=0)),"OK","Check")</f>
        <v>OK</v>
      </c>
      <c r="BD15" t="str">
        <f t="shared" si="16"/>
        <v>OK</v>
      </c>
      <c r="BE15" t="str">
        <f t="shared" si="17"/>
        <v>OK</v>
      </c>
      <c r="BF15" t="str">
        <f t="shared" si="18"/>
        <v>OK</v>
      </c>
      <c r="BG15" t="str">
        <f t="shared" si="19"/>
        <v>OK</v>
      </c>
      <c r="BH15" t="str">
        <f t="shared" si="20"/>
        <v>OK</v>
      </c>
      <c r="BI15" t="str">
        <f t="shared" si="11"/>
        <v>OK</v>
      </c>
      <c r="BJ15" t="str">
        <f t="shared" si="12"/>
        <v>OK</v>
      </c>
      <c r="BK15" t="str">
        <f t="shared" si="13"/>
        <v>OK</v>
      </c>
    </row>
    <row r="16" spans="1:63">
      <c r="A16" s="16" t="s">
        <v>206</v>
      </c>
      <c r="B16" s="16" t="s">
        <v>202</v>
      </c>
      <c r="C16" s="16" t="s">
        <v>203</v>
      </c>
      <c r="D16" s="16" t="s">
        <v>204</v>
      </c>
      <c r="E16" s="16" t="s">
        <v>205</v>
      </c>
      <c r="F16" s="16" t="s">
        <v>189</v>
      </c>
      <c r="G16" s="15">
        <v>46129</v>
      </c>
      <c r="H16" s="15">
        <v>46148</v>
      </c>
      <c r="I16" s="15">
        <v>46150</v>
      </c>
      <c r="J16" s="15" t="s">
        <v>163</v>
      </c>
      <c r="K16" s="16" t="s">
        <v>203</v>
      </c>
      <c r="L16" t="s">
        <v>151</v>
      </c>
      <c r="M16" s="16" t="s">
        <v>152</v>
      </c>
      <c r="N16" s="16" t="s">
        <v>153</v>
      </c>
      <c r="O16" t="s">
        <v>1614</v>
      </c>
      <c r="P16" s="18">
        <v>3248</v>
      </c>
      <c r="Q16" s="21">
        <v>19</v>
      </c>
      <c r="R16" s="21" t="str">
        <f t="shared" si="0"/>
        <v>15-30 days</v>
      </c>
      <c r="S16" s="16" t="s">
        <v>207</v>
      </c>
      <c r="T16" s="16" t="s">
        <v>172</v>
      </c>
      <c r="U16" s="16" t="s">
        <v>173</v>
      </c>
      <c r="V16" t="str">
        <f>IF(U16="","",IFERROR(VLOOKUP(U16,Hotels!A:B,2,FALSE),"Not Found"))</f>
        <v>Accor</v>
      </c>
      <c r="W16" s="14">
        <v>495.08</v>
      </c>
      <c r="X16" s="14">
        <v>0</v>
      </c>
      <c r="Y16" s="21">
        <v>1</v>
      </c>
      <c r="Z16" s="29">
        <f t="shared" si="1"/>
        <v>170.56</v>
      </c>
      <c r="AA16" s="14">
        <v>170.56</v>
      </c>
      <c r="AB16" s="14">
        <v>81.709999999999994</v>
      </c>
      <c r="AC16" s="14">
        <v>747.35</v>
      </c>
      <c r="AD16" s="16" t="s">
        <v>147</v>
      </c>
      <c r="AE16" s="16" t="s">
        <v>148</v>
      </c>
      <c r="AF16" s="14">
        <f>SUMIF('Trip Changes'!$B:$B,A16,'Trip Changes'!$E:$E)</f>
        <v>0</v>
      </c>
      <c r="AG16" s="23">
        <f>SUMIF('Trip Cancellations'!$B:$B,A16,'Trip Cancellations'!$E:$E)</f>
        <v>56.37</v>
      </c>
      <c r="AH16" s="14">
        <f>SUMIF('Trip Cancellations'!$B:$B,A16,'Trip Cancellations'!$F:$F)</f>
        <v>166.41</v>
      </c>
      <c r="AI16" s="14">
        <f t="shared" si="2"/>
        <v>637.31000000000006</v>
      </c>
      <c r="AJ16" s="14" t="str">
        <f t="shared" si="3"/>
        <v>Yes</v>
      </c>
      <c r="AK16" s="14" t="str">
        <f>IF(Y16=0,"N/A",
IF(_xlfn.XLOOKUP(U16,Hotels!A:A,Hotels!C:C)=TRUE,"Yes","No"))</f>
        <v>Yes</v>
      </c>
      <c r="AL16" s="14" t="str">
        <f>IF(N16="Rail","N/A",IF(_xlfn.XLOOKUP(T16,Airlines!A:A,Airlines!C:C)=TRUE,"Yes","No"))</f>
        <v>Yes</v>
      </c>
      <c r="AM16" s="14" t="str">
        <f t="shared" si="4"/>
        <v>Yes</v>
      </c>
      <c r="AN16" s="14" t="str">
        <f t="shared" si="5"/>
        <v>No</v>
      </c>
      <c r="AO16" s="14" t="str">
        <f t="shared" si="6"/>
        <v>Yes</v>
      </c>
      <c r="AP16" s="16" t="s">
        <v>148</v>
      </c>
      <c r="AQ16" t="str">
        <f t="shared" si="14"/>
        <v>No</v>
      </c>
      <c r="AR16" s="21">
        <v>3</v>
      </c>
      <c r="AS16" s="5">
        <v>487.2</v>
      </c>
      <c r="AT16" s="5" t="str">
        <f>IF(T16="","",_xlfn.XLOOKUP(T16,Airlines!A:A,Airlines!B:B,"Not Found"))</f>
        <v>Lufthansa</v>
      </c>
      <c r="AU16" s="5" t="str">
        <f>IF(U16="","",_xlfn.XLOOKUP(U16,Hotels!A:A,Hotels!B:B,"Not found"))</f>
        <v>Accor</v>
      </c>
      <c r="AV16" t="s">
        <v>147</v>
      </c>
      <c r="AW16" s="16" t="str">
        <f t="shared" si="7"/>
        <v>OK</v>
      </c>
      <c r="AX16" s="16" t="str">
        <f t="shared" si="8"/>
        <v>OK</v>
      </c>
      <c r="AY16" s="16" t="str">
        <f t="shared" si="9"/>
        <v>OK</v>
      </c>
      <c r="AZ16" s="16" t="str">
        <f t="shared" si="10"/>
        <v>OK</v>
      </c>
      <c r="BA16" s="16" t="str">
        <f t="shared" si="15"/>
        <v>OK</v>
      </c>
      <c r="BB16" s="21">
        <f>COUNTIF('Trip Changes'!B:B,A16)</f>
        <v>0</v>
      </c>
      <c r="BC16" s="16" t="str">
        <f>IF(OR(AND(AD16="Yes",COUNTIF('Trip Changes'!B:B,A16)&gt;0),AND(AD16="No",COUNTIF('Trip Changes'!B:B,A16)=0)),"OK","Check")</f>
        <v>OK</v>
      </c>
      <c r="BD16" t="str">
        <f t="shared" si="16"/>
        <v>OK</v>
      </c>
      <c r="BE16" t="str">
        <f t="shared" si="17"/>
        <v>OK</v>
      </c>
      <c r="BF16" t="str">
        <f t="shared" si="18"/>
        <v>OK</v>
      </c>
      <c r="BG16" t="str">
        <f t="shared" si="19"/>
        <v>OK</v>
      </c>
      <c r="BH16" t="str">
        <f t="shared" si="20"/>
        <v>OK</v>
      </c>
      <c r="BI16" t="str">
        <f t="shared" si="11"/>
        <v>OK</v>
      </c>
      <c r="BJ16" t="str">
        <f t="shared" si="12"/>
        <v>OK</v>
      </c>
      <c r="BK16" t="str">
        <f t="shared" si="13"/>
        <v>OK</v>
      </c>
    </row>
    <row r="17" spans="1:63">
      <c r="A17" s="16" t="s">
        <v>208</v>
      </c>
      <c r="B17" s="16" t="s">
        <v>202</v>
      </c>
      <c r="C17" s="16" t="s">
        <v>203</v>
      </c>
      <c r="D17" s="16" t="s">
        <v>204</v>
      </c>
      <c r="E17" s="16" t="s">
        <v>205</v>
      </c>
      <c r="F17" s="16" t="s">
        <v>189</v>
      </c>
      <c r="G17" s="15">
        <v>46133</v>
      </c>
      <c r="H17" s="15">
        <v>46143</v>
      </c>
      <c r="I17" s="15">
        <v>46146</v>
      </c>
      <c r="J17" s="15" t="s">
        <v>163</v>
      </c>
      <c r="K17" s="16" t="s">
        <v>203</v>
      </c>
      <c r="L17" t="s">
        <v>209</v>
      </c>
      <c r="M17" s="16" t="s">
        <v>152</v>
      </c>
      <c r="N17" s="16" t="s">
        <v>153</v>
      </c>
      <c r="O17" t="s">
        <v>1614</v>
      </c>
      <c r="P17" s="18">
        <v>1008</v>
      </c>
      <c r="Q17" s="21">
        <v>10</v>
      </c>
      <c r="R17" s="21" t="str">
        <f t="shared" si="0"/>
        <v>8-14 days</v>
      </c>
      <c r="S17" s="16" t="s">
        <v>145</v>
      </c>
      <c r="T17" s="16" t="s">
        <v>154</v>
      </c>
      <c r="U17" s="16" t="s">
        <v>190</v>
      </c>
      <c r="V17" t="str">
        <f>IF(U17="","",IFERROR(VLOOKUP(U17,Hotels!A:B,2,FALSE),"Not Found"))</f>
        <v>Radisson Hotel Group</v>
      </c>
      <c r="W17" s="14">
        <v>564.54999999999995</v>
      </c>
      <c r="X17" s="14">
        <v>0</v>
      </c>
      <c r="Y17" s="21">
        <v>2</v>
      </c>
      <c r="Z17" s="29">
        <f t="shared" si="1"/>
        <v>157.32499999999999</v>
      </c>
      <c r="AA17" s="14">
        <v>314.64999999999998</v>
      </c>
      <c r="AB17" s="14">
        <v>58.08</v>
      </c>
      <c r="AC17" s="14">
        <v>937.28</v>
      </c>
      <c r="AD17" s="16" t="s">
        <v>148</v>
      </c>
      <c r="AE17" s="16" t="s">
        <v>147</v>
      </c>
      <c r="AF17" s="14">
        <f>SUMIF('Trip Changes'!$B:$B,A17,'Trip Changes'!$E:$E)</f>
        <v>323.39999999999998</v>
      </c>
      <c r="AG17" s="23">
        <f>SUMIF('Trip Cancellations'!$B:$B,A17,'Trip Cancellations'!$E:$E)</f>
        <v>0</v>
      </c>
      <c r="AH17" s="14">
        <f>SUMIF('Trip Cancellations'!$B:$B,A17,'Trip Cancellations'!$F:$F)</f>
        <v>0</v>
      </c>
      <c r="AI17" s="14">
        <f t="shared" si="2"/>
        <v>1260.6799999999998</v>
      </c>
      <c r="AJ17" s="14" t="str">
        <f t="shared" si="3"/>
        <v>Yes</v>
      </c>
      <c r="AK17" s="14" t="str">
        <f>IF(Y17=0,"N/A",
IF(_xlfn.XLOOKUP(U17,Hotels!A:A,Hotels!C:C)=TRUE,"Yes","No"))</f>
        <v>No</v>
      </c>
      <c r="AL17" s="14" t="str">
        <f>IF(N17="Rail","N/A",IF(_xlfn.XLOOKUP(T17,Airlines!A:A,Airlines!C:C)=TRUE,"Yes","No"))</f>
        <v>Yes</v>
      </c>
      <c r="AM17" s="14" t="str">
        <f t="shared" si="4"/>
        <v>Yes</v>
      </c>
      <c r="AN17" s="14" t="str">
        <f t="shared" si="5"/>
        <v>Yes</v>
      </c>
      <c r="AO17" s="14" t="str">
        <f t="shared" si="6"/>
        <v>No</v>
      </c>
      <c r="AP17" s="16" t="s">
        <v>148</v>
      </c>
      <c r="AQ17" t="str">
        <f t="shared" si="14"/>
        <v>No</v>
      </c>
      <c r="AR17" s="21">
        <v>4</v>
      </c>
      <c r="AS17" s="5">
        <v>151.19999999999999</v>
      </c>
      <c r="AT17" s="5" t="str">
        <f>IF(T17="","",_xlfn.XLOOKUP(T17,Airlines!A:A,Airlines!B:B,"Not Found"))</f>
        <v>British Airways</v>
      </c>
      <c r="AU17" s="5" t="str">
        <f>IF(U17="","",_xlfn.XLOOKUP(U17,Hotels!A:A,Hotels!B:B,"Not found"))</f>
        <v>Radisson Hotel Group</v>
      </c>
      <c r="AV17" t="s">
        <v>148</v>
      </c>
      <c r="AW17" s="16" t="str">
        <f t="shared" si="7"/>
        <v>OK</v>
      </c>
      <c r="AX17" s="16" t="str">
        <f t="shared" si="8"/>
        <v>OK</v>
      </c>
      <c r="AY17" s="16" t="str">
        <f t="shared" si="9"/>
        <v>OK</v>
      </c>
      <c r="AZ17" s="16" t="str">
        <f t="shared" si="10"/>
        <v>OK</v>
      </c>
      <c r="BA17" s="16" t="str">
        <f t="shared" si="15"/>
        <v>OK</v>
      </c>
      <c r="BB17" s="21">
        <f>COUNTIF('Trip Changes'!B:B,A17)</f>
        <v>2</v>
      </c>
      <c r="BC17" s="16" t="str">
        <f>IF(OR(AND(AD17="Yes",COUNTIF('Trip Changes'!B:B,A17)&gt;0),AND(AD17="No",COUNTIF('Trip Changes'!B:B,A17)=0)),"OK","Check")</f>
        <v>OK</v>
      </c>
      <c r="BD17" t="str">
        <f t="shared" si="16"/>
        <v>OK</v>
      </c>
      <c r="BE17" t="str">
        <f t="shared" si="17"/>
        <v>OK</v>
      </c>
      <c r="BF17" t="str">
        <f t="shared" si="18"/>
        <v>OK</v>
      </c>
      <c r="BG17" t="str">
        <f t="shared" si="19"/>
        <v>OK</v>
      </c>
      <c r="BH17" t="str">
        <f t="shared" si="20"/>
        <v>OK</v>
      </c>
      <c r="BI17" t="str">
        <f t="shared" si="11"/>
        <v>OK</v>
      </c>
      <c r="BJ17" t="str">
        <f t="shared" si="12"/>
        <v>OK</v>
      </c>
      <c r="BK17" t="str">
        <f t="shared" si="13"/>
        <v>OK</v>
      </c>
    </row>
    <row r="18" spans="1:63">
      <c r="A18" s="16" t="s">
        <v>210</v>
      </c>
      <c r="B18" s="16" t="s">
        <v>202</v>
      </c>
      <c r="C18" s="16" t="s">
        <v>203</v>
      </c>
      <c r="D18" s="16" t="s">
        <v>204</v>
      </c>
      <c r="E18" s="16" t="s">
        <v>205</v>
      </c>
      <c r="F18" s="16" t="s">
        <v>140</v>
      </c>
      <c r="G18" s="15">
        <v>46219</v>
      </c>
      <c r="H18" s="15">
        <v>46234</v>
      </c>
      <c r="I18" s="15">
        <v>46236</v>
      </c>
      <c r="J18" s="15" t="s">
        <v>150</v>
      </c>
      <c r="K18" s="16" t="s">
        <v>203</v>
      </c>
      <c r="L18" t="s">
        <v>171</v>
      </c>
      <c r="M18" s="16" t="s">
        <v>152</v>
      </c>
      <c r="N18" s="16" t="s">
        <v>153</v>
      </c>
      <c r="O18" t="s">
        <v>1614</v>
      </c>
      <c r="P18" s="18">
        <v>1742</v>
      </c>
      <c r="Q18" s="21">
        <v>15</v>
      </c>
      <c r="R18" s="21" t="str">
        <f t="shared" si="0"/>
        <v>15-30 days</v>
      </c>
      <c r="S18" s="16" t="s">
        <v>145</v>
      </c>
      <c r="T18" s="16" t="s">
        <v>172</v>
      </c>
      <c r="U18" s="16" t="s">
        <v>173</v>
      </c>
      <c r="V18" t="str">
        <f>IF(U18="","",IFERROR(VLOOKUP(U18,Hotels!A:B,2,FALSE),"Not Found"))</f>
        <v>Accor</v>
      </c>
      <c r="W18" s="14">
        <v>428.63</v>
      </c>
      <c r="X18" s="14">
        <v>0</v>
      </c>
      <c r="Y18" s="21">
        <v>1</v>
      </c>
      <c r="Z18" s="29">
        <f t="shared" si="1"/>
        <v>221.58</v>
      </c>
      <c r="AA18" s="14">
        <v>221.58</v>
      </c>
      <c r="AB18" s="14">
        <v>108.19</v>
      </c>
      <c r="AC18" s="14">
        <v>758.4</v>
      </c>
      <c r="AD18" s="16" t="s">
        <v>147</v>
      </c>
      <c r="AE18" s="16" t="s">
        <v>147</v>
      </c>
      <c r="AF18" s="14">
        <f>SUMIF('Trip Changes'!$B:$B,A18,'Trip Changes'!$E:$E)</f>
        <v>0</v>
      </c>
      <c r="AG18" s="23">
        <f>SUMIF('Trip Cancellations'!$B:$B,A18,'Trip Cancellations'!$E:$E)</f>
        <v>0</v>
      </c>
      <c r="AH18" s="14">
        <f>SUMIF('Trip Cancellations'!$B:$B,A18,'Trip Cancellations'!$F:$F)</f>
        <v>0</v>
      </c>
      <c r="AI18" s="14">
        <f t="shared" si="2"/>
        <v>758.4</v>
      </c>
      <c r="AJ18" s="14" t="str">
        <f t="shared" si="3"/>
        <v>No</v>
      </c>
      <c r="AK18" s="14" t="str">
        <f>IF(Y18=0,"N/A",
IF(_xlfn.XLOOKUP(U18,Hotels!A:A,Hotels!C:C)=TRUE,"Yes","No"))</f>
        <v>Yes</v>
      </c>
      <c r="AL18" s="14" t="str">
        <f>IF(N18="Rail","N/A",IF(_xlfn.XLOOKUP(T18,Airlines!A:A,Airlines!C:C)=TRUE,"Yes","No"))</f>
        <v>Yes</v>
      </c>
      <c r="AM18" s="14" t="str">
        <f t="shared" si="4"/>
        <v>Yes</v>
      </c>
      <c r="AN18" s="14" t="str">
        <f t="shared" si="5"/>
        <v>Yes</v>
      </c>
      <c r="AO18" s="14" t="str">
        <f t="shared" si="6"/>
        <v>Yes</v>
      </c>
      <c r="AP18" s="16" t="s">
        <v>148</v>
      </c>
      <c r="AQ18" t="str">
        <f t="shared" si="14"/>
        <v>No</v>
      </c>
      <c r="AR18" s="21">
        <v>5</v>
      </c>
      <c r="AS18" s="5">
        <v>261.3</v>
      </c>
      <c r="AT18" s="5" t="str">
        <f>IF(T18="","",_xlfn.XLOOKUP(T18,Airlines!A:A,Airlines!B:B,"Not Found"))</f>
        <v>Lufthansa</v>
      </c>
      <c r="AU18" s="5" t="str">
        <f>IF(U18="","",_xlfn.XLOOKUP(U18,Hotels!A:A,Hotels!B:B,"Not found"))</f>
        <v>Accor</v>
      </c>
      <c r="AV18" t="s">
        <v>147</v>
      </c>
      <c r="AW18" s="16" t="str">
        <f t="shared" si="7"/>
        <v>OK</v>
      </c>
      <c r="AX18" s="16" t="str">
        <f t="shared" si="8"/>
        <v>OK</v>
      </c>
      <c r="AY18" s="16" t="str">
        <f t="shared" si="9"/>
        <v>OK</v>
      </c>
      <c r="AZ18" s="16" t="str">
        <f t="shared" si="10"/>
        <v>OK</v>
      </c>
      <c r="BA18" s="16" t="str">
        <f t="shared" si="15"/>
        <v>OK</v>
      </c>
      <c r="BB18" s="21">
        <f>COUNTIF('Trip Changes'!B:B,A18)</f>
        <v>0</v>
      </c>
      <c r="BC18" s="16" t="str">
        <f>IF(OR(AND(AD18="Yes",COUNTIF('Trip Changes'!B:B,A18)&gt;0),AND(AD18="No",COUNTIF('Trip Changes'!B:B,A18)=0)),"OK","Check")</f>
        <v>OK</v>
      </c>
      <c r="BD18" t="str">
        <f t="shared" si="16"/>
        <v>OK</v>
      </c>
      <c r="BE18" t="str">
        <f t="shared" si="17"/>
        <v>OK</v>
      </c>
      <c r="BF18" t="str">
        <f t="shared" si="18"/>
        <v>OK</v>
      </c>
      <c r="BG18" t="str">
        <f t="shared" si="19"/>
        <v>OK</v>
      </c>
      <c r="BH18" t="str">
        <f t="shared" si="20"/>
        <v>OK</v>
      </c>
      <c r="BI18" t="str">
        <f t="shared" si="11"/>
        <v>OK</v>
      </c>
      <c r="BJ18" t="str">
        <f t="shared" si="12"/>
        <v>OK</v>
      </c>
      <c r="BK18" t="str">
        <f t="shared" si="13"/>
        <v>OK</v>
      </c>
    </row>
    <row r="19" spans="1:63">
      <c r="A19" s="16" t="s">
        <v>211</v>
      </c>
      <c r="B19" s="16" t="s">
        <v>202</v>
      </c>
      <c r="C19" s="16" t="s">
        <v>203</v>
      </c>
      <c r="D19" s="16" t="s">
        <v>204</v>
      </c>
      <c r="E19" s="16" t="s">
        <v>205</v>
      </c>
      <c r="F19" s="16" t="s">
        <v>162</v>
      </c>
      <c r="G19" s="15">
        <v>46167</v>
      </c>
      <c r="H19" s="15">
        <v>46201</v>
      </c>
      <c r="I19" s="15">
        <v>46203</v>
      </c>
      <c r="J19" s="15" t="s">
        <v>141</v>
      </c>
      <c r="K19" s="16" t="s">
        <v>203</v>
      </c>
      <c r="L19" t="s">
        <v>182</v>
      </c>
      <c r="M19" s="16" t="s">
        <v>143</v>
      </c>
      <c r="N19" s="16" t="s">
        <v>144</v>
      </c>
      <c r="O19" t="s">
        <v>1630</v>
      </c>
      <c r="P19" s="18">
        <v>926</v>
      </c>
      <c r="Q19" s="21">
        <v>34</v>
      </c>
      <c r="R19" s="21" t="str">
        <f t="shared" si="0"/>
        <v>31+ days</v>
      </c>
      <c r="S19" s="16" t="s">
        <v>159</v>
      </c>
      <c r="U19" s="16" t="s">
        <v>146</v>
      </c>
      <c r="V19" t="str">
        <f>IF(U19="","",IFERROR(VLOOKUP(U19,Hotels!A:B,2,FALSE),"Not Found"))</f>
        <v>Premier Inn</v>
      </c>
      <c r="W19" s="14">
        <v>0</v>
      </c>
      <c r="X19" s="14">
        <v>183.42</v>
      </c>
      <c r="Y19" s="21">
        <v>1</v>
      </c>
      <c r="Z19" s="29">
        <f t="shared" si="1"/>
        <v>173.9</v>
      </c>
      <c r="AA19" s="14">
        <v>173.9</v>
      </c>
      <c r="AB19" s="14">
        <v>23.93</v>
      </c>
      <c r="AC19" s="14">
        <v>381.25</v>
      </c>
      <c r="AD19" s="16" t="s">
        <v>147</v>
      </c>
      <c r="AE19" s="16" t="s">
        <v>147</v>
      </c>
      <c r="AF19" s="14">
        <f>SUMIF('Trip Changes'!$B:$B,A19,'Trip Changes'!$E:$E)</f>
        <v>0</v>
      </c>
      <c r="AG19" s="23">
        <f>SUMIF('Trip Cancellations'!$B:$B,A19,'Trip Cancellations'!$E:$E)</f>
        <v>0</v>
      </c>
      <c r="AH19" s="14">
        <f>SUMIF('Trip Cancellations'!$B:$B,A19,'Trip Cancellations'!$F:$F)</f>
        <v>0</v>
      </c>
      <c r="AI19" s="14">
        <f t="shared" si="2"/>
        <v>381.25</v>
      </c>
      <c r="AJ19" s="14" t="str">
        <f t="shared" si="3"/>
        <v>Yes</v>
      </c>
      <c r="AK19" s="14" t="str">
        <f>IF(Y19=0,"N/A",
IF(_xlfn.XLOOKUP(U19,Hotels!A:A,Hotels!C:C)=TRUE,"Yes","No"))</f>
        <v>Yes</v>
      </c>
      <c r="AL19" s="14" t="str">
        <f>IF(N19="Rail","N/A",IF(_xlfn.XLOOKUP(T19,Airlines!A:A,Airlines!C:C)=TRUE,"Yes","No"))</f>
        <v>N/A</v>
      </c>
      <c r="AM19" s="14" t="str">
        <f t="shared" si="4"/>
        <v>Yes</v>
      </c>
      <c r="AN19" s="14" t="str">
        <f t="shared" si="5"/>
        <v>Yes</v>
      </c>
      <c r="AO19" s="14" t="str">
        <f t="shared" si="6"/>
        <v>Yes</v>
      </c>
      <c r="AP19" s="16" t="s">
        <v>148</v>
      </c>
      <c r="AQ19" t="str">
        <f t="shared" si="14"/>
        <v>Yes</v>
      </c>
      <c r="AR19" s="21">
        <v>4</v>
      </c>
      <c r="AS19" s="5">
        <v>37</v>
      </c>
      <c r="AT19" s="5" t="str">
        <f>IF(T19="","",_xlfn.XLOOKUP(T19,Airlines!A:A,Airlines!B:B,"Not Found"))</f>
        <v/>
      </c>
      <c r="AU19" s="5" t="str">
        <f>IF(U19="","",_xlfn.XLOOKUP(U19,Hotels!A:A,Hotels!B:B,"Not found"))</f>
        <v>Premier Inn</v>
      </c>
      <c r="AV19" t="s">
        <v>148</v>
      </c>
      <c r="AW19" s="16" t="str">
        <f t="shared" si="7"/>
        <v>OK</v>
      </c>
      <c r="AX19" s="16" t="str">
        <f t="shared" si="8"/>
        <v>OK</v>
      </c>
      <c r="AY19" s="16" t="str">
        <f t="shared" si="9"/>
        <v>OK</v>
      </c>
      <c r="AZ19" s="16" t="str">
        <f t="shared" si="10"/>
        <v>OK</v>
      </c>
      <c r="BA19" s="16" t="str">
        <f t="shared" si="15"/>
        <v>OK</v>
      </c>
      <c r="BB19" s="21">
        <f>COUNTIF('Trip Changes'!B:B,A19)</f>
        <v>0</v>
      </c>
      <c r="BC19" s="16" t="str">
        <f>IF(OR(AND(AD19="Yes",COUNTIF('Trip Changes'!B:B,A19)&gt;0),AND(AD19="No",COUNTIF('Trip Changes'!B:B,A19)=0)),"OK","Check")</f>
        <v>OK</v>
      </c>
      <c r="BD19" t="str">
        <f t="shared" si="16"/>
        <v>OK</v>
      </c>
      <c r="BE19" t="str">
        <f t="shared" si="17"/>
        <v>OK</v>
      </c>
      <c r="BF19" t="str">
        <f t="shared" si="18"/>
        <v>OK</v>
      </c>
      <c r="BG19" t="str">
        <f t="shared" si="19"/>
        <v>OK</v>
      </c>
      <c r="BH19" t="str">
        <f t="shared" si="20"/>
        <v>OK</v>
      </c>
      <c r="BI19" t="str">
        <f t="shared" si="11"/>
        <v>OK</v>
      </c>
      <c r="BJ19" t="str">
        <f t="shared" si="12"/>
        <v>OK</v>
      </c>
      <c r="BK19" t="str">
        <f t="shared" si="13"/>
        <v>OK</v>
      </c>
    </row>
    <row r="20" spans="1:63">
      <c r="A20" s="16" t="s">
        <v>212</v>
      </c>
      <c r="B20" s="16" t="s">
        <v>213</v>
      </c>
      <c r="C20" s="16" t="s">
        <v>182</v>
      </c>
      <c r="D20" s="16" t="s">
        <v>138</v>
      </c>
      <c r="E20" s="16" t="s">
        <v>169</v>
      </c>
      <c r="F20" s="16" t="s">
        <v>140</v>
      </c>
      <c r="G20" s="15">
        <v>46163</v>
      </c>
      <c r="H20" s="15">
        <v>46178</v>
      </c>
      <c r="I20" s="15">
        <v>46180</v>
      </c>
      <c r="J20" s="15" t="s">
        <v>141</v>
      </c>
      <c r="K20" s="16" t="s">
        <v>182</v>
      </c>
      <c r="L20" t="s">
        <v>175</v>
      </c>
      <c r="M20" s="16" t="s">
        <v>152</v>
      </c>
      <c r="N20" s="16" t="s">
        <v>153</v>
      </c>
      <c r="O20" t="s">
        <v>1631</v>
      </c>
      <c r="P20" s="18">
        <v>3392</v>
      </c>
      <c r="Q20" s="21">
        <v>15</v>
      </c>
      <c r="R20" s="21" t="str">
        <f t="shared" si="0"/>
        <v>15-30 days</v>
      </c>
      <c r="S20" s="16" t="s">
        <v>145</v>
      </c>
      <c r="T20" s="16" t="s">
        <v>172</v>
      </c>
      <c r="U20" s="16" t="s">
        <v>155</v>
      </c>
      <c r="V20" t="str">
        <f>IF(U20="","",IFERROR(VLOOKUP(U20,Hotels!A:B,2,FALSE),"Not Found"))</f>
        <v>Hilton</v>
      </c>
      <c r="W20" s="14">
        <v>404.59</v>
      </c>
      <c r="X20" s="14">
        <v>0</v>
      </c>
      <c r="Y20" s="21">
        <v>1</v>
      </c>
      <c r="Z20" s="29">
        <f t="shared" si="1"/>
        <v>104.98</v>
      </c>
      <c r="AA20" s="14">
        <v>104.98</v>
      </c>
      <c r="AB20" s="14">
        <v>120.09</v>
      </c>
      <c r="AC20" s="14">
        <v>629.66</v>
      </c>
      <c r="AD20" s="16" t="s">
        <v>147</v>
      </c>
      <c r="AE20" s="16" t="s">
        <v>147</v>
      </c>
      <c r="AF20" s="14">
        <f>SUMIF('Trip Changes'!$B:$B,A20,'Trip Changes'!$E:$E)</f>
        <v>0</v>
      </c>
      <c r="AG20" s="23">
        <f>SUMIF('Trip Cancellations'!$B:$B,A20,'Trip Cancellations'!$E:$E)</f>
        <v>0</v>
      </c>
      <c r="AH20" s="14">
        <f>SUMIF('Trip Cancellations'!$B:$B,A20,'Trip Cancellations'!$F:$F)</f>
        <v>0</v>
      </c>
      <c r="AI20" s="14">
        <f t="shared" si="2"/>
        <v>629.66</v>
      </c>
      <c r="AJ20" s="14" t="str">
        <f t="shared" si="3"/>
        <v>Yes</v>
      </c>
      <c r="AK20" s="14" t="str">
        <f>IF(Y20=0,"N/A",
IF(_xlfn.XLOOKUP(U20,Hotels!A:A,Hotels!C:C)=TRUE,"Yes","No"))</f>
        <v>Yes</v>
      </c>
      <c r="AL20" s="14" t="str">
        <f>IF(N20="Rail","N/A",IF(_xlfn.XLOOKUP(T20,Airlines!A:A,Airlines!C:C)=TRUE,"Yes","No"))</f>
        <v>Yes</v>
      </c>
      <c r="AM20" s="14" t="str">
        <f t="shared" si="4"/>
        <v>No</v>
      </c>
      <c r="AN20" s="14" t="str">
        <f t="shared" si="5"/>
        <v>Yes</v>
      </c>
      <c r="AO20" s="14" t="str">
        <f t="shared" si="6"/>
        <v>Yes</v>
      </c>
      <c r="AP20" s="16" t="s">
        <v>148</v>
      </c>
      <c r="AQ20" t="str">
        <f t="shared" si="14"/>
        <v>No</v>
      </c>
      <c r="AR20" s="21">
        <v>4</v>
      </c>
      <c r="AS20" s="5">
        <v>508.8</v>
      </c>
      <c r="AT20" s="5" t="str">
        <f>IF(T20="","",_xlfn.XLOOKUP(T20,Airlines!A:A,Airlines!B:B,"Not Found"))</f>
        <v>Lufthansa</v>
      </c>
      <c r="AU20" s="5" t="str">
        <f>IF(U20="","",_xlfn.XLOOKUP(U20,Hotels!A:A,Hotels!B:B,"Not found"))</f>
        <v>Hilton</v>
      </c>
      <c r="AV20" t="s">
        <v>147</v>
      </c>
      <c r="AW20" s="16" t="str">
        <f t="shared" si="7"/>
        <v>OK</v>
      </c>
      <c r="AX20" s="16" t="str">
        <f t="shared" si="8"/>
        <v>OK</v>
      </c>
      <c r="AY20" s="16" t="str">
        <f t="shared" si="9"/>
        <v>OK</v>
      </c>
      <c r="AZ20" s="16" t="str">
        <f t="shared" si="10"/>
        <v>OK</v>
      </c>
      <c r="BA20" s="16" t="str">
        <f t="shared" si="15"/>
        <v>OK</v>
      </c>
      <c r="BB20" s="21">
        <f>COUNTIF('Trip Changes'!B:B,A20)</f>
        <v>0</v>
      </c>
      <c r="BC20" s="16" t="str">
        <f>IF(OR(AND(AD20="Yes",COUNTIF('Trip Changes'!B:B,A20)&gt;0),AND(AD20="No",COUNTIF('Trip Changes'!B:B,A20)=0)),"OK","Check")</f>
        <v>OK</v>
      </c>
      <c r="BD20" t="str">
        <f t="shared" si="16"/>
        <v>OK</v>
      </c>
      <c r="BE20" t="str">
        <f t="shared" si="17"/>
        <v>OK</v>
      </c>
      <c r="BF20" t="str">
        <f t="shared" si="18"/>
        <v>OK</v>
      </c>
      <c r="BG20" t="str">
        <f t="shared" si="19"/>
        <v>OK</v>
      </c>
      <c r="BH20" t="str">
        <f t="shared" si="20"/>
        <v>OK</v>
      </c>
      <c r="BI20" t="str">
        <f t="shared" si="11"/>
        <v>OK</v>
      </c>
      <c r="BJ20" t="str">
        <f t="shared" si="12"/>
        <v>OK</v>
      </c>
      <c r="BK20" t="str">
        <f t="shared" si="13"/>
        <v>OK</v>
      </c>
    </row>
    <row r="21" spans="1:63">
      <c r="A21" s="16" t="s">
        <v>214</v>
      </c>
      <c r="B21" s="16" t="s">
        <v>213</v>
      </c>
      <c r="C21" s="16" t="s">
        <v>182</v>
      </c>
      <c r="D21" s="16" t="s">
        <v>138</v>
      </c>
      <c r="E21" s="16" t="s">
        <v>169</v>
      </c>
      <c r="F21" s="16" t="s">
        <v>181</v>
      </c>
      <c r="G21" s="15">
        <v>46163</v>
      </c>
      <c r="H21" s="15">
        <v>46175</v>
      </c>
      <c r="I21" s="15">
        <v>46179</v>
      </c>
      <c r="J21" s="15" t="s">
        <v>141</v>
      </c>
      <c r="K21" s="16" t="s">
        <v>182</v>
      </c>
      <c r="L21" t="s">
        <v>215</v>
      </c>
      <c r="M21" s="16" t="s">
        <v>152</v>
      </c>
      <c r="N21" s="16" t="s">
        <v>153</v>
      </c>
      <c r="O21" t="s">
        <v>1614</v>
      </c>
      <c r="P21" s="18">
        <v>3324</v>
      </c>
      <c r="Q21" s="21">
        <v>12</v>
      </c>
      <c r="R21" s="21" t="str">
        <f t="shared" si="0"/>
        <v>8-14 days</v>
      </c>
      <c r="S21" s="16" t="s">
        <v>216</v>
      </c>
      <c r="T21" s="16" t="s">
        <v>160</v>
      </c>
      <c r="U21" s="16" t="s">
        <v>190</v>
      </c>
      <c r="V21" t="str">
        <f>IF(U21="","",IFERROR(VLOOKUP(U21,Hotels!A:B,2,FALSE),"Not Found"))</f>
        <v>Radisson Hotel Group</v>
      </c>
      <c r="W21" s="14">
        <v>425.02</v>
      </c>
      <c r="X21" s="14">
        <v>0</v>
      </c>
      <c r="Y21" s="21">
        <v>3</v>
      </c>
      <c r="Z21" s="29">
        <f t="shared" si="1"/>
        <v>175.6</v>
      </c>
      <c r="AA21" s="14">
        <v>526.79999999999995</v>
      </c>
      <c r="AB21" s="14">
        <v>74.849999999999994</v>
      </c>
      <c r="AC21" s="14">
        <v>1026.67</v>
      </c>
      <c r="AD21" s="16" t="s">
        <v>147</v>
      </c>
      <c r="AE21" s="16" t="s">
        <v>147</v>
      </c>
      <c r="AF21" s="14">
        <f>SUMIF('Trip Changes'!$B:$B,A21,'Trip Changes'!$E:$E)</f>
        <v>0</v>
      </c>
      <c r="AG21" s="23">
        <f>SUMIF('Trip Cancellations'!$B:$B,A21,'Trip Cancellations'!$E:$E)</f>
        <v>0</v>
      </c>
      <c r="AH21" s="14">
        <f>SUMIF('Trip Cancellations'!$B:$B,A21,'Trip Cancellations'!$F:$F)</f>
        <v>0</v>
      </c>
      <c r="AI21" s="14">
        <f t="shared" si="2"/>
        <v>1026.67</v>
      </c>
      <c r="AJ21" s="14" t="str">
        <f t="shared" si="3"/>
        <v>Yes</v>
      </c>
      <c r="AK21" s="14" t="str">
        <f>IF(Y21=0,"N/A",
IF(_xlfn.XLOOKUP(U21,Hotels!A:A,Hotels!C:C)=TRUE,"Yes","No"))</f>
        <v>No</v>
      </c>
      <c r="AL21" s="14" t="str">
        <f>IF(N21="Rail","N/A",IF(_xlfn.XLOOKUP(T21,Airlines!A:A,Airlines!C:C)=TRUE,"Yes","No"))</f>
        <v>Yes</v>
      </c>
      <c r="AM21" s="14" t="str">
        <f t="shared" si="4"/>
        <v>Yes</v>
      </c>
      <c r="AN21" s="14" t="str">
        <f t="shared" si="5"/>
        <v>No</v>
      </c>
      <c r="AO21" s="14" t="str">
        <f t="shared" si="6"/>
        <v>No</v>
      </c>
      <c r="AP21" s="16" t="s">
        <v>148</v>
      </c>
      <c r="AQ21" t="str">
        <f t="shared" si="14"/>
        <v>No</v>
      </c>
      <c r="AR21" s="21">
        <v>4</v>
      </c>
      <c r="AS21" s="5">
        <v>498.6</v>
      </c>
      <c r="AT21" s="5" t="str">
        <f>IF(T21="","",_xlfn.XLOOKUP(T21,Airlines!A:A,Airlines!B:B,"Not Found"))</f>
        <v>Air France</v>
      </c>
      <c r="AU21" s="5" t="str">
        <f>IF(U21="","",_xlfn.XLOOKUP(U21,Hotels!A:A,Hotels!B:B,"Not found"))</f>
        <v>Radisson Hotel Group</v>
      </c>
      <c r="AV21" t="s">
        <v>147</v>
      </c>
      <c r="AW21" s="16" t="str">
        <f t="shared" si="7"/>
        <v>OK</v>
      </c>
      <c r="AX21" s="16" t="str">
        <f t="shared" si="8"/>
        <v>OK</v>
      </c>
      <c r="AY21" s="16" t="str">
        <f t="shared" si="9"/>
        <v>OK</v>
      </c>
      <c r="AZ21" s="16" t="str">
        <f t="shared" si="10"/>
        <v>OK</v>
      </c>
      <c r="BA21" s="16" t="str">
        <f t="shared" si="15"/>
        <v>OK</v>
      </c>
      <c r="BB21" s="21">
        <f>COUNTIF('Trip Changes'!B:B,A21)</f>
        <v>0</v>
      </c>
      <c r="BC21" s="16" t="str">
        <f>IF(OR(AND(AD21="Yes",COUNTIF('Trip Changes'!B:B,A21)&gt;0),AND(AD21="No",COUNTIF('Trip Changes'!B:B,A21)=0)),"OK","Check")</f>
        <v>OK</v>
      </c>
      <c r="BD21" t="str">
        <f t="shared" si="16"/>
        <v>OK</v>
      </c>
      <c r="BE21" t="str">
        <f t="shared" si="17"/>
        <v>OK</v>
      </c>
      <c r="BF21" t="str">
        <f t="shared" si="18"/>
        <v>OK</v>
      </c>
      <c r="BG21" t="str">
        <f t="shared" si="19"/>
        <v>OK</v>
      </c>
      <c r="BH21" t="str">
        <f t="shared" si="20"/>
        <v>OK</v>
      </c>
      <c r="BI21" t="str">
        <f t="shared" si="11"/>
        <v>OK</v>
      </c>
      <c r="BJ21" t="str">
        <f t="shared" si="12"/>
        <v>OK</v>
      </c>
      <c r="BK21" t="str">
        <f t="shared" si="13"/>
        <v>OK</v>
      </c>
    </row>
    <row r="22" spans="1:63">
      <c r="A22" s="16" t="s">
        <v>217</v>
      </c>
      <c r="B22" s="16" t="s">
        <v>213</v>
      </c>
      <c r="C22" s="16" t="s">
        <v>182</v>
      </c>
      <c r="D22" s="16" t="s">
        <v>138</v>
      </c>
      <c r="E22" s="16" t="s">
        <v>169</v>
      </c>
      <c r="F22" s="16" t="s">
        <v>140</v>
      </c>
      <c r="G22" s="15">
        <v>46166</v>
      </c>
      <c r="H22" s="15">
        <v>46191</v>
      </c>
      <c r="I22" s="15">
        <v>46195</v>
      </c>
      <c r="J22" s="15" t="s">
        <v>141</v>
      </c>
      <c r="K22" s="16" t="s">
        <v>182</v>
      </c>
      <c r="L22" t="s">
        <v>175</v>
      </c>
      <c r="M22" s="16" t="s">
        <v>152</v>
      </c>
      <c r="N22" s="16" t="s">
        <v>153</v>
      </c>
      <c r="O22" t="s">
        <v>1614</v>
      </c>
      <c r="P22" s="18">
        <v>1578</v>
      </c>
      <c r="Q22" s="21">
        <v>25</v>
      </c>
      <c r="R22" s="21" t="str">
        <f t="shared" si="0"/>
        <v>15-30 days</v>
      </c>
      <c r="S22" s="16" t="s">
        <v>159</v>
      </c>
      <c r="T22" s="16" t="s">
        <v>154</v>
      </c>
      <c r="U22" s="16" t="s">
        <v>187</v>
      </c>
      <c r="V22" t="str">
        <f>IF(U22="","",IFERROR(VLOOKUP(U22,Hotels!A:B,2,FALSE),"Not Found"))</f>
        <v>IHG Hotels &amp; Resorts</v>
      </c>
      <c r="W22" s="14">
        <v>262.27999999999997</v>
      </c>
      <c r="X22" s="14">
        <v>0</v>
      </c>
      <c r="Y22" s="21">
        <v>3</v>
      </c>
      <c r="Z22" s="29">
        <f t="shared" si="1"/>
        <v>146.78</v>
      </c>
      <c r="AA22" s="14">
        <v>440.34</v>
      </c>
      <c r="AB22" s="14">
        <v>97.7</v>
      </c>
      <c r="AC22" s="14">
        <v>800.32</v>
      </c>
      <c r="AD22" s="16" t="s">
        <v>147</v>
      </c>
      <c r="AE22" s="16" t="s">
        <v>147</v>
      </c>
      <c r="AF22" s="14">
        <f>SUMIF('Trip Changes'!$B:$B,A22,'Trip Changes'!$E:$E)</f>
        <v>0</v>
      </c>
      <c r="AG22" s="23">
        <f>SUMIF('Trip Cancellations'!$B:$B,A22,'Trip Cancellations'!$E:$E)</f>
        <v>0</v>
      </c>
      <c r="AH22" s="14">
        <f>SUMIF('Trip Cancellations'!$B:$B,A22,'Trip Cancellations'!$F:$F)</f>
        <v>0</v>
      </c>
      <c r="AI22" s="14">
        <f t="shared" si="2"/>
        <v>800.32</v>
      </c>
      <c r="AJ22" s="14" t="str">
        <f t="shared" si="3"/>
        <v>Yes</v>
      </c>
      <c r="AK22" s="14" t="str">
        <f>IF(Y22=0,"N/A",
IF(_xlfn.XLOOKUP(U22,Hotels!A:A,Hotels!C:C)=TRUE,"Yes","No"))</f>
        <v>Yes</v>
      </c>
      <c r="AL22" s="14" t="str">
        <f>IF(N22="Rail","N/A",IF(_xlfn.XLOOKUP(T22,Airlines!A:A,Airlines!C:C)=TRUE,"Yes","No"))</f>
        <v>Yes</v>
      </c>
      <c r="AM22" s="14" t="str">
        <f t="shared" si="4"/>
        <v>Yes</v>
      </c>
      <c r="AN22" s="14" t="str">
        <f t="shared" si="5"/>
        <v>Yes</v>
      </c>
      <c r="AO22" s="14" t="str">
        <f t="shared" si="6"/>
        <v>Yes</v>
      </c>
      <c r="AP22" s="16" t="s">
        <v>148</v>
      </c>
      <c r="AQ22" t="str">
        <f t="shared" si="14"/>
        <v>Yes</v>
      </c>
      <c r="AR22" s="21">
        <v>5</v>
      </c>
      <c r="AS22" s="5">
        <v>236.7</v>
      </c>
      <c r="AT22" s="5" t="str">
        <f>IF(T22="","",_xlfn.XLOOKUP(T22,Airlines!A:A,Airlines!B:B,"Not Found"))</f>
        <v>British Airways</v>
      </c>
      <c r="AU22" s="5" t="str">
        <f>IF(U22="","",_xlfn.XLOOKUP(U22,Hotels!A:A,Hotels!B:B,"Not found"))</f>
        <v>IHG Hotels &amp; Resorts</v>
      </c>
      <c r="AV22" t="s">
        <v>148</v>
      </c>
      <c r="AW22" s="16" t="str">
        <f t="shared" si="7"/>
        <v>OK</v>
      </c>
      <c r="AX22" s="16" t="str">
        <f t="shared" si="8"/>
        <v>OK</v>
      </c>
      <c r="AY22" s="16" t="str">
        <f t="shared" si="9"/>
        <v>OK</v>
      </c>
      <c r="AZ22" s="16" t="str">
        <f t="shared" si="10"/>
        <v>OK</v>
      </c>
      <c r="BA22" s="16" t="str">
        <f t="shared" si="15"/>
        <v>OK</v>
      </c>
      <c r="BB22" s="21">
        <f>COUNTIF('Trip Changes'!B:B,A22)</f>
        <v>0</v>
      </c>
      <c r="BC22" s="16" t="str">
        <f>IF(OR(AND(AD22="Yes",COUNTIF('Trip Changes'!B:B,A22)&gt;0),AND(AD22="No",COUNTIF('Trip Changes'!B:B,A22)=0)),"OK","Check")</f>
        <v>OK</v>
      </c>
      <c r="BD22" t="str">
        <f t="shared" si="16"/>
        <v>OK</v>
      </c>
      <c r="BE22" t="str">
        <f t="shared" si="17"/>
        <v>OK</v>
      </c>
      <c r="BF22" t="str">
        <f t="shared" si="18"/>
        <v>OK</v>
      </c>
      <c r="BG22" t="str">
        <f t="shared" si="19"/>
        <v>OK</v>
      </c>
      <c r="BH22" t="str">
        <f t="shared" si="20"/>
        <v>OK</v>
      </c>
      <c r="BI22" t="str">
        <f t="shared" si="11"/>
        <v>OK</v>
      </c>
      <c r="BJ22" t="str">
        <f t="shared" si="12"/>
        <v>OK</v>
      </c>
      <c r="BK22" t="str">
        <f t="shared" si="13"/>
        <v>OK</v>
      </c>
    </row>
    <row r="23" spans="1:63">
      <c r="A23" s="16" t="s">
        <v>218</v>
      </c>
      <c r="B23" s="16" t="s">
        <v>219</v>
      </c>
      <c r="C23" s="16" t="s">
        <v>220</v>
      </c>
      <c r="D23" s="16" t="s">
        <v>204</v>
      </c>
      <c r="E23" s="16" t="s">
        <v>169</v>
      </c>
      <c r="F23" s="16" t="s">
        <v>140</v>
      </c>
      <c r="G23" s="15">
        <v>46226</v>
      </c>
      <c r="H23" s="15">
        <v>46227</v>
      </c>
      <c r="I23" s="15">
        <v>46229</v>
      </c>
      <c r="J23" s="15" t="s">
        <v>150</v>
      </c>
      <c r="K23" s="16" t="s">
        <v>220</v>
      </c>
      <c r="L23" t="s">
        <v>199</v>
      </c>
      <c r="M23" s="16" t="s">
        <v>152</v>
      </c>
      <c r="N23" s="16" t="s">
        <v>153</v>
      </c>
      <c r="O23" t="s">
        <v>1614</v>
      </c>
      <c r="P23" s="18">
        <v>1762</v>
      </c>
      <c r="Q23" s="21">
        <v>1</v>
      </c>
      <c r="R23" s="21" t="str">
        <f t="shared" si="0"/>
        <v>0-3 days</v>
      </c>
      <c r="S23" s="16" t="s">
        <v>159</v>
      </c>
      <c r="T23" s="16" t="s">
        <v>200</v>
      </c>
      <c r="U23" s="16" t="s">
        <v>173</v>
      </c>
      <c r="V23" t="str">
        <f>IF(U23="","",IFERROR(VLOOKUP(U23,Hotels!A:B,2,FALSE),"Not Found"))</f>
        <v>Accor</v>
      </c>
      <c r="W23" s="14">
        <v>411.87</v>
      </c>
      <c r="X23" s="14">
        <v>0</v>
      </c>
      <c r="Y23" s="21">
        <v>1</v>
      </c>
      <c r="Z23" s="29">
        <f t="shared" si="1"/>
        <v>92.01</v>
      </c>
      <c r="AA23" s="14">
        <v>92.01</v>
      </c>
      <c r="AB23" s="14">
        <v>93.12</v>
      </c>
      <c r="AC23" s="14">
        <v>597</v>
      </c>
      <c r="AD23" s="16" t="s">
        <v>148</v>
      </c>
      <c r="AE23" s="16" t="s">
        <v>147</v>
      </c>
      <c r="AF23" s="14">
        <f>SUMIF('Trip Changes'!$B:$B,A23,'Trip Changes'!$E:$E)</f>
        <v>70.28</v>
      </c>
      <c r="AG23" s="23">
        <f>SUMIF('Trip Cancellations'!$B:$B,A23,'Trip Cancellations'!$E:$E)</f>
        <v>0</v>
      </c>
      <c r="AH23" s="14">
        <f>SUMIF('Trip Cancellations'!$B:$B,A23,'Trip Cancellations'!$F:$F)</f>
        <v>0</v>
      </c>
      <c r="AI23" s="14">
        <f t="shared" si="2"/>
        <v>667.28</v>
      </c>
      <c r="AJ23" s="14" t="str">
        <f t="shared" si="3"/>
        <v>Yes</v>
      </c>
      <c r="AK23" s="14" t="str">
        <f>IF(Y23=0,"N/A",
IF(_xlfn.XLOOKUP(U23,Hotels!A:A,Hotels!C:C)=TRUE,"Yes","No"))</f>
        <v>Yes</v>
      </c>
      <c r="AL23" s="14" t="str">
        <f>IF(N23="Rail","N/A",IF(_xlfn.XLOOKUP(T23,Airlines!A:A,Airlines!C:C)=TRUE,"Yes","No"))</f>
        <v>Yes</v>
      </c>
      <c r="AM23" s="14" t="str">
        <f t="shared" si="4"/>
        <v>Yes</v>
      </c>
      <c r="AN23" s="14" t="str">
        <f t="shared" si="5"/>
        <v>Yes</v>
      </c>
      <c r="AO23" s="14" t="str">
        <f t="shared" si="6"/>
        <v>Yes</v>
      </c>
      <c r="AP23" s="16" t="s">
        <v>148</v>
      </c>
      <c r="AQ23" t="str">
        <f t="shared" si="14"/>
        <v>Yes</v>
      </c>
      <c r="AR23" s="21">
        <v>5</v>
      </c>
      <c r="AS23" s="5">
        <v>264.3</v>
      </c>
      <c r="AT23" s="5" t="str">
        <f>IF(T23="","",_xlfn.XLOOKUP(T23,Airlines!A:A,Airlines!B:B,"Not Found"))</f>
        <v>Aer Lingus</v>
      </c>
      <c r="AU23" s="5" t="str">
        <f>IF(U23="","",_xlfn.XLOOKUP(U23,Hotels!A:A,Hotels!B:B,"Not found"))</f>
        <v>Accor</v>
      </c>
      <c r="AV23" t="s">
        <v>147</v>
      </c>
      <c r="AW23" s="16" t="str">
        <f t="shared" si="7"/>
        <v>OK</v>
      </c>
      <c r="AX23" s="16" t="str">
        <f t="shared" si="8"/>
        <v>OK</v>
      </c>
      <c r="AY23" s="16" t="str">
        <f t="shared" si="9"/>
        <v>OK</v>
      </c>
      <c r="AZ23" s="16" t="str">
        <f t="shared" si="10"/>
        <v>OK</v>
      </c>
      <c r="BA23" s="16" t="str">
        <f t="shared" si="15"/>
        <v>OK</v>
      </c>
      <c r="BB23" s="21">
        <f>COUNTIF('Trip Changes'!B:B,A23)</f>
        <v>1</v>
      </c>
      <c r="BC23" s="16" t="str">
        <f>IF(OR(AND(AD23="Yes",COUNTIF('Trip Changes'!B:B,A23)&gt;0),AND(AD23="No",COUNTIF('Trip Changes'!B:B,A23)=0)),"OK","Check")</f>
        <v>OK</v>
      </c>
      <c r="BD23" t="str">
        <f t="shared" si="16"/>
        <v>OK</v>
      </c>
      <c r="BE23" t="str">
        <f t="shared" si="17"/>
        <v>OK</v>
      </c>
      <c r="BF23" t="str">
        <f t="shared" si="18"/>
        <v>OK</v>
      </c>
      <c r="BG23" t="str">
        <f t="shared" si="19"/>
        <v>OK</v>
      </c>
      <c r="BH23" t="str">
        <f t="shared" si="20"/>
        <v>OK</v>
      </c>
      <c r="BI23" t="str">
        <f t="shared" si="11"/>
        <v>OK</v>
      </c>
      <c r="BJ23" t="str">
        <f t="shared" si="12"/>
        <v>OK</v>
      </c>
      <c r="BK23" t="str">
        <f t="shared" si="13"/>
        <v>OK</v>
      </c>
    </row>
    <row r="24" spans="1:63">
      <c r="A24" s="16" t="s">
        <v>221</v>
      </c>
      <c r="B24" s="16" t="s">
        <v>219</v>
      </c>
      <c r="C24" s="16" t="s">
        <v>220</v>
      </c>
      <c r="D24" s="16" t="s">
        <v>204</v>
      </c>
      <c r="E24" s="16" t="s">
        <v>169</v>
      </c>
      <c r="F24" s="16" t="s">
        <v>162</v>
      </c>
      <c r="G24" s="15">
        <v>46135</v>
      </c>
      <c r="H24" s="15">
        <v>46148</v>
      </c>
      <c r="I24" s="15">
        <v>46150</v>
      </c>
      <c r="J24" s="15" t="s">
        <v>163</v>
      </c>
      <c r="K24" s="16" t="s">
        <v>220</v>
      </c>
      <c r="L24" t="s">
        <v>142</v>
      </c>
      <c r="M24" s="16" t="s">
        <v>143</v>
      </c>
      <c r="N24" s="16" t="s">
        <v>144</v>
      </c>
      <c r="O24" t="s">
        <v>1630</v>
      </c>
      <c r="P24" s="18">
        <v>756</v>
      </c>
      <c r="Q24" s="21">
        <v>13</v>
      </c>
      <c r="R24" s="21" t="str">
        <f t="shared" si="0"/>
        <v>8-14 days</v>
      </c>
      <c r="S24" s="16" t="s">
        <v>145</v>
      </c>
      <c r="U24" s="16" t="s">
        <v>155</v>
      </c>
      <c r="V24" t="str">
        <f>IF(U24="","",IFERROR(VLOOKUP(U24,Hotels!A:B,2,FALSE),"Not Found"))</f>
        <v>Hilton</v>
      </c>
      <c r="W24" s="14">
        <v>0</v>
      </c>
      <c r="X24" s="14">
        <v>203.34</v>
      </c>
      <c r="Y24" s="21">
        <v>1</v>
      </c>
      <c r="Z24" s="29">
        <f t="shared" si="1"/>
        <v>162.11000000000001</v>
      </c>
      <c r="AA24" s="14">
        <v>162.11000000000001</v>
      </c>
      <c r="AB24" s="14">
        <v>37.130000000000003</v>
      </c>
      <c r="AC24" s="14">
        <v>402.58</v>
      </c>
      <c r="AD24" s="16" t="s">
        <v>148</v>
      </c>
      <c r="AE24" s="16" t="s">
        <v>147</v>
      </c>
      <c r="AF24" s="14">
        <f>SUMIF('Trip Changes'!$B:$B,A24,'Trip Changes'!$E:$E)</f>
        <v>147.88</v>
      </c>
      <c r="AG24" s="23">
        <f>SUMIF('Trip Cancellations'!$B:$B,A24,'Trip Cancellations'!$E:$E)</f>
        <v>0</v>
      </c>
      <c r="AH24" s="14">
        <f>SUMIF('Trip Cancellations'!$B:$B,A24,'Trip Cancellations'!$F:$F)</f>
        <v>0</v>
      </c>
      <c r="AI24" s="14">
        <f t="shared" si="2"/>
        <v>550.46</v>
      </c>
      <c r="AJ24" s="14" t="str">
        <f t="shared" si="3"/>
        <v>Yes</v>
      </c>
      <c r="AK24" s="14" t="str">
        <f>IF(Y24=0,"N/A",
IF(_xlfn.XLOOKUP(U24,Hotels!A:A,Hotels!C:C)=TRUE,"Yes","No"))</f>
        <v>Yes</v>
      </c>
      <c r="AL24" s="14" t="str">
        <f>IF(N24="Rail","N/A",IF(_xlfn.XLOOKUP(T24,Airlines!A:A,Airlines!C:C)=TRUE,"Yes","No"))</f>
        <v>N/A</v>
      </c>
      <c r="AM24" s="14" t="str">
        <f t="shared" si="4"/>
        <v>Yes</v>
      </c>
      <c r="AN24" s="14" t="str">
        <f t="shared" si="5"/>
        <v>Yes</v>
      </c>
      <c r="AO24" s="14" t="str">
        <f t="shared" si="6"/>
        <v>Yes</v>
      </c>
      <c r="AP24" s="16" t="s">
        <v>148</v>
      </c>
      <c r="AQ24" t="str">
        <f t="shared" si="14"/>
        <v>Yes</v>
      </c>
      <c r="AR24" s="21">
        <v>4</v>
      </c>
      <c r="AS24" s="5">
        <v>30.2</v>
      </c>
      <c r="AT24" s="5" t="str">
        <f>IF(T24="","",_xlfn.XLOOKUP(T24,Airlines!A:A,Airlines!B:B,"Not Found"))</f>
        <v/>
      </c>
      <c r="AU24" s="5" t="str">
        <f>IF(U24="","",_xlfn.XLOOKUP(U24,Hotels!A:A,Hotels!B:B,"Not found"))</f>
        <v>Hilton</v>
      </c>
      <c r="AV24" t="s">
        <v>148</v>
      </c>
      <c r="AW24" s="16" t="str">
        <f t="shared" si="7"/>
        <v>OK</v>
      </c>
      <c r="AX24" s="16" t="str">
        <f t="shared" si="8"/>
        <v>OK</v>
      </c>
      <c r="AY24" s="16" t="str">
        <f t="shared" si="9"/>
        <v>OK</v>
      </c>
      <c r="AZ24" s="16" t="str">
        <f t="shared" si="10"/>
        <v>OK</v>
      </c>
      <c r="BA24" s="16" t="str">
        <f t="shared" si="15"/>
        <v>OK</v>
      </c>
      <c r="BB24" s="21">
        <f>COUNTIF('Trip Changes'!B:B,A24)</f>
        <v>1</v>
      </c>
      <c r="BC24" s="16" t="str">
        <f>IF(OR(AND(AD24="Yes",COUNTIF('Trip Changes'!B:B,A24)&gt;0),AND(AD24="No",COUNTIF('Trip Changes'!B:B,A24)=0)),"OK","Check")</f>
        <v>OK</v>
      </c>
      <c r="BD24" t="str">
        <f t="shared" si="16"/>
        <v>OK</v>
      </c>
      <c r="BE24" t="str">
        <f t="shared" si="17"/>
        <v>OK</v>
      </c>
      <c r="BF24" t="str">
        <f t="shared" si="18"/>
        <v>OK</v>
      </c>
      <c r="BG24" t="str">
        <f t="shared" si="19"/>
        <v>OK</v>
      </c>
      <c r="BH24" t="str">
        <f t="shared" si="20"/>
        <v>OK</v>
      </c>
      <c r="BI24" t="str">
        <f t="shared" si="11"/>
        <v>OK</v>
      </c>
      <c r="BJ24" t="str">
        <f t="shared" si="12"/>
        <v>OK</v>
      </c>
      <c r="BK24" t="str">
        <f t="shared" si="13"/>
        <v>OK</v>
      </c>
    </row>
    <row r="25" spans="1:63">
      <c r="A25" s="16" t="s">
        <v>222</v>
      </c>
      <c r="B25" s="16" t="s">
        <v>219</v>
      </c>
      <c r="C25" s="16" t="s">
        <v>220</v>
      </c>
      <c r="D25" s="16" t="s">
        <v>204</v>
      </c>
      <c r="E25" s="16" t="s">
        <v>169</v>
      </c>
      <c r="F25" s="16" t="s">
        <v>140</v>
      </c>
      <c r="G25" s="15">
        <v>46125</v>
      </c>
      <c r="H25" s="15">
        <v>46146</v>
      </c>
      <c r="I25" s="15">
        <v>46152</v>
      </c>
      <c r="J25" s="15" t="s">
        <v>163</v>
      </c>
      <c r="K25" s="16" t="s">
        <v>220</v>
      </c>
      <c r="L25" t="s">
        <v>223</v>
      </c>
      <c r="M25" s="16" t="s">
        <v>152</v>
      </c>
      <c r="N25" s="16" t="s">
        <v>153</v>
      </c>
      <c r="O25" t="s">
        <v>1614</v>
      </c>
      <c r="P25" s="18">
        <v>14602</v>
      </c>
      <c r="Q25" s="21">
        <v>21</v>
      </c>
      <c r="R25" s="21" t="str">
        <f t="shared" si="0"/>
        <v>15-30 days</v>
      </c>
      <c r="S25" s="16" t="s">
        <v>145</v>
      </c>
      <c r="T25" s="16" t="s">
        <v>154</v>
      </c>
      <c r="U25" s="16" t="s">
        <v>164</v>
      </c>
      <c r="V25" t="str">
        <f>IF(U25="","",IFERROR(VLOOKUP(U25,Hotels!A:B,2,FALSE),"Not Found"))</f>
        <v>Marriott</v>
      </c>
      <c r="W25" s="14">
        <v>1301.17</v>
      </c>
      <c r="X25" s="14">
        <v>0</v>
      </c>
      <c r="Y25" s="21">
        <v>5</v>
      </c>
      <c r="Z25" s="29">
        <f t="shared" si="1"/>
        <v>134.274</v>
      </c>
      <c r="AA25" s="14">
        <v>671.37</v>
      </c>
      <c r="AB25" s="14">
        <v>122.79</v>
      </c>
      <c r="AC25" s="14">
        <v>2095.33</v>
      </c>
      <c r="AD25" s="16" t="s">
        <v>147</v>
      </c>
      <c r="AE25" s="16" t="s">
        <v>147</v>
      </c>
      <c r="AF25" s="14">
        <f>SUMIF('Trip Changes'!$B:$B,A25,'Trip Changes'!$E:$E)</f>
        <v>0</v>
      </c>
      <c r="AG25" s="23">
        <f>SUMIF('Trip Cancellations'!$B:$B,A25,'Trip Cancellations'!$E:$E)</f>
        <v>0</v>
      </c>
      <c r="AH25" s="14">
        <f>SUMIF('Trip Cancellations'!$B:$B,A25,'Trip Cancellations'!$F:$F)</f>
        <v>0</v>
      </c>
      <c r="AI25" s="14">
        <f t="shared" si="2"/>
        <v>2095.33</v>
      </c>
      <c r="AJ25" s="14" t="str">
        <f t="shared" si="3"/>
        <v>Yes</v>
      </c>
      <c r="AK25" s="14" t="str">
        <f>IF(Y25=0,"N/A",
IF(_xlfn.XLOOKUP(U25,Hotels!A:A,Hotels!C:C)=TRUE,"Yes","No"))</f>
        <v>Yes</v>
      </c>
      <c r="AL25" s="14" t="str">
        <f>IF(N25="Rail","N/A",IF(_xlfn.XLOOKUP(T25,Airlines!A:A,Airlines!C:C)=TRUE,"Yes","No"))</f>
        <v>Yes</v>
      </c>
      <c r="AM25" s="14" t="str">
        <f t="shared" si="4"/>
        <v>Yes</v>
      </c>
      <c r="AN25" s="14" t="str">
        <f t="shared" si="5"/>
        <v>Yes</v>
      </c>
      <c r="AO25" s="14" t="str">
        <f t="shared" si="6"/>
        <v>Yes</v>
      </c>
      <c r="AP25" s="16" t="s">
        <v>148</v>
      </c>
      <c r="AQ25" t="str">
        <f t="shared" si="14"/>
        <v>Yes</v>
      </c>
      <c r="AR25" s="21">
        <v>3</v>
      </c>
      <c r="AS25" s="5">
        <v>2190.3000000000002</v>
      </c>
      <c r="AT25" s="5" t="str">
        <f>IF(T25="","",_xlfn.XLOOKUP(T25,Airlines!A:A,Airlines!B:B,"Not Found"))</f>
        <v>British Airways</v>
      </c>
      <c r="AU25" s="5" t="str">
        <f>IF(U25="","",_xlfn.XLOOKUP(U25,Hotels!A:A,Hotels!B:B,"Not found"))</f>
        <v>Marriott</v>
      </c>
      <c r="AV25" t="s">
        <v>147</v>
      </c>
      <c r="AW25" s="16" t="str">
        <f t="shared" si="7"/>
        <v>OK</v>
      </c>
      <c r="AX25" s="16" t="str">
        <f t="shared" si="8"/>
        <v>OK</v>
      </c>
      <c r="AY25" s="16" t="str">
        <f t="shared" si="9"/>
        <v>OK</v>
      </c>
      <c r="AZ25" s="16" t="str">
        <f t="shared" si="10"/>
        <v>OK</v>
      </c>
      <c r="BA25" s="16" t="str">
        <f t="shared" si="15"/>
        <v>OK</v>
      </c>
      <c r="BB25" s="21">
        <f>COUNTIF('Trip Changes'!B:B,A25)</f>
        <v>0</v>
      </c>
      <c r="BC25" s="16" t="str">
        <f>IF(OR(AND(AD25="Yes",COUNTIF('Trip Changes'!B:B,A25)&gt;0),AND(AD25="No",COUNTIF('Trip Changes'!B:B,A25)=0)),"OK","Check")</f>
        <v>OK</v>
      </c>
      <c r="BD25" t="str">
        <f t="shared" si="16"/>
        <v>OK</v>
      </c>
      <c r="BE25" t="str">
        <f t="shared" si="17"/>
        <v>OK</v>
      </c>
      <c r="BF25" t="str">
        <f t="shared" si="18"/>
        <v>OK</v>
      </c>
      <c r="BG25" t="str">
        <f t="shared" si="19"/>
        <v>OK</v>
      </c>
      <c r="BH25" t="str">
        <f t="shared" si="20"/>
        <v>OK</v>
      </c>
      <c r="BI25" t="str">
        <f t="shared" si="11"/>
        <v>OK</v>
      </c>
      <c r="BJ25" t="str">
        <f t="shared" si="12"/>
        <v>OK</v>
      </c>
      <c r="BK25" t="str">
        <f t="shared" si="13"/>
        <v>OK</v>
      </c>
    </row>
    <row r="26" spans="1:63">
      <c r="A26" s="16" t="s">
        <v>224</v>
      </c>
      <c r="B26" s="16" t="s">
        <v>219</v>
      </c>
      <c r="C26" s="16" t="s">
        <v>220</v>
      </c>
      <c r="D26" s="16" t="s">
        <v>204</v>
      </c>
      <c r="E26" s="16" t="s">
        <v>169</v>
      </c>
      <c r="F26" s="16" t="s">
        <v>157</v>
      </c>
      <c r="G26" s="15">
        <v>46214</v>
      </c>
      <c r="H26" s="15">
        <v>46222</v>
      </c>
      <c r="I26" s="15">
        <v>46225</v>
      </c>
      <c r="J26" s="15" t="s">
        <v>150</v>
      </c>
      <c r="K26" s="16" t="s">
        <v>220</v>
      </c>
      <c r="L26" t="s">
        <v>225</v>
      </c>
      <c r="M26" s="16" t="s">
        <v>152</v>
      </c>
      <c r="N26" s="16" t="s">
        <v>153</v>
      </c>
      <c r="O26" t="s">
        <v>1614</v>
      </c>
      <c r="P26" s="18">
        <v>1608</v>
      </c>
      <c r="Q26" s="21">
        <v>8</v>
      </c>
      <c r="R26" s="21" t="str">
        <f t="shared" si="0"/>
        <v>8-14 days</v>
      </c>
      <c r="S26" s="16" t="s">
        <v>145</v>
      </c>
      <c r="T26" s="16" t="s">
        <v>154</v>
      </c>
      <c r="U26" s="16" t="s">
        <v>187</v>
      </c>
      <c r="V26" t="str">
        <f>IF(U26="","",IFERROR(VLOOKUP(U26,Hotels!A:B,2,FALSE),"Not Found"))</f>
        <v>IHG Hotels &amp; Resorts</v>
      </c>
      <c r="W26" s="14">
        <v>449.88</v>
      </c>
      <c r="X26" s="14">
        <v>0</v>
      </c>
      <c r="Y26" s="21">
        <v>2</v>
      </c>
      <c r="Z26" s="29">
        <f t="shared" si="1"/>
        <v>196.33500000000001</v>
      </c>
      <c r="AA26" s="14">
        <v>392.67</v>
      </c>
      <c r="AB26" s="14">
        <v>110.06</v>
      </c>
      <c r="AC26" s="14">
        <v>952.61</v>
      </c>
      <c r="AD26" s="16" t="s">
        <v>147</v>
      </c>
      <c r="AE26" s="16" t="s">
        <v>147</v>
      </c>
      <c r="AF26" s="14">
        <f>SUMIF('Trip Changes'!$B:$B,A26,'Trip Changes'!$E:$E)</f>
        <v>0</v>
      </c>
      <c r="AG26" s="23">
        <f>SUMIF('Trip Cancellations'!$B:$B,A26,'Trip Cancellations'!$E:$E)</f>
        <v>0</v>
      </c>
      <c r="AH26" s="14">
        <f>SUMIF('Trip Cancellations'!$B:$B,A26,'Trip Cancellations'!$F:$F)</f>
        <v>0</v>
      </c>
      <c r="AI26" s="14">
        <f t="shared" si="2"/>
        <v>952.61</v>
      </c>
      <c r="AJ26" s="14" t="str">
        <f t="shared" si="3"/>
        <v>No</v>
      </c>
      <c r="AK26" s="14" t="str">
        <f>IF(Y26=0,"N/A",
IF(_xlfn.XLOOKUP(U26,Hotels!A:A,Hotels!C:C)=TRUE,"Yes","No"))</f>
        <v>Yes</v>
      </c>
      <c r="AL26" s="14" t="str">
        <f>IF(N26="Rail","N/A",IF(_xlfn.XLOOKUP(T26,Airlines!A:A,Airlines!C:C)=TRUE,"Yes","No"))</f>
        <v>Yes</v>
      </c>
      <c r="AM26" s="14" t="str">
        <f t="shared" si="4"/>
        <v>Yes</v>
      </c>
      <c r="AN26" s="14" t="str">
        <f t="shared" si="5"/>
        <v>Yes</v>
      </c>
      <c r="AO26" s="14" t="str">
        <f t="shared" si="6"/>
        <v>Yes</v>
      </c>
      <c r="AP26" s="16" t="s">
        <v>148</v>
      </c>
      <c r="AQ26" t="str">
        <f t="shared" si="14"/>
        <v>No</v>
      </c>
      <c r="AR26" s="21">
        <v>4</v>
      </c>
      <c r="AS26" s="5">
        <v>241.2</v>
      </c>
      <c r="AT26" s="5" t="str">
        <f>IF(T26="","",_xlfn.XLOOKUP(T26,Airlines!A:A,Airlines!B:B,"Not Found"))</f>
        <v>British Airways</v>
      </c>
      <c r="AU26" s="5" t="str">
        <f>IF(U26="","",_xlfn.XLOOKUP(U26,Hotels!A:A,Hotels!B:B,"Not found"))</f>
        <v>IHG Hotels &amp; Resorts</v>
      </c>
      <c r="AV26" t="s">
        <v>147</v>
      </c>
      <c r="AW26" s="16" t="str">
        <f t="shared" si="7"/>
        <v>OK</v>
      </c>
      <c r="AX26" s="16" t="str">
        <f t="shared" si="8"/>
        <v>OK</v>
      </c>
      <c r="AY26" s="16" t="str">
        <f t="shared" si="9"/>
        <v>OK</v>
      </c>
      <c r="AZ26" s="16" t="str">
        <f t="shared" si="10"/>
        <v>OK</v>
      </c>
      <c r="BA26" s="16" t="str">
        <f t="shared" si="15"/>
        <v>OK</v>
      </c>
      <c r="BB26" s="21">
        <f>COUNTIF('Trip Changes'!B:B,A26)</f>
        <v>0</v>
      </c>
      <c r="BC26" s="16" t="str">
        <f>IF(OR(AND(AD26="Yes",COUNTIF('Trip Changes'!B:B,A26)&gt;0),AND(AD26="No",COUNTIF('Trip Changes'!B:B,A26)=0)),"OK","Check")</f>
        <v>OK</v>
      </c>
      <c r="BD26" t="str">
        <f t="shared" si="16"/>
        <v>OK</v>
      </c>
      <c r="BE26" t="str">
        <f t="shared" si="17"/>
        <v>OK</v>
      </c>
      <c r="BF26" t="str">
        <f t="shared" si="18"/>
        <v>OK</v>
      </c>
      <c r="BG26" t="str">
        <f t="shared" si="19"/>
        <v>OK</v>
      </c>
      <c r="BH26" t="str">
        <f t="shared" si="20"/>
        <v>OK</v>
      </c>
      <c r="BI26" t="str">
        <f t="shared" si="11"/>
        <v>OK</v>
      </c>
      <c r="BJ26" t="str">
        <f t="shared" si="12"/>
        <v>OK</v>
      </c>
      <c r="BK26" t="str">
        <f t="shared" si="13"/>
        <v>OK</v>
      </c>
    </row>
    <row r="27" spans="1:63">
      <c r="A27" s="16" t="s">
        <v>226</v>
      </c>
      <c r="B27" s="16" t="s">
        <v>219</v>
      </c>
      <c r="C27" s="16" t="s">
        <v>220</v>
      </c>
      <c r="D27" s="16" t="s">
        <v>204</v>
      </c>
      <c r="E27" s="16" t="s">
        <v>169</v>
      </c>
      <c r="F27" s="16" t="s">
        <v>157</v>
      </c>
      <c r="G27" s="15">
        <v>46189</v>
      </c>
      <c r="H27" s="15">
        <v>46195</v>
      </c>
      <c r="I27" s="15">
        <v>46197</v>
      </c>
      <c r="J27" s="15" t="s">
        <v>141</v>
      </c>
      <c r="K27" s="16" t="s">
        <v>220</v>
      </c>
      <c r="L27" t="s">
        <v>227</v>
      </c>
      <c r="M27" s="16" t="s">
        <v>152</v>
      </c>
      <c r="N27" s="16" t="s">
        <v>153</v>
      </c>
      <c r="O27" t="s">
        <v>1614</v>
      </c>
      <c r="P27" s="18">
        <v>2688</v>
      </c>
      <c r="Q27" s="21">
        <v>6</v>
      </c>
      <c r="R27" s="21" t="str">
        <f t="shared" si="0"/>
        <v>4-7 days</v>
      </c>
      <c r="S27" s="16" t="s">
        <v>145</v>
      </c>
      <c r="T27" s="16" t="s">
        <v>172</v>
      </c>
      <c r="U27" s="16" t="s">
        <v>173</v>
      </c>
      <c r="V27" t="str">
        <f>IF(U27="","",IFERROR(VLOOKUP(U27,Hotels!A:B,2,FALSE),"Not Found"))</f>
        <v>Accor</v>
      </c>
      <c r="W27" s="14">
        <v>639.1</v>
      </c>
      <c r="X27" s="14">
        <v>0</v>
      </c>
      <c r="Y27" s="21">
        <v>1</v>
      </c>
      <c r="Z27" s="29">
        <f t="shared" si="1"/>
        <v>231.27</v>
      </c>
      <c r="AA27" s="14">
        <v>231.27</v>
      </c>
      <c r="AB27" s="14">
        <v>77.78</v>
      </c>
      <c r="AC27" s="14">
        <v>948.15</v>
      </c>
      <c r="AD27" s="16" t="s">
        <v>147</v>
      </c>
      <c r="AE27" s="16" t="s">
        <v>148</v>
      </c>
      <c r="AF27" s="14">
        <f>SUMIF('Trip Changes'!$B:$B,A27,'Trip Changes'!$E:$E)</f>
        <v>0</v>
      </c>
      <c r="AG27" s="23">
        <f>SUMIF('Trip Cancellations'!$B:$B,A27,'Trip Cancellations'!$E:$E)</f>
        <v>87.4</v>
      </c>
      <c r="AH27" s="14">
        <f>SUMIF('Trip Cancellations'!$B:$B,A27,'Trip Cancellations'!$F:$F)</f>
        <v>783.33</v>
      </c>
      <c r="AI27" s="14">
        <f t="shared" si="2"/>
        <v>252.21999999999991</v>
      </c>
      <c r="AJ27" s="14" t="str">
        <f t="shared" si="3"/>
        <v>No</v>
      </c>
      <c r="AK27" s="14" t="str">
        <f>IF(Y27=0,"N/A",
IF(_xlfn.XLOOKUP(U27,Hotels!A:A,Hotels!C:C)=TRUE,"Yes","No"))</f>
        <v>Yes</v>
      </c>
      <c r="AL27" s="14" t="str">
        <f>IF(N27="Rail","N/A",IF(_xlfn.XLOOKUP(T27,Airlines!A:A,Airlines!C:C)=TRUE,"Yes","No"))</f>
        <v>Yes</v>
      </c>
      <c r="AM27" s="14" t="str">
        <f t="shared" si="4"/>
        <v>Yes</v>
      </c>
      <c r="AN27" s="14" t="str">
        <f t="shared" si="5"/>
        <v>Yes</v>
      </c>
      <c r="AO27" s="14" t="str">
        <f t="shared" si="6"/>
        <v>Yes</v>
      </c>
      <c r="AP27" s="16" t="s">
        <v>148</v>
      </c>
      <c r="AQ27" t="str">
        <f t="shared" si="14"/>
        <v>No</v>
      </c>
      <c r="AR27" s="21">
        <v>3</v>
      </c>
      <c r="AS27" s="5">
        <v>403.2</v>
      </c>
      <c r="AT27" s="5" t="str">
        <f>IF(T27="","",_xlfn.XLOOKUP(T27,Airlines!A:A,Airlines!B:B,"Not Found"))</f>
        <v>Lufthansa</v>
      </c>
      <c r="AU27" s="5" t="str">
        <f>IF(U27="","",_xlfn.XLOOKUP(U27,Hotels!A:A,Hotels!B:B,"Not found"))</f>
        <v>Accor</v>
      </c>
      <c r="AV27" t="s">
        <v>148</v>
      </c>
      <c r="AW27" s="16" t="str">
        <f t="shared" si="7"/>
        <v>OK</v>
      </c>
      <c r="AX27" s="16" t="str">
        <f t="shared" si="8"/>
        <v>OK</v>
      </c>
      <c r="AY27" s="16" t="str">
        <f t="shared" si="9"/>
        <v>OK</v>
      </c>
      <c r="AZ27" s="16" t="str">
        <f t="shared" si="10"/>
        <v>OK</v>
      </c>
      <c r="BA27" s="16" t="str">
        <f t="shared" si="15"/>
        <v>OK</v>
      </c>
      <c r="BB27" s="21">
        <f>COUNTIF('Trip Changes'!B:B,A27)</f>
        <v>0</v>
      </c>
      <c r="BC27" s="16" t="str">
        <f>IF(OR(AND(AD27="Yes",COUNTIF('Trip Changes'!B:B,A27)&gt;0),AND(AD27="No",COUNTIF('Trip Changes'!B:B,A27)=0)),"OK","Check")</f>
        <v>OK</v>
      </c>
      <c r="BD27" t="str">
        <f t="shared" si="16"/>
        <v>OK</v>
      </c>
      <c r="BE27" t="str">
        <f t="shared" si="17"/>
        <v>OK</v>
      </c>
      <c r="BF27" t="str">
        <f t="shared" si="18"/>
        <v>OK</v>
      </c>
      <c r="BG27" t="str">
        <f t="shared" si="19"/>
        <v>OK</v>
      </c>
      <c r="BH27" t="str">
        <f t="shared" si="20"/>
        <v>OK</v>
      </c>
      <c r="BI27" t="str">
        <f t="shared" si="11"/>
        <v>OK</v>
      </c>
      <c r="BJ27" t="str">
        <f t="shared" si="12"/>
        <v>OK</v>
      </c>
      <c r="BK27" t="str">
        <f t="shared" si="13"/>
        <v>OK</v>
      </c>
    </row>
    <row r="28" spans="1:63">
      <c r="A28" s="16" t="s">
        <v>228</v>
      </c>
      <c r="B28" s="16" t="s">
        <v>229</v>
      </c>
      <c r="C28" s="16" t="s">
        <v>193</v>
      </c>
      <c r="D28" s="16" t="s">
        <v>230</v>
      </c>
      <c r="E28" s="16" t="s">
        <v>169</v>
      </c>
      <c r="F28" s="16" t="s">
        <v>140</v>
      </c>
      <c r="G28" s="15">
        <v>46152</v>
      </c>
      <c r="H28" s="15">
        <v>46189</v>
      </c>
      <c r="I28" s="15">
        <v>46190</v>
      </c>
      <c r="J28" s="15" t="s">
        <v>141</v>
      </c>
      <c r="K28" s="16" t="s">
        <v>193</v>
      </c>
      <c r="L28" t="s">
        <v>182</v>
      </c>
      <c r="M28" s="16" t="s">
        <v>143</v>
      </c>
      <c r="N28" s="16" t="s">
        <v>144</v>
      </c>
      <c r="O28" t="s">
        <v>1630</v>
      </c>
      <c r="P28" s="18">
        <v>1206</v>
      </c>
      <c r="Q28" s="21">
        <v>37</v>
      </c>
      <c r="R28" s="21" t="str">
        <f t="shared" si="0"/>
        <v>31+ days</v>
      </c>
      <c r="S28" s="16" t="s">
        <v>216</v>
      </c>
      <c r="V28" t="str">
        <f>IF(U28="","",IFERROR(VLOOKUP(U28,Hotels!A:B,2,FALSE),"Not Found"))</f>
        <v/>
      </c>
      <c r="W28" s="14">
        <v>0</v>
      </c>
      <c r="X28" s="14">
        <v>132.82</v>
      </c>
      <c r="Y28" s="21">
        <v>0</v>
      </c>
      <c r="Z28" s="29">
        <f t="shared" si="1"/>
        <v>0</v>
      </c>
      <c r="AA28" s="14">
        <v>0</v>
      </c>
      <c r="AB28" s="14">
        <v>66.98</v>
      </c>
      <c r="AC28" s="14">
        <v>199.8</v>
      </c>
      <c r="AD28" s="16" t="s">
        <v>147</v>
      </c>
      <c r="AE28" s="16" t="s">
        <v>147</v>
      </c>
      <c r="AF28" s="14">
        <f>SUMIF('Trip Changes'!$B:$B,A28,'Trip Changes'!$E:$E)</f>
        <v>0</v>
      </c>
      <c r="AG28" s="23">
        <f>SUMIF('Trip Cancellations'!$B:$B,A28,'Trip Cancellations'!$E:$E)</f>
        <v>0</v>
      </c>
      <c r="AH28" s="14">
        <f>SUMIF('Trip Cancellations'!$B:$B,A28,'Trip Cancellations'!$F:$F)</f>
        <v>0</v>
      </c>
      <c r="AI28" s="14">
        <f t="shared" si="2"/>
        <v>199.8</v>
      </c>
      <c r="AJ28" s="14" t="str">
        <f t="shared" si="3"/>
        <v>N/A</v>
      </c>
      <c r="AK28" s="14" t="str">
        <f>IF(Y28=0,"N/A",
IF(_xlfn.XLOOKUP(U28,Hotels!A:A,Hotels!C:C)=TRUE,"Yes","No"))</f>
        <v>N/A</v>
      </c>
      <c r="AL28" s="14" t="str">
        <f>IF(N28="Rail","N/A",IF(_xlfn.XLOOKUP(T28,Airlines!A:A,Airlines!C:C)=TRUE,"Yes","No"))</f>
        <v>N/A</v>
      </c>
      <c r="AM28" s="14" t="str">
        <f t="shared" si="4"/>
        <v>Yes</v>
      </c>
      <c r="AN28" s="14" t="str">
        <f t="shared" si="5"/>
        <v>No</v>
      </c>
      <c r="AO28" s="14" t="str">
        <f t="shared" si="6"/>
        <v>Yes</v>
      </c>
      <c r="AP28" s="16" t="s">
        <v>147</v>
      </c>
      <c r="AQ28" t="str">
        <f t="shared" si="14"/>
        <v>No</v>
      </c>
      <c r="AR28" s="21">
        <v>4</v>
      </c>
      <c r="AS28" s="5">
        <v>48.2</v>
      </c>
      <c r="AT28" s="5" t="str">
        <f>IF(T28="","",_xlfn.XLOOKUP(T28,Airlines!A:A,Airlines!B:B,"Not Found"))</f>
        <v/>
      </c>
      <c r="AU28" s="5" t="str">
        <f>IF(U28="","",_xlfn.XLOOKUP(U28,Hotels!A:A,Hotels!B:B,"Not found"))</f>
        <v/>
      </c>
      <c r="AV28" t="s">
        <v>148</v>
      </c>
      <c r="AW28" s="16" t="str">
        <f t="shared" si="7"/>
        <v>OK</v>
      </c>
      <c r="AX28" s="16" t="str">
        <f t="shared" si="8"/>
        <v>OK</v>
      </c>
      <c r="AY28" s="16" t="str">
        <f t="shared" si="9"/>
        <v>OK</v>
      </c>
      <c r="AZ28" s="16" t="str">
        <f t="shared" si="10"/>
        <v>OK</v>
      </c>
      <c r="BA28" s="16" t="str">
        <f t="shared" si="15"/>
        <v>OK</v>
      </c>
      <c r="BB28" s="21">
        <f>COUNTIF('Trip Changes'!B:B,A28)</f>
        <v>0</v>
      </c>
      <c r="BC28" s="16" t="str">
        <f>IF(OR(AND(AD28="Yes",COUNTIF('Trip Changes'!B:B,A28)&gt;0),AND(AD28="No",COUNTIF('Trip Changes'!B:B,A28)=0)),"OK","Check")</f>
        <v>OK</v>
      </c>
      <c r="BD28" t="str">
        <f t="shared" si="16"/>
        <v>OK</v>
      </c>
      <c r="BE28" t="str">
        <f t="shared" si="17"/>
        <v>OK</v>
      </c>
      <c r="BF28" t="str">
        <f t="shared" si="18"/>
        <v>OK</v>
      </c>
      <c r="BG28" t="str">
        <f t="shared" si="19"/>
        <v>OK</v>
      </c>
      <c r="BH28" t="str">
        <f t="shared" si="20"/>
        <v>OK</v>
      </c>
      <c r="BI28" t="str">
        <f t="shared" si="11"/>
        <v>OK</v>
      </c>
      <c r="BJ28" t="str">
        <f t="shared" si="12"/>
        <v>OK</v>
      </c>
      <c r="BK28" t="str">
        <f t="shared" si="13"/>
        <v>OK</v>
      </c>
    </row>
    <row r="29" spans="1:63">
      <c r="A29" s="16" t="s">
        <v>231</v>
      </c>
      <c r="B29" s="16" t="s">
        <v>229</v>
      </c>
      <c r="C29" s="16" t="s">
        <v>193</v>
      </c>
      <c r="D29" s="16" t="s">
        <v>230</v>
      </c>
      <c r="E29" s="16" t="s">
        <v>169</v>
      </c>
      <c r="F29" s="16" t="s">
        <v>140</v>
      </c>
      <c r="G29" s="15">
        <v>46188</v>
      </c>
      <c r="H29" s="15">
        <v>46222</v>
      </c>
      <c r="I29" s="15">
        <v>46224</v>
      </c>
      <c r="J29" s="15" t="s">
        <v>150</v>
      </c>
      <c r="K29" s="16" t="s">
        <v>193</v>
      </c>
      <c r="L29" t="s">
        <v>175</v>
      </c>
      <c r="M29" s="16" t="s">
        <v>152</v>
      </c>
      <c r="N29" s="16" t="s">
        <v>153</v>
      </c>
      <c r="O29" t="s">
        <v>1614</v>
      </c>
      <c r="P29" s="18">
        <v>3192</v>
      </c>
      <c r="Q29" s="21">
        <v>34</v>
      </c>
      <c r="R29" s="21" t="str">
        <f t="shared" si="0"/>
        <v>31+ days</v>
      </c>
      <c r="S29" s="16" t="s">
        <v>159</v>
      </c>
      <c r="T29" s="16" t="s">
        <v>172</v>
      </c>
      <c r="U29" s="16" t="s">
        <v>155</v>
      </c>
      <c r="V29" t="str">
        <f>IF(U29="","",IFERROR(VLOOKUP(U29,Hotels!A:B,2,FALSE),"Not Found"))</f>
        <v>Hilton</v>
      </c>
      <c r="W29" s="14">
        <v>296.58999999999997</v>
      </c>
      <c r="X29" s="14">
        <v>0</v>
      </c>
      <c r="Y29" s="21">
        <v>1</v>
      </c>
      <c r="Z29" s="29">
        <f t="shared" si="1"/>
        <v>135</v>
      </c>
      <c r="AA29" s="14">
        <v>135</v>
      </c>
      <c r="AB29" s="14">
        <v>133.91</v>
      </c>
      <c r="AC29" s="14">
        <v>565.5</v>
      </c>
      <c r="AD29" s="16" t="s">
        <v>147</v>
      </c>
      <c r="AE29" s="16" t="s">
        <v>147</v>
      </c>
      <c r="AF29" s="14">
        <f>SUMIF('Trip Changes'!$B:$B,A29,'Trip Changes'!$E:$E)</f>
        <v>0</v>
      </c>
      <c r="AG29" s="23">
        <f>SUMIF('Trip Cancellations'!$B:$B,A29,'Trip Cancellations'!$E:$E)</f>
        <v>0</v>
      </c>
      <c r="AH29" s="14">
        <f>SUMIF('Trip Cancellations'!$B:$B,A29,'Trip Cancellations'!$F:$F)</f>
        <v>0</v>
      </c>
      <c r="AI29" s="14">
        <f t="shared" si="2"/>
        <v>565.5</v>
      </c>
      <c r="AJ29" s="14" t="str">
        <f t="shared" si="3"/>
        <v>Yes</v>
      </c>
      <c r="AK29" s="14" t="str">
        <f>IF(Y29=0,"N/A",
IF(_xlfn.XLOOKUP(U29,Hotels!A:A,Hotels!C:C)=TRUE,"Yes","No"))</f>
        <v>Yes</v>
      </c>
      <c r="AL29" s="14" t="str">
        <f>IF(N29="Rail","N/A",IF(_xlfn.XLOOKUP(T29,Airlines!A:A,Airlines!C:C)=TRUE,"Yes","No"))</f>
        <v>Yes</v>
      </c>
      <c r="AM29" s="14" t="str">
        <f t="shared" si="4"/>
        <v>Yes</v>
      </c>
      <c r="AN29" s="14" t="str">
        <f t="shared" si="5"/>
        <v>Yes</v>
      </c>
      <c r="AO29" s="14" t="str">
        <f t="shared" si="6"/>
        <v>Yes</v>
      </c>
      <c r="AP29" s="16" t="s">
        <v>148</v>
      </c>
      <c r="AQ29" t="str">
        <f t="shared" si="14"/>
        <v>Yes</v>
      </c>
      <c r="AR29" s="21">
        <v>4</v>
      </c>
      <c r="AS29" s="5">
        <v>478.8</v>
      </c>
      <c r="AT29" s="5" t="str">
        <f>IF(T29="","",_xlfn.XLOOKUP(T29,Airlines!A:A,Airlines!B:B,"Not Found"))</f>
        <v>Lufthansa</v>
      </c>
      <c r="AU29" s="5" t="str">
        <f>IF(U29="","",_xlfn.XLOOKUP(U29,Hotels!A:A,Hotels!B:B,"Not found"))</f>
        <v>Hilton</v>
      </c>
      <c r="AV29" t="s">
        <v>147</v>
      </c>
      <c r="AW29" s="16" t="str">
        <f t="shared" si="7"/>
        <v>OK</v>
      </c>
      <c r="AX29" s="16" t="str">
        <f t="shared" si="8"/>
        <v>OK</v>
      </c>
      <c r="AY29" s="16" t="str">
        <f t="shared" si="9"/>
        <v>OK</v>
      </c>
      <c r="AZ29" s="16" t="str">
        <f t="shared" si="10"/>
        <v>OK</v>
      </c>
      <c r="BA29" s="16" t="str">
        <f t="shared" si="15"/>
        <v>OK</v>
      </c>
      <c r="BB29" s="21">
        <f>COUNTIF('Trip Changes'!B:B,A29)</f>
        <v>0</v>
      </c>
      <c r="BC29" s="16" t="str">
        <f>IF(OR(AND(AD29="Yes",COUNTIF('Trip Changes'!B:B,A29)&gt;0),AND(AD29="No",COUNTIF('Trip Changes'!B:B,A29)=0)),"OK","Check")</f>
        <v>OK</v>
      </c>
      <c r="BD29" t="str">
        <f t="shared" si="16"/>
        <v>OK</v>
      </c>
      <c r="BE29" t="str">
        <f t="shared" si="17"/>
        <v>OK</v>
      </c>
      <c r="BF29" t="str">
        <f t="shared" si="18"/>
        <v>OK</v>
      </c>
      <c r="BG29" t="str">
        <f t="shared" si="19"/>
        <v>OK</v>
      </c>
      <c r="BH29" t="str">
        <f t="shared" si="20"/>
        <v>OK</v>
      </c>
      <c r="BI29" t="str">
        <f t="shared" si="11"/>
        <v>OK</v>
      </c>
      <c r="BJ29" t="str">
        <f t="shared" si="12"/>
        <v>OK</v>
      </c>
      <c r="BK29" t="str">
        <f t="shared" si="13"/>
        <v>OK</v>
      </c>
    </row>
    <row r="30" spans="1:63">
      <c r="A30" s="16" t="s">
        <v>232</v>
      </c>
      <c r="B30" s="16" t="s">
        <v>229</v>
      </c>
      <c r="C30" s="16" t="s">
        <v>193</v>
      </c>
      <c r="D30" s="16" t="s">
        <v>230</v>
      </c>
      <c r="E30" s="16" t="s">
        <v>169</v>
      </c>
      <c r="F30" s="16" t="s">
        <v>181</v>
      </c>
      <c r="G30" s="15">
        <v>46145</v>
      </c>
      <c r="H30" s="15">
        <v>46178</v>
      </c>
      <c r="I30" s="15">
        <v>46183</v>
      </c>
      <c r="J30" s="15" t="s">
        <v>141</v>
      </c>
      <c r="K30" s="16" t="s">
        <v>193</v>
      </c>
      <c r="L30" t="s">
        <v>233</v>
      </c>
      <c r="M30" s="16" t="s">
        <v>152</v>
      </c>
      <c r="N30" s="16" t="s">
        <v>153</v>
      </c>
      <c r="O30" t="s">
        <v>1614</v>
      </c>
      <c r="P30" s="18">
        <v>1044</v>
      </c>
      <c r="Q30" s="21">
        <v>33</v>
      </c>
      <c r="R30" s="21" t="str">
        <f t="shared" si="0"/>
        <v>31+ days</v>
      </c>
      <c r="S30" s="16" t="s">
        <v>159</v>
      </c>
      <c r="T30" s="16" t="s">
        <v>154</v>
      </c>
      <c r="U30" s="16" t="s">
        <v>164</v>
      </c>
      <c r="V30" t="str">
        <f>IF(U30="","",IFERROR(VLOOKUP(U30,Hotels!A:B,2,FALSE),"Not Found"))</f>
        <v>Marriott</v>
      </c>
      <c r="W30" s="14">
        <v>361.93</v>
      </c>
      <c r="X30" s="14">
        <v>0</v>
      </c>
      <c r="Y30" s="21">
        <v>4</v>
      </c>
      <c r="Z30" s="29">
        <f t="shared" si="1"/>
        <v>169.01</v>
      </c>
      <c r="AA30" s="14">
        <v>676.04</v>
      </c>
      <c r="AB30" s="14">
        <v>52.59</v>
      </c>
      <c r="AC30" s="14">
        <v>1090.56</v>
      </c>
      <c r="AD30" s="16" t="s">
        <v>147</v>
      </c>
      <c r="AE30" s="16" t="s">
        <v>147</v>
      </c>
      <c r="AF30" s="14">
        <f>SUMIF('Trip Changes'!$B:$B,A30,'Trip Changes'!$E:$E)</f>
        <v>0</v>
      </c>
      <c r="AG30" s="23">
        <f>SUMIF('Trip Cancellations'!$B:$B,A30,'Trip Cancellations'!$E:$E)</f>
        <v>0</v>
      </c>
      <c r="AH30" s="14">
        <f>SUMIF('Trip Cancellations'!$B:$B,A30,'Trip Cancellations'!$F:$F)</f>
        <v>0</v>
      </c>
      <c r="AI30" s="14">
        <f t="shared" si="2"/>
        <v>1090.56</v>
      </c>
      <c r="AJ30" s="14" t="str">
        <f t="shared" si="3"/>
        <v>Yes</v>
      </c>
      <c r="AK30" s="14" t="str">
        <f>IF(Y30=0,"N/A",
IF(_xlfn.XLOOKUP(U30,Hotels!A:A,Hotels!C:C)=TRUE,"Yes","No"))</f>
        <v>Yes</v>
      </c>
      <c r="AL30" s="14" t="str">
        <f>IF(N30="Rail","N/A",IF(_xlfn.XLOOKUP(T30,Airlines!A:A,Airlines!C:C)=TRUE,"Yes","No"))</f>
        <v>Yes</v>
      </c>
      <c r="AM30" s="14" t="str">
        <f t="shared" si="4"/>
        <v>Yes</v>
      </c>
      <c r="AN30" s="14" t="str">
        <f t="shared" si="5"/>
        <v>Yes</v>
      </c>
      <c r="AO30" s="14" t="str">
        <f t="shared" si="6"/>
        <v>Yes</v>
      </c>
      <c r="AP30" s="16" t="s">
        <v>148</v>
      </c>
      <c r="AQ30" t="str">
        <f t="shared" si="14"/>
        <v>Yes</v>
      </c>
      <c r="AR30" s="21">
        <v>4</v>
      </c>
      <c r="AS30" s="5">
        <v>156.6</v>
      </c>
      <c r="AT30" s="5" t="str">
        <f>IF(T30="","",_xlfn.XLOOKUP(T30,Airlines!A:A,Airlines!B:B,"Not Found"))</f>
        <v>British Airways</v>
      </c>
      <c r="AU30" s="5" t="str">
        <f>IF(U30="","",_xlfn.XLOOKUP(U30,Hotels!A:A,Hotels!B:B,"Not found"))</f>
        <v>Marriott</v>
      </c>
      <c r="AV30" t="s">
        <v>147</v>
      </c>
      <c r="AW30" s="16" t="str">
        <f t="shared" si="7"/>
        <v>OK</v>
      </c>
      <c r="AX30" s="16" t="str">
        <f t="shared" si="8"/>
        <v>OK</v>
      </c>
      <c r="AY30" s="16" t="str">
        <f t="shared" si="9"/>
        <v>OK</v>
      </c>
      <c r="AZ30" s="16" t="str">
        <f t="shared" si="10"/>
        <v>OK</v>
      </c>
      <c r="BA30" s="16" t="str">
        <f t="shared" si="15"/>
        <v>OK</v>
      </c>
      <c r="BB30" s="21">
        <f>COUNTIF('Trip Changes'!B:B,A30)</f>
        <v>0</v>
      </c>
      <c r="BC30" s="16" t="str">
        <f>IF(OR(AND(AD30="Yes",COUNTIF('Trip Changes'!B:B,A30)&gt;0),AND(AD30="No",COUNTIF('Trip Changes'!B:B,A30)=0)),"OK","Check")</f>
        <v>OK</v>
      </c>
      <c r="BD30" t="str">
        <f t="shared" si="16"/>
        <v>OK</v>
      </c>
      <c r="BE30" t="str">
        <f t="shared" si="17"/>
        <v>OK</v>
      </c>
      <c r="BF30" t="str">
        <f t="shared" si="18"/>
        <v>OK</v>
      </c>
      <c r="BG30" t="str">
        <f t="shared" si="19"/>
        <v>OK</v>
      </c>
      <c r="BH30" t="str">
        <f t="shared" si="20"/>
        <v>OK</v>
      </c>
      <c r="BI30" t="str">
        <f t="shared" si="11"/>
        <v>OK</v>
      </c>
      <c r="BJ30" t="str">
        <f t="shared" si="12"/>
        <v>OK</v>
      </c>
      <c r="BK30" t="str">
        <f t="shared" si="13"/>
        <v>OK</v>
      </c>
    </row>
    <row r="31" spans="1:63">
      <c r="A31" s="16" t="s">
        <v>234</v>
      </c>
      <c r="B31" s="16" t="s">
        <v>229</v>
      </c>
      <c r="C31" s="16" t="s">
        <v>193</v>
      </c>
      <c r="D31" s="16" t="s">
        <v>230</v>
      </c>
      <c r="E31" s="16" t="s">
        <v>169</v>
      </c>
      <c r="F31" s="16" t="s">
        <v>162</v>
      </c>
      <c r="G31" s="15">
        <v>46179</v>
      </c>
      <c r="H31" s="15">
        <v>46194</v>
      </c>
      <c r="I31" s="15">
        <v>46195</v>
      </c>
      <c r="J31" s="15" t="s">
        <v>141</v>
      </c>
      <c r="K31" s="16" t="s">
        <v>193</v>
      </c>
      <c r="L31" t="s">
        <v>203</v>
      </c>
      <c r="M31" s="16" t="s">
        <v>143</v>
      </c>
      <c r="N31" s="16" t="s">
        <v>153</v>
      </c>
      <c r="O31" t="s">
        <v>1614</v>
      </c>
      <c r="P31" s="18">
        <v>520</v>
      </c>
      <c r="Q31" s="21">
        <v>15</v>
      </c>
      <c r="R31" s="21" t="str">
        <f t="shared" si="0"/>
        <v>15-30 days</v>
      </c>
      <c r="S31" s="16" t="s">
        <v>145</v>
      </c>
      <c r="T31" s="16" t="s">
        <v>176</v>
      </c>
      <c r="V31" t="str">
        <f>IF(U31="","",IFERROR(VLOOKUP(U31,Hotels!A:B,2,FALSE),"Not Found"))</f>
        <v/>
      </c>
      <c r="W31" s="14">
        <v>278.27999999999997</v>
      </c>
      <c r="X31" s="14">
        <v>0</v>
      </c>
      <c r="Y31" s="21">
        <v>0</v>
      </c>
      <c r="Z31" s="29">
        <f t="shared" si="1"/>
        <v>0</v>
      </c>
      <c r="AA31" s="14">
        <v>0</v>
      </c>
      <c r="AB31" s="14">
        <v>67.19</v>
      </c>
      <c r="AC31" s="14">
        <v>345.47</v>
      </c>
      <c r="AD31" s="16" t="s">
        <v>147</v>
      </c>
      <c r="AE31" s="16" t="s">
        <v>147</v>
      </c>
      <c r="AF31" s="14">
        <f>SUMIF('Trip Changes'!$B:$B,A31,'Trip Changes'!$E:$E)</f>
        <v>0</v>
      </c>
      <c r="AG31" s="23">
        <f>SUMIF('Trip Cancellations'!$B:$B,A31,'Trip Cancellations'!$E:$E)</f>
        <v>0</v>
      </c>
      <c r="AH31" s="14">
        <f>SUMIF('Trip Cancellations'!$B:$B,A31,'Trip Cancellations'!$F:$F)</f>
        <v>0</v>
      </c>
      <c r="AI31" s="14">
        <f t="shared" si="2"/>
        <v>345.47</v>
      </c>
      <c r="AJ31" s="14" t="str">
        <f t="shared" si="3"/>
        <v>N/A</v>
      </c>
      <c r="AK31" s="14" t="str">
        <f>IF(Y31=0,"N/A",
IF(_xlfn.XLOOKUP(U31,Hotels!A:A,Hotels!C:C)=TRUE,"Yes","No"))</f>
        <v>N/A</v>
      </c>
      <c r="AL31" s="14" t="str">
        <f>IF(N31="Rail","N/A",IF(_xlfn.XLOOKUP(T31,Airlines!A:A,Airlines!C:C)=TRUE,"Yes","No"))</f>
        <v>Yes</v>
      </c>
      <c r="AM31" s="14" t="str">
        <f t="shared" si="4"/>
        <v>Yes</v>
      </c>
      <c r="AN31" s="14" t="str">
        <f t="shared" si="5"/>
        <v>Yes</v>
      </c>
      <c r="AO31" s="14" t="str">
        <f t="shared" si="6"/>
        <v>Yes</v>
      </c>
      <c r="AP31" s="16" t="s">
        <v>148</v>
      </c>
      <c r="AQ31" t="str">
        <f t="shared" si="14"/>
        <v>Yes</v>
      </c>
      <c r="AR31" s="21">
        <v>5</v>
      </c>
      <c r="AS31" s="5">
        <v>78</v>
      </c>
      <c r="AT31" s="5" t="str">
        <f>IF(T31="","",_xlfn.XLOOKUP(T31,Airlines!A:A,Airlines!B:B,"Not Found"))</f>
        <v>easyJet</v>
      </c>
      <c r="AU31" s="5" t="str">
        <f>IF(U31="","",_xlfn.XLOOKUP(U31,Hotels!A:A,Hotels!B:B,"Not found"))</f>
        <v/>
      </c>
      <c r="AV31" t="s">
        <v>147</v>
      </c>
      <c r="AW31" s="16" t="str">
        <f t="shared" si="7"/>
        <v>OK</v>
      </c>
      <c r="AX31" s="16" t="str">
        <f t="shared" si="8"/>
        <v>OK</v>
      </c>
      <c r="AY31" s="16" t="str">
        <f t="shared" si="9"/>
        <v>OK</v>
      </c>
      <c r="AZ31" s="16" t="str">
        <f t="shared" si="10"/>
        <v>OK</v>
      </c>
      <c r="BA31" s="16" t="str">
        <f t="shared" si="15"/>
        <v>OK</v>
      </c>
      <c r="BB31" s="21">
        <f>COUNTIF('Trip Changes'!B:B,A31)</f>
        <v>0</v>
      </c>
      <c r="BC31" s="16" t="str">
        <f>IF(OR(AND(AD31="Yes",COUNTIF('Trip Changes'!B:B,A31)&gt;0),AND(AD31="No",COUNTIF('Trip Changes'!B:B,A31)=0)),"OK","Check")</f>
        <v>OK</v>
      </c>
      <c r="BD31" t="str">
        <f t="shared" si="16"/>
        <v>OK</v>
      </c>
      <c r="BE31" t="str">
        <f t="shared" si="17"/>
        <v>OK</v>
      </c>
      <c r="BF31" t="str">
        <f t="shared" si="18"/>
        <v>OK</v>
      </c>
      <c r="BG31" t="str">
        <f t="shared" si="19"/>
        <v>OK</v>
      </c>
      <c r="BH31" t="str">
        <f t="shared" si="20"/>
        <v>OK</v>
      </c>
      <c r="BI31" t="str">
        <f t="shared" si="11"/>
        <v>OK</v>
      </c>
      <c r="BJ31" t="str">
        <f t="shared" si="12"/>
        <v>OK</v>
      </c>
      <c r="BK31" t="str">
        <f t="shared" si="13"/>
        <v>OK</v>
      </c>
    </row>
    <row r="32" spans="1:63">
      <c r="A32" s="16" t="s">
        <v>235</v>
      </c>
      <c r="B32" s="16" t="s">
        <v>229</v>
      </c>
      <c r="C32" s="16" t="s">
        <v>193</v>
      </c>
      <c r="D32" s="16" t="s">
        <v>230</v>
      </c>
      <c r="E32" s="16" t="s">
        <v>169</v>
      </c>
      <c r="F32" s="16" t="s">
        <v>140</v>
      </c>
      <c r="G32" s="15">
        <v>46200</v>
      </c>
      <c r="H32" s="15">
        <v>46201</v>
      </c>
      <c r="I32" s="15">
        <v>46205</v>
      </c>
      <c r="J32" s="15" t="s">
        <v>141</v>
      </c>
      <c r="K32" s="16" t="s">
        <v>193</v>
      </c>
      <c r="L32" t="s">
        <v>225</v>
      </c>
      <c r="M32" s="16" t="s">
        <v>152</v>
      </c>
      <c r="N32" s="16" t="s">
        <v>153</v>
      </c>
      <c r="O32" t="s">
        <v>1614</v>
      </c>
      <c r="P32" s="18">
        <v>3558</v>
      </c>
      <c r="Q32" s="21">
        <v>1</v>
      </c>
      <c r="R32" s="21" t="str">
        <f t="shared" si="0"/>
        <v>0-3 days</v>
      </c>
      <c r="S32" s="16" t="s">
        <v>145</v>
      </c>
      <c r="T32" s="16" t="s">
        <v>236</v>
      </c>
      <c r="U32" s="16" t="s">
        <v>155</v>
      </c>
      <c r="V32" t="str">
        <f>IF(U32="","",IFERROR(VLOOKUP(U32,Hotels!A:B,2,FALSE),"Not Found"))</f>
        <v>Hilton</v>
      </c>
      <c r="W32" s="14">
        <v>177</v>
      </c>
      <c r="X32" s="14">
        <v>0</v>
      </c>
      <c r="Y32" s="21">
        <v>3</v>
      </c>
      <c r="Z32" s="29">
        <f t="shared" si="1"/>
        <v>141</v>
      </c>
      <c r="AA32" s="14">
        <v>423</v>
      </c>
      <c r="AB32" s="14">
        <v>71.709999999999994</v>
      </c>
      <c r="AC32" s="14">
        <v>671.71</v>
      </c>
      <c r="AD32" s="16" t="s">
        <v>147</v>
      </c>
      <c r="AE32" s="16" t="s">
        <v>147</v>
      </c>
      <c r="AF32" s="14">
        <f>SUMIF('Trip Changes'!$B:$B,A32,'Trip Changes'!$E:$E)</f>
        <v>0</v>
      </c>
      <c r="AG32" s="23">
        <f>SUMIF('Trip Cancellations'!$B:$B,A32,'Trip Cancellations'!$E:$E)</f>
        <v>0</v>
      </c>
      <c r="AH32" s="14">
        <f>SUMIF('Trip Cancellations'!$B:$B,A32,'Trip Cancellations'!$F:$F)</f>
        <v>0</v>
      </c>
      <c r="AI32" s="14">
        <f t="shared" si="2"/>
        <v>671.71</v>
      </c>
      <c r="AJ32" s="14" t="str">
        <f t="shared" si="3"/>
        <v>Yes</v>
      </c>
      <c r="AK32" s="14" t="str">
        <f>IF(Y32=0,"N/A",
IF(_xlfn.XLOOKUP(U32,Hotels!A:A,Hotels!C:C)=TRUE,"Yes","No"))</f>
        <v>Yes</v>
      </c>
      <c r="AL32" s="14" t="str">
        <f>IF(N32="Rail","N/A",IF(_xlfn.XLOOKUP(T32,Airlines!A:A,Airlines!C:C)=TRUE,"Yes","No"))</f>
        <v>Yes</v>
      </c>
      <c r="AM32" s="14" t="str">
        <f t="shared" si="4"/>
        <v>Yes</v>
      </c>
      <c r="AN32" s="14" t="str">
        <f t="shared" si="5"/>
        <v>Yes</v>
      </c>
      <c r="AO32" s="14" t="str">
        <f t="shared" si="6"/>
        <v>Yes</v>
      </c>
      <c r="AP32" s="16" t="s">
        <v>147</v>
      </c>
      <c r="AQ32" t="str">
        <f t="shared" si="14"/>
        <v>Yes</v>
      </c>
      <c r="AR32" s="21">
        <v>3</v>
      </c>
      <c r="AS32" s="5">
        <v>533.70000000000005</v>
      </c>
      <c r="AT32" s="5" t="str">
        <f>IF(T32="","",_xlfn.XLOOKUP(T32,Airlines!A:A,Airlines!B:B,"Not Found"))</f>
        <v>KLM</v>
      </c>
      <c r="AU32" s="5" t="str">
        <f>IF(U32="","",_xlfn.XLOOKUP(U32,Hotels!A:A,Hotels!B:B,"Not found"))</f>
        <v>Hilton</v>
      </c>
      <c r="AV32" t="s">
        <v>147</v>
      </c>
      <c r="AW32" s="16" t="str">
        <f t="shared" si="7"/>
        <v>OK</v>
      </c>
      <c r="AX32" s="16" t="str">
        <f t="shared" si="8"/>
        <v>OK</v>
      </c>
      <c r="AY32" s="16" t="str">
        <f t="shared" si="9"/>
        <v>OK</v>
      </c>
      <c r="AZ32" s="16" t="str">
        <f t="shared" si="10"/>
        <v>OK</v>
      </c>
      <c r="BA32" s="16" t="str">
        <f t="shared" si="15"/>
        <v>OK</v>
      </c>
      <c r="BB32" s="21">
        <f>COUNTIF('Trip Changes'!B:B,A32)</f>
        <v>0</v>
      </c>
      <c r="BC32" s="16" t="str">
        <f>IF(OR(AND(AD32="Yes",COUNTIF('Trip Changes'!B:B,A32)&gt;0),AND(AD32="No",COUNTIF('Trip Changes'!B:B,A32)=0)),"OK","Check")</f>
        <v>OK</v>
      </c>
      <c r="BD32" t="str">
        <f t="shared" si="16"/>
        <v>OK</v>
      </c>
      <c r="BE32" t="str">
        <f t="shared" si="17"/>
        <v>OK</v>
      </c>
      <c r="BF32" t="str">
        <f t="shared" si="18"/>
        <v>OK</v>
      </c>
      <c r="BG32" t="str">
        <f t="shared" si="19"/>
        <v>OK</v>
      </c>
      <c r="BH32" t="str">
        <f t="shared" si="20"/>
        <v>OK</v>
      </c>
      <c r="BI32" t="str">
        <f t="shared" si="11"/>
        <v>OK</v>
      </c>
      <c r="BJ32" t="str">
        <f t="shared" si="12"/>
        <v>OK</v>
      </c>
      <c r="BK32" t="str">
        <f t="shared" si="13"/>
        <v>OK</v>
      </c>
    </row>
    <row r="33" spans="1:63">
      <c r="A33" s="16" t="s">
        <v>237</v>
      </c>
      <c r="B33" s="16" t="s">
        <v>238</v>
      </c>
      <c r="C33" s="16" t="s">
        <v>193</v>
      </c>
      <c r="D33" s="16" t="s">
        <v>168</v>
      </c>
      <c r="E33" s="16" t="s">
        <v>169</v>
      </c>
      <c r="F33" s="16" t="s">
        <v>162</v>
      </c>
      <c r="G33" s="15">
        <v>46190</v>
      </c>
      <c r="H33" s="15">
        <v>46206</v>
      </c>
      <c r="I33" s="15">
        <v>46209</v>
      </c>
      <c r="J33" s="15" t="s">
        <v>150</v>
      </c>
      <c r="K33" s="16" t="s">
        <v>193</v>
      </c>
      <c r="L33" t="s">
        <v>209</v>
      </c>
      <c r="M33" s="16" t="s">
        <v>152</v>
      </c>
      <c r="N33" s="16" t="s">
        <v>153</v>
      </c>
      <c r="O33" t="s">
        <v>1614</v>
      </c>
      <c r="P33" s="18">
        <v>3384</v>
      </c>
      <c r="Q33" s="21">
        <v>16</v>
      </c>
      <c r="R33" s="21" t="str">
        <f t="shared" si="0"/>
        <v>15-30 days</v>
      </c>
      <c r="S33" s="16" t="s">
        <v>145</v>
      </c>
      <c r="T33" s="16" t="s">
        <v>154</v>
      </c>
      <c r="U33" s="16" t="s">
        <v>173</v>
      </c>
      <c r="V33" t="str">
        <f>IF(U33="","",IFERROR(VLOOKUP(U33,Hotels!A:B,2,FALSE),"Not Found"))</f>
        <v>Accor</v>
      </c>
      <c r="W33" s="14">
        <v>399.57</v>
      </c>
      <c r="X33" s="14">
        <v>0</v>
      </c>
      <c r="Y33" s="21">
        <v>2</v>
      </c>
      <c r="Z33" s="29">
        <f t="shared" si="1"/>
        <v>159.33500000000001</v>
      </c>
      <c r="AA33" s="14">
        <v>318.67</v>
      </c>
      <c r="AB33" s="14">
        <v>73.680000000000007</v>
      </c>
      <c r="AC33" s="14">
        <v>791.92</v>
      </c>
      <c r="AD33" s="16" t="s">
        <v>147</v>
      </c>
      <c r="AE33" s="16" t="s">
        <v>147</v>
      </c>
      <c r="AF33" s="14">
        <f>SUMIF('Trip Changes'!$B:$B,A33,'Trip Changes'!$E:$E)</f>
        <v>0</v>
      </c>
      <c r="AG33" s="23">
        <f>SUMIF('Trip Cancellations'!$B:$B,A33,'Trip Cancellations'!$E:$E)</f>
        <v>0</v>
      </c>
      <c r="AH33" s="14">
        <f>SUMIF('Trip Cancellations'!$B:$B,A33,'Trip Cancellations'!$F:$F)</f>
        <v>0</v>
      </c>
      <c r="AI33" s="14">
        <f t="shared" si="2"/>
        <v>791.92</v>
      </c>
      <c r="AJ33" s="14" t="str">
        <f t="shared" si="3"/>
        <v>Yes</v>
      </c>
      <c r="AK33" s="14" t="str">
        <f>IF(Y33=0,"N/A",
IF(_xlfn.XLOOKUP(U33,Hotels!A:A,Hotels!C:C)=TRUE,"Yes","No"))</f>
        <v>Yes</v>
      </c>
      <c r="AL33" s="14" t="str">
        <f>IF(N33="Rail","N/A",IF(_xlfn.XLOOKUP(T33,Airlines!A:A,Airlines!C:C)=TRUE,"Yes","No"))</f>
        <v>Yes</v>
      </c>
      <c r="AM33" s="14" t="str">
        <f t="shared" si="4"/>
        <v>Yes</v>
      </c>
      <c r="AN33" s="14" t="str">
        <f t="shared" si="5"/>
        <v>Yes</v>
      </c>
      <c r="AO33" s="14" t="str">
        <f t="shared" si="6"/>
        <v>Yes</v>
      </c>
      <c r="AP33" s="16" t="s">
        <v>148</v>
      </c>
      <c r="AQ33" t="str">
        <f t="shared" si="14"/>
        <v>Yes</v>
      </c>
      <c r="AR33" s="21">
        <v>5</v>
      </c>
      <c r="AS33" s="5">
        <v>507.6</v>
      </c>
      <c r="AT33" s="5" t="str">
        <f>IF(T33="","",_xlfn.XLOOKUP(T33,Airlines!A:A,Airlines!B:B,"Not Found"))</f>
        <v>British Airways</v>
      </c>
      <c r="AU33" s="5" t="str">
        <f>IF(U33="","",_xlfn.XLOOKUP(U33,Hotels!A:A,Hotels!B:B,"Not found"))</f>
        <v>Accor</v>
      </c>
      <c r="AV33" t="s">
        <v>148</v>
      </c>
      <c r="AW33" s="16" t="str">
        <f t="shared" si="7"/>
        <v>OK</v>
      </c>
      <c r="AX33" s="16" t="str">
        <f t="shared" si="8"/>
        <v>OK</v>
      </c>
      <c r="AY33" s="16" t="str">
        <f t="shared" si="9"/>
        <v>OK</v>
      </c>
      <c r="AZ33" s="16" t="str">
        <f t="shared" si="10"/>
        <v>OK</v>
      </c>
      <c r="BA33" s="16" t="str">
        <f t="shared" si="15"/>
        <v>OK</v>
      </c>
      <c r="BB33" s="21">
        <f>COUNTIF('Trip Changes'!B:B,A33)</f>
        <v>0</v>
      </c>
      <c r="BC33" s="16" t="str">
        <f>IF(OR(AND(AD33="Yes",COUNTIF('Trip Changes'!B:B,A33)&gt;0),AND(AD33="No",COUNTIF('Trip Changes'!B:B,A33)=0)),"OK","Check")</f>
        <v>OK</v>
      </c>
      <c r="BD33" t="str">
        <f t="shared" si="16"/>
        <v>OK</v>
      </c>
      <c r="BE33" t="str">
        <f t="shared" si="17"/>
        <v>OK</v>
      </c>
      <c r="BF33" t="str">
        <f t="shared" si="18"/>
        <v>OK</v>
      </c>
      <c r="BG33" t="str">
        <f t="shared" si="19"/>
        <v>OK</v>
      </c>
      <c r="BH33" t="str">
        <f t="shared" si="20"/>
        <v>OK</v>
      </c>
      <c r="BI33" t="str">
        <f t="shared" si="11"/>
        <v>OK</v>
      </c>
      <c r="BJ33" t="str">
        <f t="shared" si="12"/>
        <v>OK</v>
      </c>
      <c r="BK33" t="str">
        <f t="shared" si="13"/>
        <v>OK</v>
      </c>
    </row>
    <row r="34" spans="1:63">
      <c r="A34" s="16" t="s">
        <v>239</v>
      </c>
      <c r="B34" s="16" t="s">
        <v>238</v>
      </c>
      <c r="C34" s="16" t="s">
        <v>193</v>
      </c>
      <c r="D34" s="16" t="s">
        <v>168</v>
      </c>
      <c r="E34" s="16" t="s">
        <v>169</v>
      </c>
      <c r="F34" s="16" t="s">
        <v>207</v>
      </c>
      <c r="G34" s="15">
        <v>46166</v>
      </c>
      <c r="H34" s="15">
        <v>46169</v>
      </c>
      <c r="I34" s="15">
        <v>46178</v>
      </c>
      <c r="J34" s="15" t="s">
        <v>163</v>
      </c>
      <c r="K34" s="16" t="s">
        <v>193</v>
      </c>
      <c r="L34" t="s">
        <v>240</v>
      </c>
      <c r="M34" s="16" t="s">
        <v>152</v>
      </c>
      <c r="N34" s="16" t="s">
        <v>153</v>
      </c>
      <c r="O34" t="s">
        <v>1631</v>
      </c>
      <c r="P34" s="18">
        <v>16768</v>
      </c>
      <c r="Q34" s="21">
        <v>3</v>
      </c>
      <c r="R34" s="21" t="str">
        <f t="shared" si="0"/>
        <v>0-3 days</v>
      </c>
      <c r="S34" s="16" t="s">
        <v>145</v>
      </c>
      <c r="T34" s="16" t="s">
        <v>154</v>
      </c>
      <c r="U34" s="16" t="s">
        <v>190</v>
      </c>
      <c r="V34" t="str">
        <f>IF(U34="","",IFERROR(VLOOKUP(U34,Hotels!A:B,2,FALSE),"Not Found"))</f>
        <v>Radisson Hotel Group</v>
      </c>
      <c r="W34" s="14">
        <v>1614.2</v>
      </c>
      <c r="X34" s="14">
        <v>0</v>
      </c>
      <c r="Y34" s="21">
        <v>8</v>
      </c>
      <c r="Z34" s="29">
        <f t="shared" si="1"/>
        <v>202.16874999999999</v>
      </c>
      <c r="AA34" s="14">
        <v>1617.35</v>
      </c>
      <c r="AB34" s="14">
        <v>66.930000000000007</v>
      </c>
      <c r="AC34" s="14">
        <v>3298.48</v>
      </c>
      <c r="AD34" s="16" t="s">
        <v>148</v>
      </c>
      <c r="AE34" s="16" t="s">
        <v>147</v>
      </c>
      <c r="AF34" s="14">
        <f>SUMIF('Trip Changes'!$B:$B,A34,'Trip Changes'!$E:$E)</f>
        <v>68.12</v>
      </c>
      <c r="AG34" s="23">
        <f>SUMIF('Trip Cancellations'!$B:$B,A34,'Trip Cancellations'!$E:$E)</f>
        <v>0</v>
      </c>
      <c r="AH34" s="14">
        <f>SUMIF('Trip Cancellations'!$B:$B,A34,'Trip Cancellations'!$F:$F)</f>
        <v>0</v>
      </c>
      <c r="AI34" s="14">
        <f t="shared" si="2"/>
        <v>3366.6</v>
      </c>
      <c r="AJ34" s="14" t="str">
        <f t="shared" si="3"/>
        <v>Yes</v>
      </c>
      <c r="AK34" s="14" t="str">
        <f>IF(Y34=0,"N/A",
IF(_xlfn.XLOOKUP(U34,Hotels!A:A,Hotels!C:C)=TRUE,"Yes","No"))</f>
        <v>No</v>
      </c>
      <c r="AL34" s="14" t="str">
        <f>IF(N34="Rail","N/A",IF(_xlfn.XLOOKUP(T34,Airlines!A:A,Airlines!C:C)=TRUE,"Yes","No"))</f>
        <v>Yes</v>
      </c>
      <c r="AM34" s="14" t="str">
        <f t="shared" si="4"/>
        <v>No</v>
      </c>
      <c r="AN34" s="14" t="str">
        <f t="shared" si="5"/>
        <v>Yes</v>
      </c>
      <c r="AO34" s="14" t="str">
        <f t="shared" si="6"/>
        <v>No</v>
      </c>
      <c r="AP34" s="16" t="s">
        <v>147</v>
      </c>
      <c r="AQ34" t="str">
        <f t="shared" si="14"/>
        <v>No</v>
      </c>
      <c r="AR34" s="21">
        <v>4</v>
      </c>
      <c r="AS34" s="5">
        <v>2515.1999999999998</v>
      </c>
      <c r="AT34" s="5" t="str">
        <f>IF(T34="","",_xlfn.XLOOKUP(T34,Airlines!A:A,Airlines!B:B,"Not Found"))</f>
        <v>British Airways</v>
      </c>
      <c r="AU34" s="5" t="str">
        <f>IF(U34="","",_xlfn.XLOOKUP(U34,Hotels!A:A,Hotels!B:B,"Not found"))</f>
        <v>Radisson Hotel Group</v>
      </c>
      <c r="AV34" t="s">
        <v>147</v>
      </c>
      <c r="AW34" s="16" t="str">
        <f t="shared" si="7"/>
        <v>OK</v>
      </c>
      <c r="AX34" s="16" t="str">
        <f t="shared" si="8"/>
        <v>OK</v>
      </c>
      <c r="AY34" s="16" t="str">
        <f t="shared" si="9"/>
        <v>OK</v>
      </c>
      <c r="AZ34" s="16" t="str">
        <f t="shared" si="10"/>
        <v>OK</v>
      </c>
      <c r="BA34" s="16" t="str">
        <f t="shared" si="15"/>
        <v>OK</v>
      </c>
      <c r="BB34" s="21">
        <f>COUNTIF('Trip Changes'!B:B,A34)</f>
        <v>1</v>
      </c>
      <c r="BC34" s="16" t="str">
        <f>IF(OR(AND(AD34="Yes",COUNTIF('Trip Changes'!B:B,A34)&gt;0),AND(AD34="No",COUNTIF('Trip Changes'!B:B,A34)=0)),"OK","Check")</f>
        <v>OK</v>
      </c>
      <c r="BD34" t="str">
        <f t="shared" si="16"/>
        <v>OK</v>
      </c>
      <c r="BE34" t="str">
        <f t="shared" si="17"/>
        <v>OK</v>
      </c>
      <c r="BF34" t="str">
        <f t="shared" si="18"/>
        <v>OK</v>
      </c>
      <c r="BG34" t="str">
        <f t="shared" si="19"/>
        <v>OK</v>
      </c>
      <c r="BH34" t="str">
        <f t="shared" si="20"/>
        <v>OK</v>
      </c>
      <c r="BI34" t="str">
        <f t="shared" si="11"/>
        <v>OK</v>
      </c>
      <c r="BJ34" t="str">
        <f t="shared" si="12"/>
        <v>OK</v>
      </c>
      <c r="BK34" t="str">
        <f t="shared" si="13"/>
        <v>OK</v>
      </c>
    </row>
    <row r="35" spans="1:63">
      <c r="A35" s="16" t="s">
        <v>241</v>
      </c>
      <c r="B35" s="16" t="s">
        <v>242</v>
      </c>
      <c r="C35" s="16" t="s">
        <v>137</v>
      </c>
      <c r="D35" s="16" t="s">
        <v>204</v>
      </c>
      <c r="E35" s="16" t="s">
        <v>169</v>
      </c>
      <c r="F35" s="16" t="s">
        <v>140</v>
      </c>
      <c r="G35" s="15">
        <v>46201</v>
      </c>
      <c r="H35" s="15">
        <v>46206</v>
      </c>
      <c r="I35" s="15">
        <v>46208</v>
      </c>
      <c r="J35" s="15" t="s">
        <v>150</v>
      </c>
      <c r="K35" s="16" t="s">
        <v>137</v>
      </c>
      <c r="L35" t="s">
        <v>227</v>
      </c>
      <c r="M35" s="16" t="s">
        <v>152</v>
      </c>
      <c r="N35" s="16" t="s">
        <v>153</v>
      </c>
      <c r="O35" t="s">
        <v>1614</v>
      </c>
      <c r="P35" s="18">
        <v>2394</v>
      </c>
      <c r="Q35" s="21">
        <v>5</v>
      </c>
      <c r="R35" s="21" t="str">
        <f t="shared" si="0"/>
        <v>4-7 days</v>
      </c>
      <c r="S35" s="16" t="s">
        <v>145</v>
      </c>
      <c r="T35" s="16" t="s">
        <v>236</v>
      </c>
      <c r="U35" s="16" t="s">
        <v>164</v>
      </c>
      <c r="V35" t="str">
        <f>IF(U35="","",IFERROR(VLOOKUP(U35,Hotels!A:B,2,FALSE),"Not Found"))</f>
        <v>Marriott</v>
      </c>
      <c r="W35" s="14">
        <v>610.39</v>
      </c>
      <c r="X35" s="14">
        <v>0</v>
      </c>
      <c r="Y35" s="21">
        <v>1</v>
      </c>
      <c r="Z35" s="29">
        <f t="shared" si="1"/>
        <v>246.82</v>
      </c>
      <c r="AA35" s="14">
        <v>246.82</v>
      </c>
      <c r="AB35" s="14">
        <v>77.77</v>
      </c>
      <c r="AC35" s="14">
        <v>934.98</v>
      </c>
      <c r="AD35" s="16" t="s">
        <v>148</v>
      </c>
      <c r="AE35" s="16" t="s">
        <v>147</v>
      </c>
      <c r="AF35" s="14">
        <f>SUMIF('Trip Changes'!$B:$B,A35,'Trip Changes'!$E:$E)</f>
        <v>173.75</v>
      </c>
      <c r="AG35" s="23">
        <f>SUMIF('Trip Cancellations'!$B:$B,A35,'Trip Cancellations'!$E:$E)</f>
        <v>0</v>
      </c>
      <c r="AH35" s="14">
        <f>SUMIF('Trip Cancellations'!$B:$B,A35,'Trip Cancellations'!$F:$F)</f>
        <v>0</v>
      </c>
      <c r="AI35" s="14">
        <f t="shared" si="2"/>
        <v>1108.73</v>
      </c>
      <c r="AJ35" s="14" t="str">
        <f t="shared" si="3"/>
        <v>No</v>
      </c>
      <c r="AK35" s="14" t="str">
        <f>IF(Y35=0,"N/A",
IF(_xlfn.XLOOKUP(U35,Hotels!A:A,Hotels!C:C)=TRUE,"Yes","No"))</f>
        <v>Yes</v>
      </c>
      <c r="AL35" s="14" t="str">
        <f>IF(N35="Rail","N/A",IF(_xlfn.XLOOKUP(T35,Airlines!A:A,Airlines!C:C)=TRUE,"Yes","No"))</f>
        <v>Yes</v>
      </c>
      <c r="AM35" s="14" t="str">
        <f t="shared" si="4"/>
        <v>Yes</v>
      </c>
      <c r="AN35" s="14" t="str">
        <f t="shared" si="5"/>
        <v>Yes</v>
      </c>
      <c r="AO35" s="14" t="str">
        <f t="shared" si="6"/>
        <v>Yes</v>
      </c>
      <c r="AP35" s="16" t="s">
        <v>148</v>
      </c>
      <c r="AQ35" t="str">
        <f t="shared" si="14"/>
        <v>No</v>
      </c>
      <c r="AR35" s="21">
        <v>4</v>
      </c>
      <c r="AS35" s="5">
        <v>359.1</v>
      </c>
      <c r="AT35" s="5" t="str">
        <f>IF(T35="","",_xlfn.XLOOKUP(T35,Airlines!A:A,Airlines!B:B,"Not Found"))</f>
        <v>KLM</v>
      </c>
      <c r="AU35" s="5" t="str">
        <f>IF(U35="","",_xlfn.XLOOKUP(U35,Hotels!A:A,Hotels!B:B,"Not found"))</f>
        <v>Marriott</v>
      </c>
      <c r="AV35" t="s">
        <v>148</v>
      </c>
      <c r="AW35" s="16" t="str">
        <f t="shared" si="7"/>
        <v>OK</v>
      </c>
      <c r="AX35" s="16" t="str">
        <f t="shared" si="8"/>
        <v>OK</v>
      </c>
      <c r="AY35" s="16" t="str">
        <f t="shared" si="9"/>
        <v>OK</v>
      </c>
      <c r="AZ35" s="16" t="str">
        <f t="shared" si="10"/>
        <v>OK</v>
      </c>
      <c r="BA35" s="16" t="str">
        <f t="shared" si="15"/>
        <v>OK</v>
      </c>
      <c r="BB35" s="21">
        <f>COUNTIF('Trip Changes'!B:B,A35)</f>
        <v>1</v>
      </c>
      <c r="BC35" s="16" t="str">
        <f>IF(OR(AND(AD35="Yes",COUNTIF('Trip Changes'!B:B,A35)&gt;0),AND(AD35="No",COUNTIF('Trip Changes'!B:B,A35)=0)),"OK","Check")</f>
        <v>OK</v>
      </c>
      <c r="BD35" t="str">
        <f t="shared" si="16"/>
        <v>OK</v>
      </c>
      <c r="BE35" t="str">
        <f t="shared" si="17"/>
        <v>OK</v>
      </c>
      <c r="BF35" t="str">
        <f t="shared" si="18"/>
        <v>OK</v>
      </c>
      <c r="BG35" t="str">
        <f t="shared" si="19"/>
        <v>OK</v>
      </c>
      <c r="BH35" t="str">
        <f t="shared" si="20"/>
        <v>OK</v>
      </c>
      <c r="BI35" t="str">
        <f t="shared" si="11"/>
        <v>OK</v>
      </c>
      <c r="BJ35" t="str">
        <f t="shared" si="12"/>
        <v>OK</v>
      </c>
      <c r="BK35" t="str">
        <f t="shared" si="13"/>
        <v>OK</v>
      </c>
    </row>
    <row r="36" spans="1:63">
      <c r="A36" s="16" t="s">
        <v>243</v>
      </c>
      <c r="B36" s="16" t="s">
        <v>242</v>
      </c>
      <c r="C36" s="16" t="s">
        <v>137</v>
      </c>
      <c r="D36" s="16" t="s">
        <v>204</v>
      </c>
      <c r="E36" s="16" t="s">
        <v>169</v>
      </c>
      <c r="F36" s="16" t="s">
        <v>170</v>
      </c>
      <c r="G36" s="15">
        <v>46194</v>
      </c>
      <c r="H36" s="15">
        <v>46214</v>
      </c>
      <c r="I36" s="15">
        <v>46217</v>
      </c>
      <c r="J36" s="15" t="s">
        <v>150</v>
      </c>
      <c r="K36" s="16" t="s">
        <v>137</v>
      </c>
      <c r="L36" t="s">
        <v>182</v>
      </c>
      <c r="M36" s="16" t="s">
        <v>143</v>
      </c>
      <c r="N36" s="16" t="s">
        <v>144</v>
      </c>
      <c r="O36" t="s">
        <v>1630</v>
      </c>
      <c r="P36" s="18">
        <v>722</v>
      </c>
      <c r="Q36" s="21">
        <v>20</v>
      </c>
      <c r="R36" s="21" t="str">
        <f t="shared" si="0"/>
        <v>15-30 days</v>
      </c>
      <c r="S36" s="16" t="s">
        <v>145</v>
      </c>
      <c r="U36" s="16" t="s">
        <v>146</v>
      </c>
      <c r="V36" t="str">
        <f>IF(U36="","",IFERROR(VLOOKUP(U36,Hotels!A:B,2,FALSE),"Not Found"))</f>
        <v>Premier Inn</v>
      </c>
      <c r="W36" s="14">
        <v>0</v>
      </c>
      <c r="X36" s="14">
        <v>141.66</v>
      </c>
      <c r="Y36" s="21">
        <v>2</v>
      </c>
      <c r="Z36" s="29">
        <f t="shared" si="1"/>
        <v>99.525000000000006</v>
      </c>
      <c r="AA36" s="14">
        <v>199.05</v>
      </c>
      <c r="AB36" s="14">
        <v>101.17</v>
      </c>
      <c r="AC36" s="14">
        <v>441.88</v>
      </c>
      <c r="AD36" s="16" t="s">
        <v>147</v>
      </c>
      <c r="AE36" s="16" t="s">
        <v>147</v>
      </c>
      <c r="AF36" s="14">
        <f>SUMIF('Trip Changes'!$B:$B,A36,'Trip Changes'!$E:$E)</f>
        <v>0</v>
      </c>
      <c r="AG36" s="23">
        <f>SUMIF('Trip Cancellations'!$B:$B,A36,'Trip Cancellations'!$E:$E)</f>
        <v>0</v>
      </c>
      <c r="AH36" s="14">
        <f>SUMIF('Trip Cancellations'!$B:$B,A36,'Trip Cancellations'!$F:$F)</f>
        <v>0</v>
      </c>
      <c r="AI36" s="14">
        <f t="shared" si="2"/>
        <v>441.88</v>
      </c>
      <c r="AJ36" s="14" t="str">
        <f t="shared" si="3"/>
        <v>Yes</v>
      </c>
      <c r="AK36" s="14" t="str">
        <f>IF(Y36=0,"N/A",
IF(_xlfn.XLOOKUP(U36,Hotels!A:A,Hotels!C:C)=TRUE,"Yes","No"))</f>
        <v>Yes</v>
      </c>
      <c r="AL36" s="14" t="str">
        <f>IF(N36="Rail","N/A",IF(_xlfn.XLOOKUP(T36,Airlines!A:A,Airlines!C:C)=TRUE,"Yes","No"))</f>
        <v>N/A</v>
      </c>
      <c r="AM36" s="14" t="str">
        <f t="shared" si="4"/>
        <v>Yes</v>
      </c>
      <c r="AN36" s="14" t="str">
        <f t="shared" si="5"/>
        <v>Yes</v>
      </c>
      <c r="AO36" s="14" t="str">
        <f t="shared" si="6"/>
        <v>Yes</v>
      </c>
      <c r="AP36" s="16" t="s">
        <v>148</v>
      </c>
      <c r="AQ36" t="str">
        <f t="shared" si="14"/>
        <v>Yes</v>
      </c>
      <c r="AR36" s="21">
        <v>5</v>
      </c>
      <c r="AS36" s="5">
        <v>28.9</v>
      </c>
      <c r="AT36" s="5" t="str">
        <f>IF(T36="","",_xlfn.XLOOKUP(T36,Airlines!A:A,Airlines!B:B,"Not Found"))</f>
        <v/>
      </c>
      <c r="AU36" s="5" t="str">
        <f>IF(U36="","",_xlfn.XLOOKUP(U36,Hotels!A:A,Hotels!B:B,"Not found"))</f>
        <v>Premier Inn</v>
      </c>
      <c r="AV36" t="s">
        <v>147</v>
      </c>
      <c r="AW36" s="16" t="str">
        <f t="shared" si="7"/>
        <v>OK</v>
      </c>
      <c r="AX36" s="16" t="str">
        <f t="shared" si="8"/>
        <v>OK</v>
      </c>
      <c r="AY36" s="16" t="str">
        <f t="shared" si="9"/>
        <v>OK</v>
      </c>
      <c r="AZ36" s="16" t="str">
        <f t="shared" si="10"/>
        <v>OK</v>
      </c>
      <c r="BA36" s="16" t="str">
        <f t="shared" si="15"/>
        <v>OK</v>
      </c>
      <c r="BB36" s="21">
        <f>COUNTIF('Trip Changes'!B:B,A36)</f>
        <v>0</v>
      </c>
      <c r="BC36" s="16" t="str">
        <f>IF(OR(AND(AD36="Yes",COUNTIF('Trip Changes'!B:B,A36)&gt;0),AND(AD36="No",COUNTIF('Trip Changes'!B:B,A36)=0)),"OK","Check")</f>
        <v>OK</v>
      </c>
      <c r="BD36" t="str">
        <f t="shared" si="16"/>
        <v>OK</v>
      </c>
      <c r="BE36" t="str">
        <f t="shared" si="17"/>
        <v>OK</v>
      </c>
      <c r="BF36" t="str">
        <f t="shared" si="18"/>
        <v>OK</v>
      </c>
      <c r="BG36" t="str">
        <f t="shared" si="19"/>
        <v>OK</v>
      </c>
      <c r="BH36" t="str">
        <f t="shared" si="20"/>
        <v>OK</v>
      </c>
      <c r="BI36" t="str">
        <f t="shared" si="11"/>
        <v>OK</v>
      </c>
      <c r="BJ36" t="str">
        <f t="shared" si="12"/>
        <v>OK</v>
      </c>
      <c r="BK36" t="str">
        <f t="shared" si="13"/>
        <v>OK</v>
      </c>
    </row>
    <row r="37" spans="1:63">
      <c r="A37" s="16" t="s">
        <v>244</v>
      </c>
      <c r="B37" s="16" t="s">
        <v>242</v>
      </c>
      <c r="C37" s="16" t="s">
        <v>137</v>
      </c>
      <c r="D37" s="16" t="s">
        <v>204</v>
      </c>
      <c r="E37" s="16" t="s">
        <v>169</v>
      </c>
      <c r="F37" s="16" t="s">
        <v>181</v>
      </c>
      <c r="G37" s="15">
        <v>46128</v>
      </c>
      <c r="H37" s="15">
        <v>46152</v>
      </c>
      <c r="I37" s="15">
        <v>46157</v>
      </c>
      <c r="J37" s="15" t="s">
        <v>163</v>
      </c>
      <c r="K37" s="16" t="s">
        <v>137</v>
      </c>
      <c r="L37" t="s">
        <v>199</v>
      </c>
      <c r="M37" s="16" t="s">
        <v>152</v>
      </c>
      <c r="N37" s="16" t="s">
        <v>153</v>
      </c>
      <c r="O37" t="s">
        <v>1614</v>
      </c>
      <c r="P37" s="18">
        <v>1404</v>
      </c>
      <c r="Q37" s="21">
        <v>24</v>
      </c>
      <c r="R37" s="21" t="str">
        <f t="shared" si="0"/>
        <v>15-30 days</v>
      </c>
      <c r="S37" s="16" t="s">
        <v>216</v>
      </c>
      <c r="T37" s="16" t="s">
        <v>154</v>
      </c>
      <c r="U37" s="16" t="s">
        <v>187</v>
      </c>
      <c r="V37" t="str">
        <f>IF(U37="","",IFERROR(VLOOKUP(U37,Hotels!A:B,2,FALSE),"Not Found"))</f>
        <v>IHG Hotels &amp; Resorts</v>
      </c>
      <c r="W37" s="14">
        <v>172.11</v>
      </c>
      <c r="X37" s="14">
        <v>0</v>
      </c>
      <c r="Y37" s="21">
        <v>4</v>
      </c>
      <c r="Z37" s="29">
        <f t="shared" si="1"/>
        <v>162.88749999999999</v>
      </c>
      <c r="AA37" s="14">
        <v>651.54999999999995</v>
      </c>
      <c r="AB37" s="14">
        <v>101.25</v>
      </c>
      <c r="AC37" s="14">
        <v>924.91</v>
      </c>
      <c r="AD37" s="16" t="s">
        <v>147</v>
      </c>
      <c r="AE37" s="16" t="s">
        <v>147</v>
      </c>
      <c r="AF37" s="14">
        <f>SUMIF('Trip Changes'!$B:$B,A37,'Trip Changes'!$E:$E)</f>
        <v>0</v>
      </c>
      <c r="AG37" s="23">
        <f>SUMIF('Trip Cancellations'!$B:$B,A37,'Trip Cancellations'!$E:$E)</f>
        <v>0</v>
      </c>
      <c r="AH37" s="14">
        <f>SUMIF('Trip Cancellations'!$B:$B,A37,'Trip Cancellations'!$F:$F)</f>
        <v>0</v>
      </c>
      <c r="AI37" s="14">
        <f t="shared" si="2"/>
        <v>924.91</v>
      </c>
      <c r="AJ37" s="14" t="str">
        <f t="shared" si="3"/>
        <v>Yes</v>
      </c>
      <c r="AK37" s="14" t="str">
        <f>IF(Y37=0,"N/A",
IF(_xlfn.XLOOKUP(U37,Hotels!A:A,Hotels!C:C)=TRUE,"Yes","No"))</f>
        <v>Yes</v>
      </c>
      <c r="AL37" s="14" t="str">
        <f>IF(N37="Rail","N/A",IF(_xlfn.XLOOKUP(T37,Airlines!A:A,Airlines!C:C)=TRUE,"Yes","No"))</f>
        <v>Yes</v>
      </c>
      <c r="AM37" s="14" t="str">
        <f t="shared" si="4"/>
        <v>Yes</v>
      </c>
      <c r="AN37" s="14" t="str">
        <f t="shared" si="5"/>
        <v>No</v>
      </c>
      <c r="AO37" s="14" t="str">
        <f t="shared" si="6"/>
        <v>Yes</v>
      </c>
      <c r="AP37" s="16" t="s">
        <v>148</v>
      </c>
      <c r="AQ37" t="str">
        <f t="shared" si="14"/>
        <v>No</v>
      </c>
      <c r="AR37" s="21">
        <v>4</v>
      </c>
      <c r="AS37" s="5">
        <v>210.6</v>
      </c>
      <c r="AT37" s="5" t="str">
        <f>IF(T37="","",_xlfn.XLOOKUP(T37,Airlines!A:A,Airlines!B:B,"Not Found"))</f>
        <v>British Airways</v>
      </c>
      <c r="AU37" s="5" t="str">
        <f>IF(U37="","",_xlfn.XLOOKUP(U37,Hotels!A:A,Hotels!B:B,"Not found"))</f>
        <v>IHG Hotels &amp; Resorts</v>
      </c>
      <c r="AV37" t="s">
        <v>147</v>
      </c>
      <c r="AW37" s="16" t="str">
        <f t="shared" si="7"/>
        <v>OK</v>
      </c>
      <c r="AX37" s="16" t="str">
        <f t="shared" si="8"/>
        <v>OK</v>
      </c>
      <c r="AY37" s="16" t="str">
        <f t="shared" si="9"/>
        <v>OK</v>
      </c>
      <c r="AZ37" s="16" t="str">
        <f t="shared" si="10"/>
        <v>OK</v>
      </c>
      <c r="BA37" s="16" t="str">
        <f t="shared" si="15"/>
        <v>OK</v>
      </c>
      <c r="BB37" s="21">
        <f>COUNTIF('Trip Changes'!B:B,A37)</f>
        <v>0</v>
      </c>
      <c r="BC37" s="16" t="str">
        <f>IF(OR(AND(AD37="Yes",COUNTIF('Trip Changes'!B:B,A37)&gt;0),AND(AD37="No",COUNTIF('Trip Changes'!B:B,A37)=0)),"OK","Check")</f>
        <v>OK</v>
      </c>
      <c r="BD37" t="str">
        <f t="shared" si="16"/>
        <v>OK</v>
      </c>
      <c r="BE37" t="str">
        <f t="shared" si="17"/>
        <v>OK</v>
      </c>
      <c r="BF37" t="str">
        <f t="shared" si="18"/>
        <v>OK</v>
      </c>
      <c r="BG37" t="str">
        <f t="shared" si="19"/>
        <v>OK</v>
      </c>
      <c r="BH37" t="str">
        <f t="shared" si="20"/>
        <v>OK</v>
      </c>
      <c r="BI37" t="str">
        <f t="shared" si="11"/>
        <v>OK</v>
      </c>
      <c r="BJ37" t="str">
        <f t="shared" si="12"/>
        <v>OK</v>
      </c>
      <c r="BK37" t="str">
        <f t="shared" si="13"/>
        <v>OK</v>
      </c>
    </row>
    <row r="38" spans="1:63">
      <c r="A38" s="16" t="s">
        <v>245</v>
      </c>
      <c r="B38" s="16" t="s">
        <v>242</v>
      </c>
      <c r="C38" s="16" t="s">
        <v>137</v>
      </c>
      <c r="D38" s="16" t="s">
        <v>204</v>
      </c>
      <c r="E38" s="16" t="s">
        <v>169</v>
      </c>
      <c r="F38" s="16" t="s">
        <v>157</v>
      </c>
      <c r="G38" s="15">
        <v>46145</v>
      </c>
      <c r="H38" s="15">
        <v>46147</v>
      </c>
      <c r="I38" s="15">
        <v>46150</v>
      </c>
      <c r="J38" s="15" t="s">
        <v>163</v>
      </c>
      <c r="K38" s="16" t="s">
        <v>137</v>
      </c>
      <c r="L38" t="s">
        <v>199</v>
      </c>
      <c r="M38" s="16" t="s">
        <v>152</v>
      </c>
      <c r="N38" s="16" t="s">
        <v>153</v>
      </c>
      <c r="O38" t="s">
        <v>1614</v>
      </c>
      <c r="P38" s="18">
        <v>2610</v>
      </c>
      <c r="Q38" s="21">
        <v>2</v>
      </c>
      <c r="R38" s="21" t="str">
        <f t="shared" si="0"/>
        <v>0-3 days</v>
      </c>
      <c r="S38" s="16" t="s">
        <v>145</v>
      </c>
      <c r="T38" s="16" t="s">
        <v>200</v>
      </c>
      <c r="U38" s="16" t="s">
        <v>164</v>
      </c>
      <c r="V38" t="str">
        <f>IF(U38="","",IFERROR(VLOOKUP(U38,Hotels!A:B,2,FALSE),"Not Found"))</f>
        <v>Marriott</v>
      </c>
      <c r="W38" s="14">
        <v>448.21</v>
      </c>
      <c r="X38" s="14">
        <v>0</v>
      </c>
      <c r="Y38" s="21">
        <v>2</v>
      </c>
      <c r="Z38" s="29">
        <f t="shared" si="1"/>
        <v>178.83500000000001</v>
      </c>
      <c r="AA38" s="14">
        <v>357.67</v>
      </c>
      <c r="AB38" s="14">
        <v>68</v>
      </c>
      <c r="AC38" s="14">
        <v>873.88</v>
      </c>
      <c r="AD38" s="16" t="s">
        <v>147</v>
      </c>
      <c r="AE38" s="16" t="s">
        <v>147</v>
      </c>
      <c r="AF38" s="14">
        <f>SUMIF('Trip Changes'!$B:$B,A38,'Trip Changes'!$E:$E)</f>
        <v>0</v>
      </c>
      <c r="AG38" s="23">
        <f>SUMIF('Trip Cancellations'!$B:$B,A38,'Trip Cancellations'!$E:$E)</f>
        <v>0</v>
      </c>
      <c r="AH38" s="14">
        <f>SUMIF('Trip Cancellations'!$B:$B,A38,'Trip Cancellations'!$F:$F)</f>
        <v>0</v>
      </c>
      <c r="AI38" s="14">
        <f t="shared" si="2"/>
        <v>873.88</v>
      </c>
      <c r="AJ38" s="14" t="str">
        <f t="shared" si="3"/>
        <v>Yes</v>
      </c>
      <c r="AK38" s="14" t="str">
        <f>IF(Y38=0,"N/A",
IF(_xlfn.XLOOKUP(U38,Hotels!A:A,Hotels!C:C)=TRUE,"Yes","No"))</f>
        <v>Yes</v>
      </c>
      <c r="AL38" s="14" t="str">
        <f>IF(N38="Rail","N/A",IF(_xlfn.XLOOKUP(T38,Airlines!A:A,Airlines!C:C)=TRUE,"Yes","No"))</f>
        <v>Yes</v>
      </c>
      <c r="AM38" s="14" t="str">
        <f t="shared" si="4"/>
        <v>Yes</v>
      </c>
      <c r="AN38" s="14" t="str">
        <f t="shared" si="5"/>
        <v>Yes</v>
      </c>
      <c r="AO38" s="14" t="str">
        <f t="shared" si="6"/>
        <v>Yes</v>
      </c>
      <c r="AP38" s="16" t="s">
        <v>148</v>
      </c>
      <c r="AQ38" t="str">
        <f t="shared" si="14"/>
        <v>Yes</v>
      </c>
      <c r="AR38" s="21">
        <v>4</v>
      </c>
      <c r="AS38" s="5">
        <v>391.5</v>
      </c>
      <c r="AT38" s="5" t="str">
        <f>IF(T38="","",_xlfn.XLOOKUP(T38,Airlines!A:A,Airlines!B:B,"Not Found"))</f>
        <v>Aer Lingus</v>
      </c>
      <c r="AU38" s="5" t="str">
        <f>IF(U38="","",_xlfn.XLOOKUP(U38,Hotels!A:A,Hotels!B:B,"Not found"))</f>
        <v>Marriott</v>
      </c>
      <c r="AV38" t="s">
        <v>147</v>
      </c>
      <c r="AW38" s="16" t="str">
        <f t="shared" si="7"/>
        <v>OK</v>
      </c>
      <c r="AX38" s="16" t="str">
        <f t="shared" si="8"/>
        <v>OK</v>
      </c>
      <c r="AY38" s="16" t="str">
        <f t="shared" si="9"/>
        <v>OK</v>
      </c>
      <c r="AZ38" s="16" t="str">
        <f t="shared" si="10"/>
        <v>OK</v>
      </c>
      <c r="BA38" s="16" t="str">
        <f t="shared" si="15"/>
        <v>OK</v>
      </c>
      <c r="BB38" s="21">
        <f>COUNTIF('Trip Changes'!B:B,A38)</f>
        <v>0</v>
      </c>
      <c r="BC38" s="16" t="str">
        <f>IF(OR(AND(AD38="Yes",COUNTIF('Trip Changes'!B:B,A38)&gt;0),AND(AD38="No",COUNTIF('Trip Changes'!B:B,A38)=0)),"OK","Check")</f>
        <v>OK</v>
      </c>
      <c r="BD38" t="str">
        <f t="shared" si="16"/>
        <v>OK</v>
      </c>
      <c r="BE38" t="str">
        <f t="shared" si="17"/>
        <v>OK</v>
      </c>
      <c r="BF38" t="str">
        <f t="shared" si="18"/>
        <v>OK</v>
      </c>
      <c r="BG38" t="str">
        <f t="shared" si="19"/>
        <v>OK</v>
      </c>
      <c r="BH38" t="str">
        <f t="shared" si="20"/>
        <v>OK</v>
      </c>
      <c r="BI38" t="str">
        <f t="shared" si="11"/>
        <v>OK</v>
      </c>
      <c r="BJ38" t="str">
        <f t="shared" si="12"/>
        <v>OK</v>
      </c>
      <c r="BK38" t="str">
        <f t="shared" si="13"/>
        <v>OK</v>
      </c>
    </row>
    <row r="39" spans="1:63">
      <c r="A39" s="16" t="s">
        <v>246</v>
      </c>
      <c r="B39" s="16" t="s">
        <v>247</v>
      </c>
      <c r="C39" s="16" t="s">
        <v>182</v>
      </c>
      <c r="D39" s="16" t="s">
        <v>248</v>
      </c>
      <c r="E39" s="16" t="s">
        <v>249</v>
      </c>
      <c r="F39" s="16" t="s">
        <v>162</v>
      </c>
      <c r="G39" s="15">
        <v>46180</v>
      </c>
      <c r="H39" s="15">
        <v>46201</v>
      </c>
      <c r="I39" s="15">
        <v>46203</v>
      </c>
      <c r="J39" s="15" t="s">
        <v>141</v>
      </c>
      <c r="K39" s="16" t="s">
        <v>182</v>
      </c>
      <c r="L39" t="s">
        <v>158</v>
      </c>
      <c r="M39" s="16" t="s">
        <v>152</v>
      </c>
      <c r="N39" s="16" t="s">
        <v>153</v>
      </c>
      <c r="O39" t="s">
        <v>1614</v>
      </c>
      <c r="P39" s="18">
        <v>3134</v>
      </c>
      <c r="Q39" s="21">
        <v>21</v>
      </c>
      <c r="R39" s="21" t="str">
        <f t="shared" si="0"/>
        <v>15-30 days</v>
      </c>
      <c r="S39" s="16" t="s">
        <v>159</v>
      </c>
      <c r="T39" s="16" t="s">
        <v>154</v>
      </c>
      <c r="U39" s="16" t="s">
        <v>187</v>
      </c>
      <c r="V39" t="str">
        <f>IF(U39="","",IFERROR(VLOOKUP(U39,Hotels!A:B,2,FALSE),"Not Found"))</f>
        <v>IHG Hotels &amp; Resorts</v>
      </c>
      <c r="W39" s="14">
        <v>454.32</v>
      </c>
      <c r="X39" s="14">
        <v>0</v>
      </c>
      <c r="Y39" s="21">
        <v>1</v>
      </c>
      <c r="Z39" s="29">
        <f t="shared" si="1"/>
        <v>170.76</v>
      </c>
      <c r="AA39" s="14">
        <v>170.76</v>
      </c>
      <c r="AB39" s="14">
        <v>36.17</v>
      </c>
      <c r="AC39" s="14">
        <v>661.25</v>
      </c>
      <c r="AD39" s="16" t="s">
        <v>147</v>
      </c>
      <c r="AE39" s="16" t="s">
        <v>148</v>
      </c>
      <c r="AF39" s="14">
        <f>SUMIF('Trip Changes'!$B:$B,A39,'Trip Changes'!$E:$E)</f>
        <v>0</v>
      </c>
      <c r="AG39" s="23">
        <f>SUMIF('Trip Cancellations'!$B:$B,A39,'Trip Cancellations'!$E:$E)</f>
        <v>58.97</v>
      </c>
      <c r="AH39" s="14">
        <f>SUMIF('Trip Cancellations'!$B:$B,A39,'Trip Cancellations'!$F:$F)</f>
        <v>312.54000000000002</v>
      </c>
      <c r="AI39" s="14">
        <f t="shared" si="2"/>
        <v>407.68</v>
      </c>
      <c r="AJ39" s="14" t="str">
        <f t="shared" si="3"/>
        <v>Yes</v>
      </c>
      <c r="AK39" s="14" t="str">
        <f>IF(Y39=0,"N/A",
IF(_xlfn.XLOOKUP(U39,Hotels!A:A,Hotels!C:C)=TRUE,"Yes","No"))</f>
        <v>Yes</v>
      </c>
      <c r="AL39" s="14" t="str">
        <f>IF(N39="Rail","N/A",IF(_xlfn.XLOOKUP(T39,Airlines!A:A,Airlines!C:C)=TRUE,"Yes","No"))</f>
        <v>Yes</v>
      </c>
      <c r="AM39" s="14" t="str">
        <f t="shared" si="4"/>
        <v>Yes</v>
      </c>
      <c r="AN39" s="14" t="str">
        <f t="shared" si="5"/>
        <v>Yes</v>
      </c>
      <c r="AO39" s="14" t="str">
        <f t="shared" si="6"/>
        <v>Yes</v>
      </c>
      <c r="AP39" s="16" t="s">
        <v>148</v>
      </c>
      <c r="AQ39" t="str">
        <f t="shared" si="14"/>
        <v>Yes</v>
      </c>
      <c r="AR39" s="21">
        <v>3</v>
      </c>
      <c r="AS39" s="5">
        <v>470.1</v>
      </c>
      <c r="AT39" s="5" t="str">
        <f>IF(T39="","",_xlfn.XLOOKUP(T39,Airlines!A:A,Airlines!B:B,"Not Found"))</f>
        <v>British Airways</v>
      </c>
      <c r="AU39" s="5" t="str">
        <f>IF(U39="","",_xlfn.XLOOKUP(U39,Hotels!A:A,Hotels!B:B,"Not found"))</f>
        <v>IHG Hotels &amp; Resorts</v>
      </c>
      <c r="AV39" t="s">
        <v>148</v>
      </c>
      <c r="AW39" s="16" t="str">
        <f t="shared" si="7"/>
        <v>OK</v>
      </c>
      <c r="AX39" s="16" t="str">
        <f t="shared" si="8"/>
        <v>OK</v>
      </c>
      <c r="AY39" s="16" t="str">
        <f t="shared" si="9"/>
        <v>OK</v>
      </c>
      <c r="AZ39" s="16" t="str">
        <f t="shared" si="10"/>
        <v>OK</v>
      </c>
      <c r="BA39" s="16" t="str">
        <f t="shared" si="15"/>
        <v>OK</v>
      </c>
      <c r="BB39" s="21">
        <f>COUNTIF('Trip Changes'!B:B,A39)</f>
        <v>0</v>
      </c>
      <c r="BC39" s="16" t="str">
        <f>IF(OR(AND(AD39="Yes",COUNTIF('Trip Changes'!B:B,A39)&gt;0),AND(AD39="No",COUNTIF('Trip Changes'!B:B,A39)=0)),"OK","Check")</f>
        <v>OK</v>
      </c>
      <c r="BD39" t="str">
        <f t="shared" si="16"/>
        <v>OK</v>
      </c>
      <c r="BE39" t="str">
        <f t="shared" si="17"/>
        <v>OK</v>
      </c>
      <c r="BF39" t="str">
        <f t="shared" si="18"/>
        <v>OK</v>
      </c>
      <c r="BG39" t="str">
        <f t="shared" si="19"/>
        <v>OK</v>
      </c>
      <c r="BH39" t="str">
        <f t="shared" si="20"/>
        <v>OK</v>
      </c>
      <c r="BI39" t="str">
        <f t="shared" si="11"/>
        <v>OK</v>
      </c>
      <c r="BJ39" t="str">
        <f t="shared" si="12"/>
        <v>OK</v>
      </c>
      <c r="BK39" t="str">
        <f t="shared" si="13"/>
        <v>OK</v>
      </c>
    </row>
    <row r="40" spans="1:63">
      <c r="A40" s="16" t="s">
        <v>250</v>
      </c>
      <c r="B40" s="16" t="s">
        <v>247</v>
      </c>
      <c r="C40" s="16" t="s">
        <v>182</v>
      </c>
      <c r="D40" s="16" t="s">
        <v>248</v>
      </c>
      <c r="E40" s="16" t="s">
        <v>249</v>
      </c>
      <c r="F40" s="16" t="s">
        <v>189</v>
      </c>
      <c r="G40" s="15">
        <v>46196</v>
      </c>
      <c r="H40" s="15">
        <v>46212</v>
      </c>
      <c r="I40" s="15">
        <v>46215</v>
      </c>
      <c r="J40" s="15" t="s">
        <v>150</v>
      </c>
      <c r="K40" s="16" t="s">
        <v>182</v>
      </c>
      <c r="L40" t="s">
        <v>185</v>
      </c>
      <c r="M40" s="16" t="s">
        <v>152</v>
      </c>
      <c r="N40" s="16" t="s">
        <v>153</v>
      </c>
      <c r="O40" t="s">
        <v>1614</v>
      </c>
      <c r="P40" s="18">
        <v>10758</v>
      </c>
      <c r="Q40" s="21">
        <v>16</v>
      </c>
      <c r="R40" s="21" t="str">
        <f t="shared" si="0"/>
        <v>15-30 days</v>
      </c>
      <c r="S40" s="16" t="s">
        <v>159</v>
      </c>
      <c r="T40" s="16" t="s">
        <v>186</v>
      </c>
      <c r="U40" s="16" t="s">
        <v>190</v>
      </c>
      <c r="V40" t="str">
        <f>IF(U40="","",IFERROR(VLOOKUP(U40,Hotels!A:B,2,FALSE),"Not Found"))</f>
        <v>Radisson Hotel Group</v>
      </c>
      <c r="W40" s="14">
        <v>1112.1300000000001</v>
      </c>
      <c r="X40" s="14">
        <v>0</v>
      </c>
      <c r="Y40" s="21">
        <v>2</v>
      </c>
      <c r="Z40" s="29">
        <f t="shared" si="1"/>
        <v>225.48</v>
      </c>
      <c r="AA40" s="14">
        <v>450.96</v>
      </c>
      <c r="AB40" s="14">
        <v>68.89</v>
      </c>
      <c r="AC40" s="14">
        <v>1631.98</v>
      </c>
      <c r="AD40" s="16" t="s">
        <v>148</v>
      </c>
      <c r="AE40" s="16" t="s">
        <v>147</v>
      </c>
      <c r="AF40" s="14">
        <f>SUMIF('Trip Changes'!$B:$B,A40,'Trip Changes'!$E:$E)</f>
        <v>31.77</v>
      </c>
      <c r="AG40" s="23">
        <f>SUMIF('Trip Cancellations'!$B:$B,A40,'Trip Cancellations'!$E:$E)</f>
        <v>0</v>
      </c>
      <c r="AH40" s="14">
        <f>SUMIF('Trip Cancellations'!$B:$B,A40,'Trip Cancellations'!$F:$F)</f>
        <v>0</v>
      </c>
      <c r="AI40" s="14">
        <f t="shared" si="2"/>
        <v>1663.75</v>
      </c>
      <c r="AJ40" s="14" t="str">
        <f t="shared" si="3"/>
        <v>No</v>
      </c>
      <c r="AK40" s="14" t="str">
        <f>IF(Y40=0,"N/A",
IF(_xlfn.XLOOKUP(U40,Hotels!A:A,Hotels!C:C)=TRUE,"Yes","No"))</f>
        <v>No</v>
      </c>
      <c r="AL40" s="14" t="str">
        <f>IF(N40="Rail","N/A",IF(_xlfn.XLOOKUP(T40,Airlines!A:A,Airlines!C:C)=TRUE,"Yes","No"))</f>
        <v>Yes</v>
      </c>
      <c r="AM40" s="14" t="str">
        <f t="shared" si="4"/>
        <v>Yes</v>
      </c>
      <c r="AN40" s="14" t="str">
        <f t="shared" si="5"/>
        <v>Yes</v>
      </c>
      <c r="AO40" s="14" t="str">
        <f t="shared" si="6"/>
        <v>No</v>
      </c>
      <c r="AP40" s="16" t="s">
        <v>148</v>
      </c>
      <c r="AQ40" t="str">
        <f t="shared" si="14"/>
        <v>No</v>
      </c>
      <c r="AR40" s="21">
        <v>3</v>
      </c>
      <c r="AS40" s="5">
        <v>1613.7</v>
      </c>
      <c r="AT40" s="5" t="str">
        <f>IF(T40="","",_xlfn.XLOOKUP(T40,Airlines!A:A,Airlines!B:B,"Not Found"))</f>
        <v>Virgin Atlantic</v>
      </c>
      <c r="AU40" s="5" t="str">
        <f>IF(U40="","",_xlfn.XLOOKUP(U40,Hotels!A:A,Hotels!B:B,"Not found"))</f>
        <v>Radisson Hotel Group</v>
      </c>
      <c r="AV40" t="s">
        <v>148</v>
      </c>
      <c r="AW40" s="16" t="str">
        <f t="shared" si="7"/>
        <v>OK</v>
      </c>
      <c r="AX40" s="16" t="str">
        <f t="shared" si="8"/>
        <v>OK</v>
      </c>
      <c r="AY40" s="16" t="str">
        <f t="shared" si="9"/>
        <v>OK</v>
      </c>
      <c r="AZ40" s="16" t="str">
        <f t="shared" si="10"/>
        <v>OK</v>
      </c>
      <c r="BA40" s="16" t="str">
        <f t="shared" si="15"/>
        <v>OK</v>
      </c>
      <c r="BB40" s="21">
        <f>COUNTIF('Trip Changes'!B:B,A40)</f>
        <v>1</v>
      </c>
      <c r="BC40" s="16" t="str">
        <f>IF(OR(AND(AD40="Yes",COUNTIF('Trip Changes'!B:B,A40)&gt;0),AND(AD40="No",COUNTIF('Trip Changes'!B:B,A40)=0)),"OK","Check")</f>
        <v>OK</v>
      </c>
      <c r="BD40" t="str">
        <f t="shared" si="16"/>
        <v>OK</v>
      </c>
      <c r="BE40" t="str">
        <f t="shared" si="17"/>
        <v>OK</v>
      </c>
      <c r="BF40" t="str">
        <f t="shared" si="18"/>
        <v>OK</v>
      </c>
      <c r="BG40" t="str">
        <f t="shared" si="19"/>
        <v>OK</v>
      </c>
      <c r="BH40" t="str">
        <f t="shared" si="20"/>
        <v>OK</v>
      </c>
      <c r="BI40" t="str">
        <f t="shared" si="11"/>
        <v>OK</v>
      </c>
      <c r="BJ40" t="str">
        <f t="shared" si="12"/>
        <v>OK</v>
      </c>
      <c r="BK40" t="str">
        <f t="shared" si="13"/>
        <v>OK</v>
      </c>
    </row>
    <row r="41" spans="1:63">
      <c r="A41" s="16" t="s">
        <v>251</v>
      </c>
      <c r="B41" s="16" t="s">
        <v>247</v>
      </c>
      <c r="C41" s="16" t="s">
        <v>182</v>
      </c>
      <c r="D41" s="16" t="s">
        <v>248</v>
      </c>
      <c r="E41" s="16" t="s">
        <v>249</v>
      </c>
      <c r="F41" s="16" t="s">
        <v>140</v>
      </c>
      <c r="G41" s="15">
        <v>46149</v>
      </c>
      <c r="H41" s="15">
        <v>46181</v>
      </c>
      <c r="I41" s="15">
        <v>46183</v>
      </c>
      <c r="J41" s="15" t="s">
        <v>141</v>
      </c>
      <c r="K41" s="16" t="s">
        <v>182</v>
      </c>
      <c r="L41" t="s">
        <v>142</v>
      </c>
      <c r="M41" s="16" t="s">
        <v>143</v>
      </c>
      <c r="N41" s="16" t="s">
        <v>144</v>
      </c>
      <c r="O41" t="s">
        <v>1630</v>
      </c>
      <c r="P41" s="18">
        <v>888</v>
      </c>
      <c r="Q41" s="21">
        <v>32</v>
      </c>
      <c r="R41" s="21" t="str">
        <f t="shared" si="0"/>
        <v>31+ days</v>
      </c>
      <c r="S41" s="16" t="s">
        <v>159</v>
      </c>
      <c r="U41" s="16" t="s">
        <v>164</v>
      </c>
      <c r="V41" t="str">
        <f>IF(U41="","",IFERROR(VLOOKUP(U41,Hotels!A:B,2,FALSE),"Not Found"))</f>
        <v>Marriott</v>
      </c>
      <c r="W41" s="14">
        <v>0</v>
      </c>
      <c r="X41" s="14">
        <v>289.19</v>
      </c>
      <c r="Y41" s="21">
        <v>1</v>
      </c>
      <c r="Z41" s="29">
        <f t="shared" si="1"/>
        <v>116.57</v>
      </c>
      <c r="AA41" s="14">
        <v>116.57</v>
      </c>
      <c r="AB41" s="14">
        <v>27.31</v>
      </c>
      <c r="AC41" s="14">
        <v>433.07</v>
      </c>
      <c r="AD41" s="16" t="s">
        <v>147</v>
      </c>
      <c r="AE41" s="16" t="s">
        <v>147</v>
      </c>
      <c r="AF41" s="14">
        <f>SUMIF('Trip Changes'!$B:$B,A41,'Trip Changes'!$E:$E)</f>
        <v>0</v>
      </c>
      <c r="AG41" s="23">
        <f>SUMIF('Trip Cancellations'!$B:$B,A41,'Trip Cancellations'!$E:$E)</f>
        <v>0</v>
      </c>
      <c r="AH41" s="14">
        <f>SUMIF('Trip Cancellations'!$B:$B,A41,'Trip Cancellations'!$F:$F)</f>
        <v>0</v>
      </c>
      <c r="AI41" s="14">
        <f t="shared" si="2"/>
        <v>433.07</v>
      </c>
      <c r="AJ41" s="14" t="str">
        <f t="shared" si="3"/>
        <v>Yes</v>
      </c>
      <c r="AK41" s="14" t="str">
        <f>IF(Y41=0,"N/A",
IF(_xlfn.XLOOKUP(U41,Hotels!A:A,Hotels!C:C)=TRUE,"Yes","No"))</f>
        <v>Yes</v>
      </c>
      <c r="AL41" s="14" t="str">
        <f>IF(N41="Rail","N/A",IF(_xlfn.XLOOKUP(T41,Airlines!A:A,Airlines!C:C)=TRUE,"Yes","No"))</f>
        <v>N/A</v>
      </c>
      <c r="AM41" s="14" t="str">
        <f t="shared" si="4"/>
        <v>Yes</v>
      </c>
      <c r="AN41" s="14" t="str">
        <f t="shared" si="5"/>
        <v>Yes</v>
      </c>
      <c r="AO41" s="14" t="str">
        <f t="shared" si="6"/>
        <v>Yes</v>
      </c>
      <c r="AP41" s="16" t="s">
        <v>148</v>
      </c>
      <c r="AQ41" t="str">
        <f t="shared" si="14"/>
        <v>Yes</v>
      </c>
      <c r="AR41" s="21">
        <v>5</v>
      </c>
      <c r="AS41" s="5">
        <v>35.5</v>
      </c>
      <c r="AT41" s="5" t="str">
        <f>IF(T41="","",_xlfn.XLOOKUP(T41,Airlines!A:A,Airlines!B:B,"Not Found"))</f>
        <v/>
      </c>
      <c r="AU41" s="5" t="str">
        <f>IF(U41="","",_xlfn.XLOOKUP(U41,Hotels!A:A,Hotels!B:B,"Not found"))</f>
        <v>Marriott</v>
      </c>
      <c r="AV41" t="s">
        <v>147</v>
      </c>
      <c r="AW41" s="16" t="str">
        <f t="shared" si="7"/>
        <v>OK</v>
      </c>
      <c r="AX41" s="16" t="str">
        <f t="shared" si="8"/>
        <v>OK</v>
      </c>
      <c r="AY41" s="16" t="str">
        <f t="shared" si="9"/>
        <v>OK</v>
      </c>
      <c r="AZ41" s="16" t="str">
        <f t="shared" si="10"/>
        <v>OK</v>
      </c>
      <c r="BA41" s="16" t="str">
        <f t="shared" si="15"/>
        <v>OK</v>
      </c>
      <c r="BB41" s="21">
        <f>COUNTIF('Trip Changes'!B:B,A41)</f>
        <v>0</v>
      </c>
      <c r="BC41" s="16" t="str">
        <f>IF(OR(AND(AD41="Yes",COUNTIF('Trip Changes'!B:B,A41)&gt;0),AND(AD41="No",COUNTIF('Trip Changes'!B:B,A41)=0)),"OK","Check")</f>
        <v>OK</v>
      </c>
      <c r="BD41" t="str">
        <f t="shared" si="16"/>
        <v>OK</v>
      </c>
      <c r="BE41" t="str">
        <f t="shared" si="17"/>
        <v>OK</v>
      </c>
      <c r="BF41" t="str">
        <f t="shared" si="18"/>
        <v>OK</v>
      </c>
      <c r="BG41" t="str">
        <f t="shared" si="19"/>
        <v>OK</v>
      </c>
      <c r="BH41" t="str">
        <f t="shared" si="20"/>
        <v>OK</v>
      </c>
      <c r="BI41" t="str">
        <f t="shared" si="11"/>
        <v>OK</v>
      </c>
      <c r="BJ41" t="str">
        <f t="shared" si="12"/>
        <v>OK</v>
      </c>
      <c r="BK41" t="str">
        <f t="shared" si="13"/>
        <v>OK</v>
      </c>
    </row>
    <row r="42" spans="1:63">
      <c r="A42" s="16" t="s">
        <v>252</v>
      </c>
      <c r="B42" s="16" t="s">
        <v>253</v>
      </c>
      <c r="C42" s="16" t="s">
        <v>203</v>
      </c>
      <c r="D42" s="16" t="s">
        <v>138</v>
      </c>
      <c r="E42" s="16" t="s">
        <v>139</v>
      </c>
      <c r="F42" s="16" t="s">
        <v>140</v>
      </c>
      <c r="G42" s="15">
        <v>46151</v>
      </c>
      <c r="H42" s="15">
        <v>46160</v>
      </c>
      <c r="I42" s="15">
        <v>46167</v>
      </c>
      <c r="J42" s="15" t="s">
        <v>163</v>
      </c>
      <c r="K42" s="16" t="s">
        <v>203</v>
      </c>
      <c r="L42" t="s">
        <v>179</v>
      </c>
      <c r="M42" s="16" t="s">
        <v>152</v>
      </c>
      <c r="N42" s="16" t="s">
        <v>153</v>
      </c>
      <c r="O42" t="s">
        <v>1614</v>
      </c>
      <c r="P42" s="18">
        <v>21584</v>
      </c>
      <c r="Q42" s="21">
        <v>9</v>
      </c>
      <c r="R42" s="21" t="str">
        <f t="shared" si="0"/>
        <v>8-14 days</v>
      </c>
      <c r="S42" s="16" t="s">
        <v>159</v>
      </c>
      <c r="T42" s="16" t="s">
        <v>154</v>
      </c>
      <c r="U42" s="16" t="s">
        <v>173</v>
      </c>
      <c r="V42" t="str">
        <f>IF(U42="","",IFERROR(VLOOKUP(U42,Hotels!A:B,2,FALSE),"Not Found"))</f>
        <v>Accor</v>
      </c>
      <c r="W42" s="14">
        <v>1386.59</v>
      </c>
      <c r="X42" s="14">
        <v>0</v>
      </c>
      <c r="Y42" s="21">
        <v>6</v>
      </c>
      <c r="Z42" s="29">
        <f t="shared" si="1"/>
        <v>184.10500000000002</v>
      </c>
      <c r="AA42" s="14">
        <v>1104.6300000000001</v>
      </c>
      <c r="AB42" s="14">
        <v>106.45</v>
      </c>
      <c r="AC42" s="14">
        <v>2597.67</v>
      </c>
      <c r="AD42" s="16" t="s">
        <v>147</v>
      </c>
      <c r="AE42" s="16" t="s">
        <v>147</v>
      </c>
      <c r="AF42" s="14">
        <f>SUMIF('Trip Changes'!$B:$B,A42,'Trip Changes'!$E:$E)</f>
        <v>0</v>
      </c>
      <c r="AG42" s="23">
        <f>SUMIF('Trip Cancellations'!$B:$B,A42,'Trip Cancellations'!$E:$E)</f>
        <v>0</v>
      </c>
      <c r="AH42" s="14">
        <f>SUMIF('Trip Cancellations'!$B:$B,A42,'Trip Cancellations'!$F:$F)</f>
        <v>0</v>
      </c>
      <c r="AI42" s="14">
        <f t="shared" si="2"/>
        <v>2597.67</v>
      </c>
      <c r="AJ42" s="14" t="str">
        <f t="shared" si="3"/>
        <v>Yes</v>
      </c>
      <c r="AK42" s="14" t="str">
        <f>IF(Y42=0,"N/A",
IF(_xlfn.XLOOKUP(U42,Hotels!A:A,Hotels!C:C)=TRUE,"Yes","No"))</f>
        <v>Yes</v>
      </c>
      <c r="AL42" s="14" t="str">
        <f>IF(N42="Rail","N/A",IF(_xlfn.XLOOKUP(T42,Airlines!A:A,Airlines!C:C)=TRUE,"Yes","No"))</f>
        <v>Yes</v>
      </c>
      <c r="AM42" s="14" t="str">
        <f t="shared" si="4"/>
        <v>Yes</v>
      </c>
      <c r="AN42" s="14" t="str">
        <f t="shared" si="5"/>
        <v>Yes</v>
      </c>
      <c r="AO42" s="14" t="str">
        <f t="shared" si="6"/>
        <v>Yes</v>
      </c>
      <c r="AP42" s="16" t="s">
        <v>148</v>
      </c>
      <c r="AQ42" t="str">
        <f t="shared" si="14"/>
        <v>Yes</v>
      </c>
      <c r="AR42" s="21">
        <v>4</v>
      </c>
      <c r="AS42" s="5">
        <v>3237.6</v>
      </c>
      <c r="AT42" s="5" t="str">
        <f>IF(T42="","",_xlfn.XLOOKUP(T42,Airlines!A:A,Airlines!B:B,"Not Found"))</f>
        <v>British Airways</v>
      </c>
      <c r="AU42" s="5" t="str">
        <f>IF(U42="","",_xlfn.XLOOKUP(U42,Hotels!A:A,Hotels!B:B,"Not found"))</f>
        <v>Accor</v>
      </c>
      <c r="AV42" t="s">
        <v>148</v>
      </c>
      <c r="AW42" s="16" t="str">
        <f t="shared" si="7"/>
        <v>OK</v>
      </c>
      <c r="AX42" s="16" t="str">
        <f t="shared" si="8"/>
        <v>OK</v>
      </c>
      <c r="AY42" s="16" t="str">
        <f t="shared" si="9"/>
        <v>OK</v>
      </c>
      <c r="AZ42" s="16" t="str">
        <f t="shared" si="10"/>
        <v>OK</v>
      </c>
      <c r="BA42" s="16" t="str">
        <f t="shared" si="15"/>
        <v>OK</v>
      </c>
      <c r="BB42" s="21">
        <f>COUNTIF('Trip Changes'!B:B,A42)</f>
        <v>0</v>
      </c>
      <c r="BC42" s="16" t="str">
        <f>IF(OR(AND(AD42="Yes",COUNTIF('Trip Changes'!B:B,A42)&gt;0),AND(AD42="No",COUNTIF('Trip Changes'!B:B,A42)=0)),"OK","Check")</f>
        <v>OK</v>
      </c>
      <c r="BD42" t="str">
        <f t="shared" si="16"/>
        <v>OK</v>
      </c>
      <c r="BE42" t="str">
        <f t="shared" si="17"/>
        <v>OK</v>
      </c>
      <c r="BF42" t="str">
        <f t="shared" si="18"/>
        <v>OK</v>
      </c>
      <c r="BG42" t="str">
        <f t="shared" si="19"/>
        <v>OK</v>
      </c>
      <c r="BH42" t="str">
        <f t="shared" si="20"/>
        <v>OK</v>
      </c>
      <c r="BI42" t="str">
        <f t="shared" si="11"/>
        <v>OK</v>
      </c>
      <c r="BJ42" t="str">
        <f t="shared" si="12"/>
        <v>OK</v>
      </c>
      <c r="BK42" t="str">
        <f t="shared" si="13"/>
        <v>OK</v>
      </c>
    </row>
    <row r="43" spans="1:63">
      <c r="A43" s="16" t="s">
        <v>254</v>
      </c>
      <c r="B43" s="16" t="s">
        <v>253</v>
      </c>
      <c r="C43" s="16" t="s">
        <v>203</v>
      </c>
      <c r="D43" s="16" t="s">
        <v>138</v>
      </c>
      <c r="E43" s="16" t="s">
        <v>139</v>
      </c>
      <c r="F43" s="16" t="s">
        <v>140</v>
      </c>
      <c r="G43" s="15">
        <v>46124</v>
      </c>
      <c r="H43" s="15">
        <v>46149</v>
      </c>
      <c r="I43" s="15">
        <v>46151</v>
      </c>
      <c r="J43" s="15" t="s">
        <v>163</v>
      </c>
      <c r="K43" s="16" t="s">
        <v>203</v>
      </c>
      <c r="L43" t="s">
        <v>151</v>
      </c>
      <c r="M43" s="16" t="s">
        <v>152</v>
      </c>
      <c r="N43" s="16" t="s">
        <v>153</v>
      </c>
      <c r="O43" t="s">
        <v>1614</v>
      </c>
      <c r="P43" s="18">
        <v>1294</v>
      </c>
      <c r="Q43" s="21">
        <v>25</v>
      </c>
      <c r="R43" s="21" t="str">
        <f t="shared" si="0"/>
        <v>15-30 days</v>
      </c>
      <c r="S43" s="16" t="s">
        <v>159</v>
      </c>
      <c r="T43" s="16" t="s">
        <v>172</v>
      </c>
      <c r="U43" s="16" t="s">
        <v>164</v>
      </c>
      <c r="V43" t="str">
        <f>IF(U43="","",IFERROR(VLOOKUP(U43,Hotels!A:B,2,FALSE),"Not Found"))</f>
        <v>Marriott</v>
      </c>
      <c r="W43" s="14">
        <v>481.12</v>
      </c>
      <c r="X43" s="14">
        <v>0</v>
      </c>
      <c r="Y43" s="21">
        <v>1</v>
      </c>
      <c r="Z43" s="29">
        <f t="shared" si="1"/>
        <v>144.35</v>
      </c>
      <c r="AA43" s="14">
        <v>144.35</v>
      </c>
      <c r="AB43" s="14">
        <v>104.21</v>
      </c>
      <c r="AC43" s="14">
        <v>729.68</v>
      </c>
      <c r="AD43" s="16" t="s">
        <v>147</v>
      </c>
      <c r="AE43" s="16" t="s">
        <v>147</v>
      </c>
      <c r="AF43" s="14">
        <f>SUMIF('Trip Changes'!$B:$B,A43,'Trip Changes'!$E:$E)</f>
        <v>0</v>
      </c>
      <c r="AG43" s="23">
        <f>SUMIF('Trip Cancellations'!$B:$B,A43,'Trip Cancellations'!$E:$E)</f>
        <v>0</v>
      </c>
      <c r="AH43" s="14">
        <f>SUMIF('Trip Cancellations'!$B:$B,A43,'Trip Cancellations'!$F:$F)</f>
        <v>0</v>
      </c>
      <c r="AI43" s="14">
        <f t="shared" si="2"/>
        <v>729.68</v>
      </c>
      <c r="AJ43" s="14" t="str">
        <f t="shared" si="3"/>
        <v>Yes</v>
      </c>
      <c r="AK43" s="14" t="str">
        <f>IF(Y43=0,"N/A",
IF(_xlfn.XLOOKUP(U43,Hotels!A:A,Hotels!C:C)=TRUE,"Yes","No"))</f>
        <v>Yes</v>
      </c>
      <c r="AL43" s="14" t="str">
        <f>IF(N43="Rail","N/A",IF(_xlfn.XLOOKUP(T43,Airlines!A:A,Airlines!C:C)=TRUE,"Yes","No"))</f>
        <v>Yes</v>
      </c>
      <c r="AM43" s="14" t="str">
        <f t="shared" si="4"/>
        <v>Yes</v>
      </c>
      <c r="AN43" s="14" t="str">
        <f t="shared" si="5"/>
        <v>Yes</v>
      </c>
      <c r="AO43" s="14" t="str">
        <f t="shared" si="6"/>
        <v>Yes</v>
      </c>
      <c r="AP43" s="16" t="s">
        <v>148</v>
      </c>
      <c r="AQ43" t="str">
        <f t="shared" si="14"/>
        <v>Yes</v>
      </c>
      <c r="AR43" s="21">
        <v>4</v>
      </c>
      <c r="AS43" s="5">
        <v>194.1</v>
      </c>
      <c r="AT43" s="5" t="str">
        <f>IF(T43="","",_xlfn.XLOOKUP(T43,Airlines!A:A,Airlines!B:B,"Not Found"))</f>
        <v>Lufthansa</v>
      </c>
      <c r="AU43" s="5" t="str">
        <f>IF(U43="","",_xlfn.XLOOKUP(U43,Hotels!A:A,Hotels!B:B,"Not found"))</f>
        <v>Marriott</v>
      </c>
      <c r="AV43" t="s">
        <v>147</v>
      </c>
      <c r="AW43" s="16" t="str">
        <f t="shared" si="7"/>
        <v>OK</v>
      </c>
      <c r="AX43" s="16" t="str">
        <f t="shared" si="8"/>
        <v>OK</v>
      </c>
      <c r="AY43" s="16" t="str">
        <f t="shared" si="9"/>
        <v>OK</v>
      </c>
      <c r="AZ43" s="16" t="str">
        <f t="shared" si="10"/>
        <v>OK</v>
      </c>
      <c r="BA43" s="16" t="str">
        <f t="shared" si="15"/>
        <v>OK</v>
      </c>
      <c r="BB43" s="21">
        <f>COUNTIF('Trip Changes'!B:B,A43)</f>
        <v>0</v>
      </c>
      <c r="BC43" s="16" t="str">
        <f>IF(OR(AND(AD43="Yes",COUNTIF('Trip Changes'!B:B,A43)&gt;0),AND(AD43="No",COUNTIF('Trip Changes'!B:B,A43)=0)),"OK","Check")</f>
        <v>OK</v>
      </c>
      <c r="BD43" t="str">
        <f t="shared" si="16"/>
        <v>OK</v>
      </c>
      <c r="BE43" t="str">
        <f t="shared" si="17"/>
        <v>OK</v>
      </c>
      <c r="BF43" t="str">
        <f t="shared" si="18"/>
        <v>OK</v>
      </c>
      <c r="BG43" t="str">
        <f t="shared" si="19"/>
        <v>OK</v>
      </c>
      <c r="BH43" t="str">
        <f t="shared" si="20"/>
        <v>OK</v>
      </c>
      <c r="BI43" t="str">
        <f t="shared" si="11"/>
        <v>OK</v>
      </c>
      <c r="BJ43" t="str">
        <f t="shared" si="12"/>
        <v>OK</v>
      </c>
      <c r="BK43" t="str">
        <f t="shared" si="13"/>
        <v>OK</v>
      </c>
    </row>
    <row r="44" spans="1:63">
      <c r="A44" s="16" t="s">
        <v>255</v>
      </c>
      <c r="B44" s="16" t="s">
        <v>256</v>
      </c>
      <c r="C44" s="16" t="s">
        <v>257</v>
      </c>
      <c r="D44" s="16" t="s">
        <v>168</v>
      </c>
      <c r="E44" s="16" t="s">
        <v>169</v>
      </c>
      <c r="F44" s="16" t="s">
        <v>157</v>
      </c>
      <c r="G44" s="15">
        <v>46214</v>
      </c>
      <c r="H44" s="15">
        <v>46222</v>
      </c>
      <c r="I44" s="15">
        <v>46226</v>
      </c>
      <c r="J44" s="15" t="s">
        <v>150</v>
      </c>
      <c r="K44" s="16" t="s">
        <v>257</v>
      </c>
      <c r="L44" t="s">
        <v>151</v>
      </c>
      <c r="M44" s="16" t="s">
        <v>152</v>
      </c>
      <c r="N44" s="16" t="s">
        <v>153</v>
      </c>
      <c r="O44" t="s">
        <v>1614</v>
      </c>
      <c r="P44" s="18">
        <v>2680</v>
      </c>
      <c r="Q44" s="21">
        <v>8</v>
      </c>
      <c r="R44" s="21" t="str">
        <f t="shared" si="0"/>
        <v>8-14 days</v>
      </c>
      <c r="S44" s="16" t="s">
        <v>207</v>
      </c>
      <c r="T44" s="16" t="s">
        <v>172</v>
      </c>
      <c r="U44" s="16" t="s">
        <v>190</v>
      </c>
      <c r="V44" t="str">
        <f>IF(U44="","",IFERROR(VLOOKUP(U44,Hotels!A:B,2,FALSE),"Not Found"))</f>
        <v>Radisson Hotel Group</v>
      </c>
      <c r="W44" s="14">
        <v>635.66999999999996</v>
      </c>
      <c r="X44" s="14">
        <v>0</v>
      </c>
      <c r="Y44" s="21">
        <v>3</v>
      </c>
      <c r="Z44" s="29">
        <f t="shared" si="1"/>
        <v>161.36333333333332</v>
      </c>
      <c r="AA44" s="14">
        <v>484.09</v>
      </c>
      <c r="AB44" s="14">
        <v>91.08</v>
      </c>
      <c r="AC44" s="14">
        <v>1210.8399999999999</v>
      </c>
      <c r="AD44" s="16" t="s">
        <v>147</v>
      </c>
      <c r="AE44" s="16" t="s">
        <v>147</v>
      </c>
      <c r="AF44" s="14">
        <f>SUMIF('Trip Changes'!$B:$B,A44,'Trip Changes'!$E:$E)</f>
        <v>0</v>
      </c>
      <c r="AG44" s="23">
        <f>SUMIF('Trip Cancellations'!$B:$B,A44,'Trip Cancellations'!$E:$E)</f>
        <v>0</v>
      </c>
      <c r="AH44" s="14">
        <f>SUMIF('Trip Cancellations'!$B:$B,A44,'Trip Cancellations'!$F:$F)</f>
        <v>0</v>
      </c>
      <c r="AI44" s="14">
        <f t="shared" si="2"/>
        <v>1210.8399999999999</v>
      </c>
      <c r="AJ44" s="14" t="str">
        <f t="shared" si="3"/>
        <v>Yes</v>
      </c>
      <c r="AK44" s="14" t="str">
        <f>IF(Y44=0,"N/A",
IF(_xlfn.XLOOKUP(U44,Hotels!A:A,Hotels!C:C)=TRUE,"Yes","No"))</f>
        <v>No</v>
      </c>
      <c r="AL44" s="14" t="str">
        <f>IF(N44="Rail","N/A",IF(_xlfn.XLOOKUP(T44,Airlines!A:A,Airlines!C:C)=TRUE,"Yes","No"))</f>
        <v>Yes</v>
      </c>
      <c r="AM44" s="14" t="str">
        <f t="shared" si="4"/>
        <v>Yes</v>
      </c>
      <c r="AN44" s="14" t="str">
        <f t="shared" si="5"/>
        <v>No</v>
      </c>
      <c r="AO44" s="14" t="str">
        <f t="shared" si="6"/>
        <v>No</v>
      </c>
      <c r="AP44" s="16" t="s">
        <v>148</v>
      </c>
      <c r="AQ44" t="str">
        <f t="shared" si="14"/>
        <v>No</v>
      </c>
      <c r="AR44" s="21">
        <v>4</v>
      </c>
      <c r="AS44" s="5">
        <v>402</v>
      </c>
      <c r="AT44" s="5" t="str">
        <f>IF(T44="","",_xlfn.XLOOKUP(T44,Airlines!A:A,Airlines!B:B,"Not Found"))</f>
        <v>Lufthansa</v>
      </c>
      <c r="AU44" s="5" t="str">
        <f>IF(U44="","",_xlfn.XLOOKUP(U44,Hotels!A:A,Hotels!B:B,"Not found"))</f>
        <v>Radisson Hotel Group</v>
      </c>
      <c r="AV44" t="s">
        <v>147</v>
      </c>
      <c r="AW44" s="16" t="str">
        <f t="shared" si="7"/>
        <v>OK</v>
      </c>
      <c r="AX44" s="16" t="str">
        <f t="shared" si="8"/>
        <v>OK</v>
      </c>
      <c r="AY44" s="16" t="str">
        <f t="shared" si="9"/>
        <v>OK</v>
      </c>
      <c r="AZ44" s="16" t="str">
        <f t="shared" si="10"/>
        <v>OK</v>
      </c>
      <c r="BA44" s="16" t="str">
        <f t="shared" si="15"/>
        <v>OK</v>
      </c>
      <c r="BB44" s="21">
        <f>COUNTIF('Trip Changes'!B:B,A44)</f>
        <v>0</v>
      </c>
      <c r="BC44" s="16" t="str">
        <f>IF(OR(AND(AD44="Yes",COUNTIF('Trip Changes'!B:B,A44)&gt;0),AND(AD44="No",COUNTIF('Trip Changes'!B:B,A44)=0)),"OK","Check")</f>
        <v>OK</v>
      </c>
      <c r="BD44" t="str">
        <f t="shared" si="16"/>
        <v>OK</v>
      </c>
      <c r="BE44" t="str">
        <f t="shared" si="17"/>
        <v>OK</v>
      </c>
      <c r="BF44" t="str">
        <f t="shared" si="18"/>
        <v>OK</v>
      </c>
      <c r="BG44" t="str">
        <f t="shared" si="19"/>
        <v>OK</v>
      </c>
      <c r="BH44" t="str">
        <f t="shared" si="20"/>
        <v>OK</v>
      </c>
      <c r="BI44" t="str">
        <f t="shared" si="11"/>
        <v>OK</v>
      </c>
      <c r="BJ44" t="str">
        <f t="shared" si="12"/>
        <v>OK</v>
      </c>
      <c r="BK44" t="str">
        <f t="shared" si="13"/>
        <v>OK</v>
      </c>
    </row>
    <row r="45" spans="1:63">
      <c r="A45" s="16" t="s">
        <v>258</v>
      </c>
      <c r="B45" s="16" t="s">
        <v>256</v>
      </c>
      <c r="C45" s="16" t="s">
        <v>257</v>
      </c>
      <c r="D45" s="16" t="s">
        <v>168</v>
      </c>
      <c r="E45" s="16" t="s">
        <v>169</v>
      </c>
      <c r="F45" s="16" t="s">
        <v>140</v>
      </c>
      <c r="G45" s="15">
        <v>46203</v>
      </c>
      <c r="H45" s="15">
        <v>46228</v>
      </c>
      <c r="I45" s="15">
        <v>46230</v>
      </c>
      <c r="J45" s="15" t="s">
        <v>150</v>
      </c>
      <c r="K45" s="16" t="s">
        <v>257</v>
      </c>
      <c r="L45" t="s">
        <v>171</v>
      </c>
      <c r="M45" s="16" t="s">
        <v>152</v>
      </c>
      <c r="N45" s="16" t="s">
        <v>153</v>
      </c>
      <c r="O45" t="s">
        <v>1614</v>
      </c>
      <c r="P45" s="18">
        <v>3590</v>
      </c>
      <c r="Q45" s="21">
        <v>25</v>
      </c>
      <c r="R45" s="21" t="str">
        <f t="shared" si="0"/>
        <v>15-30 days</v>
      </c>
      <c r="S45" s="16" t="s">
        <v>145</v>
      </c>
      <c r="T45" s="16" t="s">
        <v>172</v>
      </c>
      <c r="U45" s="16" t="s">
        <v>173</v>
      </c>
      <c r="V45" t="str">
        <f>IF(U45="","",IFERROR(VLOOKUP(U45,Hotels!A:B,2,FALSE),"Not Found"))</f>
        <v>Accor</v>
      </c>
      <c r="W45" s="14">
        <v>435.07</v>
      </c>
      <c r="X45" s="14">
        <v>0</v>
      </c>
      <c r="Y45" s="21">
        <v>1</v>
      </c>
      <c r="Z45" s="29">
        <f t="shared" si="1"/>
        <v>183.38</v>
      </c>
      <c r="AA45" s="14">
        <v>183.38</v>
      </c>
      <c r="AB45" s="14">
        <v>77.02</v>
      </c>
      <c r="AC45" s="14">
        <v>695.47</v>
      </c>
      <c r="AD45" s="16" t="s">
        <v>147</v>
      </c>
      <c r="AE45" s="16" t="s">
        <v>147</v>
      </c>
      <c r="AF45" s="14">
        <f>SUMIF('Trip Changes'!$B:$B,A45,'Trip Changes'!$E:$E)</f>
        <v>0</v>
      </c>
      <c r="AG45" s="23">
        <f>SUMIF('Trip Cancellations'!$B:$B,A45,'Trip Cancellations'!$E:$E)</f>
        <v>0</v>
      </c>
      <c r="AH45" s="14">
        <f>SUMIF('Trip Cancellations'!$B:$B,A45,'Trip Cancellations'!$F:$F)</f>
        <v>0</v>
      </c>
      <c r="AI45" s="14">
        <f t="shared" si="2"/>
        <v>695.47</v>
      </c>
      <c r="AJ45" s="14" t="str">
        <f t="shared" si="3"/>
        <v>No</v>
      </c>
      <c r="AK45" s="14" t="str">
        <f>IF(Y45=0,"N/A",
IF(_xlfn.XLOOKUP(U45,Hotels!A:A,Hotels!C:C)=TRUE,"Yes","No"))</f>
        <v>Yes</v>
      </c>
      <c r="AL45" s="14" t="str">
        <f>IF(N45="Rail","N/A",IF(_xlfn.XLOOKUP(T45,Airlines!A:A,Airlines!C:C)=TRUE,"Yes","No"))</f>
        <v>Yes</v>
      </c>
      <c r="AM45" s="14" t="str">
        <f t="shared" si="4"/>
        <v>Yes</v>
      </c>
      <c r="AN45" s="14" t="str">
        <f t="shared" si="5"/>
        <v>Yes</v>
      </c>
      <c r="AO45" s="14" t="str">
        <f t="shared" si="6"/>
        <v>Yes</v>
      </c>
      <c r="AP45" s="16" t="s">
        <v>147</v>
      </c>
      <c r="AQ45" t="str">
        <f t="shared" si="14"/>
        <v>No</v>
      </c>
      <c r="AR45" s="21">
        <v>5</v>
      </c>
      <c r="AS45" s="5">
        <v>538.5</v>
      </c>
      <c r="AT45" s="5" t="str">
        <f>IF(T45="","",_xlfn.XLOOKUP(T45,Airlines!A:A,Airlines!B:B,"Not Found"))</f>
        <v>Lufthansa</v>
      </c>
      <c r="AU45" s="5" t="str">
        <f>IF(U45="","",_xlfn.XLOOKUP(U45,Hotels!A:A,Hotels!B:B,"Not found"))</f>
        <v>Accor</v>
      </c>
      <c r="AV45" t="s">
        <v>148</v>
      </c>
      <c r="AW45" s="16" t="str">
        <f t="shared" si="7"/>
        <v>OK</v>
      </c>
      <c r="AX45" s="16" t="str">
        <f t="shared" si="8"/>
        <v>OK</v>
      </c>
      <c r="AY45" s="16" t="str">
        <f t="shared" si="9"/>
        <v>OK</v>
      </c>
      <c r="AZ45" s="16" t="str">
        <f t="shared" si="10"/>
        <v>OK</v>
      </c>
      <c r="BA45" s="16" t="str">
        <f t="shared" si="15"/>
        <v>OK</v>
      </c>
      <c r="BB45" s="21">
        <f>COUNTIF('Trip Changes'!B:B,A45)</f>
        <v>0</v>
      </c>
      <c r="BC45" s="16" t="str">
        <f>IF(OR(AND(AD45="Yes",COUNTIF('Trip Changes'!B:B,A45)&gt;0),AND(AD45="No",COUNTIF('Trip Changes'!B:B,A45)=0)),"OK","Check")</f>
        <v>OK</v>
      </c>
      <c r="BD45" t="str">
        <f t="shared" si="16"/>
        <v>OK</v>
      </c>
      <c r="BE45" t="str">
        <f t="shared" si="17"/>
        <v>OK</v>
      </c>
      <c r="BF45" t="str">
        <f t="shared" si="18"/>
        <v>OK</v>
      </c>
      <c r="BG45" t="str">
        <f t="shared" si="19"/>
        <v>OK</v>
      </c>
      <c r="BH45" t="str">
        <f t="shared" si="20"/>
        <v>OK</v>
      </c>
      <c r="BI45" t="str">
        <f t="shared" si="11"/>
        <v>OK</v>
      </c>
      <c r="BJ45" t="str">
        <f t="shared" si="12"/>
        <v>OK</v>
      </c>
      <c r="BK45" t="str">
        <f t="shared" si="13"/>
        <v>OK</v>
      </c>
    </row>
    <row r="46" spans="1:63">
      <c r="A46" s="16" t="s">
        <v>259</v>
      </c>
      <c r="B46" s="16" t="s">
        <v>256</v>
      </c>
      <c r="C46" s="16" t="s">
        <v>257</v>
      </c>
      <c r="D46" s="16" t="s">
        <v>168</v>
      </c>
      <c r="E46" s="16" t="s">
        <v>169</v>
      </c>
      <c r="F46" s="16" t="s">
        <v>162</v>
      </c>
      <c r="G46" s="15">
        <v>46168</v>
      </c>
      <c r="H46" s="15">
        <v>46184</v>
      </c>
      <c r="I46" s="15">
        <v>46186</v>
      </c>
      <c r="J46" s="15" t="s">
        <v>141</v>
      </c>
      <c r="K46" s="16" t="s">
        <v>257</v>
      </c>
      <c r="L46" t="s">
        <v>182</v>
      </c>
      <c r="M46" s="16" t="s">
        <v>143</v>
      </c>
      <c r="N46" s="16" t="s">
        <v>144</v>
      </c>
      <c r="O46" t="s">
        <v>1630</v>
      </c>
      <c r="P46" s="18">
        <v>874</v>
      </c>
      <c r="Q46" s="21">
        <v>16</v>
      </c>
      <c r="R46" s="21" t="str">
        <f t="shared" si="0"/>
        <v>15-30 days</v>
      </c>
      <c r="S46" s="16" t="s">
        <v>145</v>
      </c>
      <c r="U46" s="16" t="s">
        <v>164</v>
      </c>
      <c r="V46" t="str">
        <f>IF(U46="","",IFERROR(VLOOKUP(U46,Hotels!A:B,2,FALSE),"Not Found"))</f>
        <v>Marriott</v>
      </c>
      <c r="W46" s="14">
        <v>0</v>
      </c>
      <c r="X46" s="14">
        <v>211.24</v>
      </c>
      <c r="Y46" s="21">
        <v>1</v>
      </c>
      <c r="Z46" s="29">
        <f t="shared" si="1"/>
        <v>158.41999999999999</v>
      </c>
      <c r="AA46" s="14">
        <v>158.41999999999999</v>
      </c>
      <c r="AB46" s="14">
        <v>24.78</v>
      </c>
      <c r="AC46" s="14">
        <v>394.44</v>
      </c>
      <c r="AD46" s="16" t="s">
        <v>147</v>
      </c>
      <c r="AE46" s="16" t="s">
        <v>147</v>
      </c>
      <c r="AF46" s="14">
        <f>SUMIF('Trip Changes'!$B:$B,A46,'Trip Changes'!$E:$E)</f>
        <v>0</v>
      </c>
      <c r="AG46" s="23">
        <f>SUMIF('Trip Cancellations'!$B:$B,A46,'Trip Cancellations'!$E:$E)</f>
        <v>0</v>
      </c>
      <c r="AH46" s="14">
        <f>SUMIF('Trip Cancellations'!$B:$B,A46,'Trip Cancellations'!$F:$F)</f>
        <v>0</v>
      </c>
      <c r="AI46" s="14">
        <f t="shared" si="2"/>
        <v>394.44</v>
      </c>
      <c r="AJ46" s="14" t="str">
        <f t="shared" si="3"/>
        <v>Yes</v>
      </c>
      <c r="AK46" s="14" t="str">
        <f>IF(Y46=0,"N/A",
IF(_xlfn.XLOOKUP(U46,Hotels!A:A,Hotels!C:C)=TRUE,"Yes","No"))</f>
        <v>Yes</v>
      </c>
      <c r="AL46" s="14" t="str">
        <f>IF(N46="Rail","N/A",IF(_xlfn.XLOOKUP(T46,Airlines!A:A,Airlines!C:C)=TRUE,"Yes","No"))</f>
        <v>N/A</v>
      </c>
      <c r="AM46" s="14" t="str">
        <f t="shared" si="4"/>
        <v>Yes</v>
      </c>
      <c r="AN46" s="14" t="str">
        <f t="shared" si="5"/>
        <v>Yes</v>
      </c>
      <c r="AO46" s="14" t="str">
        <f t="shared" si="6"/>
        <v>Yes</v>
      </c>
      <c r="AP46" s="16" t="s">
        <v>148</v>
      </c>
      <c r="AQ46" t="str">
        <f t="shared" si="14"/>
        <v>Yes</v>
      </c>
      <c r="AR46" s="21">
        <v>4</v>
      </c>
      <c r="AS46" s="5">
        <v>35</v>
      </c>
      <c r="AT46" s="5" t="str">
        <f>IF(T46="","",_xlfn.XLOOKUP(T46,Airlines!A:A,Airlines!B:B,"Not Found"))</f>
        <v/>
      </c>
      <c r="AU46" s="5" t="str">
        <f>IF(U46="","",_xlfn.XLOOKUP(U46,Hotels!A:A,Hotels!B:B,"Not found"))</f>
        <v>Marriott</v>
      </c>
      <c r="AV46" t="s">
        <v>148</v>
      </c>
      <c r="AW46" s="16" t="str">
        <f t="shared" si="7"/>
        <v>OK</v>
      </c>
      <c r="AX46" s="16" t="str">
        <f t="shared" si="8"/>
        <v>OK</v>
      </c>
      <c r="AY46" s="16" t="str">
        <f t="shared" si="9"/>
        <v>OK</v>
      </c>
      <c r="AZ46" s="16" t="str">
        <f t="shared" si="10"/>
        <v>OK</v>
      </c>
      <c r="BA46" s="16" t="str">
        <f t="shared" si="15"/>
        <v>OK</v>
      </c>
      <c r="BB46" s="21">
        <f>COUNTIF('Trip Changes'!B:B,A46)</f>
        <v>0</v>
      </c>
      <c r="BC46" s="16" t="str">
        <f>IF(OR(AND(AD46="Yes",COUNTIF('Trip Changes'!B:B,A46)&gt;0),AND(AD46="No",COUNTIF('Trip Changes'!B:B,A46)=0)),"OK","Check")</f>
        <v>OK</v>
      </c>
      <c r="BD46" t="str">
        <f t="shared" si="16"/>
        <v>OK</v>
      </c>
      <c r="BE46" t="str">
        <f t="shared" si="17"/>
        <v>OK</v>
      </c>
      <c r="BF46" t="str">
        <f t="shared" si="18"/>
        <v>OK</v>
      </c>
      <c r="BG46" t="str">
        <f t="shared" si="19"/>
        <v>OK</v>
      </c>
      <c r="BH46" t="str">
        <f t="shared" si="20"/>
        <v>OK</v>
      </c>
      <c r="BI46" t="str">
        <f t="shared" si="11"/>
        <v>OK</v>
      </c>
      <c r="BJ46" t="str">
        <f t="shared" si="12"/>
        <v>OK</v>
      </c>
      <c r="BK46" t="str">
        <f t="shared" si="13"/>
        <v>OK</v>
      </c>
    </row>
    <row r="47" spans="1:63">
      <c r="A47" s="16" t="s">
        <v>260</v>
      </c>
      <c r="B47" s="16" t="s">
        <v>261</v>
      </c>
      <c r="C47" s="16" t="s">
        <v>182</v>
      </c>
      <c r="D47" s="16" t="s">
        <v>168</v>
      </c>
      <c r="E47" s="16" t="s">
        <v>262</v>
      </c>
      <c r="F47" s="16" t="s">
        <v>162</v>
      </c>
      <c r="G47" s="15">
        <v>46129</v>
      </c>
      <c r="H47" s="15">
        <v>46157</v>
      </c>
      <c r="I47" s="15">
        <v>46160</v>
      </c>
      <c r="J47" s="15" t="s">
        <v>163</v>
      </c>
      <c r="K47" s="16" t="s">
        <v>182</v>
      </c>
      <c r="L47" t="s">
        <v>151</v>
      </c>
      <c r="M47" s="16" t="s">
        <v>152</v>
      </c>
      <c r="N47" s="16" t="s">
        <v>153</v>
      </c>
      <c r="O47" t="s">
        <v>1614</v>
      </c>
      <c r="P47" s="18">
        <v>1872</v>
      </c>
      <c r="Q47" s="21">
        <v>28</v>
      </c>
      <c r="R47" s="21" t="str">
        <f t="shared" si="0"/>
        <v>15-30 days</v>
      </c>
      <c r="S47" s="16" t="s">
        <v>145</v>
      </c>
      <c r="T47" s="16" t="s">
        <v>154</v>
      </c>
      <c r="U47" s="16" t="s">
        <v>190</v>
      </c>
      <c r="V47" t="str">
        <f>IF(U47="","",IFERROR(VLOOKUP(U47,Hotels!A:B,2,FALSE),"Not Found"))</f>
        <v>Radisson Hotel Group</v>
      </c>
      <c r="W47" s="14">
        <v>296.57</v>
      </c>
      <c r="X47" s="14">
        <v>0</v>
      </c>
      <c r="Y47" s="21">
        <v>2</v>
      </c>
      <c r="Z47" s="29">
        <f t="shared" si="1"/>
        <v>112.01</v>
      </c>
      <c r="AA47" s="14">
        <v>224.02</v>
      </c>
      <c r="AB47" s="14">
        <v>148.16999999999999</v>
      </c>
      <c r="AC47" s="14">
        <v>668.76</v>
      </c>
      <c r="AD47" s="16" t="s">
        <v>147</v>
      </c>
      <c r="AE47" s="16" t="s">
        <v>147</v>
      </c>
      <c r="AF47" s="14">
        <f>SUMIF('Trip Changes'!$B:$B,A47,'Trip Changes'!$E:$E)</f>
        <v>0</v>
      </c>
      <c r="AG47" s="23">
        <f>SUMIF('Trip Cancellations'!$B:$B,A47,'Trip Cancellations'!$E:$E)</f>
        <v>0</v>
      </c>
      <c r="AH47" s="14">
        <f>SUMIF('Trip Cancellations'!$B:$B,A47,'Trip Cancellations'!$F:$F)</f>
        <v>0</v>
      </c>
      <c r="AI47" s="14">
        <f t="shared" si="2"/>
        <v>668.76</v>
      </c>
      <c r="AJ47" s="14" t="str">
        <f t="shared" si="3"/>
        <v>Yes</v>
      </c>
      <c r="AK47" s="14" t="str">
        <f>IF(Y47=0,"N/A",
IF(_xlfn.XLOOKUP(U47,Hotels!A:A,Hotels!C:C)=TRUE,"Yes","No"))</f>
        <v>No</v>
      </c>
      <c r="AL47" s="14" t="str">
        <f>IF(N47="Rail","N/A",IF(_xlfn.XLOOKUP(T47,Airlines!A:A,Airlines!C:C)=TRUE,"Yes","No"))</f>
        <v>Yes</v>
      </c>
      <c r="AM47" s="14" t="str">
        <f t="shared" si="4"/>
        <v>Yes</v>
      </c>
      <c r="AN47" s="14" t="str">
        <f t="shared" si="5"/>
        <v>Yes</v>
      </c>
      <c r="AO47" s="14" t="str">
        <f t="shared" si="6"/>
        <v>No</v>
      </c>
      <c r="AP47" s="16" t="s">
        <v>148</v>
      </c>
      <c r="AQ47" t="str">
        <f t="shared" si="14"/>
        <v>No</v>
      </c>
      <c r="AR47" s="21">
        <v>4</v>
      </c>
      <c r="AS47" s="5">
        <v>280.8</v>
      </c>
      <c r="AT47" s="5" t="str">
        <f>IF(T47="","",_xlfn.XLOOKUP(T47,Airlines!A:A,Airlines!B:B,"Not Found"))</f>
        <v>British Airways</v>
      </c>
      <c r="AU47" s="5" t="str">
        <f>IF(U47="","",_xlfn.XLOOKUP(U47,Hotels!A:A,Hotels!B:B,"Not found"))</f>
        <v>Radisson Hotel Group</v>
      </c>
      <c r="AV47" t="s">
        <v>147</v>
      </c>
      <c r="AW47" s="16" t="str">
        <f t="shared" si="7"/>
        <v>OK</v>
      </c>
      <c r="AX47" s="16" t="str">
        <f t="shared" si="8"/>
        <v>OK</v>
      </c>
      <c r="AY47" s="16" t="str">
        <f t="shared" si="9"/>
        <v>OK</v>
      </c>
      <c r="AZ47" s="16" t="str">
        <f t="shared" si="10"/>
        <v>OK</v>
      </c>
      <c r="BA47" s="16" t="str">
        <f t="shared" si="15"/>
        <v>OK</v>
      </c>
      <c r="BB47" s="21">
        <f>COUNTIF('Trip Changes'!B:B,A47)</f>
        <v>0</v>
      </c>
      <c r="BC47" s="16" t="str">
        <f>IF(OR(AND(AD47="Yes",COUNTIF('Trip Changes'!B:B,A47)&gt;0),AND(AD47="No",COUNTIF('Trip Changes'!B:B,A47)=0)),"OK","Check")</f>
        <v>OK</v>
      </c>
      <c r="BD47" t="str">
        <f t="shared" si="16"/>
        <v>OK</v>
      </c>
      <c r="BE47" t="str">
        <f t="shared" si="17"/>
        <v>OK</v>
      </c>
      <c r="BF47" t="str">
        <f t="shared" si="18"/>
        <v>OK</v>
      </c>
      <c r="BG47" t="str">
        <f t="shared" si="19"/>
        <v>OK</v>
      </c>
      <c r="BH47" t="str">
        <f t="shared" si="20"/>
        <v>OK</v>
      </c>
      <c r="BI47" t="str">
        <f t="shared" si="11"/>
        <v>OK</v>
      </c>
      <c r="BJ47" t="str">
        <f t="shared" si="12"/>
        <v>OK</v>
      </c>
      <c r="BK47" t="str">
        <f t="shared" si="13"/>
        <v>OK</v>
      </c>
    </row>
    <row r="48" spans="1:63">
      <c r="A48" s="16" t="s">
        <v>263</v>
      </c>
      <c r="B48" s="16" t="s">
        <v>261</v>
      </c>
      <c r="C48" s="16" t="s">
        <v>182</v>
      </c>
      <c r="D48" s="16" t="s">
        <v>168</v>
      </c>
      <c r="E48" s="16" t="s">
        <v>262</v>
      </c>
      <c r="F48" s="16" t="s">
        <v>157</v>
      </c>
      <c r="G48" s="15">
        <v>46221</v>
      </c>
      <c r="H48" s="15">
        <v>46231</v>
      </c>
      <c r="I48" s="15">
        <v>46233</v>
      </c>
      <c r="J48" s="15" t="s">
        <v>150</v>
      </c>
      <c r="K48" s="16" t="s">
        <v>182</v>
      </c>
      <c r="L48" t="s">
        <v>264</v>
      </c>
      <c r="M48" s="16" t="s">
        <v>152</v>
      </c>
      <c r="N48" s="16" t="s">
        <v>153</v>
      </c>
      <c r="O48" t="s">
        <v>1614</v>
      </c>
      <c r="P48" s="18">
        <v>2850</v>
      </c>
      <c r="Q48" s="21">
        <v>10</v>
      </c>
      <c r="R48" s="21" t="str">
        <f t="shared" si="0"/>
        <v>8-14 days</v>
      </c>
      <c r="S48" s="16" t="s">
        <v>145</v>
      </c>
      <c r="T48" s="16" t="s">
        <v>160</v>
      </c>
      <c r="U48" s="16" t="s">
        <v>164</v>
      </c>
      <c r="V48" t="str">
        <f>IF(U48="","",IFERROR(VLOOKUP(U48,Hotels!A:B,2,FALSE),"Not Found"))</f>
        <v>Marriott</v>
      </c>
      <c r="W48" s="14">
        <v>454.66</v>
      </c>
      <c r="X48" s="14">
        <v>0</v>
      </c>
      <c r="Y48" s="21">
        <v>1</v>
      </c>
      <c r="Z48" s="29">
        <f t="shared" si="1"/>
        <v>166.16</v>
      </c>
      <c r="AA48" s="14">
        <v>166.16</v>
      </c>
      <c r="AB48" s="14">
        <v>78.14</v>
      </c>
      <c r="AC48" s="14">
        <v>698.96</v>
      </c>
      <c r="AD48" s="16" t="s">
        <v>147</v>
      </c>
      <c r="AE48" s="16" t="s">
        <v>147</v>
      </c>
      <c r="AF48" s="14">
        <f>SUMIF('Trip Changes'!$B:$B,A48,'Trip Changes'!$E:$E)</f>
        <v>0</v>
      </c>
      <c r="AG48" s="23">
        <f>SUMIF('Trip Cancellations'!$B:$B,A48,'Trip Cancellations'!$E:$E)</f>
        <v>0</v>
      </c>
      <c r="AH48" s="14">
        <f>SUMIF('Trip Cancellations'!$B:$B,A48,'Trip Cancellations'!$F:$F)</f>
        <v>0</v>
      </c>
      <c r="AI48" s="14">
        <f t="shared" si="2"/>
        <v>698.96</v>
      </c>
      <c r="AJ48" s="14" t="str">
        <f t="shared" si="3"/>
        <v>Yes</v>
      </c>
      <c r="AK48" s="14" t="str">
        <f>IF(Y48=0,"N/A",
IF(_xlfn.XLOOKUP(U48,Hotels!A:A,Hotels!C:C)=TRUE,"Yes","No"))</f>
        <v>Yes</v>
      </c>
      <c r="AL48" s="14" t="str">
        <f>IF(N48="Rail","N/A",IF(_xlfn.XLOOKUP(T48,Airlines!A:A,Airlines!C:C)=TRUE,"Yes","No"))</f>
        <v>Yes</v>
      </c>
      <c r="AM48" s="14" t="str">
        <f t="shared" si="4"/>
        <v>Yes</v>
      </c>
      <c r="AN48" s="14" t="str">
        <f t="shared" si="5"/>
        <v>Yes</v>
      </c>
      <c r="AO48" s="14" t="str">
        <f t="shared" si="6"/>
        <v>Yes</v>
      </c>
      <c r="AP48" s="16" t="s">
        <v>148</v>
      </c>
      <c r="AQ48" t="str">
        <f t="shared" si="14"/>
        <v>Yes</v>
      </c>
      <c r="AR48" s="21">
        <v>5</v>
      </c>
      <c r="AS48" s="5">
        <v>427.5</v>
      </c>
      <c r="AT48" s="5" t="str">
        <f>IF(T48="","",_xlfn.XLOOKUP(T48,Airlines!A:A,Airlines!B:B,"Not Found"))</f>
        <v>Air France</v>
      </c>
      <c r="AU48" s="5" t="str">
        <f>IF(U48="","",_xlfn.XLOOKUP(U48,Hotels!A:A,Hotels!B:B,"Not found"))</f>
        <v>Marriott</v>
      </c>
      <c r="AV48" t="s">
        <v>148</v>
      </c>
      <c r="AW48" s="16" t="str">
        <f t="shared" si="7"/>
        <v>OK</v>
      </c>
      <c r="AX48" s="16" t="str">
        <f t="shared" si="8"/>
        <v>OK</v>
      </c>
      <c r="AY48" s="16" t="str">
        <f t="shared" si="9"/>
        <v>OK</v>
      </c>
      <c r="AZ48" s="16" t="str">
        <f t="shared" si="10"/>
        <v>OK</v>
      </c>
      <c r="BA48" s="16" t="str">
        <f t="shared" si="15"/>
        <v>OK</v>
      </c>
      <c r="BB48" s="21">
        <f>COUNTIF('Trip Changes'!B:B,A48)</f>
        <v>0</v>
      </c>
      <c r="BC48" s="16" t="str">
        <f>IF(OR(AND(AD48="Yes",COUNTIF('Trip Changes'!B:B,A48)&gt;0),AND(AD48="No",COUNTIF('Trip Changes'!B:B,A48)=0)),"OK","Check")</f>
        <v>OK</v>
      </c>
      <c r="BD48" t="str">
        <f t="shared" si="16"/>
        <v>OK</v>
      </c>
      <c r="BE48" t="str">
        <f t="shared" si="17"/>
        <v>OK</v>
      </c>
      <c r="BF48" t="str">
        <f t="shared" si="18"/>
        <v>OK</v>
      </c>
      <c r="BG48" t="str">
        <f t="shared" si="19"/>
        <v>OK</v>
      </c>
      <c r="BH48" t="str">
        <f t="shared" si="20"/>
        <v>OK</v>
      </c>
      <c r="BI48" t="str">
        <f t="shared" si="11"/>
        <v>OK</v>
      </c>
      <c r="BJ48" t="str">
        <f t="shared" si="12"/>
        <v>OK</v>
      </c>
      <c r="BK48" t="str">
        <f t="shared" si="13"/>
        <v>OK</v>
      </c>
    </row>
    <row r="49" spans="1:63">
      <c r="A49" s="16" t="s">
        <v>265</v>
      </c>
      <c r="B49" s="16" t="s">
        <v>261</v>
      </c>
      <c r="C49" s="16" t="s">
        <v>182</v>
      </c>
      <c r="D49" s="16" t="s">
        <v>168</v>
      </c>
      <c r="E49" s="16" t="s">
        <v>262</v>
      </c>
      <c r="F49" s="16" t="s">
        <v>170</v>
      </c>
      <c r="G49" s="15">
        <v>46152</v>
      </c>
      <c r="H49" s="15">
        <v>46162</v>
      </c>
      <c r="I49" s="15">
        <v>46164</v>
      </c>
      <c r="J49" s="15" t="s">
        <v>163</v>
      </c>
      <c r="K49" s="16" t="s">
        <v>182</v>
      </c>
      <c r="L49" t="s">
        <v>233</v>
      </c>
      <c r="M49" s="16" t="s">
        <v>152</v>
      </c>
      <c r="N49" s="16" t="s">
        <v>153</v>
      </c>
      <c r="O49" t="s">
        <v>1614</v>
      </c>
      <c r="P49" s="18">
        <v>2290</v>
      </c>
      <c r="Q49" s="21">
        <v>10</v>
      </c>
      <c r="R49" s="21" t="str">
        <f t="shared" si="0"/>
        <v>8-14 days</v>
      </c>
      <c r="S49" s="16" t="s">
        <v>159</v>
      </c>
      <c r="T49" s="16" t="s">
        <v>176</v>
      </c>
      <c r="U49" s="16" t="s">
        <v>190</v>
      </c>
      <c r="V49" t="str">
        <f>IF(U49="","",IFERROR(VLOOKUP(U49,Hotels!A:B,2,FALSE),"Not Found"))</f>
        <v>Radisson Hotel Group</v>
      </c>
      <c r="W49" s="14">
        <v>415.11</v>
      </c>
      <c r="X49" s="14">
        <v>0</v>
      </c>
      <c r="Y49" s="21">
        <v>1</v>
      </c>
      <c r="Z49" s="29">
        <f t="shared" si="1"/>
        <v>219.95</v>
      </c>
      <c r="AA49" s="14">
        <v>219.95</v>
      </c>
      <c r="AB49" s="14">
        <v>73.430000000000007</v>
      </c>
      <c r="AC49" s="14">
        <v>708.49</v>
      </c>
      <c r="AD49" s="16" t="s">
        <v>147</v>
      </c>
      <c r="AE49" s="16" t="s">
        <v>147</v>
      </c>
      <c r="AF49" s="14">
        <f>SUMIF('Trip Changes'!$B:$B,A49,'Trip Changes'!$E:$E)</f>
        <v>0</v>
      </c>
      <c r="AG49" s="23">
        <f>SUMIF('Trip Cancellations'!$B:$B,A49,'Trip Cancellations'!$E:$E)</f>
        <v>0</v>
      </c>
      <c r="AH49" s="14">
        <f>SUMIF('Trip Cancellations'!$B:$B,A49,'Trip Cancellations'!$F:$F)</f>
        <v>0</v>
      </c>
      <c r="AI49" s="14">
        <f t="shared" si="2"/>
        <v>708.49</v>
      </c>
      <c r="AJ49" s="14" t="str">
        <f t="shared" si="3"/>
        <v>No</v>
      </c>
      <c r="AK49" s="14" t="str">
        <f>IF(Y49=0,"N/A",
IF(_xlfn.XLOOKUP(U49,Hotels!A:A,Hotels!C:C)=TRUE,"Yes","No"))</f>
        <v>No</v>
      </c>
      <c r="AL49" s="14" t="str">
        <f>IF(N49="Rail","N/A",IF(_xlfn.XLOOKUP(T49,Airlines!A:A,Airlines!C:C)=TRUE,"Yes","No"))</f>
        <v>Yes</v>
      </c>
      <c r="AM49" s="14" t="str">
        <f t="shared" si="4"/>
        <v>Yes</v>
      </c>
      <c r="AN49" s="14" t="str">
        <f t="shared" si="5"/>
        <v>Yes</v>
      </c>
      <c r="AO49" s="14" t="str">
        <f t="shared" si="6"/>
        <v>No</v>
      </c>
      <c r="AP49" s="16" t="s">
        <v>148</v>
      </c>
      <c r="AQ49" t="str">
        <f t="shared" si="14"/>
        <v>No</v>
      </c>
      <c r="AR49" s="21">
        <v>4</v>
      </c>
      <c r="AS49" s="5">
        <v>343.5</v>
      </c>
      <c r="AT49" s="5" t="str">
        <f>IF(T49="","",_xlfn.XLOOKUP(T49,Airlines!A:A,Airlines!B:B,"Not Found"))</f>
        <v>easyJet</v>
      </c>
      <c r="AU49" s="5" t="str">
        <f>IF(U49="","",_xlfn.XLOOKUP(U49,Hotels!A:A,Hotels!B:B,"Not found"))</f>
        <v>Radisson Hotel Group</v>
      </c>
      <c r="AV49" t="s">
        <v>148</v>
      </c>
      <c r="AW49" s="16" t="str">
        <f t="shared" si="7"/>
        <v>OK</v>
      </c>
      <c r="AX49" s="16" t="str">
        <f t="shared" si="8"/>
        <v>OK</v>
      </c>
      <c r="AY49" s="16" t="str">
        <f t="shared" si="9"/>
        <v>OK</v>
      </c>
      <c r="AZ49" s="16" t="str">
        <f t="shared" si="10"/>
        <v>OK</v>
      </c>
      <c r="BA49" s="16" t="str">
        <f t="shared" si="15"/>
        <v>OK</v>
      </c>
      <c r="BB49" s="21">
        <f>COUNTIF('Trip Changes'!B:B,A49)</f>
        <v>0</v>
      </c>
      <c r="BC49" s="16" t="str">
        <f>IF(OR(AND(AD49="Yes",COUNTIF('Trip Changes'!B:B,A49)&gt;0),AND(AD49="No",COUNTIF('Trip Changes'!B:B,A49)=0)),"OK","Check")</f>
        <v>OK</v>
      </c>
      <c r="BD49" t="str">
        <f t="shared" si="16"/>
        <v>OK</v>
      </c>
      <c r="BE49" t="str">
        <f t="shared" si="17"/>
        <v>OK</v>
      </c>
      <c r="BF49" t="str">
        <f t="shared" si="18"/>
        <v>OK</v>
      </c>
      <c r="BG49" t="str">
        <f t="shared" si="19"/>
        <v>OK</v>
      </c>
      <c r="BH49" t="str">
        <f t="shared" si="20"/>
        <v>OK</v>
      </c>
      <c r="BI49" t="str">
        <f t="shared" si="11"/>
        <v>OK</v>
      </c>
      <c r="BJ49" t="str">
        <f t="shared" si="12"/>
        <v>OK</v>
      </c>
      <c r="BK49" t="str">
        <f t="shared" si="13"/>
        <v>OK</v>
      </c>
    </row>
    <row r="50" spans="1:63">
      <c r="A50" s="16" t="s">
        <v>266</v>
      </c>
      <c r="B50" s="16" t="s">
        <v>267</v>
      </c>
      <c r="C50" s="16" t="s">
        <v>182</v>
      </c>
      <c r="D50" s="16" t="s">
        <v>168</v>
      </c>
      <c r="E50" s="16" t="s">
        <v>268</v>
      </c>
      <c r="F50" s="16" t="s">
        <v>189</v>
      </c>
      <c r="G50" s="15">
        <v>46215</v>
      </c>
      <c r="H50" s="15">
        <v>46216</v>
      </c>
      <c r="I50" s="15">
        <v>46220</v>
      </c>
      <c r="J50" s="15" t="s">
        <v>150</v>
      </c>
      <c r="K50" s="16" t="s">
        <v>182</v>
      </c>
      <c r="L50" t="s">
        <v>175</v>
      </c>
      <c r="M50" s="16" t="s">
        <v>152</v>
      </c>
      <c r="N50" s="16" t="s">
        <v>153</v>
      </c>
      <c r="O50" t="s">
        <v>1631</v>
      </c>
      <c r="P50" s="18">
        <v>2326</v>
      </c>
      <c r="Q50" s="21">
        <v>1</v>
      </c>
      <c r="R50" s="21" t="str">
        <f t="shared" si="0"/>
        <v>0-3 days</v>
      </c>
      <c r="S50" s="16" t="s">
        <v>145</v>
      </c>
      <c r="T50" s="16" t="s">
        <v>154</v>
      </c>
      <c r="U50" s="16" t="s">
        <v>190</v>
      </c>
      <c r="V50" t="str">
        <f>IF(U50="","",IFERROR(VLOOKUP(U50,Hotels!A:B,2,FALSE),"Not Found"))</f>
        <v>Radisson Hotel Group</v>
      </c>
      <c r="W50" s="14">
        <v>627.35</v>
      </c>
      <c r="X50" s="14">
        <v>0</v>
      </c>
      <c r="Y50" s="21">
        <v>3</v>
      </c>
      <c r="Z50" s="29">
        <f t="shared" si="1"/>
        <v>210.12666666666667</v>
      </c>
      <c r="AA50" s="14">
        <v>630.38</v>
      </c>
      <c r="AB50" s="14">
        <v>71.44</v>
      </c>
      <c r="AC50" s="14">
        <v>1329.17</v>
      </c>
      <c r="AD50" s="16" t="s">
        <v>147</v>
      </c>
      <c r="AE50" s="16" t="s">
        <v>147</v>
      </c>
      <c r="AF50" s="14">
        <f>SUMIF('Trip Changes'!$B:$B,A50,'Trip Changes'!$E:$E)</f>
        <v>0</v>
      </c>
      <c r="AG50" s="23">
        <f>SUMIF('Trip Cancellations'!$B:$B,A50,'Trip Cancellations'!$E:$E)</f>
        <v>0</v>
      </c>
      <c r="AH50" s="14">
        <f>SUMIF('Trip Cancellations'!$B:$B,A50,'Trip Cancellations'!$F:$F)</f>
        <v>0</v>
      </c>
      <c r="AI50" s="14">
        <f t="shared" si="2"/>
        <v>1329.17</v>
      </c>
      <c r="AJ50" s="14" t="str">
        <f t="shared" si="3"/>
        <v>Yes</v>
      </c>
      <c r="AK50" s="14" t="str">
        <f>IF(Y50=0,"N/A",
IF(_xlfn.XLOOKUP(U50,Hotels!A:A,Hotels!C:C)=TRUE,"Yes","No"))</f>
        <v>No</v>
      </c>
      <c r="AL50" s="14" t="str">
        <f>IF(N50="Rail","N/A",IF(_xlfn.XLOOKUP(T50,Airlines!A:A,Airlines!C:C)=TRUE,"Yes","No"))</f>
        <v>Yes</v>
      </c>
      <c r="AM50" s="14" t="str">
        <f t="shared" si="4"/>
        <v>No</v>
      </c>
      <c r="AN50" s="14" t="str">
        <f t="shared" si="5"/>
        <v>Yes</v>
      </c>
      <c r="AO50" s="14" t="str">
        <f t="shared" si="6"/>
        <v>No</v>
      </c>
      <c r="AP50" s="16" t="s">
        <v>148</v>
      </c>
      <c r="AQ50" t="str">
        <f t="shared" si="14"/>
        <v>No</v>
      </c>
      <c r="AR50" s="21">
        <v>4</v>
      </c>
      <c r="AS50" s="5">
        <v>348.9</v>
      </c>
      <c r="AT50" s="5" t="str">
        <f>IF(T50="","",_xlfn.XLOOKUP(T50,Airlines!A:A,Airlines!B:B,"Not Found"))</f>
        <v>British Airways</v>
      </c>
      <c r="AU50" s="5" t="str">
        <f>IF(U50="","",_xlfn.XLOOKUP(U50,Hotels!A:A,Hotels!B:B,"Not found"))</f>
        <v>Radisson Hotel Group</v>
      </c>
      <c r="AV50" t="s">
        <v>148</v>
      </c>
      <c r="AW50" s="16" t="str">
        <f t="shared" si="7"/>
        <v>OK</v>
      </c>
      <c r="AX50" s="16" t="str">
        <f t="shared" si="8"/>
        <v>OK</v>
      </c>
      <c r="AY50" s="16" t="str">
        <f t="shared" si="9"/>
        <v>OK</v>
      </c>
      <c r="AZ50" s="16" t="str">
        <f t="shared" si="10"/>
        <v>OK</v>
      </c>
      <c r="BA50" s="16" t="str">
        <f t="shared" si="15"/>
        <v>OK</v>
      </c>
      <c r="BB50" s="21">
        <f>COUNTIF('Trip Changes'!B:B,A50)</f>
        <v>0</v>
      </c>
      <c r="BC50" s="16" t="str">
        <f>IF(OR(AND(AD50="Yes",COUNTIF('Trip Changes'!B:B,A50)&gt;0),AND(AD50="No",COUNTIF('Trip Changes'!B:B,A50)=0)),"OK","Check")</f>
        <v>OK</v>
      </c>
      <c r="BD50" t="str">
        <f t="shared" si="16"/>
        <v>OK</v>
      </c>
      <c r="BE50" t="str">
        <f t="shared" si="17"/>
        <v>OK</v>
      </c>
      <c r="BF50" t="str">
        <f t="shared" si="18"/>
        <v>OK</v>
      </c>
      <c r="BG50" t="str">
        <f t="shared" si="19"/>
        <v>OK</v>
      </c>
      <c r="BH50" t="str">
        <f t="shared" si="20"/>
        <v>OK</v>
      </c>
      <c r="BI50" t="str">
        <f t="shared" si="11"/>
        <v>OK</v>
      </c>
      <c r="BJ50" t="str">
        <f t="shared" si="12"/>
        <v>OK</v>
      </c>
      <c r="BK50" t="str">
        <f t="shared" si="13"/>
        <v>OK</v>
      </c>
    </row>
    <row r="51" spans="1:63">
      <c r="A51" s="16" t="s">
        <v>269</v>
      </c>
      <c r="B51" s="16" t="s">
        <v>267</v>
      </c>
      <c r="C51" s="16" t="s">
        <v>182</v>
      </c>
      <c r="D51" s="16" t="s">
        <v>168</v>
      </c>
      <c r="E51" s="16" t="s">
        <v>268</v>
      </c>
      <c r="F51" s="16" t="s">
        <v>162</v>
      </c>
      <c r="G51" s="15">
        <v>46218</v>
      </c>
      <c r="H51" s="15">
        <v>46219</v>
      </c>
      <c r="I51" s="15">
        <v>46223</v>
      </c>
      <c r="J51" s="15" t="s">
        <v>150</v>
      </c>
      <c r="K51" s="16" t="s">
        <v>182</v>
      </c>
      <c r="L51" t="s">
        <v>225</v>
      </c>
      <c r="M51" s="16" t="s">
        <v>152</v>
      </c>
      <c r="N51" s="16" t="s">
        <v>153</v>
      </c>
      <c r="O51" t="s">
        <v>1614</v>
      </c>
      <c r="P51" s="18">
        <v>3122</v>
      </c>
      <c r="Q51" s="21">
        <v>1</v>
      </c>
      <c r="R51" s="21" t="str">
        <f t="shared" si="0"/>
        <v>0-3 days</v>
      </c>
      <c r="S51" s="16" t="s">
        <v>159</v>
      </c>
      <c r="T51" s="16" t="s">
        <v>236</v>
      </c>
      <c r="U51" s="16" t="s">
        <v>187</v>
      </c>
      <c r="V51" t="str">
        <f>IF(U51="","",IFERROR(VLOOKUP(U51,Hotels!A:B,2,FALSE),"Not Found"))</f>
        <v>IHG Hotels &amp; Resorts</v>
      </c>
      <c r="W51" s="14">
        <v>680.01</v>
      </c>
      <c r="X51" s="14">
        <v>0</v>
      </c>
      <c r="Y51" s="21">
        <v>3</v>
      </c>
      <c r="Z51" s="29">
        <f t="shared" si="1"/>
        <v>149.07333333333335</v>
      </c>
      <c r="AA51" s="14">
        <v>447.22</v>
      </c>
      <c r="AB51" s="14">
        <v>93.58</v>
      </c>
      <c r="AC51" s="14">
        <v>1220.81</v>
      </c>
      <c r="AD51" s="16" t="s">
        <v>147</v>
      </c>
      <c r="AE51" s="16" t="s">
        <v>147</v>
      </c>
      <c r="AF51" s="14">
        <f>SUMIF('Trip Changes'!$B:$B,A51,'Trip Changes'!$E:$E)</f>
        <v>0</v>
      </c>
      <c r="AG51" s="23">
        <f>SUMIF('Trip Cancellations'!$B:$B,A51,'Trip Cancellations'!$E:$E)</f>
        <v>0</v>
      </c>
      <c r="AH51" s="14">
        <f>SUMIF('Trip Cancellations'!$B:$B,A51,'Trip Cancellations'!$F:$F)</f>
        <v>0</v>
      </c>
      <c r="AI51" s="14">
        <f t="shared" si="2"/>
        <v>1220.81</v>
      </c>
      <c r="AJ51" s="14" t="str">
        <f t="shared" si="3"/>
        <v>Yes</v>
      </c>
      <c r="AK51" s="14" t="str">
        <f>IF(Y51=0,"N/A",
IF(_xlfn.XLOOKUP(U51,Hotels!A:A,Hotels!C:C)=TRUE,"Yes","No"))</f>
        <v>Yes</v>
      </c>
      <c r="AL51" s="14" t="str">
        <f>IF(N51="Rail","N/A",IF(_xlfn.XLOOKUP(T51,Airlines!A:A,Airlines!C:C)=TRUE,"Yes","No"))</f>
        <v>Yes</v>
      </c>
      <c r="AM51" s="14" t="str">
        <f t="shared" si="4"/>
        <v>Yes</v>
      </c>
      <c r="AN51" s="14" t="str">
        <f t="shared" si="5"/>
        <v>Yes</v>
      </c>
      <c r="AO51" s="14" t="str">
        <f t="shared" si="6"/>
        <v>Yes</v>
      </c>
      <c r="AP51" s="16" t="s">
        <v>148</v>
      </c>
      <c r="AQ51" t="str">
        <f t="shared" si="14"/>
        <v>Yes</v>
      </c>
      <c r="AR51" s="21">
        <v>5</v>
      </c>
      <c r="AS51" s="5">
        <v>468.3</v>
      </c>
      <c r="AT51" s="5" t="str">
        <f>IF(T51="","",_xlfn.XLOOKUP(T51,Airlines!A:A,Airlines!B:B,"Not Found"))</f>
        <v>KLM</v>
      </c>
      <c r="AU51" s="5" t="str">
        <f>IF(U51="","",_xlfn.XLOOKUP(U51,Hotels!A:A,Hotels!B:B,"Not found"))</f>
        <v>IHG Hotels &amp; Resorts</v>
      </c>
      <c r="AV51" t="s">
        <v>148</v>
      </c>
      <c r="AW51" s="16" t="str">
        <f t="shared" si="7"/>
        <v>OK</v>
      </c>
      <c r="AX51" s="16" t="str">
        <f t="shared" si="8"/>
        <v>OK</v>
      </c>
      <c r="AY51" s="16" t="str">
        <f t="shared" si="9"/>
        <v>OK</v>
      </c>
      <c r="AZ51" s="16" t="str">
        <f t="shared" si="10"/>
        <v>OK</v>
      </c>
      <c r="BA51" s="16" t="str">
        <f t="shared" si="15"/>
        <v>OK</v>
      </c>
      <c r="BB51" s="21">
        <f>COUNTIF('Trip Changes'!B:B,A51)</f>
        <v>0</v>
      </c>
      <c r="BC51" s="16" t="str">
        <f>IF(OR(AND(AD51="Yes",COUNTIF('Trip Changes'!B:B,A51)&gt;0),AND(AD51="No",COUNTIF('Trip Changes'!B:B,A51)=0)),"OK","Check")</f>
        <v>OK</v>
      </c>
      <c r="BD51" t="str">
        <f t="shared" si="16"/>
        <v>OK</v>
      </c>
      <c r="BE51" t="str">
        <f t="shared" si="17"/>
        <v>OK</v>
      </c>
      <c r="BF51" t="str">
        <f t="shared" si="18"/>
        <v>OK</v>
      </c>
      <c r="BG51" t="str">
        <f t="shared" si="19"/>
        <v>OK</v>
      </c>
      <c r="BH51" t="str">
        <f t="shared" si="20"/>
        <v>OK</v>
      </c>
      <c r="BI51" t="str">
        <f t="shared" si="11"/>
        <v>OK</v>
      </c>
      <c r="BJ51" t="str">
        <f t="shared" si="12"/>
        <v>OK</v>
      </c>
      <c r="BK51" t="str">
        <f t="shared" si="13"/>
        <v>OK</v>
      </c>
    </row>
    <row r="52" spans="1:63">
      <c r="A52" s="16" t="s">
        <v>270</v>
      </c>
      <c r="B52" s="16" t="s">
        <v>267</v>
      </c>
      <c r="C52" s="16" t="s">
        <v>182</v>
      </c>
      <c r="D52" s="16" t="s">
        <v>168</v>
      </c>
      <c r="E52" s="16" t="s">
        <v>268</v>
      </c>
      <c r="F52" s="16" t="s">
        <v>162</v>
      </c>
      <c r="G52" s="15">
        <v>46163</v>
      </c>
      <c r="H52" s="15">
        <v>46192</v>
      </c>
      <c r="I52" s="15">
        <v>46195</v>
      </c>
      <c r="J52" s="15" t="s">
        <v>141</v>
      </c>
      <c r="K52" s="16" t="s">
        <v>182</v>
      </c>
      <c r="L52" t="s">
        <v>233</v>
      </c>
      <c r="M52" s="16" t="s">
        <v>152</v>
      </c>
      <c r="N52" s="16" t="s">
        <v>153</v>
      </c>
      <c r="O52" t="s">
        <v>1614</v>
      </c>
      <c r="P52" s="18">
        <v>2060</v>
      </c>
      <c r="Q52" s="21">
        <v>29</v>
      </c>
      <c r="R52" s="21" t="str">
        <f t="shared" si="0"/>
        <v>15-30 days</v>
      </c>
      <c r="S52" s="16" t="s">
        <v>145</v>
      </c>
      <c r="T52" s="16" t="s">
        <v>160</v>
      </c>
      <c r="U52" s="16" t="s">
        <v>173</v>
      </c>
      <c r="V52" t="str">
        <f>IF(U52="","",IFERROR(VLOOKUP(U52,Hotels!A:B,2,FALSE),"Not Found"))</f>
        <v>Accor</v>
      </c>
      <c r="W52" s="14">
        <v>244.76</v>
      </c>
      <c r="X52" s="14">
        <v>0</v>
      </c>
      <c r="Y52" s="21">
        <v>2</v>
      </c>
      <c r="Z52" s="29">
        <f t="shared" si="1"/>
        <v>132.88999999999999</v>
      </c>
      <c r="AA52" s="14">
        <v>265.77999999999997</v>
      </c>
      <c r="AB52" s="14">
        <v>96.69</v>
      </c>
      <c r="AC52" s="14">
        <v>607.23</v>
      </c>
      <c r="AD52" s="16" t="s">
        <v>147</v>
      </c>
      <c r="AE52" s="16" t="s">
        <v>147</v>
      </c>
      <c r="AF52" s="14">
        <f>SUMIF('Trip Changes'!$B:$B,A52,'Trip Changes'!$E:$E)</f>
        <v>0</v>
      </c>
      <c r="AG52" s="23">
        <f>SUMIF('Trip Cancellations'!$B:$B,A52,'Trip Cancellations'!$E:$E)</f>
        <v>0</v>
      </c>
      <c r="AH52" s="14">
        <f>SUMIF('Trip Cancellations'!$B:$B,A52,'Trip Cancellations'!$F:$F)</f>
        <v>0</v>
      </c>
      <c r="AI52" s="14">
        <f t="shared" si="2"/>
        <v>607.23</v>
      </c>
      <c r="AJ52" s="14" t="str">
        <f t="shared" si="3"/>
        <v>Yes</v>
      </c>
      <c r="AK52" s="14" t="str">
        <f>IF(Y52=0,"N/A",
IF(_xlfn.XLOOKUP(U52,Hotels!A:A,Hotels!C:C)=TRUE,"Yes","No"))</f>
        <v>Yes</v>
      </c>
      <c r="AL52" s="14" t="str">
        <f>IF(N52="Rail","N/A",IF(_xlfn.XLOOKUP(T52,Airlines!A:A,Airlines!C:C)=TRUE,"Yes","No"))</f>
        <v>Yes</v>
      </c>
      <c r="AM52" s="14" t="str">
        <f t="shared" si="4"/>
        <v>Yes</v>
      </c>
      <c r="AN52" s="14" t="str">
        <f t="shared" si="5"/>
        <v>Yes</v>
      </c>
      <c r="AO52" s="14" t="str">
        <f t="shared" si="6"/>
        <v>Yes</v>
      </c>
      <c r="AP52" s="16" t="s">
        <v>148</v>
      </c>
      <c r="AQ52" t="str">
        <f t="shared" si="14"/>
        <v>Yes</v>
      </c>
      <c r="AR52" s="21">
        <v>4</v>
      </c>
      <c r="AS52" s="5">
        <v>309</v>
      </c>
      <c r="AT52" s="5" t="str">
        <f>IF(T52="","",_xlfn.XLOOKUP(T52,Airlines!A:A,Airlines!B:B,"Not Found"))</f>
        <v>Air France</v>
      </c>
      <c r="AU52" s="5" t="str">
        <f>IF(U52="","",_xlfn.XLOOKUP(U52,Hotels!A:A,Hotels!B:B,"Not found"))</f>
        <v>Accor</v>
      </c>
      <c r="AV52" t="s">
        <v>147</v>
      </c>
      <c r="AW52" s="16" t="str">
        <f t="shared" si="7"/>
        <v>OK</v>
      </c>
      <c r="AX52" s="16" t="str">
        <f t="shared" si="8"/>
        <v>OK</v>
      </c>
      <c r="AY52" s="16" t="str">
        <f t="shared" si="9"/>
        <v>OK</v>
      </c>
      <c r="AZ52" s="16" t="str">
        <f t="shared" si="10"/>
        <v>OK</v>
      </c>
      <c r="BA52" s="16" t="str">
        <f t="shared" si="15"/>
        <v>OK</v>
      </c>
      <c r="BB52" s="21">
        <f>COUNTIF('Trip Changes'!B:B,A52)</f>
        <v>0</v>
      </c>
      <c r="BC52" s="16" t="str">
        <f>IF(OR(AND(AD52="Yes",COUNTIF('Trip Changes'!B:B,A52)&gt;0),AND(AD52="No",COUNTIF('Trip Changes'!B:B,A52)=0)),"OK","Check")</f>
        <v>OK</v>
      </c>
      <c r="BD52" t="str">
        <f t="shared" si="16"/>
        <v>OK</v>
      </c>
      <c r="BE52" t="str">
        <f t="shared" si="17"/>
        <v>OK</v>
      </c>
      <c r="BF52" t="str">
        <f t="shared" si="18"/>
        <v>OK</v>
      </c>
      <c r="BG52" t="str">
        <f t="shared" si="19"/>
        <v>OK</v>
      </c>
      <c r="BH52" t="str">
        <f t="shared" si="20"/>
        <v>OK</v>
      </c>
      <c r="BI52" t="str">
        <f t="shared" si="11"/>
        <v>OK</v>
      </c>
      <c r="BJ52" t="str">
        <f t="shared" si="12"/>
        <v>OK</v>
      </c>
      <c r="BK52" t="str">
        <f t="shared" si="13"/>
        <v>OK</v>
      </c>
    </row>
    <row r="53" spans="1:63">
      <c r="A53" s="16" t="s">
        <v>271</v>
      </c>
      <c r="B53" s="16" t="s">
        <v>267</v>
      </c>
      <c r="C53" s="16" t="s">
        <v>182</v>
      </c>
      <c r="D53" s="16" t="s">
        <v>168</v>
      </c>
      <c r="E53" s="16" t="s">
        <v>268</v>
      </c>
      <c r="F53" s="16" t="s">
        <v>162</v>
      </c>
      <c r="G53" s="15">
        <v>46138</v>
      </c>
      <c r="H53" s="15">
        <v>46143</v>
      </c>
      <c r="I53" s="15">
        <v>46147</v>
      </c>
      <c r="J53" s="15" t="s">
        <v>163</v>
      </c>
      <c r="K53" s="16" t="s">
        <v>182</v>
      </c>
      <c r="L53" t="s">
        <v>225</v>
      </c>
      <c r="M53" s="16" t="s">
        <v>152</v>
      </c>
      <c r="N53" s="16" t="s">
        <v>153</v>
      </c>
      <c r="O53" t="s">
        <v>1614</v>
      </c>
      <c r="P53" s="18">
        <v>3382</v>
      </c>
      <c r="Q53" s="21">
        <v>5</v>
      </c>
      <c r="R53" s="21" t="str">
        <f t="shared" si="0"/>
        <v>4-7 days</v>
      </c>
      <c r="S53" s="16" t="s">
        <v>159</v>
      </c>
      <c r="T53" s="16" t="s">
        <v>236</v>
      </c>
      <c r="U53" s="16" t="s">
        <v>164</v>
      </c>
      <c r="V53" t="str">
        <f>IF(U53="","",IFERROR(VLOOKUP(U53,Hotels!A:B,2,FALSE),"Not Found"))</f>
        <v>Marriott</v>
      </c>
      <c r="W53" s="14">
        <v>222.94</v>
      </c>
      <c r="X53" s="14">
        <v>0</v>
      </c>
      <c r="Y53" s="21">
        <v>3</v>
      </c>
      <c r="Z53" s="29">
        <f t="shared" si="1"/>
        <v>185.84333333333333</v>
      </c>
      <c r="AA53" s="14">
        <v>557.53</v>
      </c>
      <c r="AB53" s="14">
        <v>81.650000000000006</v>
      </c>
      <c r="AC53" s="14">
        <v>862.12</v>
      </c>
      <c r="AD53" s="16" t="s">
        <v>147</v>
      </c>
      <c r="AE53" s="16" t="s">
        <v>147</v>
      </c>
      <c r="AF53" s="14">
        <f>SUMIF('Trip Changes'!$B:$B,A53,'Trip Changes'!$E:$E)</f>
        <v>0</v>
      </c>
      <c r="AG53" s="23">
        <f>SUMIF('Trip Cancellations'!$B:$B,A53,'Trip Cancellations'!$E:$E)</f>
        <v>0</v>
      </c>
      <c r="AH53" s="14">
        <f>SUMIF('Trip Cancellations'!$B:$B,A53,'Trip Cancellations'!$F:$F)</f>
        <v>0</v>
      </c>
      <c r="AI53" s="14">
        <f t="shared" si="2"/>
        <v>862.12</v>
      </c>
      <c r="AJ53" s="14" t="str">
        <f t="shared" si="3"/>
        <v>No</v>
      </c>
      <c r="AK53" s="14" t="str">
        <f>IF(Y53=0,"N/A",
IF(_xlfn.XLOOKUP(U53,Hotels!A:A,Hotels!C:C)=TRUE,"Yes","No"))</f>
        <v>Yes</v>
      </c>
      <c r="AL53" s="14" t="str">
        <f>IF(N53="Rail","N/A",IF(_xlfn.XLOOKUP(T53,Airlines!A:A,Airlines!C:C)=TRUE,"Yes","No"))</f>
        <v>Yes</v>
      </c>
      <c r="AM53" s="14" t="str">
        <f t="shared" si="4"/>
        <v>Yes</v>
      </c>
      <c r="AN53" s="14" t="str">
        <f t="shared" si="5"/>
        <v>Yes</v>
      </c>
      <c r="AO53" s="14" t="str">
        <f t="shared" si="6"/>
        <v>Yes</v>
      </c>
      <c r="AP53" s="16" t="s">
        <v>147</v>
      </c>
      <c r="AQ53" t="str">
        <f t="shared" si="14"/>
        <v>No</v>
      </c>
      <c r="AR53" s="21">
        <v>5</v>
      </c>
      <c r="AS53" s="5">
        <v>507.3</v>
      </c>
      <c r="AT53" s="5" t="str">
        <f>IF(T53="","",_xlfn.XLOOKUP(T53,Airlines!A:A,Airlines!B:B,"Not Found"))</f>
        <v>KLM</v>
      </c>
      <c r="AU53" s="5" t="str">
        <f>IF(U53="","",_xlfn.XLOOKUP(U53,Hotels!A:A,Hotels!B:B,"Not found"))</f>
        <v>Marriott</v>
      </c>
      <c r="AV53" t="s">
        <v>148</v>
      </c>
      <c r="AW53" s="16" t="str">
        <f t="shared" si="7"/>
        <v>OK</v>
      </c>
      <c r="AX53" s="16" t="str">
        <f t="shared" si="8"/>
        <v>OK</v>
      </c>
      <c r="AY53" s="16" t="str">
        <f t="shared" si="9"/>
        <v>OK</v>
      </c>
      <c r="AZ53" s="16" t="str">
        <f t="shared" si="10"/>
        <v>OK</v>
      </c>
      <c r="BA53" s="16" t="str">
        <f t="shared" si="15"/>
        <v>OK</v>
      </c>
      <c r="BB53" s="21">
        <f>COUNTIF('Trip Changes'!B:B,A53)</f>
        <v>0</v>
      </c>
      <c r="BC53" s="16" t="str">
        <f>IF(OR(AND(AD53="Yes",COUNTIF('Trip Changes'!B:B,A53)&gt;0),AND(AD53="No",COUNTIF('Trip Changes'!B:B,A53)=0)),"OK","Check")</f>
        <v>OK</v>
      </c>
      <c r="BD53" t="str">
        <f t="shared" si="16"/>
        <v>OK</v>
      </c>
      <c r="BE53" t="str">
        <f t="shared" si="17"/>
        <v>OK</v>
      </c>
      <c r="BF53" t="str">
        <f t="shared" si="18"/>
        <v>OK</v>
      </c>
      <c r="BG53" t="str">
        <f t="shared" si="19"/>
        <v>OK</v>
      </c>
      <c r="BH53" t="str">
        <f t="shared" si="20"/>
        <v>OK</v>
      </c>
      <c r="BI53" t="str">
        <f t="shared" si="11"/>
        <v>OK</v>
      </c>
      <c r="BJ53" t="str">
        <f t="shared" si="12"/>
        <v>OK</v>
      </c>
      <c r="BK53" t="str">
        <f t="shared" si="13"/>
        <v>OK</v>
      </c>
    </row>
    <row r="54" spans="1:63">
      <c r="A54" s="16" t="s">
        <v>272</v>
      </c>
      <c r="B54" s="16" t="s">
        <v>273</v>
      </c>
      <c r="C54" s="16" t="s">
        <v>182</v>
      </c>
      <c r="D54" s="16" t="s">
        <v>168</v>
      </c>
      <c r="E54" s="16" t="s">
        <v>249</v>
      </c>
      <c r="F54" s="16" t="s">
        <v>140</v>
      </c>
      <c r="G54" s="15">
        <v>46121</v>
      </c>
      <c r="H54" s="15">
        <v>46148</v>
      </c>
      <c r="I54" s="15">
        <v>46152</v>
      </c>
      <c r="J54" s="15" t="s">
        <v>163</v>
      </c>
      <c r="K54" s="16" t="s">
        <v>182</v>
      </c>
      <c r="L54" t="s">
        <v>151</v>
      </c>
      <c r="M54" s="16" t="s">
        <v>152</v>
      </c>
      <c r="N54" s="16" t="s">
        <v>153</v>
      </c>
      <c r="O54" t="s">
        <v>1614</v>
      </c>
      <c r="P54" s="18">
        <v>3428</v>
      </c>
      <c r="Q54" s="21">
        <v>27</v>
      </c>
      <c r="R54" s="21" t="str">
        <f t="shared" si="0"/>
        <v>15-30 days</v>
      </c>
      <c r="S54" s="16" t="s">
        <v>145</v>
      </c>
      <c r="T54" s="16" t="s">
        <v>172</v>
      </c>
      <c r="U54" s="16" t="s">
        <v>164</v>
      </c>
      <c r="V54" t="str">
        <f>IF(U54="","",IFERROR(VLOOKUP(U54,Hotels!A:B,2,FALSE),"Not Found"))</f>
        <v>Marriott</v>
      </c>
      <c r="W54" s="14">
        <v>440.14</v>
      </c>
      <c r="X54" s="14">
        <v>0</v>
      </c>
      <c r="Y54" s="21">
        <v>3</v>
      </c>
      <c r="Z54" s="29">
        <f t="shared" si="1"/>
        <v>233.86</v>
      </c>
      <c r="AA54" s="14">
        <v>701.58</v>
      </c>
      <c r="AB54" s="14">
        <v>143.13</v>
      </c>
      <c r="AC54" s="14">
        <v>1284.8499999999999</v>
      </c>
      <c r="AD54" s="16" t="s">
        <v>147</v>
      </c>
      <c r="AE54" s="16" t="s">
        <v>147</v>
      </c>
      <c r="AF54" s="14">
        <f>SUMIF('Trip Changes'!$B:$B,A54,'Trip Changes'!$E:$E)</f>
        <v>0</v>
      </c>
      <c r="AG54" s="23">
        <f>SUMIF('Trip Cancellations'!$B:$B,A54,'Trip Cancellations'!$E:$E)</f>
        <v>0</v>
      </c>
      <c r="AH54" s="14">
        <f>SUMIF('Trip Cancellations'!$B:$B,A54,'Trip Cancellations'!$F:$F)</f>
        <v>0</v>
      </c>
      <c r="AI54" s="14">
        <f t="shared" si="2"/>
        <v>1284.8499999999999</v>
      </c>
      <c r="AJ54" s="14" t="str">
        <f t="shared" si="3"/>
        <v>No</v>
      </c>
      <c r="AK54" s="14" t="str">
        <f>IF(Y54=0,"N/A",
IF(_xlfn.XLOOKUP(U54,Hotels!A:A,Hotels!C:C)=TRUE,"Yes","No"))</f>
        <v>Yes</v>
      </c>
      <c r="AL54" s="14" t="str">
        <f>IF(N54="Rail","N/A",IF(_xlfn.XLOOKUP(T54,Airlines!A:A,Airlines!C:C)=TRUE,"Yes","No"))</f>
        <v>Yes</v>
      </c>
      <c r="AM54" s="14" t="str">
        <f t="shared" si="4"/>
        <v>Yes</v>
      </c>
      <c r="AN54" s="14" t="str">
        <f t="shared" si="5"/>
        <v>Yes</v>
      </c>
      <c r="AO54" s="14" t="str">
        <f t="shared" si="6"/>
        <v>Yes</v>
      </c>
      <c r="AP54" s="16" t="s">
        <v>148</v>
      </c>
      <c r="AQ54" t="str">
        <f t="shared" si="14"/>
        <v>No</v>
      </c>
      <c r="AR54" s="21">
        <v>3</v>
      </c>
      <c r="AS54" s="5">
        <v>514.20000000000005</v>
      </c>
      <c r="AT54" s="5" t="str">
        <f>IF(T54="","",_xlfn.XLOOKUP(T54,Airlines!A:A,Airlines!B:B,"Not Found"))</f>
        <v>Lufthansa</v>
      </c>
      <c r="AU54" s="5" t="str">
        <f>IF(U54="","",_xlfn.XLOOKUP(U54,Hotels!A:A,Hotels!B:B,"Not found"))</f>
        <v>Marriott</v>
      </c>
      <c r="AV54" t="s">
        <v>148</v>
      </c>
      <c r="AW54" s="16" t="str">
        <f t="shared" si="7"/>
        <v>OK</v>
      </c>
      <c r="AX54" s="16" t="str">
        <f t="shared" si="8"/>
        <v>OK</v>
      </c>
      <c r="AY54" s="16" t="str">
        <f t="shared" si="9"/>
        <v>OK</v>
      </c>
      <c r="AZ54" s="16" t="str">
        <f t="shared" si="10"/>
        <v>OK</v>
      </c>
      <c r="BA54" s="16" t="str">
        <f t="shared" si="15"/>
        <v>OK</v>
      </c>
      <c r="BB54" s="21">
        <f>COUNTIF('Trip Changes'!B:B,A54)</f>
        <v>0</v>
      </c>
      <c r="BC54" s="16" t="str">
        <f>IF(OR(AND(AD54="Yes",COUNTIF('Trip Changes'!B:B,A54)&gt;0),AND(AD54="No",COUNTIF('Trip Changes'!B:B,A54)=0)),"OK","Check")</f>
        <v>OK</v>
      </c>
      <c r="BD54" t="str">
        <f t="shared" si="16"/>
        <v>OK</v>
      </c>
      <c r="BE54" t="str">
        <f t="shared" si="17"/>
        <v>OK</v>
      </c>
      <c r="BF54" t="str">
        <f t="shared" si="18"/>
        <v>OK</v>
      </c>
      <c r="BG54" t="str">
        <f t="shared" si="19"/>
        <v>OK</v>
      </c>
      <c r="BH54" t="str">
        <f t="shared" si="20"/>
        <v>OK</v>
      </c>
      <c r="BI54" t="str">
        <f t="shared" si="11"/>
        <v>OK</v>
      </c>
      <c r="BJ54" t="str">
        <f t="shared" si="12"/>
        <v>OK</v>
      </c>
      <c r="BK54" t="str">
        <f t="shared" si="13"/>
        <v>OK</v>
      </c>
    </row>
    <row r="55" spans="1:63">
      <c r="A55" s="16" t="s">
        <v>274</v>
      </c>
      <c r="B55" s="16" t="s">
        <v>273</v>
      </c>
      <c r="C55" s="16" t="s">
        <v>182</v>
      </c>
      <c r="D55" s="16" t="s">
        <v>168</v>
      </c>
      <c r="E55" s="16" t="s">
        <v>249</v>
      </c>
      <c r="F55" s="16" t="s">
        <v>140</v>
      </c>
      <c r="G55" s="15">
        <v>46140</v>
      </c>
      <c r="H55" s="15">
        <v>46155</v>
      </c>
      <c r="I55" s="15">
        <v>46157</v>
      </c>
      <c r="J55" s="15" t="s">
        <v>163</v>
      </c>
      <c r="K55" s="16" t="s">
        <v>182</v>
      </c>
      <c r="L55" t="s">
        <v>175</v>
      </c>
      <c r="M55" s="16" t="s">
        <v>152</v>
      </c>
      <c r="N55" s="16" t="s">
        <v>153</v>
      </c>
      <c r="O55" t="s">
        <v>1614</v>
      </c>
      <c r="P55" s="18">
        <v>2796</v>
      </c>
      <c r="Q55" s="21">
        <v>15</v>
      </c>
      <c r="R55" s="21" t="str">
        <f t="shared" si="0"/>
        <v>15-30 days</v>
      </c>
      <c r="S55" s="16" t="s">
        <v>207</v>
      </c>
      <c r="T55" s="16" t="s">
        <v>236</v>
      </c>
      <c r="U55" s="16" t="s">
        <v>155</v>
      </c>
      <c r="V55" t="str">
        <f>IF(U55="","",IFERROR(VLOOKUP(U55,Hotels!A:B,2,FALSE),"Not Found"))</f>
        <v>Hilton</v>
      </c>
      <c r="W55" s="14">
        <v>357.43</v>
      </c>
      <c r="X55" s="14">
        <v>0</v>
      </c>
      <c r="Y55" s="21">
        <v>1</v>
      </c>
      <c r="Z55" s="29">
        <f t="shared" si="1"/>
        <v>201.79</v>
      </c>
      <c r="AA55" s="14">
        <v>201.79</v>
      </c>
      <c r="AB55" s="14">
        <v>100.78</v>
      </c>
      <c r="AC55" s="14">
        <v>660</v>
      </c>
      <c r="AD55" s="16" t="s">
        <v>147</v>
      </c>
      <c r="AE55" s="16" t="s">
        <v>147</v>
      </c>
      <c r="AF55" s="14">
        <f>SUMIF('Trip Changes'!$B:$B,A55,'Trip Changes'!$E:$E)</f>
        <v>0</v>
      </c>
      <c r="AG55" s="23">
        <f>SUMIF('Trip Cancellations'!$B:$B,A55,'Trip Cancellations'!$E:$E)</f>
        <v>0</v>
      </c>
      <c r="AH55" s="14">
        <f>SUMIF('Trip Cancellations'!$B:$B,A55,'Trip Cancellations'!$F:$F)</f>
        <v>0</v>
      </c>
      <c r="AI55" s="14">
        <f t="shared" si="2"/>
        <v>660</v>
      </c>
      <c r="AJ55" s="14" t="str">
        <f t="shared" si="3"/>
        <v>Yes</v>
      </c>
      <c r="AK55" s="14" t="str">
        <f>IF(Y55=0,"N/A",
IF(_xlfn.XLOOKUP(U55,Hotels!A:A,Hotels!C:C)=TRUE,"Yes","No"))</f>
        <v>Yes</v>
      </c>
      <c r="AL55" s="14" t="str">
        <f>IF(N55="Rail","N/A",IF(_xlfn.XLOOKUP(T55,Airlines!A:A,Airlines!C:C)=TRUE,"Yes","No"))</f>
        <v>Yes</v>
      </c>
      <c r="AM55" s="14" t="str">
        <f t="shared" si="4"/>
        <v>Yes</v>
      </c>
      <c r="AN55" s="14" t="str">
        <f t="shared" si="5"/>
        <v>No</v>
      </c>
      <c r="AO55" s="14" t="str">
        <f t="shared" si="6"/>
        <v>Yes</v>
      </c>
      <c r="AP55" s="16" t="s">
        <v>148</v>
      </c>
      <c r="AQ55" t="str">
        <f t="shared" si="14"/>
        <v>No</v>
      </c>
      <c r="AR55" s="21">
        <v>4</v>
      </c>
      <c r="AS55" s="5">
        <v>419.4</v>
      </c>
      <c r="AT55" s="5" t="str">
        <f>IF(T55="","",_xlfn.XLOOKUP(T55,Airlines!A:A,Airlines!B:B,"Not Found"))</f>
        <v>KLM</v>
      </c>
      <c r="AU55" s="5" t="str">
        <f>IF(U55="","",_xlfn.XLOOKUP(U55,Hotels!A:A,Hotels!B:B,"Not found"))</f>
        <v>Hilton</v>
      </c>
      <c r="AV55" t="s">
        <v>147</v>
      </c>
      <c r="AW55" s="16" t="str">
        <f t="shared" si="7"/>
        <v>OK</v>
      </c>
      <c r="AX55" s="16" t="str">
        <f t="shared" si="8"/>
        <v>OK</v>
      </c>
      <c r="AY55" s="16" t="str">
        <f t="shared" si="9"/>
        <v>OK</v>
      </c>
      <c r="AZ55" s="16" t="str">
        <f t="shared" si="10"/>
        <v>OK</v>
      </c>
      <c r="BA55" s="16" t="str">
        <f t="shared" si="15"/>
        <v>OK</v>
      </c>
      <c r="BB55" s="21">
        <f>COUNTIF('Trip Changes'!B:B,A55)</f>
        <v>0</v>
      </c>
      <c r="BC55" s="16" t="str">
        <f>IF(OR(AND(AD55="Yes",COUNTIF('Trip Changes'!B:B,A55)&gt;0),AND(AD55="No",COUNTIF('Trip Changes'!B:B,A55)=0)),"OK","Check")</f>
        <v>OK</v>
      </c>
      <c r="BD55" t="str">
        <f t="shared" si="16"/>
        <v>OK</v>
      </c>
      <c r="BE55" t="str">
        <f t="shared" si="17"/>
        <v>OK</v>
      </c>
      <c r="BF55" t="str">
        <f t="shared" si="18"/>
        <v>OK</v>
      </c>
      <c r="BG55" t="str">
        <f t="shared" si="19"/>
        <v>OK</v>
      </c>
      <c r="BH55" t="str">
        <f t="shared" si="20"/>
        <v>OK</v>
      </c>
      <c r="BI55" t="str">
        <f t="shared" si="11"/>
        <v>OK</v>
      </c>
      <c r="BJ55" t="str">
        <f t="shared" si="12"/>
        <v>OK</v>
      </c>
      <c r="BK55" t="str">
        <f t="shared" si="13"/>
        <v>OK</v>
      </c>
    </row>
    <row r="56" spans="1:63">
      <c r="A56" s="16" t="s">
        <v>275</v>
      </c>
      <c r="B56" s="16" t="s">
        <v>273</v>
      </c>
      <c r="C56" s="16" t="s">
        <v>182</v>
      </c>
      <c r="D56" s="16" t="s">
        <v>168</v>
      </c>
      <c r="E56" s="16" t="s">
        <v>249</v>
      </c>
      <c r="F56" s="16" t="s">
        <v>178</v>
      </c>
      <c r="G56" s="15">
        <v>46193</v>
      </c>
      <c r="H56" s="15">
        <v>46210</v>
      </c>
      <c r="I56" s="15">
        <v>46214</v>
      </c>
      <c r="J56" s="15" t="s">
        <v>150</v>
      </c>
      <c r="K56" s="16" t="s">
        <v>182</v>
      </c>
      <c r="L56" t="s">
        <v>199</v>
      </c>
      <c r="M56" s="16" t="s">
        <v>152</v>
      </c>
      <c r="N56" s="16" t="s">
        <v>153</v>
      </c>
      <c r="O56" t="s">
        <v>1614</v>
      </c>
      <c r="P56" s="18">
        <v>2856</v>
      </c>
      <c r="Q56" s="21">
        <v>17</v>
      </c>
      <c r="R56" s="21" t="str">
        <f t="shared" si="0"/>
        <v>15-30 days</v>
      </c>
      <c r="S56" s="16" t="s">
        <v>207</v>
      </c>
      <c r="T56" s="16" t="s">
        <v>154</v>
      </c>
      <c r="U56" s="16" t="s">
        <v>187</v>
      </c>
      <c r="V56" t="str">
        <f>IF(U56="","",IFERROR(VLOOKUP(U56,Hotels!A:B,2,FALSE),"Not Found"))</f>
        <v>IHG Hotels &amp; Resorts</v>
      </c>
      <c r="W56" s="14">
        <v>184.84</v>
      </c>
      <c r="X56" s="14">
        <v>0</v>
      </c>
      <c r="Y56" s="21">
        <v>3</v>
      </c>
      <c r="Z56" s="29">
        <f t="shared" si="1"/>
        <v>224.05333333333331</v>
      </c>
      <c r="AA56" s="14">
        <v>672.16</v>
      </c>
      <c r="AB56" s="14">
        <v>84.04</v>
      </c>
      <c r="AC56" s="14">
        <v>941.04</v>
      </c>
      <c r="AD56" s="16" t="s">
        <v>147</v>
      </c>
      <c r="AE56" s="16" t="s">
        <v>147</v>
      </c>
      <c r="AF56" s="14">
        <f>SUMIF('Trip Changes'!$B:$B,A56,'Trip Changes'!$E:$E)</f>
        <v>0</v>
      </c>
      <c r="AG56" s="23">
        <f>SUMIF('Trip Cancellations'!$B:$B,A56,'Trip Cancellations'!$E:$E)</f>
        <v>0</v>
      </c>
      <c r="AH56" s="14">
        <f>SUMIF('Trip Cancellations'!$B:$B,A56,'Trip Cancellations'!$F:$F)</f>
        <v>0</v>
      </c>
      <c r="AI56" s="14">
        <f t="shared" si="2"/>
        <v>941.04</v>
      </c>
      <c r="AJ56" s="14" t="str">
        <f t="shared" si="3"/>
        <v>No</v>
      </c>
      <c r="AK56" s="14" t="str">
        <f>IF(Y56=0,"N/A",
IF(_xlfn.XLOOKUP(U56,Hotels!A:A,Hotels!C:C)=TRUE,"Yes","No"))</f>
        <v>Yes</v>
      </c>
      <c r="AL56" s="14" t="str">
        <f>IF(N56="Rail","N/A",IF(_xlfn.XLOOKUP(T56,Airlines!A:A,Airlines!C:C)=TRUE,"Yes","No"))</f>
        <v>Yes</v>
      </c>
      <c r="AM56" s="14" t="str">
        <f t="shared" si="4"/>
        <v>Yes</v>
      </c>
      <c r="AN56" s="14" t="str">
        <f t="shared" si="5"/>
        <v>No</v>
      </c>
      <c r="AO56" s="14" t="str">
        <f t="shared" si="6"/>
        <v>Yes</v>
      </c>
      <c r="AP56" s="16" t="s">
        <v>148</v>
      </c>
      <c r="AQ56" t="str">
        <f t="shared" si="14"/>
        <v>No</v>
      </c>
      <c r="AR56" s="21">
        <v>3</v>
      </c>
      <c r="AS56" s="5">
        <v>428.4</v>
      </c>
      <c r="AT56" s="5" t="str">
        <f>IF(T56="","",_xlfn.XLOOKUP(T56,Airlines!A:A,Airlines!B:B,"Not Found"))</f>
        <v>British Airways</v>
      </c>
      <c r="AU56" s="5" t="str">
        <f>IF(U56="","",_xlfn.XLOOKUP(U56,Hotels!A:A,Hotels!B:B,"Not found"))</f>
        <v>IHG Hotels &amp; Resorts</v>
      </c>
      <c r="AV56" t="s">
        <v>147</v>
      </c>
      <c r="AW56" s="16" t="str">
        <f t="shared" si="7"/>
        <v>OK</v>
      </c>
      <c r="AX56" s="16" t="str">
        <f t="shared" si="8"/>
        <v>OK</v>
      </c>
      <c r="AY56" s="16" t="str">
        <f t="shared" si="9"/>
        <v>OK</v>
      </c>
      <c r="AZ56" s="16" t="str">
        <f t="shared" si="10"/>
        <v>OK</v>
      </c>
      <c r="BA56" s="16" t="str">
        <f t="shared" si="15"/>
        <v>OK</v>
      </c>
      <c r="BB56" s="21">
        <f>COUNTIF('Trip Changes'!B:B,A56)</f>
        <v>0</v>
      </c>
      <c r="BC56" s="16" t="str">
        <f>IF(OR(AND(AD56="Yes",COUNTIF('Trip Changes'!B:B,A56)&gt;0),AND(AD56="No",COUNTIF('Trip Changes'!B:B,A56)=0)),"OK","Check")</f>
        <v>OK</v>
      </c>
      <c r="BD56" t="str">
        <f t="shared" si="16"/>
        <v>OK</v>
      </c>
      <c r="BE56" t="str">
        <f t="shared" si="17"/>
        <v>OK</v>
      </c>
      <c r="BF56" t="str">
        <f t="shared" si="18"/>
        <v>OK</v>
      </c>
      <c r="BG56" t="str">
        <f t="shared" si="19"/>
        <v>OK</v>
      </c>
      <c r="BH56" t="str">
        <f t="shared" si="20"/>
        <v>OK</v>
      </c>
      <c r="BI56" t="str">
        <f t="shared" si="11"/>
        <v>OK</v>
      </c>
      <c r="BJ56" t="str">
        <f t="shared" si="12"/>
        <v>OK</v>
      </c>
      <c r="BK56" t="str">
        <f t="shared" si="13"/>
        <v>OK</v>
      </c>
    </row>
    <row r="57" spans="1:63">
      <c r="A57" s="16" t="s">
        <v>276</v>
      </c>
      <c r="B57" s="16" t="s">
        <v>273</v>
      </c>
      <c r="C57" s="16" t="s">
        <v>182</v>
      </c>
      <c r="D57" s="16" t="s">
        <v>168</v>
      </c>
      <c r="E57" s="16" t="s">
        <v>249</v>
      </c>
      <c r="F57" s="16" t="s">
        <v>157</v>
      </c>
      <c r="G57" s="15">
        <v>46165</v>
      </c>
      <c r="H57" s="15">
        <v>46170</v>
      </c>
      <c r="I57" s="15">
        <v>46172</v>
      </c>
      <c r="J57" s="15" t="s">
        <v>163</v>
      </c>
      <c r="K57" s="16" t="s">
        <v>182</v>
      </c>
      <c r="L57" t="s">
        <v>199</v>
      </c>
      <c r="M57" s="16" t="s">
        <v>152</v>
      </c>
      <c r="N57" s="16" t="s">
        <v>153</v>
      </c>
      <c r="O57" t="s">
        <v>1614</v>
      </c>
      <c r="P57" s="18">
        <v>2860</v>
      </c>
      <c r="Q57" s="21">
        <v>5</v>
      </c>
      <c r="R57" s="21" t="str">
        <f t="shared" si="0"/>
        <v>4-7 days</v>
      </c>
      <c r="S57" s="16" t="s">
        <v>145</v>
      </c>
      <c r="T57" s="16" t="s">
        <v>200</v>
      </c>
      <c r="U57" s="16" t="s">
        <v>190</v>
      </c>
      <c r="V57" t="str">
        <f>IF(U57="","",IFERROR(VLOOKUP(U57,Hotels!A:B,2,FALSE),"Not Found"))</f>
        <v>Radisson Hotel Group</v>
      </c>
      <c r="W57" s="14">
        <v>267.49</v>
      </c>
      <c r="X57" s="14">
        <v>0</v>
      </c>
      <c r="Y57" s="21">
        <v>1</v>
      </c>
      <c r="Z57" s="29">
        <f t="shared" si="1"/>
        <v>210.25</v>
      </c>
      <c r="AA57" s="14">
        <v>210.25</v>
      </c>
      <c r="AB57" s="14">
        <v>105.36</v>
      </c>
      <c r="AC57" s="14">
        <v>583.1</v>
      </c>
      <c r="AD57" s="16" t="s">
        <v>147</v>
      </c>
      <c r="AE57" s="16" t="s">
        <v>147</v>
      </c>
      <c r="AF57" s="14">
        <f>SUMIF('Trip Changes'!$B:$B,A57,'Trip Changes'!$E:$E)</f>
        <v>0</v>
      </c>
      <c r="AG57" s="23">
        <f>SUMIF('Trip Cancellations'!$B:$B,A57,'Trip Cancellations'!$E:$E)</f>
        <v>0</v>
      </c>
      <c r="AH57" s="14">
        <f>SUMIF('Trip Cancellations'!$B:$B,A57,'Trip Cancellations'!$F:$F)</f>
        <v>0</v>
      </c>
      <c r="AI57" s="14">
        <f t="shared" si="2"/>
        <v>583.1</v>
      </c>
      <c r="AJ57" s="14" t="str">
        <f t="shared" si="3"/>
        <v>No</v>
      </c>
      <c r="AK57" s="14" t="str">
        <f>IF(Y57=0,"N/A",
IF(_xlfn.XLOOKUP(U57,Hotels!A:A,Hotels!C:C)=TRUE,"Yes","No"))</f>
        <v>No</v>
      </c>
      <c r="AL57" s="14" t="str">
        <f>IF(N57="Rail","N/A",IF(_xlfn.XLOOKUP(T57,Airlines!A:A,Airlines!C:C)=TRUE,"Yes","No"))</f>
        <v>Yes</v>
      </c>
      <c r="AM57" s="14" t="str">
        <f t="shared" si="4"/>
        <v>Yes</v>
      </c>
      <c r="AN57" s="14" t="str">
        <f t="shared" si="5"/>
        <v>Yes</v>
      </c>
      <c r="AO57" s="14" t="str">
        <f t="shared" si="6"/>
        <v>No</v>
      </c>
      <c r="AP57" s="16" t="s">
        <v>148</v>
      </c>
      <c r="AQ57" t="str">
        <f t="shared" si="14"/>
        <v>No</v>
      </c>
      <c r="AR57" s="21">
        <v>4</v>
      </c>
      <c r="AS57" s="5">
        <v>429</v>
      </c>
      <c r="AT57" s="5" t="str">
        <f>IF(T57="","",_xlfn.XLOOKUP(T57,Airlines!A:A,Airlines!B:B,"Not Found"))</f>
        <v>Aer Lingus</v>
      </c>
      <c r="AU57" s="5" t="str">
        <f>IF(U57="","",_xlfn.XLOOKUP(U57,Hotels!A:A,Hotels!B:B,"Not found"))</f>
        <v>Radisson Hotel Group</v>
      </c>
      <c r="AV57" t="s">
        <v>148</v>
      </c>
      <c r="AW57" s="16" t="str">
        <f t="shared" si="7"/>
        <v>OK</v>
      </c>
      <c r="AX57" s="16" t="str">
        <f t="shared" si="8"/>
        <v>OK</v>
      </c>
      <c r="AY57" s="16" t="str">
        <f t="shared" si="9"/>
        <v>OK</v>
      </c>
      <c r="AZ57" s="16" t="str">
        <f t="shared" si="10"/>
        <v>OK</v>
      </c>
      <c r="BA57" s="16" t="str">
        <f t="shared" si="15"/>
        <v>OK</v>
      </c>
      <c r="BB57" s="21">
        <f>COUNTIF('Trip Changes'!B:B,A57)</f>
        <v>0</v>
      </c>
      <c r="BC57" s="16" t="str">
        <f>IF(OR(AND(AD57="Yes",COUNTIF('Trip Changes'!B:B,A57)&gt;0),AND(AD57="No",COUNTIF('Trip Changes'!B:B,A57)=0)),"OK","Check")</f>
        <v>OK</v>
      </c>
      <c r="BD57" t="str">
        <f t="shared" si="16"/>
        <v>OK</v>
      </c>
      <c r="BE57" t="str">
        <f t="shared" si="17"/>
        <v>OK</v>
      </c>
      <c r="BF57" t="str">
        <f t="shared" si="18"/>
        <v>OK</v>
      </c>
      <c r="BG57" t="str">
        <f t="shared" si="19"/>
        <v>OK</v>
      </c>
      <c r="BH57" t="str">
        <f t="shared" si="20"/>
        <v>OK</v>
      </c>
      <c r="BI57" t="str">
        <f t="shared" si="11"/>
        <v>OK</v>
      </c>
      <c r="BJ57" t="str">
        <f t="shared" si="12"/>
        <v>OK</v>
      </c>
      <c r="BK57" t="str">
        <f t="shared" si="13"/>
        <v>OK</v>
      </c>
    </row>
    <row r="58" spans="1:63">
      <c r="A58" s="16" t="s">
        <v>277</v>
      </c>
      <c r="B58" s="16" t="s">
        <v>273</v>
      </c>
      <c r="C58" s="16" t="s">
        <v>182</v>
      </c>
      <c r="D58" s="16" t="s">
        <v>168</v>
      </c>
      <c r="E58" s="16" t="s">
        <v>249</v>
      </c>
      <c r="F58" s="16" t="s">
        <v>157</v>
      </c>
      <c r="G58" s="15">
        <v>46129</v>
      </c>
      <c r="H58" s="15">
        <v>46150</v>
      </c>
      <c r="I58" s="15">
        <v>46153</v>
      </c>
      <c r="J58" s="15" t="s">
        <v>163</v>
      </c>
      <c r="K58" s="16" t="s">
        <v>182</v>
      </c>
      <c r="L58" t="s">
        <v>197</v>
      </c>
      <c r="M58" s="16" t="s">
        <v>152</v>
      </c>
      <c r="N58" s="16" t="s">
        <v>153</v>
      </c>
      <c r="O58" t="s">
        <v>1614</v>
      </c>
      <c r="P58" s="18">
        <v>10788</v>
      </c>
      <c r="Q58" s="21">
        <v>21</v>
      </c>
      <c r="R58" s="21" t="str">
        <f t="shared" si="0"/>
        <v>15-30 days</v>
      </c>
      <c r="S58" s="16" t="s">
        <v>216</v>
      </c>
      <c r="T58" s="16" t="s">
        <v>278</v>
      </c>
      <c r="U58" s="16" t="s">
        <v>155</v>
      </c>
      <c r="V58" t="str">
        <f>IF(U58="","",IFERROR(VLOOKUP(U58,Hotels!A:B,2,FALSE),"Not Found"))</f>
        <v>Hilton</v>
      </c>
      <c r="W58" s="14">
        <v>994.78</v>
      </c>
      <c r="X58" s="14">
        <v>0</v>
      </c>
      <c r="Y58" s="21">
        <v>2</v>
      </c>
      <c r="Z58" s="29">
        <f t="shared" si="1"/>
        <v>222.99</v>
      </c>
      <c r="AA58" s="14">
        <v>445.98</v>
      </c>
      <c r="AB58" s="14">
        <v>48.51</v>
      </c>
      <c r="AC58" s="14">
        <v>1489.27</v>
      </c>
      <c r="AD58" s="16" t="s">
        <v>148</v>
      </c>
      <c r="AE58" s="16" t="s">
        <v>148</v>
      </c>
      <c r="AF58" s="14">
        <f>SUMIF('Trip Changes'!$B:$B,A58,'Trip Changes'!$E:$E)</f>
        <v>90.11</v>
      </c>
      <c r="AG58" s="23">
        <f>SUMIF('Trip Cancellations'!$B:$B,A58,'Trip Cancellations'!$E:$E)</f>
        <v>120.25</v>
      </c>
      <c r="AH58" s="14">
        <f>SUMIF('Trip Cancellations'!$B:$B,A58,'Trip Cancellations'!$F:$F)</f>
        <v>1080.57</v>
      </c>
      <c r="AI58" s="14">
        <f t="shared" si="2"/>
        <v>619.05999999999995</v>
      </c>
      <c r="AJ58" s="14" t="str">
        <f t="shared" si="3"/>
        <v>No</v>
      </c>
      <c r="AK58" s="14" t="str">
        <f>IF(Y58=0,"N/A",
IF(_xlfn.XLOOKUP(U58,Hotels!A:A,Hotels!C:C)=TRUE,"Yes","No"))</f>
        <v>Yes</v>
      </c>
      <c r="AL58" s="14" t="str">
        <f>IF(N58="Rail","N/A",IF(_xlfn.XLOOKUP(T58,Airlines!A:A,Airlines!C:C)=TRUE,"Yes","No"))</f>
        <v>No</v>
      </c>
      <c r="AM58" s="14" t="str">
        <f t="shared" si="4"/>
        <v>Yes</v>
      </c>
      <c r="AN58" s="14" t="str">
        <f t="shared" si="5"/>
        <v>No</v>
      </c>
      <c r="AO58" s="14" t="str">
        <f t="shared" si="6"/>
        <v>No</v>
      </c>
      <c r="AP58" s="16" t="s">
        <v>147</v>
      </c>
      <c r="AQ58" t="str">
        <f t="shared" si="14"/>
        <v>No</v>
      </c>
      <c r="AR58" s="21">
        <v>2</v>
      </c>
      <c r="AS58" s="5">
        <v>1618.2</v>
      </c>
      <c r="AT58" s="5" t="str">
        <f>IF(T58="","",_xlfn.XLOOKUP(T58,Airlines!A:A,Airlines!B:B,"Not Found"))</f>
        <v>United Airlines</v>
      </c>
      <c r="AU58" s="5" t="str">
        <f>IF(U58="","",_xlfn.XLOOKUP(U58,Hotels!A:A,Hotels!B:B,"Not found"))</f>
        <v>Hilton</v>
      </c>
      <c r="AV58" t="s">
        <v>147</v>
      </c>
      <c r="AW58" s="16" t="str">
        <f t="shared" si="7"/>
        <v>OK</v>
      </c>
      <c r="AX58" s="16" t="str">
        <f t="shared" si="8"/>
        <v>OK</v>
      </c>
      <c r="AY58" s="16" t="str">
        <f t="shared" si="9"/>
        <v>OK</v>
      </c>
      <c r="AZ58" s="16" t="str">
        <f t="shared" si="10"/>
        <v>OK</v>
      </c>
      <c r="BA58" s="16" t="str">
        <f t="shared" si="15"/>
        <v>OK</v>
      </c>
      <c r="BB58" s="21">
        <f>COUNTIF('Trip Changes'!B:B,A58)</f>
        <v>1</v>
      </c>
      <c r="BC58" s="16" t="str">
        <f>IF(OR(AND(AD58="Yes",COUNTIF('Trip Changes'!B:B,A58)&gt;0),AND(AD58="No",COUNTIF('Trip Changes'!B:B,A58)=0)),"OK","Check")</f>
        <v>OK</v>
      </c>
      <c r="BD58" t="str">
        <f t="shared" si="16"/>
        <v>OK</v>
      </c>
      <c r="BE58" t="str">
        <f t="shared" si="17"/>
        <v>OK</v>
      </c>
      <c r="BF58" t="str">
        <f t="shared" si="18"/>
        <v>OK</v>
      </c>
      <c r="BG58" t="str">
        <f t="shared" si="19"/>
        <v>OK</v>
      </c>
      <c r="BH58" t="str">
        <f t="shared" si="20"/>
        <v>OK</v>
      </c>
      <c r="BI58" t="str">
        <f t="shared" si="11"/>
        <v>OK</v>
      </c>
      <c r="BJ58" t="str">
        <f t="shared" si="12"/>
        <v>OK</v>
      </c>
      <c r="BK58" t="str">
        <f t="shared" si="13"/>
        <v>OK</v>
      </c>
    </row>
    <row r="59" spans="1:63">
      <c r="A59" s="16" t="s">
        <v>279</v>
      </c>
      <c r="B59" s="16" t="s">
        <v>273</v>
      </c>
      <c r="C59" s="16" t="s">
        <v>182</v>
      </c>
      <c r="D59" s="16" t="s">
        <v>168</v>
      </c>
      <c r="E59" s="16" t="s">
        <v>249</v>
      </c>
      <c r="F59" s="16" t="s">
        <v>207</v>
      </c>
      <c r="G59" s="15">
        <v>46160</v>
      </c>
      <c r="H59" s="15">
        <v>46174</v>
      </c>
      <c r="I59" s="15">
        <v>46176</v>
      </c>
      <c r="J59" s="15" t="s">
        <v>141</v>
      </c>
      <c r="K59" s="16" t="s">
        <v>182</v>
      </c>
      <c r="L59" t="s">
        <v>158</v>
      </c>
      <c r="M59" s="16" t="s">
        <v>152</v>
      </c>
      <c r="N59" s="16" t="s">
        <v>153</v>
      </c>
      <c r="O59" t="s">
        <v>1614</v>
      </c>
      <c r="P59" s="18">
        <v>2762</v>
      </c>
      <c r="Q59" s="21">
        <v>14</v>
      </c>
      <c r="R59" s="21" t="str">
        <f t="shared" si="0"/>
        <v>8-14 days</v>
      </c>
      <c r="S59" s="16" t="s">
        <v>159</v>
      </c>
      <c r="T59" s="16" t="s">
        <v>160</v>
      </c>
      <c r="U59" s="16" t="s">
        <v>187</v>
      </c>
      <c r="V59" t="str">
        <f>IF(U59="","",IFERROR(VLOOKUP(U59,Hotels!A:B,2,FALSE),"Not Found"))</f>
        <v>IHG Hotels &amp; Resorts</v>
      </c>
      <c r="W59" s="14">
        <v>557.42999999999995</v>
      </c>
      <c r="X59" s="14">
        <v>0</v>
      </c>
      <c r="Y59" s="21">
        <v>1</v>
      </c>
      <c r="Z59" s="29">
        <f t="shared" si="1"/>
        <v>188.37</v>
      </c>
      <c r="AA59" s="14">
        <v>188.37</v>
      </c>
      <c r="AB59" s="14">
        <v>75.209999999999994</v>
      </c>
      <c r="AC59" s="14">
        <v>821.01</v>
      </c>
      <c r="AD59" s="16" t="s">
        <v>147</v>
      </c>
      <c r="AE59" s="16" t="s">
        <v>147</v>
      </c>
      <c r="AF59" s="14">
        <f>SUMIF('Trip Changes'!$B:$B,A59,'Trip Changes'!$E:$E)</f>
        <v>0</v>
      </c>
      <c r="AG59" s="23">
        <f>SUMIF('Trip Cancellations'!$B:$B,A59,'Trip Cancellations'!$E:$E)</f>
        <v>0</v>
      </c>
      <c r="AH59" s="14">
        <f>SUMIF('Trip Cancellations'!$B:$B,A59,'Trip Cancellations'!$F:$F)</f>
        <v>0</v>
      </c>
      <c r="AI59" s="14">
        <f t="shared" si="2"/>
        <v>821.01</v>
      </c>
      <c r="AJ59" s="14" t="str">
        <f t="shared" si="3"/>
        <v>No</v>
      </c>
      <c r="AK59" s="14" t="str">
        <f>IF(Y59=0,"N/A",
IF(_xlfn.XLOOKUP(U59,Hotels!A:A,Hotels!C:C)=TRUE,"Yes","No"))</f>
        <v>Yes</v>
      </c>
      <c r="AL59" s="14" t="str">
        <f>IF(N59="Rail","N/A",IF(_xlfn.XLOOKUP(T59,Airlines!A:A,Airlines!C:C)=TRUE,"Yes","No"))</f>
        <v>Yes</v>
      </c>
      <c r="AM59" s="14" t="str">
        <f t="shared" si="4"/>
        <v>Yes</v>
      </c>
      <c r="AN59" s="14" t="str">
        <f t="shared" si="5"/>
        <v>Yes</v>
      </c>
      <c r="AO59" s="14" t="str">
        <f t="shared" si="6"/>
        <v>Yes</v>
      </c>
      <c r="AP59" s="16" t="s">
        <v>148</v>
      </c>
      <c r="AQ59" t="str">
        <f t="shared" si="14"/>
        <v>No</v>
      </c>
      <c r="AR59" s="21">
        <v>5</v>
      </c>
      <c r="AS59" s="5">
        <v>414.3</v>
      </c>
      <c r="AT59" s="5" t="str">
        <f>IF(T59="","",_xlfn.XLOOKUP(T59,Airlines!A:A,Airlines!B:B,"Not Found"))</f>
        <v>Air France</v>
      </c>
      <c r="AU59" s="5" t="str">
        <f>IF(U59="","",_xlfn.XLOOKUP(U59,Hotels!A:A,Hotels!B:B,"Not found"))</f>
        <v>IHG Hotels &amp; Resorts</v>
      </c>
      <c r="AV59" t="s">
        <v>148</v>
      </c>
      <c r="AW59" s="16" t="str">
        <f t="shared" si="7"/>
        <v>OK</v>
      </c>
      <c r="AX59" s="16" t="str">
        <f t="shared" si="8"/>
        <v>OK</v>
      </c>
      <c r="AY59" s="16" t="str">
        <f t="shared" si="9"/>
        <v>OK</v>
      </c>
      <c r="AZ59" s="16" t="str">
        <f t="shared" si="10"/>
        <v>OK</v>
      </c>
      <c r="BA59" s="16" t="str">
        <f t="shared" si="15"/>
        <v>OK</v>
      </c>
      <c r="BB59" s="21">
        <f>COUNTIF('Trip Changes'!B:B,A59)</f>
        <v>0</v>
      </c>
      <c r="BC59" s="16" t="str">
        <f>IF(OR(AND(AD59="Yes",COUNTIF('Trip Changes'!B:B,A59)&gt;0),AND(AD59="No",COUNTIF('Trip Changes'!B:B,A59)=0)),"OK","Check")</f>
        <v>OK</v>
      </c>
      <c r="BD59" t="str">
        <f t="shared" si="16"/>
        <v>OK</v>
      </c>
      <c r="BE59" t="str">
        <f t="shared" si="17"/>
        <v>OK</v>
      </c>
      <c r="BF59" t="str">
        <f t="shared" si="18"/>
        <v>OK</v>
      </c>
      <c r="BG59" t="str">
        <f t="shared" si="19"/>
        <v>OK</v>
      </c>
      <c r="BH59" t="str">
        <f t="shared" si="20"/>
        <v>OK</v>
      </c>
      <c r="BI59" t="str">
        <f t="shared" si="11"/>
        <v>OK</v>
      </c>
      <c r="BJ59" t="str">
        <f t="shared" si="12"/>
        <v>OK</v>
      </c>
      <c r="BK59" t="str">
        <f t="shared" si="13"/>
        <v>OK</v>
      </c>
    </row>
    <row r="60" spans="1:63">
      <c r="A60" s="16" t="s">
        <v>280</v>
      </c>
      <c r="B60" s="16" t="s">
        <v>281</v>
      </c>
      <c r="C60" s="16" t="s">
        <v>282</v>
      </c>
      <c r="D60" s="16" t="s">
        <v>230</v>
      </c>
      <c r="E60" s="16" t="s">
        <v>139</v>
      </c>
      <c r="F60" s="16" t="s">
        <v>181</v>
      </c>
      <c r="G60" s="15">
        <v>46174</v>
      </c>
      <c r="H60" s="15">
        <v>46175</v>
      </c>
      <c r="I60" s="15">
        <v>46180</v>
      </c>
      <c r="J60" s="15" t="s">
        <v>141</v>
      </c>
      <c r="K60" s="16" t="s">
        <v>282</v>
      </c>
      <c r="L60" t="s">
        <v>283</v>
      </c>
      <c r="M60" s="16" t="s">
        <v>152</v>
      </c>
      <c r="N60" s="16" t="s">
        <v>153</v>
      </c>
      <c r="O60" t="s">
        <v>1631</v>
      </c>
      <c r="P60" s="18">
        <v>12828</v>
      </c>
      <c r="Q60" s="21">
        <v>1</v>
      </c>
      <c r="R60" s="21" t="str">
        <f t="shared" si="0"/>
        <v>0-3 days</v>
      </c>
      <c r="S60" s="16" t="s">
        <v>207</v>
      </c>
      <c r="T60" s="16" t="s">
        <v>154</v>
      </c>
      <c r="U60" s="16" t="s">
        <v>173</v>
      </c>
      <c r="V60" t="str">
        <f>IF(U60="","",IFERROR(VLOOKUP(U60,Hotels!A:B,2,FALSE),"Not Found"))</f>
        <v>Accor</v>
      </c>
      <c r="W60" s="14">
        <v>942.24</v>
      </c>
      <c r="X60" s="14">
        <v>0</v>
      </c>
      <c r="Y60" s="21">
        <v>4</v>
      </c>
      <c r="Z60" s="29">
        <f t="shared" si="1"/>
        <v>138.86000000000001</v>
      </c>
      <c r="AA60" s="14">
        <v>555.44000000000005</v>
      </c>
      <c r="AB60" s="14">
        <v>103.22</v>
      </c>
      <c r="AC60" s="14">
        <v>1600.9</v>
      </c>
      <c r="AD60" s="16" t="s">
        <v>147</v>
      </c>
      <c r="AE60" s="16" t="s">
        <v>147</v>
      </c>
      <c r="AF60" s="14">
        <f>SUMIF('Trip Changes'!$B:$B,A60,'Trip Changes'!$E:$E)</f>
        <v>0</v>
      </c>
      <c r="AG60" s="23">
        <f>SUMIF('Trip Cancellations'!$B:$B,A60,'Trip Cancellations'!$E:$E)</f>
        <v>0</v>
      </c>
      <c r="AH60" s="14">
        <f>SUMIF('Trip Cancellations'!$B:$B,A60,'Trip Cancellations'!$F:$F)</f>
        <v>0</v>
      </c>
      <c r="AI60" s="14">
        <f t="shared" si="2"/>
        <v>1600.9</v>
      </c>
      <c r="AJ60" s="14" t="str">
        <f t="shared" si="3"/>
        <v>Yes</v>
      </c>
      <c r="AK60" s="14" t="str">
        <f>IF(Y60=0,"N/A",
IF(_xlfn.XLOOKUP(U60,Hotels!A:A,Hotels!C:C)=TRUE,"Yes","No"))</f>
        <v>Yes</v>
      </c>
      <c r="AL60" s="14" t="str">
        <f>IF(N60="Rail","N/A",IF(_xlfn.XLOOKUP(T60,Airlines!A:A,Airlines!C:C)=TRUE,"Yes","No"))</f>
        <v>Yes</v>
      </c>
      <c r="AM60" s="14" t="str">
        <f t="shared" si="4"/>
        <v>No</v>
      </c>
      <c r="AN60" s="14" t="str">
        <f t="shared" si="5"/>
        <v>No</v>
      </c>
      <c r="AO60" s="14" t="str">
        <f t="shared" si="6"/>
        <v>Yes</v>
      </c>
      <c r="AP60" s="16" t="s">
        <v>147</v>
      </c>
      <c r="AQ60" t="str">
        <f t="shared" si="14"/>
        <v>No</v>
      </c>
      <c r="AR60" s="21">
        <v>4</v>
      </c>
      <c r="AS60" s="5">
        <v>1924.2</v>
      </c>
      <c r="AT60" s="5" t="str">
        <f>IF(T60="","",_xlfn.XLOOKUP(T60,Airlines!A:A,Airlines!B:B,"Not Found"))</f>
        <v>British Airways</v>
      </c>
      <c r="AU60" s="5" t="str">
        <f>IF(U60="","",_xlfn.XLOOKUP(U60,Hotels!A:A,Hotels!B:B,"Not found"))</f>
        <v>Accor</v>
      </c>
      <c r="AV60" t="s">
        <v>148</v>
      </c>
      <c r="AW60" s="16" t="str">
        <f t="shared" si="7"/>
        <v>OK</v>
      </c>
      <c r="AX60" s="16" t="str">
        <f t="shared" si="8"/>
        <v>OK</v>
      </c>
      <c r="AY60" s="16" t="str">
        <f t="shared" si="9"/>
        <v>OK</v>
      </c>
      <c r="AZ60" s="16" t="str">
        <f t="shared" si="10"/>
        <v>OK</v>
      </c>
      <c r="BA60" s="16" t="str">
        <f t="shared" si="15"/>
        <v>OK</v>
      </c>
      <c r="BB60" s="21">
        <f>COUNTIF('Trip Changes'!B:B,A60)</f>
        <v>0</v>
      </c>
      <c r="BC60" s="16" t="str">
        <f>IF(OR(AND(AD60="Yes",COUNTIF('Trip Changes'!B:B,A60)&gt;0),AND(AD60="No",COUNTIF('Trip Changes'!B:B,A60)=0)),"OK","Check")</f>
        <v>OK</v>
      </c>
      <c r="BD60" t="str">
        <f t="shared" si="16"/>
        <v>OK</v>
      </c>
      <c r="BE60" t="str">
        <f t="shared" si="17"/>
        <v>OK</v>
      </c>
      <c r="BF60" t="str">
        <f t="shared" si="18"/>
        <v>OK</v>
      </c>
      <c r="BG60" t="str">
        <f t="shared" si="19"/>
        <v>OK</v>
      </c>
      <c r="BH60" t="str">
        <f t="shared" si="20"/>
        <v>OK</v>
      </c>
      <c r="BI60" t="str">
        <f t="shared" si="11"/>
        <v>OK</v>
      </c>
      <c r="BJ60" t="str">
        <f t="shared" si="12"/>
        <v>OK</v>
      </c>
      <c r="BK60" t="str">
        <f t="shared" si="13"/>
        <v>OK</v>
      </c>
    </row>
    <row r="61" spans="1:63">
      <c r="A61" s="16" t="s">
        <v>284</v>
      </c>
      <c r="B61" s="16" t="s">
        <v>281</v>
      </c>
      <c r="C61" s="16" t="s">
        <v>282</v>
      </c>
      <c r="D61" s="16" t="s">
        <v>230</v>
      </c>
      <c r="E61" s="16" t="s">
        <v>139</v>
      </c>
      <c r="F61" s="16" t="s">
        <v>189</v>
      </c>
      <c r="G61" s="15">
        <v>46173</v>
      </c>
      <c r="H61" s="15">
        <v>46178</v>
      </c>
      <c r="I61" s="15">
        <v>46182</v>
      </c>
      <c r="J61" s="15" t="s">
        <v>141</v>
      </c>
      <c r="K61" s="16" t="s">
        <v>282</v>
      </c>
      <c r="L61" t="s">
        <v>151</v>
      </c>
      <c r="M61" s="16" t="s">
        <v>152</v>
      </c>
      <c r="N61" s="16" t="s">
        <v>153</v>
      </c>
      <c r="O61" t="s">
        <v>1614</v>
      </c>
      <c r="P61" s="18">
        <v>2414</v>
      </c>
      <c r="Q61" s="21">
        <v>5</v>
      </c>
      <c r="R61" s="21" t="str">
        <f t="shared" si="0"/>
        <v>4-7 days</v>
      </c>
      <c r="S61" s="16" t="s">
        <v>145</v>
      </c>
      <c r="T61" s="16" t="s">
        <v>154</v>
      </c>
      <c r="U61" s="16" t="s">
        <v>155</v>
      </c>
      <c r="V61" t="str">
        <f>IF(U61="","",IFERROR(VLOOKUP(U61,Hotels!A:B,2,FALSE),"Not Found"))</f>
        <v>Hilton</v>
      </c>
      <c r="W61" s="14">
        <v>599.62</v>
      </c>
      <c r="X61" s="14">
        <v>0</v>
      </c>
      <c r="Y61" s="21">
        <v>3</v>
      </c>
      <c r="Z61" s="29">
        <f t="shared" si="1"/>
        <v>150.60333333333332</v>
      </c>
      <c r="AA61" s="14">
        <v>451.81</v>
      </c>
      <c r="AB61" s="14">
        <v>103.35</v>
      </c>
      <c r="AC61" s="14">
        <v>1154.78</v>
      </c>
      <c r="AD61" s="16" t="s">
        <v>148</v>
      </c>
      <c r="AE61" s="16" t="s">
        <v>147</v>
      </c>
      <c r="AF61" s="14">
        <f>SUMIF('Trip Changes'!$B:$B,A61,'Trip Changes'!$E:$E)</f>
        <v>108.7</v>
      </c>
      <c r="AG61" s="23">
        <f>SUMIF('Trip Cancellations'!$B:$B,A61,'Trip Cancellations'!$E:$E)</f>
        <v>0</v>
      </c>
      <c r="AH61" s="14">
        <f>SUMIF('Trip Cancellations'!$B:$B,A61,'Trip Cancellations'!$F:$F)</f>
        <v>0</v>
      </c>
      <c r="AI61" s="14">
        <f t="shared" si="2"/>
        <v>1263.48</v>
      </c>
      <c r="AJ61" s="14" t="str">
        <f t="shared" si="3"/>
        <v>Yes</v>
      </c>
      <c r="AK61" s="14" t="str">
        <f>IF(Y61=0,"N/A",
IF(_xlfn.XLOOKUP(U61,Hotels!A:A,Hotels!C:C)=TRUE,"Yes","No"))</f>
        <v>Yes</v>
      </c>
      <c r="AL61" s="14" t="str">
        <f>IF(N61="Rail","N/A",IF(_xlfn.XLOOKUP(T61,Airlines!A:A,Airlines!C:C)=TRUE,"Yes","No"))</f>
        <v>Yes</v>
      </c>
      <c r="AM61" s="14" t="str">
        <f t="shared" si="4"/>
        <v>Yes</v>
      </c>
      <c r="AN61" s="14" t="str">
        <f t="shared" si="5"/>
        <v>Yes</v>
      </c>
      <c r="AO61" s="14" t="str">
        <f t="shared" si="6"/>
        <v>Yes</v>
      </c>
      <c r="AP61" s="16" t="s">
        <v>148</v>
      </c>
      <c r="AQ61" t="str">
        <f t="shared" si="14"/>
        <v>Yes</v>
      </c>
      <c r="AR61" s="21">
        <v>4</v>
      </c>
      <c r="AS61" s="5">
        <v>362.1</v>
      </c>
      <c r="AT61" s="5" t="str">
        <f>IF(T61="","",_xlfn.XLOOKUP(T61,Airlines!A:A,Airlines!B:B,"Not Found"))</f>
        <v>British Airways</v>
      </c>
      <c r="AU61" s="5" t="str">
        <f>IF(U61="","",_xlfn.XLOOKUP(U61,Hotels!A:A,Hotels!B:B,"Not found"))</f>
        <v>Hilton</v>
      </c>
      <c r="AV61" t="s">
        <v>148</v>
      </c>
      <c r="AW61" s="16" t="str">
        <f t="shared" si="7"/>
        <v>OK</v>
      </c>
      <c r="AX61" s="16" t="str">
        <f t="shared" si="8"/>
        <v>OK</v>
      </c>
      <c r="AY61" s="16" t="str">
        <f t="shared" si="9"/>
        <v>OK</v>
      </c>
      <c r="AZ61" s="16" t="str">
        <f t="shared" si="10"/>
        <v>OK</v>
      </c>
      <c r="BA61" s="16" t="str">
        <f t="shared" si="15"/>
        <v>OK</v>
      </c>
      <c r="BB61" s="21">
        <f>COUNTIF('Trip Changes'!B:B,A61)</f>
        <v>1</v>
      </c>
      <c r="BC61" s="16" t="str">
        <f>IF(OR(AND(AD61="Yes",COUNTIF('Trip Changes'!B:B,A61)&gt;0),AND(AD61="No",COUNTIF('Trip Changes'!B:B,A61)=0)),"OK","Check")</f>
        <v>OK</v>
      </c>
      <c r="BD61" t="str">
        <f t="shared" si="16"/>
        <v>OK</v>
      </c>
      <c r="BE61" t="str">
        <f t="shared" si="17"/>
        <v>OK</v>
      </c>
      <c r="BF61" t="str">
        <f t="shared" si="18"/>
        <v>OK</v>
      </c>
      <c r="BG61" t="str">
        <f t="shared" si="19"/>
        <v>OK</v>
      </c>
      <c r="BH61" t="str">
        <f t="shared" si="20"/>
        <v>OK</v>
      </c>
      <c r="BI61" t="str">
        <f t="shared" si="11"/>
        <v>OK</v>
      </c>
      <c r="BJ61" t="str">
        <f t="shared" si="12"/>
        <v>OK</v>
      </c>
      <c r="BK61" t="str">
        <f t="shared" si="13"/>
        <v>OK</v>
      </c>
    </row>
    <row r="62" spans="1:63">
      <c r="A62" s="16" t="s">
        <v>285</v>
      </c>
      <c r="B62" s="16" t="s">
        <v>281</v>
      </c>
      <c r="C62" s="16" t="s">
        <v>282</v>
      </c>
      <c r="D62" s="16" t="s">
        <v>230</v>
      </c>
      <c r="E62" s="16" t="s">
        <v>139</v>
      </c>
      <c r="F62" s="16" t="s">
        <v>162</v>
      </c>
      <c r="G62" s="15">
        <v>46139</v>
      </c>
      <c r="H62" s="15">
        <v>46151</v>
      </c>
      <c r="I62" s="15">
        <v>46152</v>
      </c>
      <c r="J62" s="15" t="s">
        <v>163</v>
      </c>
      <c r="K62" s="16" t="s">
        <v>282</v>
      </c>
      <c r="L62" t="s">
        <v>182</v>
      </c>
      <c r="M62" s="16" t="s">
        <v>143</v>
      </c>
      <c r="N62" s="16" t="s">
        <v>144</v>
      </c>
      <c r="O62" t="s">
        <v>1630</v>
      </c>
      <c r="P62" s="18">
        <v>614</v>
      </c>
      <c r="Q62" s="21">
        <v>12</v>
      </c>
      <c r="R62" s="21" t="str">
        <f t="shared" si="0"/>
        <v>8-14 days</v>
      </c>
      <c r="S62" s="16" t="s">
        <v>145</v>
      </c>
      <c r="V62" t="str">
        <f>IF(U62="","",IFERROR(VLOOKUP(U62,Hotels!A:B,2,FALSE),"Not Found"))</f>
        <v/>
      </c>
      <c r="W62" s="14">
        <v>0</v>
      </c>
      <c r="X62" s="14">
        <v>138.52000000000001</v>
      </c>
      <c r="Y62" s="21">
        <v>0</v>
      </c>
      <c r="Z62" s="29">
        <f t="shared" si="1"/>
        <v>0</v>
      </c>
      <c r="AA62" s="14">
        <v>0</v>
      </c>
      <c r="AB62" s="14">
        <v>29.48</v>
      </c>
      <c r="AC62" s="14">
        <v>168</v>
      </c>
      <c r="AD62" s="16" t="s">
        <v>147</v>
      </c>
      <c r="AE62" s="16" t="s">
        <v>147</v>
      </c>
      <c r="AF62" s="14">
        <f>SUMIF('Trip Changes'!$B:$B,A62,'Trip Changes'!$E:$E)</f>
        <v>0</v>
      </c>
      <c r="AG62" s="23">
        <f>SUMIF('Trip Cancellations'!$B:$B,A62,'Trip Cancellations'!$E:$E)</f>
        <v>0</v>
      </c>
      <c r="AH62" s="14">
        <f>SUMIF('Trip Cancellations'!$B:$B,A62,'Trip Cancellations'!$F:$F)</f>
        <v>0</v>
      </c>
      <c r="AI62" s="14">
        <f t="shared" si="2"/>
        <v>168</v>
      </c>
      <c r="AJ62" s="14" t="str">
        <f t="shared" si="3"/>
        <v>N/A</v>
      </c>
      <c r="AK62" s="14" t="str">
        <f>IF(Y62=0,"N/A",
IF(_xlfn.XLOOKUP(U62,Hotels!A:A,Hotels!C:C)=TRUE,"Yes","No"))</f>
        <v>N/A</v>
      </c>
      <c r="AL62" s="14" t="str">
        <f>IF(N62="Rail","N/A",IF(_xlfn.XLOOKUP(T62,Airlines!A:A,Airlines!C:C)=TRUE,"Yes","No"))</f>
        <v>N/A</v>
      </c>
      <c r="AM62" s="14" t="str">
        <f t="shared" si="4"/>
        <v>Yes</v>
      </c>
      <c r="AN62" s="14" t="str">
        <f t="shared" si="5"/>
        <v>Yes</v>
      </c>
      <c r="AO62" s="14" t="str">
        <f t="shared" si="6"/>
        <v>Yes</v>
      </c>
      <c r="AP62" s="16" t="s">
        <v>148</v>
      </c>
      <c r="AQ62" t="str">
        <f t="shared" si="14"/>
        <v>Yes</v>
      </c>
      <c r="AR62" s="21">
        <v>5</v>
      </c>
      <c r="AS62" s="5">
        <v>24.6</v>
      </c>
      <c r="AT62" s="5" t="str">
        <f>IF(T62="","",_xlfn.XLOOKUP(T62,Airlines!A:A,Airlines!B:B,"Not Found"))</f>
        <v/>
      </c>
      <c r="AU62" s="5" t="str">
        <f>IF(U62="","",_xlfn.XLOOKUP(U62,Hotels!A:A,Hotels!B:B,"Not found"))</f>
        <v/>
      </c>
      <c r="AV62" t="s">
        <v>147</v>
      </c>
      <c r="AW62" s="16" t="str">
        <f t="shared" si="7"/>
        <v>OK</v>
      </c>
      <c r="AX62" s="16" t="str">
        <f t="shared" si="8"/>
        <v>OK</v>
      </c>
      <c r="AY62" s="16" t="str">
        <f t="shared" si="9"/>
        <v>OK</v>
      </c>
      <c r="AZ62" s="16" t="str">
        <f t="shared" si="10"/>
        <v>OK</v>
      </c>
      <c r="BA62" s="16" t="str">
        <f t="shared" si="15"/>
        <v>OK</v>
      </c>
      <c r="BB62" s="21">
        <f>COUNTIF('Trip Changes'!B:B,A62)</f>
        <v>0</v>
      </c>
      <c r="BC62" s="16" t="str">
        <f>IF(OR(AND(AD62="Yes",COUNTIF('Trip Changes'!B:B,A62)&gt;0),AND(AD62="No",COUNTIF('Trip Changes'!B:B,A62)=0)),"OK","Check")</f>
        <v>OK</v>
      </c>
      <c r="BD62" t="str">
        <f t="shared" si="16"/>
        <v>OK</v>
      </c>
      <c r="BE62" t="str">
        <f t="shared" si="17"/>
        <v>OK</v>
      </c>
      <c r="BF62" t="str">
        <f t="shared" si="18"/>
        <v>OK</v>
      </c>
      <c r="BG62" t="str">
        <f t="shared" si="19"/>
        <v>OK</v>
      </c>
      <c r="BH62" t="str">
        <f t="shared" si="20"/>
        <v>OK</v>
      </c>
      <c r="BI62" t="str">
        <f t="shared" si="11"/>
        <v>OK</v>
      </c>
      <c r="BJ62" t="str">
        <f t="shared" si="12"/>
        <v>OK</v>
      </c>
      <c r="BK62" t="str">
        <f t="shared" si="13"/>
        <v>OK</v>
      </c>
    </row>
    <row r="63" spans="1:63">
      <c r="A63" s="16" t="s">
        <v>286</v>
      </c>
      <c r="B63" s="16" t="s">
        <v>287</v>
      </c>
      <c r="C63" s="16" t="s">
        <v>282</v>
      </c>
      <c r="D63" s="16" t="s">
        <v>248</v>
      </c>
      <c r="E63" s="16" t="s">
        <v>139</v>
      </c>
      <c r="F63" s="16" t="s">
        <v>140</v>
      </c>
      <c r="G63" s="15">
        <v>46125</v>
      </c>
      <c r="H63" s="15">
        <v>46150</v>
      </c>
      <c r="I63" s="15">
        <v>46153</v>
      </c>
      <c r="J63" s="15" t="s">
        <v>163</v>
      </c>
      <c r="K63" s="16" t="s">
        <v>282</v>
      </c>
      <c r="L63" t="s">
        <v>209</v>
      </c>
      <c r="M63" s="16" t="s">
        <v>152</v>
      </c>
      <c r="N63" s="16" t="s">
        <v>153</v>
      </c>
      <c r="O63" t="s">
        <v>1614</v>
      </c>
      <c r="P63" s="18">
        <v>2554</v>
      </c>
      <c r="Q63" s="21">
        <v>25</v>
      </c>
      <c r="R63" s="21" t="str">
        <f t="shared" si="0"/>
        <v>15-30 days</v>
      </c>
      <c r="S63" s="16" t="s">
        <v>145</v>
      </c>
      <c r="T63" s="16" t="s">
        <v>154</v>
      </c>
      <c r="U63" s="16" t="s">
        <v>173</v>
      </c>
      <c r="V63" t="str">
        <f>IF(U63="","",IFERROR(VLOOKUP(U63,Hotels!A:B,2,FALSE),"Not Found"))</f>
        <v>Accor</v>
      </c>
      <c r="W63" s="14">
        <v>737.6</v>
      </c>
      <c r="X63" s="14">
        <v>0</v>
      </c>
      <c r="Y63" s="21">
        <v>2</v>
      </c>
      <c r="Z63" s="29">
        <f t="shared" si="1"/>
        <v>85.644999999999996</v>
      </c>
      <c r="AA63" s="14">
        <v>171.29</v>
      </c>
      <c r="AB63" s="14">
        <v>78.209999999999994</v>
      </c>
      <c r="AC63" s="14">
        <v>987.1</v>
      </c>
      <c r="AD63" s="16" t="s">
        <v>147</v>
      </c>
      <c r="AE63" s="16" t="s">
        <v>147</v>
      </c>
      <c r="AF63" s="14">
        <f>SUMIF('Trip Changes'!$B:$B,A63,'Trip Changes'!$E:$E)</f>
        <v>0</v>
      </c>
      <c r="AG63" s="23">
        <f>SUMIF('Trip Cancellations'!$B:$B,A63,'Trip Cancellations'!$E:$E)</f>
        <v>0</v>
      </c>
      <c r="AH63" s="14">
        <f>SUMIF('Trip Cancellations'!$B:$B,A63,'Trip Cancellations'!$F:$F)</f>
        <v>0</v>
      </c>
      <c r="AI63" s="14">
        <f t="shared" si="2"/>
        <v>987.1</v>
      </c>
      <c r="AJ63" s="14" t="str">
        <f t="shared" si="3"/>
        <v>Yes</v>
      </c>
      <c r="AK63" s="14" t="str">
        <f>IF(Y63=0,"N/A",
IF(_xlfn.XLOOKUP(U63,Hotels!A:A,Hotels!C:C)=TRUE,"Yes","No"))</f>
        <v>Yes</v>
      </c>
      <c r="AL63" s="14" t="str">
        <f>IF(N63="Rail","N/A",IF(_xlfn.XLOOKUP(T63,Airlines!A:A,Airlines!C:C)=TRUE,"Yes","No"))</f>
        <v>Yes</v>
      </c>
      <c r="AM63" s="14" t="str">
        <f t="shared" si="4"/>
        <v>Yes</v>
      </c>
      <c r="AN63" s="14" t="str">
        <f t="shared" si="5"/>
        <v>Yes</v>
      </c>
      <c r="AO63" s="14" t="str">
        <f t="shared" si="6"/>
        <v>Yes</v>
      </c>
      <c r="AP63" s="16" t="s">
        <v>148</v>
      </c>
      <c r="AQ63" t="str">
        <f t="shared" si="14"/>
        <v>Yes</v>
      </c>
      <c r="AR63" s="21">
        <v>4</v>
      </c>
      <c r="AS63" s="5">
        <v>383.1</v>
      </c>
      <c r="AT63" s="5" t="str">
        <f>IF(T63="","",_xlfn.XLOOKUP(T63,Airlines!A:A,Airlines!B:B,"Not Found"))</f>
        <v>British Airways</v>
      </c>
      <c r="AU63" s="5" t="str">
        <f>IF(U63="","",_xlfn.XLOOKUP(U63,Hotels!A:A,Hotels!B:B,"Not found"))</f>
        <v>Accor</v>
      </c>
      <c r="AV63" t="s">
        <v>147</v>
      </c>
      <c r="AW63" s="16" t="str">
        <f t="shared" si="7"/>
        <v>OK</v>
      </c>
      <c r="AX63" s="16" t="str">
        <f t="shared" si="8"/>
        <v>OK</v>
      </c>
      <c r="AY63" s="16" t="str">
        <f t="shared" si="9"/>
        <v>OK</v>
      </c>
      <c r="AZ63" s="16" t="str">
        <f t="shared" si="10"/>
        <v>OK</v>
      </c>
      <c r="BA63" s="16" t="str">
        <f t="shared" si="15"/>
        <v>OK</v>
      </c>
      <c r="BB63" s="21">
        <f>COUNTIF('Trip Changes'!B:B,A63)</f>
        <v>0</v>
      </c>
      <c r="BC63" s="16" t="str">
        <f>IF(OR(AND(AD63="Yes",COUNTIF('Trip Changes'!B:B,A63)&gt;0),AND(AD63="No",COUNTIF('Trip Changes'!B:B,A63)=0)),"OK","Check")</f>
        <v>OK</v>
      </c>
      <c r="BD63" t="str">
        <f t="shared" si="16"/>
        <v>OK</v>
      </c>
      <c r="BE63" t="str">
        <f t="shared" si="17"/>
        <v>OK</v>
      </c>
      <c r="BF63" t="str">
        <f t="shared" si="18"/>
        <v>OK</v>
      </c>
      <c r="BG63" t="str">
        <f t="shared" si="19"/>
        <v>OK</v>
      </c>
      <c r="BH63" t="str">
        <f t="shared" si="20"/>
        <v>OK</v>
      </c>
      <c r="BI63" t="str">
        <f t="shared" si="11"/>
        <v>OK</v>
      </c>
      <c r="BJ63" t="str">
        <f t="shared" si="12"/>
        <v>OK</v>
      </c>
      <c r="BK63" t="str">
        <f t="shared" si="13"/>
        <v>OK</v>
      </c>
    </row>
    <row r="64" spans="1:63">
      <c r="A64" s="16" t="s">
        <v>288</v>
      </c>
      <c r="B64" s="16" t="s">
        <v>287</v>
      </c>
      <c r="C64" s="16" t="s">
        <v>282</v>
      </c>
      <c r="D64" s="16" t="s">
        <v>248</v>
      </c>
      <c r="E64" s="16" t="s">
        <v>139</v>
      </c>
      <c r="F64" s="16" t="s">
        <v>157</v>
      </c>
      <c r="G64" s="15">
        <v>46149</v>
      </c>
      <c r="H64" s="15">
        <v>46174</v>
      </c>
      <c r="I64" s="15">
        <v>46176</v>
      </c>
      <c r="J64" s="15" t="s">
        <v>141</v>
      </c>
      <c r="K64" s="16" t="s">
        <v>282</v>
      </c>
      <c r="L64" t="s">
        <v>182</v>
      </c>
      <c r="M64" s="16" t="s">
        <v>143</v>
      </c>
      <c r="N64" s="16" t="s">
        <v>153</v>
      </c>
      <c r="O64" t="s">
        <v>1614</v>
      </c>
      <c r="P64" s="18">
        <v>652</v>
      </c>
      <c r="Q64" s="21">
        <v>25</v>
      </c>
      <c r="R64" s="21" t="str">
        <f t="shared" si="0"/>
        <v>15-30 days</v>
      </c>
      <c r="S64" s="16" t="s">
        <v>207</v>
      </c>
      <c r="T64" s="16" t="s">
        <v>176</v>
      </c>
      <c r="U64" s="16" t="s">
        <v>164</v>
      </c>
      <c r="V64" t="str">
        <f>IF(U64="","",IFERROR(VLOOKUP(U64,Hotels!A:B,2,FALSE),"Not Found"))</f>
        <v>Marriott</v>
      </c>
      <c r="W64" s="14">
        <v>351.2</v>
      </c>
      <c r="X64" s="14">
        <v>0</v>
      </c>
      <c r="Y64" s="21">
        <v>1</v>
      </c>
      <c r="Z64" s="29">
        <f t="shared" si="1"/>
        <v>89.92</v>
      </c>
      <c r="AA64" s="14">
        <v>89.92</v>
      </c>
      <c r="AB64" s="14">
        <v>42.15</v>
      </c>
      <c r="AC64" s="14">
        <v>483.27</v>
      </c>
      <c r="AD64" s="16" t="s">
        <v>147</v>
      </c>
      <c r="AE64" s="16" t="s">
        <v>147</v>
      </c>
      <c r="AF64" s="14">
        <f>SUMIF('Trip Changes'!$B:$B,A64,'Trip Changes'!$E:$E)</f>
        <v>0</v>
      </c>
      <c r="AG64" s="23">
        <f>SUMIF('Trip Cancellations'!$B:$B,A64,'Trip Cancellations'!$E:$E)</f>
        <v>0</v>
      </c>
      <c r="AH64" s="14">
        <f>SUMIF('Trip Cancellations'!$B:$B,A64,'Trip Cancellations'!$F:$F)</f>
        <v>0</v>
      </c>
      <c r="AI64" s="14">
        <f t="shared" si="2"/>
        <v>483.27</v>
      </c>
      <c r="AJ64" s="14" t="str">
        <f t="shared" si="3"/>
        <v>Yes</v>
      </c>
      <c r="AK64" s="14" t="str">
        <f>IF(Y64=0,"N/A",
IF(_xlfn.XLOOKUP(U64,Hotels!A:A,Hotels!C:C)=TRUE,"Yes","No"))</f>
        <v>Yes</v>
      </c>
      <c r="AL64" s="14" t="str">
        <f>IF(N64="Rail","N/A",IF(_xlfn.XLOOKUP(T64,Airlines!A:A,Airlines!C:C)=TRUE,"Yes","No"))</f>
        <v>Yes</v>
      </c>
      <c r="AM64" s="14" t="str">
        <f t="shared" si="4"/>
        <v>Yes</v>
      </c>
      <c r="AN64" s="14" t="str">
        <f t="shared" si="5"/>
        <v>No</v>
      </c>
      <c r="AO64" s="14" t="str">
        <f t="shared" si="6"/>
        <v>Yes</v>
      </c>
      <c r="AP64" s="16" t="s">
        <v>148</v>
      </c>
      <c r="AQ64" t="str">
        <f t="shared" si="14"/>
        <v>No</v>
      </c>
      <c r="AR64" s="21">
        <v>4</v>
      </c>
      <c r="AS64" s="5">
        <v>97.8</v>
      </c>
      <c r="AT64" s="5" t="str">
        <f>IF(T64="","",_xlfn.XLOOKUP(T64,Airlines!A:A,Airlines!B:B,"Not Found"))</f>
        <v>easyJet</v>
      </c>
      <c r="AU64" s="5" t="str">
        <f>IF(U64="","",_xlfn.XLOOKUP(U64,Hotels!A:A,Hotels!B:B,"Not found"))</f>
        <v>Marriott</v>
      </c>
      <c r="AV64" t="s">
        <v>147</v>
      </c>
      <c r="AW64" s="16" t="str">
        <f t="shared" si="7"/>
        <v>OK</v>
      </c>
      <c r="AX64" s="16" t="str">
        <f t="shared" si="8"/>
        <v>OK</v>
      </c>
      <c r="AY64" s="16" t="str">
        <f t="shared" si="9"/>
        <v>OK</v>
      </c>
      <c r="AZ64" s="16" t="str">
        <f t="shared" si="10"/>
        <v>OK</v>
      </c>
      <c r="BA64" s="16" t="str">
        <f t="shared" si="15"/>
        <v>OK</v>
      </c>
      <c r="BB64" s="21">
        <f>COUNTIF('Trip Changes'!B:B,A64)</f>
        <v>0</v>
      </c>
      <c r="BC64" s="16" t="str">
        <f>IF(OR(AND(AD64="Yes",COUNTIF('Trip Changes'!B:B,A64)&gt;0),AND(AD64="No",COUNTIF('Trip Changes'!B:B,A64)=0)),"OK","Check")</f>
        <v>OK</v>
      </c>
      <c r="BD64" t="str">
        <f t="shared" si="16"/>
        <v>OK</v>
      </c>
      <c r="BE64" t="str">
        <f t="shared" si="17"/>
        <v>OK</v>
      </c>
      <c r="BF64" t="str">
        <f t="shared" si="18"/>
        <v>OK</v>
      </c>
      <c r="BG64" t="str">
        <f t="shared" si="19"/>
        <v>OK</v>
      </c>
      <c r="BH64" t="str">
        <f t="shared" si="20"/>
        <v>OK</v>
      </c>
      <c r="BI64" t="str">
        <f t="shared" si="11"/>
        <v>OK</v>
      </c>
      <c r="BJ64" t="str">
        <f t="shared" si="12"/>
        <v>OK</v>
      </c>
      <c r="BK64" t="str">
        <f t="shared" si="13"/>
        <v>OK</v>
      </c>
    </row>
    <row r="65" spans="1:63">
      <c r="A65" s="16" t="s">
        <v>289</v>
      </c>
      <c r="B65" s="16" t="s">
        <v>287</v>
      </c>
      <c r="C65" s="16" t="s">
        <v>282</v>
      </c>
      <c r="D65" s="16" t="s">
        <v>248</v>
      </c>
      <c r="E65" s="16" t="s">
        <v>139</v>
      </c>
      <c r="F65" s="16" t="s">
        <v>178</v>
      </c>
      <c r="G65" s="15">
        <v>46157</v>
      </c>
      <c r="H65" s="15">
        <v>46183</v>
      </c>
      <c r="I65" s="15">
        <v>46185</v>
      </c>
      <c r="J65" s="15" t="s">
        <v>141</v>
      </c>
      <c r="K65" s="16" t="s">
        <v>282</v>
      </c>
      <c r="L65" t="s">
        <v>158</v>
      </c>
      <c r="M65" s="16" t="s">
        <v>152</v>
      </c>
      <c r="N65" s="16" t="s">
        <v>153</v>
      </c>
      <c r="O65" t="s">
        <v>1614</v>
      </c>
      <c r="P65" s="18">
        <v>2318</v>
      </c>
      <c r="Q65" s="21">
        <v>26</v>
      </c>
      <c r="R65" s="21" t="str">
        <f t="shared" si="0"/>
        <v>15-30 days</v>
      </c>
      <c r="S65" s="16" t="s">
        <v>145</v>
      </c>
      <c r="T65" s="16" t="s">
        <v>160</v>
      </c>
      <c r="U65" s="16" t="s">
        <v>190</v>
      </c>
      <c r="V65" t="str">
        <f>IF(U65="","",IFERROR(VLOOKUP(U65,Hotels!A:B,2,FALSE),"Not Found"))</f>
        <v>Radisson Hotel Group</v>
      </c>
      <c r="W65" s="14">
        <v>387.83</v>
      </c>
      <c r="X65" s="14">
        <v>0</v>
      </c>
      <c r="Y65" s="21">
        <v>1</v>
      </c>
      <c r="Z65" s="29">
        <f t="shared" si="1"/>
        <v>171.65</v>
      </c>
      <c r="AA65" s="14">
        <v>171.65</v>
      </c>
      <c r="AB65" s="14">
        <v>63.41</v>
      </c>
      <c r="AC65" s="14">
        <v>622.89</v>
      </c>
      <c r="AD65" s="16" t="s">
        <v>147</v>
      </c>
      <c r="AE65" s="16" t="s">
        <v>147</v>
      </c>
      <c r="AF65" s="14">
        <f>SUMIF('Trip Changes'!$B:$B,A65,'Trip Changes'!$E:$E)</f>
        <v>0</v>
      </c>
      <c r="AG65" s="23">
        <f>SUMIF('Trip Cancellations'!$B:$B,A65,'Trip Cancellations'!$E:$E)</f>
        <v>0</v>
      </c>
      <c r="AH65" s="14">
        <f>SUMIF('Trip Cancellations'!$B:$B,A65,'Trip Cancellations'!$F:$F)</f>
        <v>0</v>
      </c>
      <c r="AI65" s="14">
        <f t="shared" si="2"/>
        <v>622.89</v>
      </c>
      <c r="AJ65" s="14" t="str">
        <f t="shared" si="3"/>
        <v>Yes</v>
      </c>
      <c r="AK65" s="14" t="str">
        <f>IF(Y65=0,"N/A",
IF(_xlfn.XLOOKUP(U65,Hotels!A:A,Hotels!C:C)=TRUE,"Yes","No"))</f>
        <v>No</v>
      </c>
      <c r="AL65" s="14" t="str">
        <f>IF(N65="Rail","N/A",IF(_xlfn.XLOOKUP(T65,Airlines!A:A,Airlines!C:C)=TRUE,"Yes","No"))</f>
        <v>Yes</v>
      </c>
      <c r="AM65" s="14" t="str">
        <f t="shared" si="4"/>
        <v>Yes</v>
      </c>
      <c r="AN65" s="14" t="str">
        <f t="shared" si="5"/>
        <v>Yes</v>
      </c>
      <c r="AO65" s="14" t="str">
        <f t="shared" si="6"/>
        <v>No</v>
      </c>
      <c r="AP65" s="16" t="s">
        <v>148</v>
      </c>
      <c r="AQ65" t="str">
        <f t="shared" si="14"/>
        <v>No</v>
      </c>
      <c r="AR65" s="21">
        <v>4</v>
      </c>
      <c r="AS65" s="5">
        <v>347.7</v>
      </c>
      <c r="AT65" s="5" t="str">
        <f>IF(T65="","",_xlfn.XLOOKUP(T65,Airlines!A:A,Airlines!B:B,"Not Found"))</f>
        <v>Air France</v>
      </c>
      <c r="AU65" s="5" t="str">
        <f>IF(U65="","",_xlfn.XLOOKUP(U65,Hotels!A:A,Hotels!B:B,"Not found"))</f>
        <v>Radisson Hotel Group</v>
      </c>
      <c r="AV65" t="s">
        <v>148</v>
      </c>
      <c r="AW65" s="16" t="str">
        <f t="shared" si="7"/>
        <v>OK</v>
      </c>
      <c r="AX65" s="16" t="str">
        <f t="shared" si="8"/>
        <v>OK</v>
      </c>
      <c r="AY65" s="16" t="str">
        <f t="shared" si="9"/>
        <v>OK</v>
      </c>
      <c r="AZ65" s="16" t="str">
        <f t="shared" si="10"/>
        <v>OK</v>
      </c>
      <c r="BA65" s="16" t="str">
        <f t="shared" si="15"/>
        <v>OK</v>
      </c>
      <c r="BB65" s="21">
        <f>COUNTIF('Trip Changes'!B:B,A65)</f>
        <v>0</v>
      </c>
      <c r="BC65" s="16" t="str">
        <f>IF(OR(AND(AD65="Yes",COUNTIF('Trip Changes'!B:B,A65)&gt;0),AND(AD65="No",COUNTIF('Trip Changes'!B:B,A65)=0)),"OK","Check")</f>
        <v>OK</v>
      </c>
      <c r="BD65" t="str">
        <f t="shared" si="16"/>
        <v>OK</v>
      </c>
      <c r="BE65" t="str">
        <f t="shared" si="17"/>
        <v>OK</v>
      </c>
      <c r="BF65" t="str">
        <f t="shared" si="18"/>
        <v>OK</v>
      </c>
      <c r="BG65" t="str">
        <f t="shared" si="19"/>
        <v>OK</v>
      </c>
      <c r="BH65" t="str">
        <f t="shared" si="20"/>
        <v>OK</v>
      </c>
      <c r="BI65" t="str">
        <f t="shared" si="11"/>
        <v>OK</v>
      </c>
      <c r="BJ65" t="str">
        <f t="shared" si="12"/>
        <v>OK</v>
      </c>
      <c r="BK65" t="str">
        <f t="shared" si="13"/>
        <v>OK</v>
      </c>
    </row>
    <row r="66" spans="1:63">
      <c r="A66" s="16" t="s">
        <v>290</v>
      </c>
      <c r="B66" s="16" t="s">
        <v>287</v>
      </c>
      <c r="C66" s="16" t="s">
        <v>282</v>
      </c>
      <c r="D66" s="16" t="s">
        <v>248</v>
      </c>
      <c r="E66" s="16" t="s">
        <v>139</v>
      </c>
      <c r="F66" s="16" t="s">
        <v>140</v>
      </c>
      <c r="G66" s="15">
        <v>46204</v>
      </c>
      <c r="H66" s="15">
        <v>46216</v>
      </c>
      <c r="I66" s="15">
        <v>46219</v>
      </c>
      <c r="J66" s="15" t="s">
        <v>150</v>
      </c>
      <c r="K66" s="16" t="s">
        <v>282</v>
      </c>
      <c r="L66" t="s">
        <v>199</v>
      </c>
      <c r="M66" s="16" t="s">
        <v>152</v>
      </c>
      <c r="N66" s="16" t="s">
        <v>153</v>
      </c>
      <c r="O66" t="s">
        <v>1614</v>
      </c>
      <c r="P66" s="18">
        <v>3482</v>
      </c>
      <c r="Q66" s="21">
        <v>12</v>
      </c>
      <c r="R66" s="21" t="str">
        <f t="shared" ref="R66:R129" si="21">IF(Q66&lt;=3,"0-3 days",IF(Q66&lt;=7,"4-7 days",IF(Q66&lt;=14,"8-14 days",IF(Q66&lt;=30,"15-30 days","31+ days"))))</f>
        <v>8-14 days</v>
      </c>
      <c r="S66" s="16" t="s">
        <v>145</v>
      </c>
      <c r="T66" s="16" t="s">
        <v>291</v>
      </c>
      <c r="U66" s="16" t="s">
        <v>173</v>
      </c>
      <c r="V66" t="str">
        <f>IF(U66="","",IFERROR(VLOOKUP(U66,Hotels!A:B,2,FALSE),"Not Found"))</f>
        <v>Accor</v>
      </c>
      <c r="W66" s="14">
        <v>382.84</v>
      </c>
      <c r="X66" s="14">
        <v>0</v>
      </c>
      <c r="Y66" s="21">
        <v>2</v>
      </c>
      <c r="Z66" s="29">
        <f t="shared" ref="Z66:Z129" si="22">IF(Y66&gt;0,AA66/Y66,0)</f>
        <v>156.27500000000001</v>
      </c>
      <c r="AA66" s="14">
        <v>312.55</v>
      </c>
      <c r="AB66" s="14">
        <v>139.34</v>
      </c>
      <c r="AC66" s="14">
        <v>834.73</v>
      </c>
      <c r="AD66" s="16" t="s">
        <v>147</v>
      </c>
      <c r="AE66" s="16" t="s">
        <v>147</v>
      </c>
      <c r="AF66" s="14">
        <f>SUMIF('Trip Changes'!$B:$B,A66,'Trip Changes'!$E:$E)</f>
        <v>0</v>
      </c>
      <c r="AG66" s="23">
        <f>SUMIF('Trip Cancellations'!$B:$B,A66,'Trip Cancellations'!$E:$E)</f>
        <v>0</v>
      </c>
      <c r="AH66" s="14">
        <f>SUMIF('Trip Cancellations'!$B:$B,A66,'Trip Cancellations'!$F:$F)</f>
        <v>0</v>
      </c>
      <c r="AI66" s="14">
        <f t="shared" ref="AI66:AI129" si="23">AC66+AF66+AG66-AH66</f>
        <v>834.73</v>
      </c>
      <c r="AJ66" s="14" t="str">
        <f t="shared" ref="AJ66:AJ129" si="24">IF(Y66=0,"N/A",
IF(OR(L66="London",L66="Manchester",L66="Birmingham",L66="Edinburgh",L66="Glasgow",
L66="New York",L66="Boston",L66="Chicago",L66="Zurich",L66="Singapore",L66="Hong Kong",L66="Dubai"),
IF(Z66&lt;=220,"Yes","No"),
IF(Z66&lt;=180,"Yes","No")))</f>
        <v>Yes</v>
      </c>
      <c r="AK66" s="14" t="str">
        <f>IF(Y66=0,"N/A",
IF(_xlfn.XLOOKUP(U66,Hotels!A:A,Hotels!C:C)=TRUE,"Yes","No"))</f>
        <v>Yes</v>
      </c>
      <c r="AL66" s="14" t="str">
        <f>IF(N66="Rail","N/A",IF(_xlfn.XLOOKUP(T66,Airlines!A:A,Airlines!C:C)=TRUE,"Yes","No"))</f>
        <v>No</v>
      </c>
      <c r="AM66" s="14" t="str">
        <f t="shared" ref="AM66:AM129" si="25">IF(OR(
AND(N66="Air",O66="Economy"),
AND(N66="Rail",O66="Standard / 2nd Class")
),"Yes","No")</f>
        <v>Yes</v>
      </c>
      <c r="AN66" s="14" t="str">
        <f t="shared" ref="AN66:AN129" si="26">IF(OR(S66="Online Booking Tool",S66="TMC Assisted"),"Yes","No")</f>
        <v>Yes</v>
      </c>
      <c r="AO66" s="14" t="str">
        <f t="shared" ref="AO66:AO129" si="27">IF(AND(OR(AK66="Yes",AK66="N/A"),OR(AL66="Yes",AL66="N/A")),"Yes","No")</f>
        <v>No</v>
      </c>
      <c r="AP66" s="16" t="s">
        <v>147</v>
      </c>
      <c r="AQ66" t="str">
        <f t="shared" ref="AQ66:AQ129" si="28">IF(AND(OR(AJ66="Yes",AJ66="N/A"),OR(AK66="Yes",AK66="N/A"),OR(AL66="Yes",AL66="N/A"),AM66="Yes",AN66="Yes"),"Yes","No")</f>
        <v>No</v>
      </c>
      <c r="AR66" s="21">
        <v>4</v>
      </c>
      <c r="AS66" s="5">
        <v>522.29999999999995</v>
      </c>
      <c r="AT66" s="5" t="str">
        <f>IF(T66="","",_xlfn.XLOOKUP(T66,Airlines!A:A,Airlines!B:B,"Not Found"))</f>
        <v>Ryanair</v>
      </c>
      <c r="AU66" s="5" t="str">
        <f>IF(U66="","",_xlfn.XLOOKUP(U66,Hotels!A:A,Hotels!B:B,"Not found"))</f>
        <v>Accor</v>
      </c>
      <c r="AV66" t="s">
        <v>148</v>
      </c>
      <c r="AW66" s="16" t="str">
        <f t="shared" ref="AW66:AW129" si="29">IF(OR(A66="",B66="",G66="",H66="",I66="",K66="",L66="",M66="",N66="",S66="",AC66="",AI66=""),"Check","OK")</f>
        <v>OK</v>
      </c>
      <c r="AX66" s="16" t="str">
        <f t="shared" ref="AX66:AX129" si="30">IF(AND(G66&lt;=H66, H66&lt;=I66),"OK","CHECK")</f>
        <v>OK</v>
      </c>
      <c r="AY66" s="16" t="str">
        <f t="shared" ref="AY66:AY129" si="31">IF(Q66=H66-G66,"OK","Check")</f>
        <v>OK</v>
      </c>
      <c r="AZ66" s="16" t="str">
        <f t="shared" ref="AZ66:AZ129" si="32">IF(ROUND(W66+X66+AA66+AB66,2)=ROUND(AC66,2),"OK","Check")</f>
        <v>OK</v>
      </c>
      <c r="BA66" s="16" t="str">
        <f t="shared" si="15"/>
        <v>OK</v>
      </c>
      <c r="BB66" s="21">
        <f>COUNTIF('Trip Changes'!B:B,A66)</f>
        <v>0</v>
      </c>
      <c r="BC66" s="16" t="str">
        <f>IF(OR(AND(AD66="Yes",COUNTIF('Trip Changes'!B:B,A66)&gt;0),AND(AD66="No",COUNTIF('Trip Changes'!B:B,A66)=0)),"OK","Check")</f>
        <v>OK</v>
      </c>
      <c r="BD66" t="str">
        <f t="shared" si="16"/>
        <v>OK</v>
      </c>
      <c r="BE66" t="str">
        <f t="shared" si="17"/>
        <v>OK</v>
      </c>
      <c r="BF66" t="str">
        <f t="shared" si="18"/>
        <v>OK</v>
      </c>
      <c r="BG66" t="str">
        <f t="shared" si="19"/>
        <v>OK</v>
      </c>
      <c r="BH66" t="str">
        <f t="shared" si="20"/>
        <v>OK</v>
      </c>
      <c r="BI66" t="str">
        <f t="shared" ref="BI66:BI129" si="33">IF(OR(N66="Air",N66="Rail"),"OK","Check")</f>
        <v>OK</v>
      </c>
      <c r="BJ66" t="str">
        <f t="shared" ref="BJ66:BJ129" si="34">IF(OR(M66="Domestic",M66="International"),"OK","Check")</f>
        <v>OK</v>
      </c>
      <c r="BK66" t="str">
        <f t="shared" ref="BK66:BK129" si="35">IF(OR(S66="Online Booking Tool",S66="TMC Assisted",S66="Direct Supplier",S66="Other"),"OK","Check")</f>
        <v>OK</v>
      </c>
    </row>
    <row r="67" spans="1:63">
      <c r="A67" s="16" t="s">
        <v>292</v>
      </c>
      <c r="B67" s="16" t="s">
        <v>293</v>
      </c>
      <c r="C67" s="16" t="s">
        <v>257</v>
      </c>
      <c r="D67" s="16" t="s">
        <v>138</v>
      </c>
      <c r="E67" s="16" t="s">
        <v>139</v>
      </c>
      <c r="F67" s="16" t="s">
        <v>189</v>
      </c>
      <c r="G67" s="15">
        <v>46146</v>
      </c>
      <c r="H67" s="15">
        <v>46163</v>
      </c>
      <c r="I67" s="15">
        <v>46168</v>
      </c>
      <c r="J67" s="15" t="s">
        <v>163</v>
      </c>
      <c r="K67" s="16" t="s">
        <v>257</v>
      </c>
      <c r="L67" t="s">
        <v>225</v>
      </c>
      <c r="M67" s="16" t="s">
        <v>152</v>
      </c>
      <c r="N67" s="16" t="s">
        <v>153</v>
      </c>
      <c r="O67" t="s">
        <v>1614</v>
      </c>
      <c r="P67" s="18">
        <v>3564</v>
      </c>
      <c r="Q67" s="21">
        <v>17</v>
      </c>
      <c r="R67" s="21" t="str">
        <f t="shared" si="21"/>
        <v>15-30 days</v>
      </c>
      <c r="S67" s="16" t="s">
        <v>159</v>
      </c>
      <c r="T67" s="16" t="s">
        <v>236</v>
      </c>
      <c r="U67" s="16" t="s">
        <v>164</v>
      </c>
      <c r="V67" t="str">
        <f>IF(U67="","",IFERROR(VLOOKUP(U67,Hotels!A:B,2,FALSE),"Not Found"))</f>
        <v>Marriott</v>
      </c>
      <c r="W67" s="14">
        <v>410.21</v>
      </c>
      <c r="X67" s="14">
        <v>0</v>
      </c>
      <c r="Y67" s="21">
        <v>4</v>
      </c>
      <c r="Z67" s="29">
        <f t="shared" si="22"/>
        <v>214.55500000000001</v>
      </c>
      <c r="AA67" s="14">
        <v>858.22</v>
      </c>
      <c r="AB67" s="14">
        <v>107.22</v>
      </c>
      <c r="AC67" s="14">
        <v>1375.65</v>
      </c>
      <c r="AD67" s="16" t="s">
        <v>147</v>
      </c>
      <c r="AE67" s="16" t="s">
        <v>148</v>
      </c>
      <c r="AF67" s="14">
        <f>SUMIF('Trip Changes'!$B:$B,A67,'Trip Changes'!$E:$E)</f>
        <v>0</v>
      </c>
      <c r="AG67" s="23">
        <f>SUMIF('Trip Cancellations'!$B:$B,A67,'Trip Cancellations'!$E:$E)</f>
        <v>66</v>
      </c>
      <c r="AH67" s="14">
        <f>SUMIF('Trip Cancellations'!$B:$B,A67,'Trip Cancellations'!$F:$F)</f>
        <v>951.32</v>
      </c>
      <c r="AI67" s="14">
        <f t="shared" si="23"/>
        <v>490.33000000000004</v>
      </c>
      <c r="AJ67" s="14" t="str">
        <f t="shared" si="24"/>
        <v>No</v>
      </c>
      <c r="AK67" s="14" t="str">
        <f>IF(Y67=0,"N/A",
IF(_xlfn.XLOOKUP(U67,Hotels!A:A,Hotels!C:C)=TRUE,"Yes","No"))</f>
        <v>Yes</v>
      </c>
      <c r="AL67" s="14" t="str">
        <f>IF(N67="Rail","N/A",IF(_xlfn.XLOOKUP(T67,Airlines!A:A,Airlines!C:C)=TRUE,"Yes","No"))</f>
        <v>Yes</v>
      </c>
      <c r="AM67" s="14" t="str">
        <f t="shared" si="25"/>
        <v>Yes</v>
      </c>
      <c r="AN67" s="14" t="str">
        <f t="shared" si="26"/>
        <v>Yes</v>
      </c>
      <c r="AO67" s="14" t="str">
        <f t="shared" si="27"/>
        <v>Yes</v>
      </c>
      <c r="AP67" s="16" t="s">
        <v>148</v>
      </c>
      <c r="AQ67" t="str">
        <f t="shared" si="28"/>
        <v>No</v>
      </c>
      <c r="AR67" s="21">
        <v>4</v>
      </c>
      <c r="AS67" s="5">
        <v>534.6</v>
      </c>
      <c r="AT67" s="5" t="str">
        <f>IF(T67="","",_xlfn.XLOOKUP(T67,Airlines!A:A,Airlines!B:B,"Not Found"))</f>
        <v>KLM</v>
      </c>
      <c r="AU67" s="5" t="str">
        <f>IF(U67="","",_xlfn.XLOOKUP(U67,Hotels!A:A,Hotels!B:B,"Not found"))</f>
        <v>Marriott</v>
      </c>
      <c r="AV67" t="s">
        <v>147</v>
      </c>
      <c r="AW67" s="16" t="str">
        <f t="shared" si="29"/>
        <v>OK</v>
      </c>
      <c r="AX67" s="16" t="str">
        <f t="shared" si="30"/>
        <v>OK</v>
      </c>
      <c r="AY67" s="16" t="str">
        <f t="shared" si="31"/>
        <v>OK</v>
      </c>
      <c r="AZ67" s="16" t="str">
        <f t="shared" si="32"/>
        <v>OK</v>
      </c>
      <c r="BA67" s="16" t="str">
        <f t="shared" ref="BA67:BA130" si="36">IF(ROUND(AC67+AF67+AG67-AH67,2)=ROUND(AI67,2),"OK","Check")</f>
        <v>OK</v>
      </c>
      <c r="BB67" s="21">
        <f>COUNTIF('Trip Changes'!B:B,A67)</f>
        <v>0</v>
      </c>
      <c r="BC67" s="16" t="str">
        <f>IF(OR(AND(AD67="Yes",COUNTIF('Trip Changes'!B:B,A67)&gt;0),AND(AD67="No",COUNTIF('Trip Changes'!B:B,A67)=0)),"OK","Check")</f>
        <v>OK</v>
      </c>
      <c r="BD67" t="str">
        <f t="shared" ref="BD67:BD130" si="37">IF(OR(AD67="Yes",AD67="No"),"OK","Check")</f>
        <v>OK</v>
      </c>
      <c r="BE67" t="str">
        <f t="shared" ref="BE67:BE130" si="38">IF(OR(AE67="Yes",AE67="No"),"OK","Check")</f>
        <v>OK</v>
      </c>
      <c r="BF67" t="str">
        <f t="shared" ref="BF67:BF130" si="39">IF(OR(AP67="Yes",AP67="No"),"OK","Check")</f>
        <v>OK</v>
      </c>
      <c r="BG67" t="str">
        <f t="shared" ref="BG67:BG130" si="40">IF(OR(AV67="Yes",AV67="No"),"OK","Check")</f>
        <v>OK</v>
      </c>
      <c r="BH67" t="str">
        <f t="shared" ref="BH67:BH130" si="41">IF(AND(ISNUMBER(AR67),AR67&gt;=1,AR67&lt;=5),"OK","Check")</f>
        <v>OK</v>
      </c>
      <c r="BI67" t="str">
        <f t="shared" si="33"/>
        <v>OK</v>
      </c>
      <c r="BJ67" t="str">
        <f t="shared" si="34"/>
        <v>OK</v>
      </c>
      <c r="BK67" t="str">
        <f t="shared" si="35"/>
        <v>OK</v>
      </c>
    </row>
    <row r="68" spans="1:63">
      <c r="A68" s="16" t="s">
        <v>294</v>
      </c>
      <c r="B68" s="16" t="s">
        <v>293</v>
      </c>
      <c r="C68" s="16" t="s">
        <v>257</v>
      </c>
      <c r="D68" s="16" t="s">
        <v>138</v>
      </c>
      <c r="E68" s="16" t="s">
        <v>139</v>
      </c>
      <c r="F68" s="16" t="s">
        <v>162</v>
      </c>
      <c r="G68" s="15">
        <v>46178</v>
      </c>
      <c r="H68" s="15">
        <v>46194</v>
      </c>
      <c r="I68" s="15">
        <v>46197</v>
      </c>
      <c r="J68" s="15" t="s">
        <v>141</v>
      </c>
      <c r="K68" s="16" t="s">
        <v>257</v>
      </c>
      <c r="L68" t="s">
        <v>233</v>
      </c>
      <c r="M68" s="16" t="s">
        <v>152</v>
      </c>
      <c r="N68" s="16" t="s">
        <v>153</v>
      </c>
      <c r="O68" t="s">
        <v>1614</v>
      </c>
      <c r="P68" s="18">
        <v>3504</v>
      </c>
      <c r="Q68" s="21">
        <v>16</v>
      </c>
      <c r="R68" s="21" t="str">
        <f t="shared" si="21"/>
        <v>15-30 days</v>
      </c>
      <c r="S68" s="16" t="s">
        <v>145</v>
      </c>
      <c r="T68" s="16" t="s">
        <v>160</v>
      </c>
      <c r="U68" s="16" t="s">
        <v>187</v>
      </c>
      <c r="V68" t="str">
        <f>IF(U68="","",IFERROR(VLOOKUP(U68,Hotels!A:B,2,FALSE),"Not Found"))</f>
        <v>IHG Hotels &amp; Resorts</v>
      </c>
      <c r="W68" s="14">
        <v>419.91</v>
      </c>
      <c r="X68" s="14">
        <v>0</v>
      </c>
      <c r="Y68" s="21">
        <v>2</v>
      </c>
      <c r="Z68" s="29">
        <f t="shared" si="22"/>
        <v>178.745</v>
      </c>
      <c r="AA68" s="14">
        <v>357.49</v>
      </c>
      <c r="AB68" s="14">
        <v>88.9</v>
      </c>
      <c r="AC68" s="14">
        <v>866.3</v>
      </c>
      <c r="AD68" s="16" t="s">
        <v>148</v>
      </c>
      <c r="AE68" s="16" t="s">
        <v>147</v>
      </c>
      <c r="AF68" s="14">
        <f>SUMIF('Trip Changes'!$B:$B,A68,'Trip Changes'!$E:$E)</f>
        <v>83.31</v>
      </c>
      <c r="AG68" s="23">
        <f>SUMIF('Trip Cancellations'!$B:$B,A68,'Trip Cancellations'!$E:$E)</f>
        <v>0</v>
      </c>
      <c r="AH68" s="14">
        <f>SUMIF('Trip Cancellations'!$B:$B,A68,'Trip Cancellations'!$F:$F)</f>
        <v>0</v>
      </c>
      <c r="AI68" s="14">
        <f t="shared" si="23"/>
        <v>949.6099999999999</v>
      </c>
      <c r="AJ68" s="14" t="str">
        <f t="shared" si="24"/>
        <v>Yes</v>
      </c>
      <c r="AK68" s="14" t="str">
        <f>IF(Y68=0,"N/A",
IF(_xlfn.XLOOKUP(U68,Hotels!A:A,Hotels!C:C)=TRUE,"Yes","No"))</f>
        <v>Yes</v>
      </c>
      <c r="AL68" s="14" t="str">
        <f>IF(N68="Rail","N/A",IF(_xlfn.XLOOKUP(T68,Airlines!A:A,Airlines!C:C)=TRUE,"Yes","No"))</f>
        <v>Yes</v>
      </c>
      <c r="AM68" s="14" t="str">
        <f t="shared" si="25"/>
        <v>Yes</v>
      </c>
      <c r="AN68" s="14" t="str">
        <f t="shared" si="26"/>
        <v>Yes</v>
      </c>
      <c r="AO68" s="14" t="str">
        <f t="shared" si="27"/>
        <v>Yes</v>
      </c>
      <c r="AP68" s="16" t="s">
        <v>148</v>
      </c>
      <c r="AQ68" t="str">
        <f t="shared" si="28"/>
        <v>Yes</v>
      </c>
      <c r="AR68" s="21">
        <v>5</v>
      </c>
      <c r="AS68" s="5">
        <v>525.6</v>
      </c>
      <c r="AT68" s="5" t="str">
        <f>IF(T68="","",_xlfn.XLOOKUP(T68,Airlines!A:A,Airlines!B:B,"Not Found"))</f>
        <v>Air France</v>
      </c>
      <c r="AU68" s="5" t="str">
        <f>IF(U68="","",_xlfn.XLOOKUP(U68,Hotels!A:A,Hotels!B:B,"Not found"))</f>
        <v>IHG Hotels &amp; Resorts</v>
      </c>
      <c r="AV68" t="s">
        <v>147</v>
      </c>
      <c r="AW68" s="16" t="str">
        <f t="shared" si="29"/>
        <v>OK</v>
      </c>
      <c r="AX68" s="16" t="str">
        <f t="shared" si="30"/>
        <v>OK</v>
      </c>
      <c r="AY68" s="16" t="str">
        <f t="shared" si="31"/>
        <v>OK</v>
      </c>
      <c r="AZ68" s="16" t="str">
        <f t="shared" si="32"/>
        <v>OK</v>
      </c>
      <c r="BA68" s="16" t="str">
        <f t="shared" si="36"/>
        <v>OK</v>
      </c>
      <c r="BB68" s="21">
        <f>COUNTIF('Trip Changes'!B:B,A68)</f>
        <v>1</v>
      </c>
      <c r="BC68" s="16" t="str">
        <f>IF(OR(AND(AD68="Yes",COUNTIF('Trip Changes'!B:B,A68)&gt;0),AND(AD68="No",COUNTIF('Trip Changes'!B:B,A68)=0)),"OK","Check")</f>
        <v>OK</v>
      </c>
      <c r="BD68" t="str">
        <f t="shared" si="37"/>
        <v>OK</v>
      </c>
      <c r="BE68" t="str">
        <f t="shared" si="38"/>
        <v>OK</v>
      </c>
      <c r="BF68" t="str">
        <f t="shared" si="39"/>
        <v>OK</v>
      </c>
      <c r="BG68" t="str">
        <f t="shared" si="40"/>
        <v>OK</v>
      </c>
      <c r="BH68" t="str">
        <f t="shared" si="41"/>
        <v>OK</v>
      </c>
      <c r="BI68" t="str">
        <f t="shared" si="33"/>
        <v>OK</v>
      </c>
      <c r="BJ68" t="str">
        <f t="shared" si="34"/>
        <v>OK</v>
      </c>
      <c r="BK68" t="str">
        <f t="shared" si="35"/>
        <v>OK</v>
      </c>
    </row>
    <row r="69" spans="1:63">
      <c r="A69" s="16" t="s">
        <v>295</v>
      </c>
      <c r="B69" s="16" t="s">
        <v>293</v>
      </c>
      <c r="C69" s="16" t="s">
        <v>257</v>
      </c>
      <c r="D69" s="16" t="s">
        <v>138</v>
      </c>
      <c r="E69" s="16" t="s">
        <v>139</v>
      </c>
      <c r="F69" s="16" t="s">
        <v>140</v>
      </c>
      <c r="G69" s="15">
        <v>46170</v>
      </c>
      <c r="H69" s="15">
        <v>46182</v>
      </c>
      <c r="I69" s="15">
        <v>46186</v>
      </c>
      <c r="J69" s="15" t="s">
        <v>141</v>
      </c>
      <c r="K69" s="16" t="s">
        <v>257</v>
      </c>
      <c r="L69" t="s">
        <v>225</v>
      </c>
      <c r="M69" s="16" t="s">
        <v>152</v>
      </c>
      <c r="N69" s="16" t="s">
        <v>153</v>
      </c>
      <c r="O69" t="s">
        <v>1614</v>
      </c>
      <c r="P69" s="18">
        <v>2540</v>
      </c>
      <c r="Q69" s="21">
        <v>12</v>
      </c>
      <c r="R69" s="21" t="str">
        <f t="shared" si="21"/>
        <v>8-14 days</v>
      </c>
      <c r="S69" s="16" t="s">
        <v>159</v>
      </c>
      <c r="T69" s="16" t="s">
        <v>176</v>
      </c>
      <c r="U69" s="16" t="s">
        <v>155</v>
      </c>
      <c r="V69" t="str">
        <f>IF(U69="","",IFERROR(VLOOKUP(U69,Hotels!A:B,2,FALSE),"Not Found"))</f>
        <v>Hilton</v>
      </c>
      <c r="W69" s="14">
        <v>606.98</v>
      </c>
      <c r="X69" s="14">
        <v>0</v>
      </c>
      <c r="Y69" s="21">
        <v>3</v>
      </c>
      <c r="Z69" s="29">
        <f t="shared" si="22"/>
        <v>219.50333333333333</v>
      </c>
      <c r="AA69" s="14">
        <v>658.51</v>
      </c>
      <c r="AB69" s="14">
        <v>64.25</v>
      </c>
      <c r="AC69" s="14">
        <v>1329.74</v>
      </c>
      <c r="AD69" s="16" t="s">
        <v>147</v>
      </c>
      <c r="AE69" s="16" t="s">
        <v>148</v>
      </c>
      <c r="AF69" s="14">
        <f>SUMIF('Trip Changes'!$B:$B,A69,'Trip Changes'!$E:$E)</f>
        <v>0</v>
      </c>
      <c r="AG69" s="23">
        <f>SUMIF('Trip Cancellations'!$B:$B,A69,'Trip Cancellations'!$E:$E)</f>
        <v>164.93</v>
      </c>
      <c r="AH69" s="14">
        <f>SUMIF('Trip Cancellations'!$B:$B,A69,'Trip Cancellations'!$F:$F)</f>
        <v>949.12</v>
      </c>
      <c r="AI69" s="14">
        <f t="shared" si="23"/>
        <v>545.55000000000007</v>
      </c>
      <c r="AJ69" s="14" t="str">
        <f t="shared" si="24"/>
        <v>No</v>
      </c>
      <c r="AK69" s="14" t="str">
        <f>IF(Y69=0,"N/A",
IF(_xlfn.XLOOKUP(U69,Hotels!A:A,Hotels!C:C)=TRUE,"Yes","No"))</f>
        <v>Yes</v>
      </c>
      <c r="AL69" s="14" t="str">
        <f>IF(N69="Rail","N/A",IF(_xlfn.XLOOKUP(T69,Airlines!A:A,Airlines!C:C)=TRUE,"Yes","No"))</f>
        <v>Yes</v>
      </c>
      <c r="AM69" s="14" t="str">
        <f t="shared" si="25"/>
        <v>Yes</v>
      </c>
      <c r="AN69" s="14" t="str">
        <f t="shared" si="26"/>
        <v>Yes</v>
      </c>
      <c r="AO69" s="14" t="str">
        <f t="shared" si="27"/>
        <v>Yes</v>
      </c>
      <c r="AP69" s="16" t="s">
        <v>148</v>
      </c>
      <c r="AQ69" t="str">
        <f t="shared" si="28"/>
        <v>No</v>
      </c>
      <c r="AR69" s="21">
        <v>3</v>
      </c>
      <c r="AS69" s="5">
        <v>381</v>
      </c>
      <c r="AT69" s="5" t="str">
        <f>IF(T69="","",_xlfn.XLOOKUP(T69,Airlines!A:A,Airlines!B:B,"Not Found"))</f>
        <v>easyJet</v>
      </c>
      <c r="AU69" s="5" t="str">
        <f>IF(U69="","",_xlfn.XLOOKUP(U69,Hotels!A:A,Hotels!B:B,"Not found"))</f>
        <v>Hilton</v>
      </c>
      <c r="AV69" t="s">
        <v>148</v>
      </c>
      <c r="AW69" s="16" t="str">
        <f t="shared" si="29"/>
        <v>OK</v>
      </c>
      <c r="AX69" s="16" t="str">
        <f t="shared" si="30"/>
        <v>OK</v>
      </c>
      <c r="AY69" s="16" t="str">
        <f t="shared" si="31"/>
        <v>OK</v>
      </c>
      <c r="AZ69" s="16" t="str">
        <f t="shared" si="32"/>
        <v>OK</v>
      </c>
      <c r="BA69" s="16" t="str">
        <f t="shared" si="36"/>
        <v>OK</v>
      </c>
      <c r="BB69" s="21">
        <f>COUNTIF('Trip Changes'!B:B,A69)</f>
        <v>0</v>
      </c>
      <c r="BC69" s="16" t="str">
        <f>IF(OR(AND(AD69="Yes",COUNTIF('Trip Changes'!B:B,A69)&gt;0),AND(AD69="No",COUNTIF('Trip Changes'!B:B,A69)=0)),"OK","Check")</f>
        <v>OK</v>
      </c>
      <c r="BD69" t="str">
        <f t="shared" si="37"/>
        <v>OK</v>
      </c>
      <c r="BE69" t="str">
        <f t="shared" si="38"/>
        <v>OK</v>
      </c>
      <c r="BF69" t="str">
        <f t="shared" si="39"/>
        <v>OK</v>
      </c>
      <c r="BG69" t="str">
        <f t="shared" si="40"/>
        <v>OK</v>
      </c>
      <c r="BH69" t="str">
        <f t="shared" si="41"/>
        <v>OK</v>
      </c>
      <c r="BI69" t="str">
        <f t="shared" si="33"/>
        <v>OK</v>
      </c>
      <c r="BJ69" t="str">
        <f t="shared" si="34"/>
        <v>OK</v>
      </c>
      <c r="BK69" t="str">
        <f t="shared" si="35"/>
        <v>OK</v>
      </c>
    </row>
    <row r="70" spans="1:63">
      <c r="A70" s="16" t="s">
        <v>296</v>
      </c>
      <c r="B70" s="16" t="s">
        <v>293</v>
      </c>
      <c r="C70" s="16" t="s">
        <v>257</v>
      </c>
      <c r="D70" s="16" t="s">
        <v>138</v>
      </c>
      <c r="E70" s="16" t="s">
        <v>139</v>
      </c>
      <c r="F70" s="16" t="s">
        <v>140</v>
      </c>
      <c r="G70" s="15">
        <v>46175</v>
      </c>
      <c r="H70" s="15">
        <v>46184</v>
      </c>
      <c r="I70" s="15">
        <v>46188</v>
      </c>
      <c r="J70" s="15" t="s">
        <v>141</v>
      </c>
      <c r="K70" s="16" t="s">
        <v>257</v>
      </c>
      <c r="L70" t="s">
        <v>225</v>
      </c>
      <c r="M70" s="16" t="s">
        <v>152</v>
      </c>
      <c r="N70" s="16" t="s">
        <v>153</v>
      </c>
      <c r="O70" t="s">
        <v>1614</v>
      </c>
      <c r="P70" s="18">
        <v>3390</v>
      </c>
      <c r="Q70" s="21">
        <v>9</v>
      </c>
      <c r="R70" s="21" t="str">
        <f t="shared" si="21"/>
        <v>8-14 days</v>
      </c>
      <c r="S70" s="16" t="s">
        <v>145</v>
      </c>
      <c r="T70" s="16" t="s">
        <v>236</v>
      </c>
      <c r="U70" s="16" t="s">
        <v>155</v>
      </c>
      <c r="V70" t="str">
        <f>IF(U70="","",IFERROR(VLOOKUP(U70,Hotels!A:B,2,FALSE),"Not Found"))</f>
        <v>Hilton</v>
      </c>
      <c r="W70" s="14">
        <v>453.07</v>
      </c>
      <c r="X70" s="14">
        <v>0</v>
      </c>
      <c r="Y70" s="21">
        <v>3</v>
      </c>
      <c r="Z70" s="29">
        <f t="shared" si="22"/>
        <v>219.39333333333332</v>
      </c>
      <c r="AA70" s="14">
        <v>658.18</v>
      </c>
      <c r="AB70" s="14">
        <v>108.24</v>
      </c>
      <c r="AC70" s="14">
        <v>1219.49</v>
      </c>
      <c r="AD70" s="16" t="s">
        <v>147</v>
      </c>
      <c r="AE70" s="16" t="s">
        <v>148</v>
      </c>
      <c r="AF70" s="14">
        <f>SUMIF('Trip Changes'!$B:$B,A70,'Trip Changes'!$E:$E)</f>
        <v>0</v>
      </c>
      <c r="AG70" s="23">
        <f>SUMIF('Trip Cancellations'!$B:$B,A70,'Trip Cancellations'!$E:$E)</f>
        <v>88.51</v>
      </c>
      <c r="AH70" s="14">
        <f>SUMIF('Trip Cancellations'!$B:$B,A70,'Trip Cancellations'!$F:$F)</f>
        <v>555.62</v>
      </c>
      <c r="AI70" s="14">
        <f t="shared" si="23"/>
        <v>752.38</v>
      </c>
      <c r="AJ70" s="14" t="str">
        <f t="shared" si="24"/>
        <v>No</v>
      </c>
      <c r="AK70" s="14" t="str">
        <f>IF(Y70=0,"N/A",
IF(_xlfn.XLOOKUP(U70,Hotels!A:A,Hotels!C:C)=TRUE,"Yes","No"))</f>
        <v>Yes</v>
      </c>
      <c r="AL70" s="14" t="str">
        <f>IF(N70="Rail","N/A",IF(_xlfn.XLOOKUP(T70,Airlines!A:A,Airlines!C:C)=TRUE,"Yes","No"))</f>
        <v>Yes</v>
      </c>
      <c r="AM70" s="14" t="str">
        <f t="shared" si="25"/>
        <v>Yes</v>
      </c>
      <c r="AN70" s="14" t="str">
        <f t="shared" si="26"/>
        <v>Yes</v>
      </c>
      <c r="AO70" s="14" t="str">
        <f t="shared" si="27"/>
        <v>Yes</v>
      </c>
      <c r="AP70" s="16" t="s">
        <v>148</v>
      </c>
      <c r="AQ70" t="str">
        <f t="shared" si="28"/>
        <v>No</v>
      </c>
      <c r="AR70" s="21">
        <v>3</v>
      </c>
      <c r="AS70" s="5">
        <v>508.5</v>
      </c>
      <c r="AT70" s="5" t="str">
        <f>IF(T70="","",_xlfn.XLOOKUP(T70,Airlines!A:A,Airlines!B:B,"Not Found"))</f>
        <v>KLM</v>
      </c>
      <c r="AU70" s="5" t="str">
        <f>IF(U70="","",_xlfn.XLOOKUP(U70,Hotels!A:A,Hotels!B:B,"Not found"))</f>
        <v>Hilton</v>
      </c>
      <c r="AV70" t="s">
        <v>147</v>
      </c>
      <c r="AW70" s="16" t="str">
        <f t="shared" si="29"/>
        <v>OK</v>
      </c>
      <c r="AX70" s="16" t="str">
        <f t="shared" si="30"/>
        <v>OK</v>
      </c>
      <c r="AY70" s="16" t="str">
        <f t="shared" si="31"/>
        <v>OK</v>
      </c>
      <c r="AZ70" s="16" t="str">
        <f t="shared" si="32"/>
        <v>OK</v>
      </c>
      <c r="BA70" s="16" t="str">
        <f t="shared" si="36"/>
        <v>OK</v>
      </c>
      <c r="BB70" s="21">
        <f>COUNTIF('Trip Changes'!B:B,A70)</f>
        <v>0</v>
      </c>
      <c r="BC70" s="16" t="str">
        <f>IF(OR(AND(AD70="Yes",COUNTIF('Trip Changes'!B:B,A70)&gt;0),AND(AD70="No",COUNTIF('Trip Changes'!B:B,A70)=0)),"OK","Check")</f>
        <v>OK</v>
      </c>
      <c r="BD70" t="str">
        <f t="shared" si="37"/>
        <v>OK</v>
      </c>
      <c r="BE70" t="str">
        <f t="shared" si="38"/>
        <v>OK</v>
      </c>
      <c r="BF70" t="str">
        <f t="shared" si="39"/>
        <v>OK</v>
      </c>
      <c r="BG70" t="str">
        <f t="shared" si="40"/>
        <v>OK</v>
      </c>
      <c r="BH70" t="str">
        <f t="shared" si="41"/>
        <v>OK</v>
      </c>
      <c r="BI70" t="str">
        <f t="shared" si="33"/>
        <v>OK</v>
      </c>
      <c r="BJ70" t="str">
        <f t="shared" si="34"/>
        <v>OK</v>
      </c>
      <c r="BK70" t="str">
        <f t="shared" si="35"/>
        <v>OK</v>
      </c>
    </row>
    <row r="71" spans="1:63">
      <c r="A71" s="16" t="s">
        <v>297</v>
      </c>
      <c r="B71" s="16" t="s">
        <v>293</v>
      </c>
      <c r="C71" s="16" t="s">
        <v>257</v>
      </c>
      <c r="D71" s="16" t="s">
        <v>138</v>
      </c>
      <c r="E71" s="16" t="s">
        <v>139</v>
      </c>
      <c r="F71" s="16" t="s">
        <v>140</v>
      </c>
      <c r="G71" s="15">
        <v>46154</v>
      </c>
      <c r="H71" s="15">
        <v>46171</v>
      </c>
      <c r="I71" s="15">
        <v>46175</v>
      </c>
      <c r="J71" s="15" t="s">
        <v>163</v>
      </c>
      <c r="K71" s="16" t="s">
        <v>257</v>
      </c>
      <c r="L71" t="s">
        <v>151</v>
      </c>
      <c r="M71" s="16" t="s">
        <v>152</v>
      </c>
      <c r="N71" s="16" t="s">
        <v>153</v>
      </c>
      <c r="O71" t="s">
        <v>1614</v>
      </c>
      <c r="P71" s="18">
        <v>2230</v>
      </c>
      <c r="Q71" s="21">
        <v>17</v>
      </c>
      <c r="R71" s="21" t="str">
        <f t="shared" si="21"/>
        <v>15-30 days</v>
      </c>
      <c r="S71" s="16" t="s">
        <v>159</v>
      </c>
      <c r="T71" s="16" t="s">
        <v>172</v>
      </c>
      <c r="U71" s="16" t="s">
        <v>187</v>
      </c>
      <c r="V71" t="str">
        <f>IF(U71="","",IFERROR(VLOOKUP(U71,Hotels!A:B,2,FALSE),"Not Found"))</f>
        <v>IHG Hotels &amp; Resorts</v>
      </c>
      <c r="W71" s="14">
        <v>434.02</v>
      </c>
      <c r="X71" s="14">
        <v>0</v>
      </c>
      <c r="Y71" s="21">
        <v>3</v>
      </c>
      <c r="Z71" s="29">
        <f t="shared" si="22"/>
        <v>159.19666666666666</v>
      </c>
      <c r="AA71" s="14">
        <v>477.59</v>
      </c>
      <c r="AB71" s="14">
        <v>104.97</v>
      </c>
      <c r="AC71" s="14">
        <v>1016.58</v>
      </c>
      <c r="AD71" s="16" t="s">
        <v>147</v>
      </c>
      <c r="AE71" s="16" t="s">
        <v>147</v>
      </c>
      <c r="AF71" s="14">
        <f>SUMIF('Trip Changes'!$B:$B,A71,'Trip Changes'!$E:$E)</f>
        <v>0</v>
      </c>
      <c r="AG71" s="23">
        <f>SUMIF('Trip Cancellations'!$B:$B,A71,'Trip Cancellations'!$E:$E)</f>
        <v>0</v>
      </c>
      <c r="AH71" s="14">
        <f>SUMIF('Trip Cancellations'!$B:$B,A71,'Trip Cancellations'!$F:$F)</f>
        <v>0</v>
      </c>
      <c r="AI71" s="14">
        <f t="shared" si="23"/>
        <v>1016.58</v>
      </c>
      <c r="AJ71" s="14" t="str">
        <f t="shared" si="24"/>
        <v>Yes</v>
      </c>
      <c r="AK71" s="14" t="str">
        <f>IF(Y71=0,"N/A",
IF(_xlfn.XLOOKUP(U71,Hotels!A:A,Hotels!C:C)=TRUE,"Yes","No"))</f>
        <v>Yes</v>
      </c>
      <c r="AL71" s="14" t="str">
        <f>IF(N71="Rail","N/A",IF(_xlfn.XLOOKUP(T71,Airlines!A:A,Airlines!C:C)=TRUE,"Yes","No"))</f>
        <v>Yes</v>
      </c>
      <c r="AM71" s="14" t="str">
        <f t="shared" si="25"/>
        <v>Yes</v>
      </c>
      <c r="AN71" s="14" t="str">
        <f t="shared" si="26"/>
        <v>Yes</v>
      </c>
      <c r="AO71" s="14" t="str">
        <f t="shared" si="27"/>
        <v>Yes</v>
      </c>
      <c r="AP71" s="16" t="s">
        <v>148</v>
      </c>
      <c r="AQ71" t="str">
        <f t="shared" si="28"/>
        <v>Yes</v>
      </c>
      <c r="AR71" s="21">
        <v>4</v>
      </c>
      <c r="AS71" s="5">
        <v>334.5</v>
      </c>
      <c r="AT71" s="5" t="str">
        <f>IF(T71="","",_xlfn.XLOOKUP(T71,Airlines!A:A,Airlines!B:B,"Not Found"))</f>
        <v>Lufthansa</v>
      </c>
      <c r="AU71" s="5" t="str">
        <f>IF(U71="","",_xlfn.XLOOKUP(U71,Hotels!A:A,Hotels!B:B,"Not found"))</f>
        <v>IHG Hotels &amp; Resorts</v>
      </c>
      <c r="AV71" t="s">
        <v>148</v>
      </c>
      <c r="AW71" s="16" t="str">
        <f t="shared" si="29"/>
        <v>OK</v>
      </c>
      <c r="AX71" s="16" t="str">
        <f t="shared" si="30"/>
        <v>OK</v>
      </c>
      <c r="AY71" s="16" t="str">
        <f t="shared" si="31"/>
        <v>OK</v>
      </c>
      <c r="AZ71" s="16" t="str">
        <f t="shared" si="32"/>
        <v>OK</v>
      </c>
      <c r="BA71" s="16" t="str">
        <f t="shared" si="36"/>
        <v>OK</v>
      </c>
      <c r="BB71" s="21">
        <f>COUNTIF('Trip Changes'!B:B,A71)</f>
        <v>0</v>
      </c>
      <c r="BC71" s="16" t="str">
        <f>IF(OR(AND(AD71="Yes",COUNTIF('Trip Changes'!B:B,A71)&gt;0),AND(AD71="No",COUNTIF('Trip Changes'!B:B,A71)=0)),"OK","Check")</f>
        <v>OK</v>
      </c>
      <c r="BD71" t="str">
        <f t="shared" si="37"/>
        <v>OK</v>
      </c>
      <c r="BE71" t="str">
        <f t="shared" si="38"/>
        <v>OK</v>
      </c>
      <c r="BF71" t="str">
        <f t="shared" si="39"/>
        <v>OK</v>
      </c>
      <c r="BG71" t="str">
        <f t="shared" si="40"/>
        <v>OK</v>
      </c>
      <c r="BH71" t="str">
        <f t="shared" si="41"/>
        <v>OK</v>
      </c>
      <c r="BI71" t="str">
        <f t="shared" si="33"/>
        <v>OK</v>
      </c>
      <c r="BJ71" t="str">
        <f t="shared" si="34"/>
        <v>OK</v>
      </c>
      <c r="BK71" t="str">
        <f t="shared" si="35"/>
        <v>OK</v>
      </c>
    </row>
    <row r="72" spans="1:63">
      <c r="A72" s="16" t="s">
        <v>298</v>
      </c>
      <c r="B72" s="16" t="s">
        <v>293</v>
      </c>
      <c r="C72" s="16" t="s">
        <v>257</v>
      </c>
      <c r="D72" s="16" t="s">
        <v>138</v>
      </c>
      <c r="E72" s="16" t="s">
        <v>139</v>
      </c>
      <c r="F72" s="16" t="s">
        <v>162</v>
      </c>
      <c r="G72" s="15">
        <v>46140</v>
      </c>
      <c r="H72" s="15">
        <v>46164</v>
      </c>
      <c r="I72" s="15">
        <v>46165</v>
      </c>
      <c r="J72" s="15" t="s">
        <v>163</v>
      </c>
      <c r="K72" s="16" t="s">
        <v>257</v>
      </c>
      <c r="L72" t="s">
        <v>182</v>
      </c>
      <c r="M72" s="16" t="s">
        <v>143</v>
      </c>
      <c r="N72" s="16" t="s">
        <v>144</v>
      </c>
      <c r="O72" t="s">
        <v>1630</v>
      </c>
      <c r="P72" s="18">
        <v>704</v>
      </c>
      <c r="Q72" s="21">
        <v>24</v>
      </c>
      <c r="R72" s="21" t="str">
        <f t="shared" si="21"/>
        <v>15-30 days</v>
      </c>
      <c r="S72" s="16" t="s">
        <v>145</v>
      </c>
      <c r="V72" t="str">
        <f>IF(U72="","",IFERROR(VLOOKUP(U72,Hotels!A:B,2,FALSE),"Not Found"))</f>
        <v/>
      </c>
      <c r="W72" s="14">
        <v>0</v>
      </c>
      <c r="X72" s="14">
        <v>208.29</v>
      </c>
      <c r="Y72" s="21">
        <v>0</v>
      </c>
      <c r="Z72" s="29">
        <f t="shared" si="22"/>
        <v>0</v>
      </c>
      <c r="AA72" s="14">
        <v>0</v>
      </c>
      <c r="AB72" s="14">
        <v>49.87</v>
      </c>
      <c r="AC72" s="14">
        <v>258.16000000000003</v>
      </c>
      <c r="AD72" s="16" t="s">
        <v>147</v>
      </c>
      <c r="AE72" s="16" t="s">
        <v>148</v>
      </c>
      <c r="AF72" s="14">
        <f>SUMIF('Trip Changes'!$B:$B,A72,'Trip Changes'!$E:$E)</f>
        <v>0</v>
      </c>
      <c r="AG72" s="23">
        <f>SUMIF('Trip Cancellations'!$B:$B,A72,'Trip Cancellations'!$E:$E)</f>
        <v>102.19</v>
      </c>
      <c r="AH72" s="14">
        <f>SUMIF('Trip Cancellations'!$B:$B,A72,'Trip Cancellations'!$F:$F)</f>
        <v>52.07</v>
      </c>
      <c r="AI72" s="14">
        <f t="shared" si="23"/>
        <v>308.28000000000003</v>
      </c>
      <c r="AJ72" s="14" t="str">
        <f t="shared" si="24"/>
        <v>N/A</v>
      </c>
      <c r="AK72" s="14" t="str">
        <f>IF(Y72=0,"N/A",
IF(_xlfn.XLOOKUP(U72,Hotels!A:A,Hotels!C:C)=TRUE,"Yes","No"))</f>
        <v>N/A</v>
      </c>
      <c r="AL72" s="14" t="str">
        <f>IF(N72="Rail","N/A",IF(_xlfn.XLOOKUP(T72,Airlines!A:A,Airlines!C:C)=TRUE,"Yes","No"))</f>
        <v>N/A</v>
      </c>
      <c r="AM72" s="14" t="str">
        <f t="shared" si="25"/>
        <v>Yes</v>
      </c>
      <c r="AN72" s="14" t="str">
        <f t="shared" si="26"/>
        <v>Yes</v>
      </c>
      <c r="AO72" s="14" t="str">
        <f t="shared" si="27"/>
        <v>Yes</v>
      </c>
      <c r="AP72" s="16" t="s">
        <v>148</v>
      </c>
      <c r="AQ72" t="str">
        <f t="shared" si="28"/>
        <v>Yes</v>
      </c>
      <c r="AR72" s="21">
        <v>4</v>
      </c>
      <c r="AS72" s="5">
        <v>28.2</v>
      </c>
      <c r="AT72" s="5" t="str">
        <f>IF(T72="","",_xlfn.XLOOKUP(T72,Airlines!A:A,Airlines!B:B,"Not Found"))</f>
        <v/>
      </c>
      <c r="AU72" s="5" t="str">
        <f>IF(U72="","",_xlfn.XLOOKUP(U72,Hotels!A:A,Hotels!B:B,"Not found"))</f>
        <v/>
      </c>
      <c r="AV72" t="s">
        <v>148</v>
      </c>
      <c r="AW72" s="16" t="str">
        <f t="shared" si="29"/>
        <v>OK</v>
      </c>
      <c r="AX72" s="16" t="str">
        <f t="shared" si="30"/>
        <v>OK</v>
      </c>
      <c r="AY72" s="16" t="str">
        <f t="shared" si="31"/>
        <v>OK</v>
      </c>
      <c r="AZ72" s="16" t="str">
        <f t="shared" si="32"/>
        <v>OK</v>
      </c>
      <c r="BA72" s="16" t="str">
        <f t="shared" si="36"/>
        <v>OK</v>
      </c>
      <c r="BB72" s="21">
        <f>COUNTIF('Trip Changes'!B:B,A72)</f>
        <v>0</v>
      </c>
      <c r="BC72" s="16" t="str">
        <f>IF(OR(AND(AD72="Yes",COUNTIF('Trip Changes'!B:B,A72)&gt;0),AND(AD72="No",COUNTIF('Trip Changes'!B:B,A72)=0)),"OK","Check")</f>
        <v>OK</v>
      </c>
      <c r="BD72" t="str">
        <f t="shared" si="37"/>
        <v>OK</v>
      </c>
      <c r="BE72" t="str">
        <f t="shared" si="38"/>
        <v>OK</v>
      </c>
      <c r="BF72" t="str">
        <f t="shared" si="39"/>
        <v>OK</v>
      </c>
      <c r="BG72" t="str">
        <f t="shared" si="40"/>
        <v>OK</v>
      </c>
      <c r="BH72" t="str">
        <f t="shared" si="41"/>
        <v>OK</v>
      </c>
      <c r="BI72" t="str">
        <f t="shared" si="33"/>
        <v>OK</v>
      </c>
      <c r="BJ72" t="str">
        <f t="shared" si="34"/>
        <v>OK</v>
      </c>
      <c r="BK72" t="str">
        <f t="shared" si="35"/>
        <v>OK</v>
      </c>
    </row>
    <row r="73" spans="1:63">
      <c r="A73" s="16" t="s">
        <v>299</v>
      </c>
      <c r="B73" s="16" t="s">
        <v>300</v>
      </c>
      <c r="C73" s="16" t="s">
        <v>182</v>
      </c>
      <c r="D73" s="16" t="s">
        <v>168</v>
      </c>
      <c r="E73" s="16" t="s">
        <v>139</v>
      </c>
      <c r="F73" s="16" t="s">
        <v>157</v>
      </c>
      <c r="G73" s="15">
        <v>46175</v>
      </c>
      <c r="H73" s="15">
        <v>46182</v>
      </c>
      <c r="I73" s="15">
        <v>46186</v>
      </c>
      <c r="J73" s="15" t="s">
        <v>141</v>
      </c>
      <c r="K73" s="16" t="s">
        <v>182</v>
      </c>
      <c r="L73" t="s">
        <v>240</v>
      </c>
      <c r="M73" s="16" t="s">
        <v>152</v>
      </c>
      <c r="N73" s="16" t="s">
        <v>153</v>
      </c>
      <c r="O73" t="s">
        <v>1614</v>
      </c>
      <c r="P73" s="18">
        <v>11634</v>
      </c>
      <c r="Q73" s="21">
        <v>7</v>
      </c>
      <c r="R73" s="21" t="str">
        <f t="shared" si="21"/>
        <v>4-7 days</v>
      </c>
      <c r="S73" s="16" t="s">
        <v>145</v>
      </c>
      <c r="T73" s="16" t="s">
        <v>154</v>
      </c>
      <c r="U73" s="16" t="s">
        <v>164</v>
      </c>
      <c r="V73" t="str">
        <f>IF(U73="","",IFERROR(VLOOKUP(U73,Hotels!A:B,2,FALSE),"Not Found"))</f>
        <v>Marriott</v>
      </c>
      <c r="W73" s="14">
        <v>1496.78</v>
      </c>
      <c r="X73" s="14">
        <v>0</v>
      </c>
      <c r="Y73" s="21">
        <v>3</v>
      </c>
      <c r="Z73" s="29">
        <f t="shared" si="22"/>
        <v>169.48</v>
      </c>
      <c r="AA73" s="14">
        <v>508.44</v>
      </c>
      <c r="AB73" s="14">
        <v>88.81</v>
      </c>
      <c r="AC73" s="14">
        <v>2094.0300000000002</v>
      </c>
      <c r="AD73" s="16" t="s">
        <v>147</v>
      </c>
      <c r="AE73" s="16" t="s">
        <v>148</v>
      </c>
      <c r="AF73" s="14">
        <f>SUMIF('Trip Changes'!$B:$B,A73,'Trip Changes'!$E:$E)</f>
        <v>0</v>
      </c>
      <c r="AG73" s="23">
        <f>SUMIF('Trip Cancellations'!$B:$B,A73,'Trip Cancellations'!$E:$E)</f>
        <v>78.010000000000005</v>
      </c>
      <c r="AH73" s="14">
        <f>SUMIF('Trip Cancellations'!$B:$B,A73,'Trip Cancellations'!$F:$F)</f>
        <v>1804.7</v>
      </c>
      <c r="AI73" s="14">
        <f t="shared" si="23"/>
        <v>367.34000000000037</v>
      </c>
      <c r="AJ73" s="14" t="str">
        <f t="shared" si="24"/>
        <v>Yes</v>
      </c>
      <c r="AK73" s="14" t="str">
        <f>IF(Y73=0,"N/A",
IF(_xlfn.XLOOKUP(U73,Hotels!A:A,Hotels!C:C)=TRUE,"Yes","No"))</f>
        <v>Yes</v>
      </c>
      <c r="AL73" s="14" t="str">
        <f>IF(N73="Rail","N/A",IF(_xlfn.XLOOKUP(T73,Airlines!A:A,Airlines!C:C)=TRUE,"Yes","No"))</f>
        <v>Yes</v>
      </c>
      <c r="AM73" s="14" t="str">
        <f t="shared" si="25"/>
        <v>Yes</v>
      </c>
      <c r="AN73" s="14" t="str">
        <f t="shared" si="26"/>
        <v>Yes</v>
      </c>
      <c r="AO73" s="14" t="str">
        <f t="shared" si="27"/>
        <v>Yes</v>
      </c>
      <c r="AP73" s="16" t="s">
        <v>148</v>
      </c>
      <c r="AQ73" t="str">
        <f t="shared" si="28"/>
        <v>Yes</v>
      </c>
      <c r="AR73" s="21">
        <v>3</v>
      </c>
      <c r="AS73" s="5">
        <v>1745.1</v>
      </c>
      <c r="AT73" s="5" t="str">
        <f>IF(T73="","",_xlfn.XLOOKUP(T73,Airlines!A:A,Airlines!B:B,"Not Found"))</f>
        <v>British Airways</v>
      </c>
      <c r="AU73" s="5" t="str">
        <f>IF(U73="","",_xlfn.XLOOKUP(U73,Hotels!A:A,Hotels!B:B,"Not found"))</f>
        <v>Marriott</v>
      </c>
      <c r="AV73" t="s">
        <v>147</v>
      </c>
      <c r="AW73" s="16" t="str">
        <f t="shared" si="29"/>
        <v>OK</v>
      </c>
      <c r="AX73" s="16" t="str">
        <f t="shared" si="30"/>
        <v>OK</v>
      </c>
      <c r="AY73" s="16" t="str">
        <f t="shared" si="31"/>
        <v>OK</v>
      </c>
      <c r="AZ73" s="16" t="str">
        <f t="shared" si="32"/>
        <v>OK</v>
      </c>
      <c r="BA73" s="16" t="str">
        <f t="shared" si="36"/>
        <v>OK</v>
      </c>
      <c r="BB73" s="21">
        <f>COUNTIF('Trip Changes'!B:B,A73)</f>
        <v>0</v>
      </c>
      <c r="BC73" s="16" t="str">
        <f>IF(OR(AND(AD73="Yes",COUNTIF('Trip Changes'!B:B,A73)&gt;0),AND(AD73="No",COUNTIF('Trip Changes'!B:B,A73)=0)),"OK","Check")</f>
        <v>OK</v>
      </c>
      <c r="BD73" t="str">
        <f t="shared" si="37"/>
        <v>OK</v>
      </c>
      <c r="BE73" t="str">
        <f t="shared" si="38"/>
        <v>OK</v>
      </c>
      <c r="BF73" t="str">
        <f t="shared" si="39"/>
        <v>OK</v>
      </c>
      <c r="BG73" t="str">
        <f t="shared" si="40"/>
        <v>OK</v>
      </c>
      <c r="BH73" t="str">
        <f t="shared" si="41"/>
        <v>OK</v>
      </c>
      <c r="BI73" t="str">
        <f t="shared" si="33"/>
        <v>OK</v>
      </c>
      <c r="BJ73" t="str">
        <f t="shared" si="34"/>
        <v>OK</v>
      </c>
      <c r="BK73" t="str">
        <f t="shared" si="35"/>
        <v>OK</v>
      </c>
    </row>
    <row r="74" spans="1:63">
      <c r="A74" s="16" t="s">
        <v>301</v>
      </c>
      <c r="B74" s="16" t="s">
        <v>300</v>
      </c>
      <c r="C74" s="16" t="s">
        <v>182</v>
      </c>
      <c r="D74" s="16" t="s">
        <v>168</v>
      </c>
      <c r="E74" s="16" t="s">
        <v>139</v>
      </c>
      <c r="F74" s="16" t="s">
        <v>140</v>
      </c>
      <c r="G74" s="15">
        <v>46187</v>
      </c>
      <c r="H74" s="15">
        <v>46197</v>
      </c>
      <c r="I74" s="15">
        <v>46200</v>
      </c>
      <c r="J74" s="15" t="s">
        <v>141</v>
      </c>
      <c r="K74" s="16" t="s">
        <v>182</v>
      </c>
      <c r="L74" t="s">
        <v>197</v>
      </c>
      <c r="M74" s="16" t="s">
        <v>152</v>
      </c>
      <c r="N74" s="16" t="s">
        <v>153</v>
      </c>
      <c r="O74" t="s">
        <v>1631</v>
      </c>
      <c r="P74" s="18">
        <v>11890</v>
      </c>
      <c r="Q74" s="21">
        <v>10</v>
      </c>
      <c r="R74" s="21" t="str">
        <f t="shared" si="21"/>
        <v>8-14 days</v>
      </c>
      <c r="S74" s="16" t="s">
        <v>159</v>
      </c>
      <c r="T74" s="16" t="s">
        <v>154</v>
      </c>
      <c r="U74" s="16" t="s">
        <v>155</v>
      </c>
      <c r="V74" t="str">
        <f>IF(U74="","",IFERROR(VLOOKUP(U74,Hotels!A:B,2,FALSE),"Not Found"))</f>
        <v>Hilton</v>
      </c>
      <c r="W74" s="14">
        <v>1155.92</v>
      </c>
      <c r="X74" s="14">
        <v>0</v>
      </c>
      <c r="Y74" s="21">
        <v>2</v>
      </c>
      <c r="Z74" s="29">
        <f t="shared" si="22"/>
        <v>170.35</v>
      </c>
      <c r="AA74" s="14">
        <v>340.7</v>
      </c>
      <c r="AB74" s="14">
        <v>79.45</v>
      </c>
      <c r="AC74" s="14">
        <v>1576.07</v>
      </c>
      <c r="AD74" s="16" t="s">
        <v>147</v>
      </c>
      <c r="AE74" s="16" t="s">
        <v>147</v>
      </c>
      <c r="AF74" s="14">
        <f>SUMIF('Trip Changes'!$B:$B,A74,'Trip Changes'!$E:$E)</f>
        <v>0</v>
      </c>
      <c r="AG74" s="23">
        <f>SUMIF('Trip Cancellations'!$B:$B,A74,'Trip Cancellations'!$E:$E)</f>
        <v>0</v>
      </c>
      <c r="AH74" s="14">
        <f>SUMIF('Trip Cancellations'!$B:$B,A74,'Trip Cancellations'!$F:$F)</f>
        <v>0</v>
      </c>
      <c r="AI74" s="14">
        <f t="shared" si="23"/>
        <v>1576.07</v>
      </c>
      <c r="AJ74" s="14" t="str">
        <f t="shared" si="24"/>
        <v>Yes</v>
      </c>
      <c r="AK74" s="14" t="str">
        <f>IF(Y74=0,"N/A",
IF(_xlfn.XLOOKUP(U74,Hotels!A:A,Hotels!C:C)=TRUE,"Yes","No"))</f>
        <v>Yes</v>
      </c>
      <c r="AL74" s="14" t="str">
        <f>IF(N74="Rail","N/A",IF(_xlfn.XLOOKUP(T74,Airlines!A:A,Airlines!C:C)=TRUE,"Yes","No"))</f>
        <v>Yes</v>
      </c>
      <c r="AM74" s="14" t="str">
        <f t="shared" si="25"/>
        <v>No</v>
      </c>
      <c r="AN74" s="14" t="str">
        <f t="shared" si="26"/>
        <v>Yes</v>
      </c>
      <c r="AO74" s="14" t="str">
        <f t="shared" si="27"/>
        <v>Yes</v>
      </c>
      <c r="AP74" s="16" t="s">
        <v>148</v>
      </c>
      <c r="AQ74" t="str">
        <f t="shared" si="28"/>
        <v>No</v>
      </c>
      <c r="AR74" s="21">
        <v>5</v>
      </c>
      <c r="AS74" s="5">
        <v>1783.5</v>
      </c>
      <c r="AT74" s="5" t="str">
        <f>IF(T74="","",_xlfn.XLOOKUP(T74,Airlines!A:A,Airlines!B:B,"Not Found"))</f>
        <v>British Airways</v>
      </c>
      <c r="AU74" s="5" t="str">
        <f>IF(U74="","",_xlfn.XLOOKUP(U74,Hotels!A:A,Hotels!B:B,"Not found"))</f>
        <v>Hilton</v>
      </c>
      <c r="AV74" t="s">
        <v>148</v>
      </c>
      <c r="AW74" s="16" t="str">
        <f t="shared" si="29"/>
        <v>OK</v>
      </c>
      <c r="AX74" s="16" t="str">
        <f t="shared" si="30"/>
        <v>OK</v>
      </c>
      <c r="AY74" s="16" t="str">
        <f t="shared" si="31"/>
        <v>OK</v>
      </c>
      <c r="AZ74" s="16" t="str">
        <f t="shared" si="32"/>
        <v>OK</v>
      </c>
      <c r="BA74" s="16" t="str">
        <f t="shared" si="36"/>
        <v>OK</v>
      </c>
      <c r="BB74" s="21">
        <f>COUNTIF('Trip Changes'!B:B,A74)</f>
        <v>0</v>
      </c>
      <c r="BC74" s="16" t="str">
        <f>IF(OR(AND(AD74="Yes",COUNTIF('Trip Changes'!B:B,A74)&gt;0),AND(AD74="No",COUNTIF('Trip Changes'!B:B,A74)=0)),"OK","Check")</f>
        <v>OK</v>
      </c>
      <c r="BD74" t="str">
        <f t="shared" si="37"/>
        <v>OK</v>
      </c>
      <c r="BE74" t="str">
        <f t="shared" si="38"/>
        <v>OK</v>
      </c>
      <c r="BF74" t="str">
        <f t="shared" si="39"/>
        <v>OK</v>
      </c>
      <c r="BG74" t="str">
        <f t="shared" si="40"/>
        <v>OK</v>
      </c>
      <c r="BH74" t="str">
        <f t="shared" si="41"/>
        <v>OK</v>
      </c>
      <c r="BI74" t="str">
        <f t="shared" si="33"/>
        <v>OK</v>
      </c>
      <c r="BJ74" t="str">
        <f t="shared" si="34"/>
        <v>OK</v>
      </c>
      <c r="BK74" t="str">
        <f t="shared" si="35"/>
        <v>OK</v>
      </c>
    </row>
    <row r="75" spans="1:63">
      <c r="A75" s="16" t="s">
        <v>302</v>
      </c>
      <c r="B75" s="16" t="s">
        <v>300</v>
      </c>
      <c r="C75" s="16" t="s">
        <v>182</v>
      </c>
      <c r="D75" s="16" t="s">
        <v>168</v>
      </c>
      <c r="E75" s="16" t="s">
        <v>139</v>
      </c>
      <c r="F75" s="16" t="s">
        <v>189</v>
      </c>
      <c r="G75" s="15">
        <v>46232</v>
      </c>
      <c r="H75" s="15">
        <v>46233</v>
      </c>
      <c r="I75" s="15">
        <v>46236</v>
      </c>
      <c r="J75" s="15" t="s">
        <v>150</v>
      </c>
      <c r="K75" s="16" t="s">
        <v>182</v>
      </c>
      <c r="L75" t="s">
        <v>151</v>
      </c>
      <c r="M75" s="16" t="s">
        <v>152</v>
      </c>
      <c r="N75" s="16" t="s">
        <v>153</v>
      </c>
      <c r="O75" t="s">
        <v>1614</v>
      </c>
      <c r="P75" s="18">
        <v>1108</v>
      </c>
      <c r="Q75" s="21">
        <v>1</v>
      </c>
      <c r="R75" s="21" t="str">
        <f t="shared" si="21"/>
        <v>0-3 days</v>
      </c>
      <c r="S75" s="16" t="s">
        <v>145</v>
      </c>
      <c r="T75" s="16" t="s">
        <v>154</v>
      </c>
      <c r="U75" s="16" t="s">
        <v>187</v>
      </c>
      <c r="V75" t="str">
        <f>IF(U75="","",IFERROR(VLOOKUP(U75,Hotels!A:B,2,FALSE),"Not Found"))</f>
        <v>IHG Hotels &amp; Resorts</v>
      </c>
      <c r="W75" s="14">
        <v>295.72000000000003</v>
      </c>
      <c r="X75" s="14">
        <v>0</v>
      </c>
      <c r="Y75" s="21">
        <v>2</v>
      </c>
      <c r="Z75" s="29">
        <f t="shared" si="22"/>
        <v>130.67500000000001</v>
      </c>
      <c r="AA75" s="14">
        <v>261.35000000000002</v>
      </c>
      <c r="AB75" s="14">
        <v>44.07</v>
      </c>
      <c r="AC75" s="14">
        <v>601.14</v>
      </c>
      <c r="AD75" s="16" t="s">
        <v>147</v>
      </c>
      <c r="AE75" s="16" t="s">
        <v>147</v>
      </c>
      <c r="AF75" s="14">
        <f>SUMIF('Trip Changes'!$B:$B,A75,'Trip Changes'!$E:$E)</f>
        <v>0</v>
      </c>
      <c r="AG75" s="23">
        <f>SUMIF('Trip Cancellations'!$B:$B,A75,'Trip Cancellations'!$E:$E)</f>
        <v>0</v>
      </c>
      <c r="AH75" s="14">
        <f>SUMIF('Trip Cancellations'!$B:$B,A75,'Trip Cancellations'!$F:$F)</f>
        <v>0</v>
      </c>
      <c r="AI75" s="14">
        <f t="shared" si="23"/>
        <v>601.14</v>
      </c>
      <c r="AJ75" s="14" t="str">
        <f t="shared" si="24"/>
        <v>Yes</v>
      </c>
      <c r="AK75" s="14" t="str">
        <f>IF(Y75=0,"N/A",
IF(_xlfn.XLOOKUP(U75,Hotels!A:A,Hotels!C:C)=TRUE,"Yes","No"))</f>
        <v>Yes</v>
      </c>
      <c r="AL75" s="14" t="str">
        <f>IF(N75="Rail","N/A",IF(_xlfn.XLOOKUP(T75,Airlines!A:A,Airlines!C:C)=TRUE,"Yes","No"))</f>
        <v>Yes</v>
      </c>
      <c r="AM75" s="14" t="str">
        <f t="shared" si="25"/>
        <v>Yes</v>
      </c>
      <c r="AN75" s="14" t="str">
        <f t="shared" si="26"/>
        <v>Yes</v>
      </c>
      <c r="AO75" s="14" t="str">
        <f t="shared" si="27"/>
        <v>Yes</v>
      </c>
      <c r="AP75" s="16" t="s">
        <v>148</v>
      </c>
      <c r="AQ75" t="str">
        <f t="shared" si="28"/>
        <v>Yes</v>
      </c>
      <c r="AR75" s="21">
        <v>4</v>
      </c>
      <c r="AS75" s="5">
        <v>166.2</v>
      </c>
      <c r="AT75" s="5" t="str">
        <f>IF(T75="","",_xlfn.XLOOKUP(T75,Airlines!A:A,Airlines!B:B,"Not Found"))</f>
        <v>British Airways</v>
      </c>
      <c r="AU75" s="5" t="str">
        <f>IF(U75="","",_xlfn.XLOOKUP(U75,Hotels!A:A,Hotels!B:B,"Not found"))</f>
        <v>IHG Hotels &amp; Resorts</v>
      </c>
      <c r="AV75" t="s">
        <v>147</v>
      </c>
      <c r="AW75" s="16" t="str">
        <f t="shared" si="29"/>
        <v>OK</v>
      </c>
      <c r="AX75" s="16" t="str">
        <f t="shared" si="30"/>
        <v>OK</v>
      </c>
      <c r="AY75" s="16" t="str">
        <f t="shared" si="31"/>
        <v>OK</v>
      </c>
      <c r="AZ75" s="16" t="str">
        <f t="shared" si="32"/>
        <v>OK</v>
      </c>
      <c r="BA75" s="16" t="str">
        <f t="shared" si="36"/>
        <v>OK</v>
      </c>
      <c r="BB75" s="21">
        <f>COUNTIF('Trip Changes'!B:B,A75)</f>
        <v>0</v>
      </c>
      <c r="BC75" s="16" t="str">
        <f>IF(OR(AND(AD75="Yes",COUNTIF('Trip Changes'!B:B,A75)&gt;0),AND(AD75="No",COUNTIF('Trip Changes'!B:B,A75)=0)),"OK","Check")</f>
        <v>OK</v>
      </c>
      <c r="BD75" t="str">
        <f t="shared" si="37"/>
        <v>OK</v>
      </c>
      <c r="BE75" t="str">
        <f t="shared" si="38"/>
        <v>OK</v>
      </c>
      <c r="BF75" t="str">
        <f t="shared" si="39"/>
        <v>OK</v>
      </c>
      <c r="BG75" t="str">
        <f t="shared" si="40"/>
        <v>OK</v>
      </c>
      <c r="BH75" t="str">
        <f t="shared" si="41"/>
        <v>OK</v>
      </c>
      <c r="BI75" t="str">
        <f t="shared" si="33"/>
        <v>OK</v>
      </c>
      <c r="BJ75" t="str">
        <f t="shared" si="34"/>
        <v>OK</v>
      </c>
      <c r="BK75" t="str">
        <f t="shared" si="35"/>
        <v>OK</v>
      </c>
    </row>
    <row r="76" spans="1:63">
      <c r="A76" s="16" t="s">
        <v>303</v>
      </c>
      <c r="B76" s="16" t="s">
        <v>304</v>
      </c>
      <c r="C76" s="16" t="s">
        <v>193</v>
      </c>
      <c r="D76" s="16" t="s">
        <v>230</v>
      </c>
      <c r="E76" s="16" t="s">
        <v>262</v>
      </c>
      <c r="F76" s="16" t="s">
        <v>140</v>
      </c>
      <c r="G76" s="15">
        <v>46213</v>
      </c>
      <c r="H76" s="15">
        <v>46229</v>
      </c>
      <c r="I76" s="15">
        <v>46233</v>
      </c>
      <c r="J76" s="15" t="s">
        <v>150</v>
      </c>
      <c r="K76" s="16" t="s">
        <v>193</v>
      </c>
      <c r="L76" t="s">
        <v>305</v>
      </c>
      <c r="M76" s="16" t="s">
        <v>152</v>
      </c>
      <c r="N76" s="16" t="s">
        <v>153</v>
      </c>
      <c r="O76" t="s">
        <v>1614</v>
      </c>
      <c r="P76" s="18">
        <v>10602</v>
      </c>
      <c r="Q76" s="21">
        <v>16</v>
      </c>
      <c r="R76" s="21" t="str">
        <f t="shared" si="21"/>
        <v>15-30 days</v>
      </c>
      <c r="S76" s="16" t="s">
        <v>159</v>
      </c>
      <c r="T76" s="16" t="s">
        <v>186</v>
      </c>
      <c r="U76" s="16" t="s">
        <v>164</v>
      </c>
      <c r="V76" t="str">
        <f>IF(U76="","",IFERROR(VLOOKUP(U76,Hotels!A:B,2,FALSE),"Not Found"))</f>
        <v>Marriott</v>
      </c>
      <c r="W76" s="14">
        <v>1238.23</v>
      </c>
      <c r="X76" s="14">
        <v>0</v>
      </c>
      <c r="Y76" s="21">
        <v>3</v>
      </c>
      <c r="Z76" s="29">
        <f t="shared" si="22"/>
        <v>147.29666666666665</v>
      </c>
      <c r="AA76" s="14">
        <v>441.89</v>
      </c>
      <c r="AB76" s="14">
        <v>89.32</v>
      </c>
      <c r="AC76" s="14">
        <v>1769.44</v>
      </c>
      <c r="AD76" s="16" t="s">
        <v>147</v>
      </c>
      <c r="AE76" s="16" t="s">
        <v>147</v>
      </c>
      <c r="AF76" s="14">
        <f>SUMIF('Trip Changes'!$B:$B,A76,'Trip Changes'!$E:$E)</f>
        <v>0</v>
      </c>
      <c r="AG76" s="23">
        <f>SUMIF('Trip Cancellations'!$B:$B,A76,'Trip Cancellations'!$E:$E)</f>
        <v>0</v>
      </c>
      <c r="AH76" s="14">
        <f>SUMIF('Trip Cancellations'!$B:$B,A76,'Trip Cancellations'!$F:$F)</f>
        <v>0</v>
      </c>
      <c r="AI76" s="14">
        <f t="shared" si="23"/>
        <v>1769.44</v>
      </c>
      <c r="AJ76" s="14" t="str">
        <f t="shared" si="24"/>
        <v>Yes</v>
      </c>
      <c r="AK76" s="14" t="str">
        <f>IF(Y76=0,"N/A",
IF(_xlfn.XLOOKUP(U76,Hotels!A:A,Hotels!C:C)=TRUE,"Yes","No"))</f>
        <v>Yes</v>
      </c>
      <c r="AL76" s="14" t="str">
        <f>IF(N76="Rail","N/A",IF(_xlfn.XLOOKUP(T76,Airlines!A:A,Airlines!C:C)=TRUE,"Yes","No"))</f>
        <v>Yes</v>
      </c>
      <c r="AM76" s="14" t="str">
        <f t="shared" si="25"/>
        <v>Yes</v>
      </c>
      <c r="AN76" s="14" t="str">
        <f t="shared" si="26"/>
        <v>Yes</v>
      </c>
      <c r="AO76" s="14" t="str">
        <f t="shared" si="27"/>
        <v>Yes</v>
      </c>
      <c r="AP76" s="16" t="s">
        <v>148</v>
      </c>
      <c r="AQ76" t="str">
        <f t="shared" si="28"/>
        <v>Yes</v>
      </c>
      <c r="AR76" s="21">
        <v>5</v>
      </c>
      <c r="AS76" s="5">
        <v>1590.3</v>
      </c>
      <c r="AT76" s="5" t="str">
        <f>IF(T76="","",_xlfn.XLOOKUP(T76,Airlines!A:A,Airlines!B:B,"Not Found"))</f>
        <v>Virgin Atlantic</v>
      </c>
      <c r="AU76" s="5" t="str">
        <f>IF(U76="","",_xlfn.XLOOKUP(U76,Hotels!A:A,Hotels!B:B,"Not found"))</f>
        <v>Marriott</v>
      </c>
      <c r="AV76" t="s">
        <v>148</v>
      </c>
      <c r="AW76" s="16" t="str">
        <f t="shared" si="29"/>
        <v>OK</v>
      </c>
      <c r="AX76" s="16" t="str">
        <f t="shared" si="30"/>
        <v>OK</v>
      </c>
      <c r="AY76" s="16" t="str">
        <f t="shared" si="31"/>
        <v>OK</v>
      </c>
      <c r="AZ76" s="16" t="str">
        <f t="shared" si="32"/>
        <v>OK</v>
      </c>
      <c r="BA76" s="16" t="str">
        <f t="shared" si="36"/>
        <v>OK</v>
      </c>
      <c r="BB76" s="21">
        <f>COUNTIF('Trip Changes'!B:B,A76)</f>
        <v>0</v>
      </c>
      <c r="BC76" s="16" t="str">
        <f>IF(OR(AND(AD76="Yes",COUNTIF('Trip Changes'!B:B,A76)&gt;0),AND(AD76="No",COUNTIF('Trip Changes'!B:B,A76)=0)),"OK","Check")</f>
        <v>OK</v>
      </c>
      <c r="BD76" t="str">
        <f t="shared" si="37"/>
        <v>OK</v>
      </c>
      <c r="BE76" t="str">
        <f t="shared" si="38"/>
        <v>OK</v>
      </c>
      <c r="BF76" t="str">
        <f t="shared" si="39"/>
        <v>OK</v>
      </c>
      <c r="BG76" t="str">
        <f t="shared" si="40"/>
        <v>OK</v>
      </c>
      <c r="BH76" t="str">
        <f t="shared" si="41"/>
        <v>OK</v>
      </c>
      <c r="BI76" t="str">
        <f t="shared" si="33"/>
        <v>OK</v>
      </c>
      <c r="BJ76" t="str">
        <f t="shared" si="34"/>
        <v>OK</v>
      </c>
      <c r="BK76" t="str">
        <f t="shared" si="35"/>
        <v>OK</v>
      </c>
    </row>
    <row r="77" spans="1:63">
      <c r="A77" s="16" t="s">
        <v>306</v>
      </c>
      <c r="B77" s="16" t="s">
        <v>304</v>
      </c>
      <c r="C77" s="16" t="s">
        <v>193</v>
      </c>
      <c r="D77" s="16" t="s">
        <v>230</v>
      </c>
      <c r="E77" s="16" t="s">
        <v>262</v>
      </c>
      <c r="F77" s="16" t="s">
        <v>157</v>
      </c>
      <c r="G77" s="15">
        <v>46186</v>
      </c>
      <c r="H77" s="15">
        <v>46212</v>
      </c>
      <c r="I77" s="15">
        <v>46215</v>
      </c>
      <c r="J77" s="15" t="s">
        <v>150</v>
      </c>
      <c r="K77" s="16" t="s">
        <v>193</v>
      </c>
      <c r="L77" t="s">
        <v>307</v>
      </c>
      <c r="M77" s="16" t="s">
        <v>143</v>
      </c>
      <c r="N77" s="16" t="s">
        <v>144</v>
      </c>
      <c r="O77" t="s">
        <v>1630</v>
      </c>
      <c r="P77" s="18">
        <v>1290</v>
      </c>
      <c r="Q77" s="21">
        <v>26</v>
      </c>
      <c r="R77" s="21" t="str">
        <f t="shared" si="21"/>
        <v>15-30 days</v>
      </c>
      <c r="S77" s="16" t="s">
        <v>145</v>
      </c>
      <c r="U77" s="16" t="s">
        <v>146</v>
      </c>
      <c r="V77" t="str">
        <f>IF(U77="","",IFERROR(VLOOKUP(U77,Hotels!A:B,2,FALSE),"Not Found"))</f>
        <v>Premier Inn</v>
      </c>
      <c r="W77" s="14">
        <v>0</v>
      </c>
      <c r="X77" s="14">
        <v>168.53</v>
      </c>
      <c r="Y77" s="21">
        <v>2</v>
      </c>
      <c r="Z77" s="29">
        <f t="shared" si="22"/>
        <v>157.55000000000001</v>
      </c>
      <c r="AA77" s="14">
        <v>315.10000000000002</v>
      </c>
      <c r="AB77" s="14">
        <v>69.709999999999994</v>
      </c>
      <c r="AC77" s="14">
        <v>553.34</v>
      </c>
      <c r="AD77" s="16" t="s">
        <v>147</v>
      </c>
      <c r="AE77" s="16" t="s">
        <v>147</v>
      </c>
      <c r="AF77" s="14">
        <f>SUMIF('Trip Changes'!$B:$B,A77,'Trip Changes'!$E:$E)</f>
        <v>0</v>
      </c>
      <c r="AG77" s="23">
        <f>SUMIF('Trip Cancellations'!$B:$B,A77,'Trip Cancellations'!$E:$E)</f>
        <v>0</v>
      </c>
      <c r="AH77" s="14">
        <f>SUMIF('Trip Cancellations'!$B:$B,A77,'Trip Cancellations'!$F:$F)</f>
        <v>0</v>
      </c>
      <c r="AI77" s="14">
        <f t="shared" si="23"/>
        <v>553.34</v>
      </c>
      <c r="AJ77" s="14" t="str">
        <f t="shared" si="24"/>
        <v>Yes</v>
      </c>
      <c r="AK77" s="14" t="str">
        <f>IF(Y77=0,"N/A",
IF(_xlfn.XLOOKUP(U77,Hotels!A:A,Hotels!C:C)=TRUE,"Yes","No"))</f>
        <v>Yes</v>
      </c>
      <c r="AL77" s="14" t="str">
        <f>IF(N77="Rail","N/A",IF(_xlfn.XLOOKUP(T77,Airlines!A:A,Airlines!C:C)=TRUE,"Yes","No"))</f>
        <v>N/A</v>
      </c>
      <c r="AM77" s="14" t="str">
        <f t="shared" si="25"/>
        <v>Yes</v>
      </c>
      <c r="AN77" s="14" t="str">
        <f t="shared" si="26"/>
        <v>Yes</v>
      </c>
      <c r="AO77" s="14" t="str">
        <f t="shared" si="27"/>
        <v>Yes</v>
      </c>
      <c r="AP77" s="16" t="s">
        <v>148</v>
      </c>
      <c r="AQ77" t="str">
        <f t="shared" si="28"/>
        <v>Yes</v>
      </c>
      <c r="AR77" s="21">
        <v>4</v>
      </c>
      <c r="AS77" s="5">
        <v>51.6</v>
      </c>
      <c r="AT77" s="5" t="str">
        <f>IF(T77="","",_xlfn.XLOOKUP(T77,Airlines!A:A,Airlines!B:B,"Not Found"))</f>
        <v/>
      </c>
      <c r="AU77" s="5" t="str">
        <f>IF(U77="","",_xlfn.XLOOKUP(U77,Hotels!A:A,Hotels!B:B,"Not found"))</f>
        <v>Premier Inn</v>
      </c>
      <c r="AV77" t="s">
        <v>147</v>
      </c>
      <c r="AW77" s="16" t="str">
        <f t="shared" si="29"/>
        <v>OK</v>
      </c>
      <c r="AX77" s="16" t="str">
        <f t="shared" si="30"/>
        <v>OK</v>
      </c>
      <c r="AY77" s="16" t="str">
        <f t="shared" si="31"/>
        <v>OK</v>
      </c>
      <c r="AZ77" s="16" t="str">
        <f t="shared" si="32"/>
        <v>OK</v>
      </c>
      <c r="BA77" s="16" t="str">
        <f t="shared" si="36"/>
        <v>OK</v>
      </c>
      <c r="BB77" s="21">
        <f>COUNTIF('Trip Changes'!B:B,A77)</f>
        <v>0</v>
      </c>
      <c r="BC77" s="16" t="str">
        <f>IF(OR(AND(AD77="Yes",COUNTIF('Trip Changes'!B:B,A77)&gt;0),AND(AD77="No",COUNTIF('Trip Changes'!B:B,A77)=0)),"OK","Check")</f>
        <v>OK</v>
      </c>
      <c r="BD77" t="str">
        <f t="shared" si="37"/>
        <v>OK</v>
      </c>
      <c r="BE77" t="str">
        <f t="shared" si="38"/>
        <v>OK</v>
      </c>
      <c r="BF77" t="str">
        <f t="shared" si="39"/>
        <v>OK</v>
      </c>
      <c r="BG77" t="str">
        <f t="shared" si="40"/>
        <v>OK</v>
      </c>
      <c r="BH77" t="str">
        <f t="shared" si="41"/>
        <v>OK</v>
      </c>
      <c r="BI77" t="str">
        <f t="shared" si="33"/>
        <v>OK</v>
      </c>
      <c r="BJ77" t="str">
        <f t="shared" si="34"/>
        <v>OK</v>
      </c>
      <c r="BK77" t="str">
        <f t="shared" si="35"/>
        <v>OK</v>
      </c>
    </row>
    <row r="78" spans="1:63">
      <c r="A78" s="16" t="s">
        <v>308</v>
      </c>
      <c r="B78" s="16" t="s">
        <v>304</v>
      </c>
      <c r="C78" s="16" t="s">
        <v>193</v>
      </c>
      <c r="D78" s="16" t="s">
        <v>230</v>
      </c>
      <c r="E78" s="16" t="s">
        <v>262</v>
      </c>
      <c r="F78" s="16" t="s">
        <v>157</v>
      </c>
      <c r="G78" s="15">
        <v>46187</v>
      </c>
      <c r="H78" s="15">
        <v>46215</v>
      </c>
      <c r="I78" s="15">
        <v>46220</v>
      </c>
      <c r="J78" s="15" t="s">
        <v>150</v>
      </c>
      <c r="K78" s="16" t="s">
        <v>193</v>
      </c>
      <c r="L78" t="s">
        <v>283</v>
      </c>
      <c r="M78" s="16" t="s">
        <v>152</v>
      </c>
      <c r="N78" s="16" t="s">
        <v>153</v>
      </c>
      <c r="O78" t="s">
        <v>1614</v>
      </c>
      <c r="P78" s="18">
        <v>10548</v>
      </c>
      <c r="Q78" s="21">
        <v>28</v>
      </c>
      <c r="R78" s="21" t="str">
        <f t="shared" si="21"/>
        <v>15-30 days</v>
      </c>
      <c r="S78" s="16" t="s">
        <v>145</v>
      </c>
      <c r="T78" s="16" t="s">
        <v>154</v>
      </c>
      <c r="U78" s="16" t="s">
        <v>155</v>
      </c>
      <c r="V78" t="str">
        <f>IF(U78="","",IFERROR(VLOOKUP(U78,Hotels!A:B,2,FALSE),"Not Found"))</f>
        <v>Hilton</v>
      </c>
      <c r="W78" s="14">
        <v>982.83</v>
      </c>
      <c r="X78" s="14">
        <v>0</v>
      </c>
      <c r="Y78" s="21">
        <v>4</v>
      </c>
      <c r="Z78" s="29">
        <f t="shared" si="22"/>
        <v>200.16249999999999</v>
      </c>
      <c r="AA78" s="14">
        <v>800.65</v>
      </c>
      <c r="AB78" s="14">
        <v>96.81</v>
      </c>
      <c r="AC78" s="14">
        <v>1880.29</v>
      </c>
      <c r="AD78" s="16" t="s">
        <v>147</v>
      </c>
      <c r="AE78" s="16" t="s">
        <v>147</v>
      </c>
      <c r="AF78" s="14">
        <f>SUMIF('Trip Changes'!$B:$B,A78,'Trip Changes'!$E:$E)</f>
        <v>0</v>
      </c>
      <c r="AG78" s="23">
        <f>SUMIF('Trip Cancellations'!$B:$B,A78,'Trip Cancellations'!$E:$E)</f>
        <v>0</v>
      </c>
      <c r="AH78" s="14">
        <f>SUMIF('Trip Cancellations'!$B:$B,A78,'Trip Cancellations'!$F:$F)</f>
        <v>0</v>
      </c>
      <c r="AI78" s="14">
        <f t="shared" si="23"/>
        <v>1880.29</v>
      </c>
      <c r="AJ78" s="14" t="str">
        <f t="shared" si="24"/>
        <v>Yes</v>
      </c>
      <c r="AK78" s="14" t="str">
        <f>IF(Y78=0,"N/A",
IF(_xlfn.XLOOKUP(U78,Hotels!A:A,Hotels!C:C)=TRUE,"Yes","No"))</f>
        <v>Yes</v>
      </c>
      <c r="AL78" s="14" t="str">
        <f>IF(N78="Rail","N/A",IF(_xlfn.XLOOKUP(T78,Airlines!A:A,Airlines!C:C)=TRUE,"Yes","No"))</f>
        <v>Yes</v>
      </c>
      <c r="AM78" s="14" t="str">
        <f t="shared" si="25"/>
        <v>Yes</v>
      </c>
      <c r="AN78" s="14" t="str">
        <f t="shared" si="26"/>
        <v>Yes</v>
      </c>
      <c r="AO78" s="14" t="str">
        <f t="shared" si="27"/>
        <v>Yes</v>
      </c>
      <c r="AP78" s="16" t="s">
        <v>148</v>
      </c>
      <c r="AQ78" t="str">
        <f t="shared" si="28"/>
        <v>Yes</v>
      </c>
      <c r="AR78" s="21">
        <v>4</v>
      </c>
      <c r="AS78" s="5">
        <v>1582.2</v>
      </c>
      <c r="AT78" s="5" t="str">
        <f>IF(T78="","",_xlfn.XLOOKUP(T78,Airlines!A:A,Airlines!B:B,"Not Found"))</f>
        <v>British Airways</v>
      </c>
      <c r="AU78" s="5" t="str">
        <f>IF(U78="","",_xlfn.XLOOKUP(U78,Hotels!A:A,Hotels!B:B,"Not found"))</f>
        <v>Hilton</v>
      </c>
      <c r="AV78" t="s">
        <v>147</v>
      </c>
      <c r="AW78" s="16" t="str">
        <f t="shared" si="29"/>
        <v>OK</v>
      </c>
      <c r="AX78" s="16" t="str">
        <f t="shared" si="30"/>
        <v>OK</v>
      </c>
      <c r="AY78" s="16" t="str">
        <f t="shared" si="31"/>
        <v>OK</v>
      </c>
      <c r="AZ78" s="16" t="str">
        <f t="shared" si="32"/>
        <v>OK</v>
      </c>
      <c r="BA78" s="16" t="str">
        <f t="shared" si="36"/>
        <v>OK</v>
      </c>
      <c r="BB78" s="21">
        <f>COUNTIF('Trip Changes'!B:B,A78)</f>
        <v>0</v>
      </c>
      <c r="BC78" s="16" t="str">
        <f>IF(OR(AND(AD78="Yes",COUNTIF('Trip Changes'!B:B,A78)&gt;0),AND(AD78="No",COUNTIF('Trip Changes'!B:B,A78)=0)),"OK","Check")</f>
        <v>OK</v>
      </c>
      <c r="BD78" t="str">
        <f t="shared" si="37"/>
        <v>OK</v>
      </c>
      <c r="BE78" t="str">
        <f t="shared" si="38"/>
        <v>OK</v>
      </c>
      <c r="BF78" t="str">
        <f t="shared" si="39"/>
        <v>OK</v>
      </c>
      <c r="BG78" t="str">
        <f t="shared" si="40"/>
        <v>OK</v>
      </c>
      <c r="BH78" t="str">
        <f t="shared" si="41"/>
        <v>OK</v>
      </c>
      <c r="BI78" t="str">
        <f t="shared" si="33"/>
        <v>OK</v>
      </c>
      <c r="BJ78" t="str">
        <f t="shared" si="34"/>
        <v>OK</v>
      </c>
      <c r="BK78" t="str">
        <f t="shared" si="35"/>
        <v>OK</v>
      </c>
    </row>
    <row r="79" spans="1:63">
      <c r="A79" s="16" t="s">
        <v>309</v>
      </c>
      <c r="B79" s="16" t="s">
        <v>310</v>
      </c>
      <c r="C79" s="16" t="s">
        <v>257</v>
      </c>
      <c r="D79" s="16" t="s">
        <v>138</v>
      </c>
      <c r="E79" s="16" t="s">
        <v>205</v>
      </c>
      <c r="F79" s="16" t="s">
        <v>162</v>
      </c>
      <c r="G79" s="15">
        <v>46167</v>
      </c>
      <c r="H79" s="15">
        <v>46172</v>
      </c>
      <c r="I79" s="15">
        <v>46174</v>
      </c>
      <c r="J79" s="15" t="s">
        <v>163</v>
      </c>
      <c r="K79" s="16" t="s">
        <v>257</v>
      </c>
      <c r="L79" t="s">
        <v>307</v>
      </c>
      <c r="M79" s="16" t="s">
        <v>143</v>
      </c>
      <c r="N79" s="16" t="s">
        <v>144</v>
      </c>
      <c r="O79" t="s">
        <v>1630</v>
      </c>
      <c r="P79" s="18">
        <v>1056</v>
      </c>
      <c r="Q79" s="21">
        <v>5</v>
      </c>
      <c r="R79" s="21" t="str">
        <f t="shared" si="21"/>
        <v>4-7 days</v>
      </c>
      <c r="S79" s="16" t="s">
        <v>159</v>
      </c>
      <c r="U79" s="16" t="s">
        <v>195</v>
      </c>
      <c r="V79" t="str">
        <f>IF(U79="","",IFERROR(VLOOKUP(U79,Hotels!A:B,2,FALSE),"Not Found"))</f>
        <v>Travelodge</v>
      </c>
      <c r="W79" s="14">
        <v>0</v>
      </c>
      <c r="X79" s="14">
        <v>170.85</v>
      </c>
      <c r="Y79" s="21">
        <v>1</v>
      </c>
      <c r="Z79" s="29">
        <f t="shared" si="22"/>
        <v>194.09</v>
      </c>
      <c r="AA79" s="14">
        <v>194.09</v>
      </c>
      <c r="AB79" s="14">
        <v>20</v>
      </c>
      <c r="AC79" s="14">
        <v>384.94</v>
      </c>
      <c r="AD79" s="16" t="s">
        <v>148</v>
      </c>
      <c r="AE79" s="16" t="s">
        <v>147</v>
      </c>
      <c r="AF79" s="14">
        <f>SUMIF('Trip Changes'!$B:$B,A79,'Trip Changes'!$E:$E)</f>
        <v>82.26</v>
      </c>
      <c r="AG79" s="23">
        <f>SUMIF('Trip Cancellations'!$B:$B,A79,'Trip Cancellations'!$E:$E)</f>
        <v>0</v>
      </c>
      <c r="AH79" s="14">
        <f>SUMIF('Trip Cancellations'!$B:$B,A79,'Trip Cancellations'!$F:$F)</f>
        <v>0</v>
      </c>
      <c r="AI79" s="14">
        <f t="shared" si="23"/>
        <v>467.2</v>
      </c>
      <c r="AJ79" s="14" t="str">
        <f t="shared" si="24"/>
        <v>Yes</v>
      </c>
      <c r="AK79" s="14" t="str">
        <f>IF(Y79=0,"N/A",
IF(_xlfn.XLOOKUP(U79,Hotels!A:A,Hotels!C:C)=TRUE,"Yes","No"))</f>
        <v>No</v>
      </c>
      <c r="AL79" s="14" t="str">
        <f>IF(N79="Rail","N/A",IF(_xlfn.XLOOKUP(T79,Airlines!A:A,Airlines!C:C)=TRUE,"Yes","No"))</f>
        <v>N/A</v>
      </c>
      <c r="AM79" s="14" t="str">
        <f t="shared" si="25"/>
        <v>Yes</v>
      </c>
      <c r="AN79" s="14" t="str">
        <f t="shared" si="26"/>
        <v>Yes</v>
      </c>
      <c r="AO79" s="14" t="str">
        <f t="shared" si="27"/>
        <v>No</v>
      </c>
      <c r="AP79" s="16" t="s">
        <v>148</v>
      </c>
      <c r="AQ79" t="str">
        <f t="shared" si="28"/>
        <v>No</v>
      </c>
      <c r="AR79" s="21">
        <v>3</v>
      </c>
      <c r="AS79" s="5">
        <v>42.2</v>
      </c>
      <c r="AT79" s="5" t="str">
        <f>IF(T79="","",_xlfn.XLOOKUP(T79,Airlines!A:A,Airlines!B:B,"Not Found"))</f>
        <v/>
      </c>
      <c r="AU79" s="5" t="str">
        <f>IF(U79="","",_xlfn.XLOOKUP(U79,Hotels!A:A,Hotels!B:B,"Not found"))</f>
        <v>Travelodge</v>
      </c>
      <c r="AV79" t="s">
        <v>147</v>
      </c>
      <c r="AW79" s="16" t="str">
        <f t="shared" si="29"/>
        <v>OK</v>
      </c>
      <c r="AX79" s="16" t="str">
        <f t="shared" si="30"/>
        <v>OK</v>
      </c>
      <c r="AY79" s="16" t="str">
        <f t="shared" si="31"/>
        <v>OK</v>
      </c>
      <c r="AZ79" s="16" t="str">
        <f t="shared" si="32"/>
        <v>OK</v>
      </c>
      <c r="BA79" s="16" t="str">
        <f t="shared" si="36"/>
        <v>OK</v>
      </c>
      <c r="BB79" s="21">
        <f>COUNTIF('Trip Changes'!B:B,A79)</f>
        <v>1</v>
      </c>
      <c r="BC79" s="16" t="str">
        <f>IF(OR(AND(AD79="Yes",COUNTIF('Trip Changes'!B:B,A79)&gt;0),AND(AD79="No",COUNTIF('Trip Changes'!B:B,A79)=0)),"OK","Check")</f>
        <v>OK</v>
      </c>
      <c r="BD79" t="str">
        <f t="shared" si="37"/>
        <v>OK</v>
      </c>
      <c r="BE79" t="str">
        <f t="shared" si="38"/>
        <v>OK</v>
      </c>
      <c r="BF79" t="str">
        <f t="shared" si="39"/>
        <v>OK</v>
      </c>
      <c r="BG79" t="str">
        <f t="shared" si="40"/>
        <v>OK</v>
      </c>
      <c r="BH79" t="str">
        <f t="shared" si="41"/>
        <v>OK</v>
      </c>
      <c r="BI79" t="str">
        <f t="shared" si="33"/>
        <v>OK</v>
      </c>
      <c r="BJ79" t="str">
        <f t="shared" si="34"/>
        <v>OK</v>
      </c>
      <c r="BK79" t="str">
        <f t="shared" si="35"/>
        <v>OK</v>
      </c>
    </row>
    <row r="80" spans="1:63">
      <c r="A80" s="16" t="s">
        <v>311</v>
      </c>
      <c r="B80" s="16" t="s">
        <v>310</v>
      </c>
      <c r="C80" s="16" t="s">
        <v>257</v>
      </c>
      <c r="D80" s="16" t="s">
        <v>138</v>
      </c>
      <c r="E80" s="16" t="s">
        <v>205</v>
      </c>
      <c r="F80" s="16" t="s">
        <v>170</v>
      </c>
      <c r="G80" s="15">
        <v>46165</v>
      </c>
      <c r="H80" s="15">
        <v>46166</v>
      </c>
      <c r="I80" s="15">
        <v>46168</v>
      </c>
      <c r="J80" s="15" t="s">
        <v>163</v>
      </c>
      <c r="K80" s="16" t="s">
        <v>257</v>
      </c>
      <c r="L80" t="s">
        <v>185</v>
      </c>
      <c r="M80" s="16" t="s">
        <v>152</v>
      </c>
      <c r="N80" s="16" t="s">
        <v>153</v>
      </c>
      <c r="O80" t="s">
        <v>1632</v>
      </c>
      <c r="P80" s="18">
        <v>10436</v>
      </c>
      <c r="Q80" s="21">
        <v>1</v>
      </c>
      <c r="R80" s="21" t="str">
        <f t="shared" si="21"/>
        <v>0-3 days</v>
      </c>
      <c r="S80" s="16" t="s">
        <v>145</v>
      </c>
      <c r="T80" s="16" t="s">
        <v>186</v>
      </c>
      <c r="U80" s="16" t="s">
        <v>173</v>
      </c>
      <c r="V80" t="str">
        <f>IF(U80="","",IFERROR(VLOOKUP(U80,Hotels!A:B,2,FALSE),"Not Found"))</f>
        <v>Accor</v>
      </c>
      <c r="W80" s="14">
        <v>613.6</v>
      </c>
      <c r="X80" s="14">
        <v>0</v>
      </c>
      <c r="Y80" s="21">
        <v>1</v>
      </c>
      <c r="Z80" s="29">
        <f t="shared" si="22"/>
        <v>217.3</v>
      </c>
      <c r="AA80" s="14">
        <v>217.3</v>
      </c>
      <c r="AB80" s="14">
        <v>101.52</v>
      </c>
      <c r="AC80" s="14">
        <v>932.42</v>
      </c>
      <c r="AD80" s="16" t="s">
        <v>147</v>
      </c>
      <c r="AE80" s="16" t="s">
        <v>147</v>
      </c>
      <c r="AF80" s="14">
        <f>SUMIF('Trip Changes'!$B:$B,A80,'Trip Changes'!$E:$E)</f>
        <v>0</v>
      </c>
      <c r="AG80" s="23">
        <f>SUMIF('Trip Cancellations'!$B:$B,A80,'Trip Cancellations'!$E:$E)</f>
        <v>0</v>
      </c>
      <c r="AH80" s="14">
        <f>SUMIF('Trip Cancellations'!$B:$B,A80,'Trip Cancellations'!$F:$F)</f>
        <v>0</v>
      </c>
      <c r="AI80" s="14">
        <f t="shared" si="23"/>
        <v>932.42</v>
      </c>
      <c r="AJ80" s="14" t="str">
        <f t="shared" si="24"/>
        <v>Yes</v>
      </c>
      <c r="AK80" s="14" t="str">
        <f>IF(Y80=0,"N/A",
IF(_xlfn.XLOOKUP(U80,Hotels!A:A,Hotels!C:C)=TRUE,"Yes","No"))</f>
        <v>Yes</v>
      </c>
      <c r="AL80" s="14" t="str">
        <f>IF(N80="Rail","N/A",IF(_xlfn.XLOOKUP(T80,Airlines!A:A,Airlines!C:C)=TRUE,"Yes","No"))</f>
        <v>Yes</v>
      </c>
      <c r="AM80" s="14" t="str">
        <f t="shared" si="25"/>
        <v>No</v>
      </c>
      <c r="AN80" s="14" t="str">
        <f t="shared" si="26"/>
        <v>Yes</v>
      </c>
      <c r="AO80" s="14" t="str">
        <f t="shared" si="27"/>
        <v>Yes</v>
      </c>
      <c r="AP80" s="16" t="s">
        <v>148</v>
      </c>
      <c r="AQ80" t="str">
        <f t="shared" si="28"/>
        <v>No</v>
      </c>
      <c r="AR80" s="21">
        <v>5</v>
      </c>
      <c r="AS80" s="5">
        <v>1565.4</v>
      </c>
      <c r="AT80" s="5" t="str">
        <f>IF(T80="","",_xlfn.XLOOKUP(T80,Airlines!A:A,Airlines!B:B,"Not Found"))</f>
        <v>Virgin Atlantic</v>
      </c>
      <c r="AU80" s="5" t="str">
        <f>IF(U80="","",_xlfn.XLOOKUP(U80,Hotels!A:A,Hotels!B:B,"Not found"))</f>
        <v>Accor</v>
      </c>
      <c r="AV80" t="s">
        <v>147</v>
      </c>
      <c r="AW80" s="16" t="str">
        <f t="shared" si="29"/>
        <v>OK</v>
      </c>
      <c r="AX80" s="16" t="str">
        <f t="shared" si="30"/>
        <v>OK</v>
      </c>
      <c r="AY80" s="16" t="str">
        <f t="shared" si="31"/>
        <v>OK</v>
      </c>
      <c r="AZ80" s="16" t="str">
        <f t="shared" si="32"/>
        <v>OK</v>
      </c>
      <c r="BA80" s="16" t="str">
        <f t="shared" si="36"/>
        <v>OK</v>
      </c>
      <c r="BB80" s="21">
        <f>COUNTIF('Trip Changes'!B:B,A80)</f>
        <v>0</v>
      </c>
      <c r="BC80" s="16" t="str">
        <f>IF(OR(AND(AD80="Yes",COUNTIF('Trip Changes'!B:B,A80)&gt;0),AND(AD80="No",COUNTIF('Trip Changes'!B:B,A80)=0)),"OK","Check")</f>
        <v>OK</v>
      </c>
      <c r="BD80" t="str">
        <f t="shared" si="37"/>
        <v>OK</v>
      </c>
      <c r="BE80" t="str">
        <f t="shared" si="38"/>
        <v>OK</v>
      </c>
      <c r="BF80" t="str">
        <f t="shared" si="39"/>
        <v>OK</v>
      </c>
      <c r="BG80" t="str">
        <f t="shared" si="40"/>
        <v>OK</v>
      </c>
      <c r="BH80" t="str">
        <f t="shared" si="41"/>
        <v>OK</v>
      </c>
      <c r="BI80" t="str">
        <f t="shared" si="33"/>
        <v>OK</v>
      </c>
      <c r="BJ80" t="str">
        <f t="shared" si="34"/>
        <v>OK</v>
      </c>
      <c r="BK80" t="str">
        <f t="shared" si="35"/>
        <v>OK</v>
      </c>
    </row>
    <row r="81" spans="1:63">
      <c r="A81" s="16" t="s">
        <v>312</v>
      </c>
      <c r="B81" s="16" t="s">
        <v>310</v>
      </c>
      <c r="C81" s="16" t="s">
        <v>257</v>
      </c>
      <c r="D81" s="16" t="s">
        <v>138</v>
      </c>
      <c r="E81" s="16" t="s">
        <v>205</v>
      </c>
      <c r="F81" s="16" t="s">
        <v>181</v>
      </c>
      <c r="G81" s="15">
        <v>46213</v>
      </c>
      <c r="H81" s="15">
        <v>46222</v>
      </c>
      <c r="I81" s="15">
        <v>46224</v>
      </c>
      <c r="J81" s="15" t="s">
        <v>150</v>
      </c>
      <c r="K81" s="16" t="s">
        <v>257</v>
      </c>
      <c r="L81" t="s">
        <v>199</v>
      </c>
      <c r="M81" s="16" t="s">
        <v>152</v>
      </c>
      <c r="N81" s="16" t="s">
        <v>153</v>
      </c>
      <c r="O81" t="s">
        <v>1614</v>
      </c>
      <c r="P81" s="18">
        <v>3106</v>
      </c>
      <c r="Q81" s="21">
        <v>9</v>
      </c>
      <c r="R81" s="21" t="str">
        <f t="shared" si="21"/>
        <v>8-14 days</v>
      </c>
      <c r="S81" s="16" t="s">
        <v>145</v>
      </c>
      <c r="T81" s="16" t="s">
        <v>200</v>
      </c>
      <c r="U81" s="16" t="s">
        <v>190</v>
      </c>
      <c r="V81" t="str">
        <f>IF(U81="","",IFERROR(VLOOKUP(U81,Hotels!A:B,2,FALSE),"Not Found"))</f>
        <v>Radisson Hotel Group</v>
      </c>
      <c r="W81" s="14">
        <v>619.87</v>
      </c>
      <c r="X81" s="14">
        <v>0</v>
      </c>
      <c r="Y81" s="21">
        <v>1</v>
      </c>
      <c r="Z81" s="29">
        <f t="shared" si="22"/>
        <v>110.46</v>
      </c>
      <c r="AA81" s="14">
        <v>110.46</v>
      </c>
      <c r="AB81" s="14">
        <v>93.29</v>
      </c>
      <c r="AC81" s="14">
        <v>823.62</v>
      </c>
      <c r="AD81" s="16" t="s">
        <v>147</v>
      </c>
      <c r="AE81" s="16" t="s">
        <v>147</v>
      </c>
      <c r="AF81" s="14">
        <f>SUMIF('Trip Changes'!$B:$B,A81,'Trip Changes'!$E:$E)</f>
        <v>0</v>
      </c>
      <c r="AG81" s="23">
        <f>SUMIF('Trip Cancellations'!$B:$B,A81,'Trip Cancellations'!$E:$E)</f>
        <v>0</v>
      </c>
      <c r="AH81" s="14">
        <f>SUMIF('Trip Cancellations'!$B:$B,A81,'Trip Cancellations'!$F:$F)</f>
        <v>0</v>
      </c>
      <c r="AI81" s="14">
        <f t="shared" si="23"/>
        <v>823.62</v>
      </c>
      <c r="AJ81" s="14" t="str">
        <f t="shared" si="24"/>
        <v>Yes</v>
      </c>
      <c r="AK81" s="14" t="str">
        <f>IF(Y81=0,"N/A",
IF(_xlfn.XLOOKUP(U81,Hotels!A:A,Hotels!C:C)=TRUE,"Yes","No"))</f>
        <v>No</v>
      </c>
      <c r="AL81" s="14" t="str">
        <f>IF(N81="Rail","N/A",IF(_xlfn.XLOOKUP(T81,Airlines!A:A,Airlines!C:C)=TRUE,"Yes","No"))</f>
        <v>Yes</v>
      </c>
      <c r="AM81" s="14" t="str">
        <f t="shared" si="25"/>
        <v>Yes</v>
      </c>
      <c r="AN81" s="14" t="str">
        <f t="shared" si="26"/>
        <v>Yes</v>
      </c>
      <c r="AO81" s="14" t="str">
        <f t="shared" si="27"/>
        <v>No</v>
      </c>
      <c r="AP81" s="16" t="s">
        <v>148</v>
      </c>
      <c r="AQ81" t="str">
        <f t="shared" si="28"/>
        <v>No</v>
      </c>
      <c r="AR81" s="21">
        <v>5</v>
      </c>
      <c r="AS81" s="5">
        <v>465.9</v>
      </c>
      <c r="AT81" s="5" t="str">
        <f>IF(T81="","",_xlfn.XLOOKUP(T81,Airlines!A:A,Airlines!B:B,"Not Found"))</f>
        <v>Aer Lingus</v>
      </c>
      <c r="AU81" s="5" t="str">
        <f>IF(U81="","",_xlfn.XLOOKUP(U81,Hotels!A:A,Hotels!B:B,"Not found"))</f>
        <v>Radisson Hotel Group</v>
      </c>
      <c r="AV81" t="s">
        <v>147</v>
      </c>
      <c r="AW81" s="16" t="str">
        <f t="shared" si="29"/>
        <v>OK</v>
      </c>
      <c r="AX81" s="16" t="str">
        <f t="shared" si="30"/>
        <v>OK</v>
      </c>
      <c r="AY81" s="16" t="str">
        <f t="shared" si="31"/>
        <v>OK</v>
      </c>
      <c r="AZ81" s="16" t="str">
        <f t="shared" si="32"/>
        <v>OK</v>
      </c>
      <c r="BA81" s="16" t="str">
        <f t="shared" si="36"/>
        <v>OK</v>
      </c>
      <c r="BB81" s="21">
        <f>COUNTIF('Trip Changes'!B:B,A81)</f>
        <v>0</v>
      </c>
      <c r="BC81" s="16" t="str">
        <f>IF(OR(AND(AD81="Yes",COUNTIF('Trip Changes'!B:B,A81)&gt;0),AND(AD81="No",COUNTIF('Trip Changes'!B:B,A81)=0)),"OK","Check")</f>
        <v>OK</v>
      </c>
      <c r="BD81" t="str">
        <f t="shared" si="37"/>
        <v>OK</v>
      </c>
      <c r="BE81" t="str">
        <f t="shared" si="38"/>
        <v>OK</v>
      </c>
      <c r="BF81" t="str">
        <f t="shared" si="39"/>
        <v>OK</v>
      </c>
      <c r="BG81" t="str">
        <f t="shared" si="40"/>
        <v>OK</v>
      </c>
      <c r="BH81" t="str">
        <f t="shared" si="41"/>
        <v>OK</v>
      </c>
      <c r="BI81" t="str">
        <f t="shared" si="33"/>
        <v>OK</v>
      </c>
      <c r="BJ81" t="str">
        <f t="shared" si="34"/>
        <v>OK</v>
      </c>
      <c r="BK81" t="str">
        <f t="shared" si="35"/>
        <v>OK</v>
      </c>
    </row>
    <row r="82" spans="1:63">
      <c r="A82" s="16" t="s">
        <v>313</v>
      </c>
      <c r="B82" s="16" t="s">
        <v>314</v>
      </c>
      <c r="C82" s="16" t="s">
        <v>142</v>
      </c>
      <c r="D82" s="16" t="s">
        <v>230</v>
      </c>
      <c r="E82" s="16" t="s">
        <v>268</v>
      </c>
      <c r="F82" s="16" t="s">
        <v>189</v>
      </c>
      <c r="G82" s="15">
        <v>46183</v>
      </c>
      <c r="H82" s="15">
        <v>46201</v>
      </c>
      <c r="I82" s="15">
        <v>46205</v>
      </c>
      <c r="J82" s="15" t="s">
        <v>141</v>
      </c>
      <c r="K82" s="16" t="s">
        <v>142</v>
      </c>
      <c r="L82" t="s">
        <v>171</v>
      </c>
      <c r="M82" s="16" t="s">
        <v>152</v>
      </c>
      <c r="N82" s="16" t="s">
        <v>153</v>
      </c>
      <c r="O82" t="s">
        <v>1614</v>
      </c>
      <c r="P82" s="18">
        <v>1304</v>
      </c>
      <c r="Q82" s="21">
        <v>18</v>
      </c>
      <c r="R82" s="21" t="str">
        <f t="shared" si="21"/>
        <v>15-30 days</v>
      </c>
      <c r="S82" s="16" t="s">
        <v>216</v>
      </c>
      <c r="T82" s="16" t="s">
        <v>172</v>
      </c>
      <c r="U82" s="16" t="s">
        <v>164</v>
      </c>
      <c r="V82" t="str">
        <f>IF(U82="","",IFERROR(VLOOKUP(U82,Hotels!A:B,2,FALSE),"Not Found"))</f>
        <v>Marriott</v>
      </c>
      <c r="W82" s="14">
        <v>595.4</v>
      </c>
      <c r="X82" s="14">
        <v>0</v>
      </c>
      <c r="Y82" s="21">
        <v>3</v>
      </c>
      <c r="Z82" s="29">
        <f t="shared" si="22"/>
        <v>119.70666666666666</v>
      </c>
      <c r="AA82" s="14">
        <v>359.12</v>
      </c>
      <c r="AB82" s="14">
        <v>85.97</v>
      </c>
      <c r="AC82" s="14">
        <v>1040.49</v>
      </c>
      <c r="AD82" s="16" t="s">
        <v>147</v>
      </c>
      <c r="AE82" s="16" t="s">
        <v>147</v>
      </c>
      <c r="AF82" s="14">
        <f>SUMIF('Trip Changes'!$B:$B,A82,'Trip Changes'!$E:$E)</f>
        <v>0</v>
      </c>
      <c r="AG82" s="23">
        <f>SUMIF('Trip Cancellations'!$B:$B,A82,'Trip Cancellations'!$E:$E)</f>
        <v>0</v>
      </c>
      <c r="AH82" s="14">
        <f>SUMIF('Trip Cancellations'!$B:$B,A82,'Trip Cancellations'!$F:$F)</f>
        <v>0</v>
      </c>
      <c r="AI82" s="14">
        <f t="shared" si="23"/>
        <v>1040.49</v>
      </c>
      <c r="AJ82" s="14" t="str">
        <f t="shared" si="24"/>
        <v>Yes</v>
      </c>
      <c r="AK82" s="14" t="str">
        <f>IF(Y82=0,"N/A",
IF(_xlfn.XLOOKUP(U82,Hotels!A:A,Hotels!C:C)=TRUE,"Yes","No"))</f>
        <v>Yes</v>
      </c>
      <c r="AL82" s="14" t="str">
        <f>IF(N82="Rail","N/A",IF(_xlfn.XLOOKUP(T82,Airlines!A:A,Airlines!C:C)=TRUE,"Yes","No"))</f>
        <v>Yes</v>
      </c>
      <c r="AM82" s="14" t="str">
        <f t="shared" si="25"/>
        <v>Yes</v>
      </c>
      <c r="AN82" s="14" t="str">
        <f t="shared" si="26"/>
        <v>No</v>
      </c>
      <c r="AO82" s="14" t="str">
        <f t="shared" si="27"/>
        <v>Yes</v>
      </c>
      <c r="AP82" s="16" t="s">
        <v>148</v>
      </c>
      <c r="AQ82" t="str">
        <f t="shared" si="28"/>
        <v>No</v>
      </c>
      <c r="AR82" s="21">
        <v>4</v>
      </c>
      <c r="AS82" s="5">
        <v>195.6</v>
      </c>
      <c r="AT82" s="5" t="str">
        <f>IF(T82="","",_xlfn.XLOOKUP(T82,Airlines!A:A,Airlines!B:B,"Not Found"))</f>
        <v>Lufthansa</v>
      </c>
      <c r="AU82" s="5" t="str">
        <f>IF(U82="","",_xlfn.XLOOKUP(U82,Hotels!A:A,Hotels!B:B,"Not found"))</f>
        <v>Marriott</v>
      </c>
      <c r="AV82" t="s">
        <v>147</v>
      </c>
      <c r="AW82" s="16" t="str">
        <f t="shared" si="29"/>
        <v>OK</v>
      </c>
      <c r="AX82" s="16" t="str">
        <f t="shared" si="30"/>
        <v>OK</v>
      </c>
      <c r="AY82" s="16" t="str">
        <f t="shared" si="31"/>
        <v>OK</v>
      </c>
      <c r="AZ82" s="16" t="str">
        <f t="shared" si="32"/>
        <v>OK</v>
      </c>
      <c r="BA82" s="16" t="str">
        <f t="shared" si="36"/>
        <v>OK</v>
      </c>
      <c r="BB82" s="21">
        <f>COUNTIF('Trip Changes'!B:B,A82)</f>
        <v>0</v>
      </c>
      <c r="BC82" s="16" t="str">
        <f>IF(OR(AND(AD82="Yes",COUNTIF('Trip Changes'!B:B,A82)&gt;0),AND(AD82="No",COUNTIF('Trip Changes'!B:B,A82)=0)),"OK","Check")</f>
        <v>OK</v>
      </c>
      <c r="BD82" t="str">
        <f t="shared" si="37"/>
        <v>OK</v>
      </c>
      <c r="BE82" t="str">
        <f t="shared" si="38"/>
        <v>OK</v>
      </c>
      <c r="BF82" t="str">
        <f t="shared" si="39"/>
        <v>OK</v>
      </c>
      <c r="BG82" t="str">
        <f t="shared" si="40"/>
        <v>OK</v>
      </c>
      <c r="BH82" t="str">
        <f t="shared" si="41"/>
        <v>OK</v>
      </c>
      <c r="BI82" t="str">
        <f t="shared" si="33"/>
        <v>OK</v>
      </c>
      <c r="BJ82" t="str">
        <f t="shared" si="34"/>
        <v>OK</v>
      </c>
      <c r="BK82" t="str">
        <f t="shared" si="35"/>
        <v>OK</v>
      </c>
    </row>
    <row r="83" spans="1:63">
      <c r="A83" s="16" t="s">
        <v>315</v>
      </c>
      <c r="B83" s="16" t="s">
        <v>314</v>
      </c>
      <c r="C83" s="16" t="s">
        <v>142</v>
      </c>
      <c r="D83" s="16" t="s">
        <v>230</v>
      </c>
      <c r="E83" s="16" t="s">
        <v>268</v>
      </c>
      <c r="F83" s="16" t="s">
        <v>178</v>
      </c>
      <c r="G83" s="15">
        <v>46192</v>
      </c>
      <c r="H83" s="15">
        <v>46218</v>
      </c>
      <c r="I83" s="15">
        <v>46220</v>
      </c>
      <c r="J83" s="15" t="s">
        <v>150</v>
      </c>
      <c r="K83" s="16" t="s">
        <v>142</v>
      </c>
      <c r="L83" t="s">
        <v>185</v>
      </c>
      <c r="M83" s="16" t="s">
        <v>152</v>
      </c>
      <c r="N83" s="16" t="s">
        <v>153</v>
      </c>
      <c r="O83" t="s">
        <v>1614</v>
      </c>
      <c r="P83" s="18">
        <v>10014</v>
      </c>
      <c r="Q83" s="21">
        <v>26</v>
      </c>
      <c r="R83" s="21" t="str">
        <f t="shared" si="21"/>
        <v>15-30 days</v>
      </c>
      <c r="S83" s="16" t="s">
        <v>216</v>
      </c>
      <c r="T83" s="16" t="s">
        <v>278</v>
      </c>
      <c r="U83" s="16" t="s">
        <v>164</v>
      </c>
      <c r="V83" t="str">
        <f>IF(U83="","",IFERROR(VLOOKUP(U83,Hotels!A:B,2,FALSE),"Not Found"))</f>
        <v>Marriott</v>
      </c>
      <c r="W83" s="14">
        <v>1085.2</v>
      </c>
      <c r="X83" s="14">
        <v>0</v>
      </c>
      <c r="Y83" s="21">
        <v>1</v>
      </c>
      <c r="Z83" s="29">
        <f t="shared" si="22"/>
        <v>130.63</v>
      </c>
      <c r="AA83" s="14">
        <v>130.63</v>
      </c>
      <c r="AB83" s="14">
        <v>96.45</v>
      </c>
      <c r="AC83" s="14">
        <v>1312.28</v>
      </c>
      <c r="AD83" s="16" t="s">
        <v>147</v>
      </c>
      <c r="AE83" s="16" t="s">
        <v>147</v>
      </c>
      <c r="AF83" s="14">
        <f>SUMIF('Trip Changes'!$B:$B,A83,'Trip Changes'!$E:$E)</f>
        <v>0</v>
      </c>
      <c r="AG83" s="23">
        <f>SUMIF('Trip Cancellations'!$B:$B,A83,'Trip Cancellations'!$E:$E)</f>
        <v>0</v>
      </c>
      <c r="AH83" s="14">
        <f>SUMIF('Trip Cancellations'!$B:$B,A83,'Trip Cancellations'!$F:$F)</f>
        <v>0</v>
      </c>
      <c r="AI83" s="14">
        <f t="shared" si="23"/>
        <v>1312.28</v>
      </c>
      <c r="AJ83" s="14" t="str">
        <f t="shared" si="24"/>
        <v>Yes</v>
      </c>
      <c r="AK83" s="14" t="str">
        <f>IF(Y83=0,"N/A",
IF(_xlfn.XLOOKUP(U83,Hotels!A:A,Hotels!C:C)=TRUE,"Yes","No"))</f>
        <v>Yes</v>
      </c>
      <c r="AL83" s="14" t="str">
        <f>IF(N83="Rail","N/A",IF(_xlfn.XLOOKUP(T83,Airlines!A:A,Airlines!C:C)=TRUE,"Yes","No"))</f>
        <v>No</v>
      </c>
      <c r="AM83" s="14" t="str">
        <f t="shared" si="25"/>
        <v>Yes</v>
      </c>
      <c r="AN83" s="14" t="str">
        <f t="shared" si="26"/>
        <v>No</v>
      </c>
      <c r="AO83" s="14" t="str">
        <f t="shared" si="27"/>
        <v>No</v>
      </c>
      <c r="AP83" s="16" t="s">
        <v>147</v>
      </c>
      <c r="AQ83" t="str">
        <f t="shared" si="28"/>
        <v>No</v>
      </c>
      <c r="AR83" s="21">
        <v>5</v>
      </c>
      <c r="AS83" s="5">
        <v>1502.1</v>
      </c>
      <c r="AT83" s="5" t="str">
        <f>IF(T83="","",_xlfn.XLOOKUP(T83,Airlines!A:A,Airlines!B:B,"Not Found"))</f>
        <v>United Airlines</v>
      </c>
      <c r="AU83" s="5" t="str">
        <f>IF(U83="","",_xlfn.XLOOKUP(U83,Hotels!A:A,Hotels!B:B,"Not found"))</f>
        <v>Marriott</v>
      </c>
      <c r="AV83" t="s">
        <v>148</v>
      </c>
      <c r="AW83" s="16" t="str">
        <f t="shared" si="29"/>
        <v>OK</v>
      </c>
      <c r="AX83" s="16" t="str">
        <f t="shared" si="30"/>
        <v>OK</v>
      </c>
      <c r="AY83" s="16" t="str">
        <f t="shared" si="31"/>
        <v>OK</v>
      </c>
      <c r="AZ83" s="16" t="str">
        <f t="shared" si="32"/>
        <v>OK</v>
      </c>
      <c r="BA83" s="16" t="str">
        <f t="shared" si="36"/>
        <v>OK</v>
      </c>
      <c r="BB83" s="21">
        <f>COUNTIF('Trip Changes'!B:B,A83)</f>
        <v>0</v>
      </c>
      <c r="BC83" s="16" t="str">
        <f>IF(OR(AND(AD83="Yes",COUNTIF('Trip Changes'!B:B,A83)&gt;0),AND(AD83="No",COUNTIF('Trip Changes'!B:B,A83)=0)),"OK","Check")</f>
        <v>OK</v>
      </c>
      <c r="BD83" t="str">
        <f t="shared" si="37"/>
        <v>OK</v>
      </c>
      <c r="BE83" t="str">
        <f t="shared" si="38"/>
        <v>OK</v>
      </c>
      <c r="BF83" t="str">
        <f t="shared" si="39"/>
        <v>OK</v>
      </c>
      <c r="BG83" t="str">
        <f t="shared" si="40"/>
        <v>OK</v>
      </c>
      <c r="BH83" t="str">
        <f t="shared" si="41"/>
        <v>OK</v>
      </c>
      <c r="BI83" t="str">
        <f t="shared" si="33"/>
        <v>OK</v>
      </c>
      <c r="BJ83" t="str">
        <f t="shared" si="34"/>
        <v>OK</v>
      </c>
      <c r="BK83" t="str">
        <f t="shared" si="35"/>
        <v>OK</v>
      </c>
    </row>
    <row r="84" spans="1:63">
      <c r="A84" s="16" t="s">
        <v>316</v>
      </c>
      <c r="B84" s="16" t="s">
        <v>314</v>
      </c>
      <c r="C84" s="16" t="s">
        <v>142</v>
      </c>
      <c r="D84" s="16" t="s">
        <v>230</v>
      </c>
      <c r="E84" s="16" t="s">
        <v>268</v>
      </c>
      <c r="F84" s="16" t="s">
        <v>162</v>
      </c>
      <c r="G84" s="15">
        <v>46191</v>
      </c>
      <c r="H84" s="15">
        <v>46212</v>
      </c>
      <c r="I84" s="15">
        <v>46216</v>
      </c>
      <c r="J84" s="15" t="s">
        <v>150</v>
      </c>
      <c r="K84" s="16" t="s">
        <v>142</v>
      </c>
      <c r="L84" t="s">
        <v>227</v>
      </c>
      <c r="M84" s="16" t="s">
        <v>152</v>
      </c>
      <c r="N84" s="16" t="s">
        <v>153</v>
      </c>
      <c r="O84" t="s">
        <v>1614</v>
      </c>
      <c r="P84" s="18">
        <v>2526</v>
      </c>
      <c r="Q84" s="21">
        <v>21</v>
      </c>
      <c r="R84" s="21" t="str">
        <f t="shared" si="21"/>
        <v>15-30 days</v>
      </c>
      <c r="S84" s="16" t="s">
        <v>159</v>
      </c>
      <c r="T84" s="16" t="s">
        <v>236</v>
      </c>
      <c r="U84" s="16" t="s">
        <v>173</v>
      </c>
      <c r="V84" t="str">
        <f>IF(U84="","",IFERROR(VLOOKUP(U84,Hotels!A:B,2,FALSE),"Not Found"))</f>
        <v>Accor</v>
      </c>
      <c r="W84" s="14">
        <v>498.39</v>
      </c>
      <c r="X84" s="14">
        <v>0</v>
      </c>
      <c r="Y84" s="21">
        <v>3</v>
      </c>
      <c r="Z84" s="29">
        <f t="shared" si="22"/>
        <v>189.82666666666668</v>
      </c>
      <c r="AA84" s="14">
        <v>569.48</v>
      </c>
      <c r="AB84" s="14">
        <v>78.13</v>
      </c>
      <c r="AC84" s="14">
        <v>1146</v>
      </c>
      <c r="AD84" s="16" t="s">
        <v>147</v>
      </c>
      <c r="AE84" s="16" t="s">
        <v>147</v>
      </c>
      <c r="AF84" s="14">
        <f>SUMIF('Trip Changes'!$B:$B,A84,'Trip Changes'!$E:$E)</f>
        <v>0</v>
      </c>
      <c r="AG84" s="23">
        <f>SUMIF('Trip Cancellations'!$B:$B,A84,'Trip Cancellations'!$E:$E)</f>
        <v>0</v>
      </c>
      <c r="AH84" s="14">
        <f>SUMIF('Trip Cancellations'!$B:$B,A84,'Trip Cancellations'!$F:$F)</f>
        <v>0</v>
      </c>
      <c r="AI84" s="14">
        <f t="shared" si="23"/>
        <v>1146</v>
      </c>
      <c r="AJ84" s="14" t="str">
        <f t="shared" si="24"/>
        <v>No</v>
      </c>
      <c r="AK84" s="14" t="str">
        <f>IF(Y84=0,"N/A",
IF(_xlfn.XLOOKUP(U84,Hotels!A:A,Hotels!C:C)=TRUE,"Yes","No"))</f>
        <v>Yes</v>
      </c>
      <c r="AL84" s="14" t="str">
        <f>IF(N84="Rail","N/A",IF(_xlfn.XLOOKUP(T84,Airlines!A:A,Airlines!C:C)=TRUE,"Yes","No"))</f>
        <v>Yes</v>
      </c>
      <c r="AM84" s="14" t="str">
        <f t="shared" si="25"/>
        <v>Yes</v>
      </c>
      <c r="AN84" s="14" t="str">
        <f t="shared" si="26"/>
        <v>Yes</v>
      </c>
      <c r="AO84" s="14" t="str">
        <f t="shared" si="27"/>
        <v>Yes</v>
      </c>
      <c r="AP84" s="16" t="s">
        <v>148</v>
      </c>
      <c r="AQ84" t="str">
        <f t="shared" si="28"/>
        <v>No</v>
      </c>
      <c r="AR84" s="21">
        <v>5</v>
      </c>
      <c r="AS84" s="5">
        <v>378.9</v>
      </c>
      <c r="AT84" s="5" t="str">
        <f>IF(T84="","",_xlfn.XLOOKUP(T84,Airlines!A:A,Airlines!B:B,"Not Found"))</f>
        <v>KLM</v>
      </c>
      <c r="AU84" s="5" t="str">
        <f>IF(U84="","",_xlfn.XLOOKUP(U84,Hotels!A:A,Hotels!B:B,"Not found"))</f>
        <v>Accor</v>
      </c>
      <c r="AV84" t="s">
        <v>147</v>
      </c>
      <c r="AW84" s="16" t="str">
        <f t="shared" si="29"/>
        <v>OK</v>
      </c>
      <c r="AX84" s="16" t="str">
        <f t="shared" si="30"/>
        <v>OK</v>
      </c>
      <c r="AY84" s="16" t="str">
        <f t="shared" si="31"/>
        <v>OK</v>
      </c>
      <c r="AZ84" s="16" t="str">
        <f t="shared" si="32"/>
        <v>OK</v>
      </c>
      <c r="BA84" s="16" t="str">
        <f t="shared" si="36"/>
        <v>OK</v>
      </c>
      <c r="BB84" s="21">
        <f>COUNTIF('Trip Changes'!B:B,A84)</f>
        <v>0</v>
      </c>
      <c r="BC84" s="16" t="str">
        <f>IF(OR(AND(AD84="Yes",COUNTIF('Trip Changes'!B:B,A84)&gt;0),AND(AD84="No",COUNTIF('Trip Changes'!B:B,A84)=0)),"OK","Check")</f>
        <v>OK</v>
      </c>
      <c r="BD84" t="str">
        <f t="shared" si="37"/>
        <v>OK</v>
      </c>
      <c r="BE84" t="str">
        <f t="shared" si="38"/>
        <v>OK</v>
      </c>
      <c r="BF84" t="str">
        <f t="shared" si="39"/>
        <v>OK</v>
      </c>
      <c r="BG84" t="str">
        <f t="shared" si="40"/>
        <v>OK</v>
      </c>
      <c r="BH84" t="str">
        <f t="shared" si="41"/>
        <v>OK</v>
      </c>
      <c r="BI84" t="str">
        <f t="shared" si="33"/>
        <v>OK</v>
      </c>
      <c r="BJ84" t="str">
        <f t="shared" si="34"/>
        <v>OK</v>
      </c>
      <c r="BK84" t="str">
        <f t="shared" si="35"/>
        <v>OK</v>
      </c>
    </row>
    <row r="85" spans="1:63">
      <c r="A85" s="16" t="s">
        <v>317</v>
      </c>
      <c r="B85" s="16" t="s">
        <v>314</v>
      </c>
      <c r="C85" s="16" t="s">
        <v>142</v>
      </c>
      <c r="D85" s="16" t="s">
        <v>230</v>
      </c>
      <c r="E85" s="16" t="s">
        <v>268</v>
      </c>
      <c r="F85" s="16" t="s">
        <v>162</v>
      </c>
      <c r="G85" s="15">
        <v>46188</v>
      </c>
      <c r="H85" s="15">
        <v>46194</v>
      </c>
      <c r="I85" s="15">
        <v>46196</v>
      </c>
      <c r="J85" s="15" t="s">
        <v>141</v>
      </c>
      <c r="K85" s="16" t="s">
        <v>142</v>
      </c>
      <c r="L85" t="s">
        <v>193</v>
      </c>
      <c r="M85" s="16" t="s">
        <v>143</v>
      </c>
      <c r="N85" s="16" t="s">
        <v>153</v>
      </c>
      <c r="O85" t="s">
        <v>1614</v>
      </c>
      <c r="P85" s="18">
        <v>906</v>
      </c>
      <c r="Q85" s="21">
        <v>6</v>
      </c>
      <c r="R85" s="21" t="str">
        <f t="shared" si="21"/>
        <v>4-7 days</v>
      </c>
      <c r="S85" s="16" t="s">
        <v>207</v>
      </c>
      <c r="T85" s="16" t="s">
        <v>176</v>
      </c>
      <c r="U85" s="16" t="s">
        <v>146</v>
      </c>
      <c r="V85" t="str">
        <f>IF(U85="","",IFERROR(VLOOKUP(U85,Hotels!A:B,2,FALSE),"Not Found"))</f>
        <v>Premier Inn</v>
      </c>
      <c r="W85" s="14">
        <v>415.08</v>
      </c>
      <c r="X85" s="14">
        <v>0</v>
      </c>
      <c r="Y85" s="21">
        <v>1</v>
      </c>
      <c r="Z85" s="29">
        <f t="shared" si="22"/>
        <v>118.41</v>
      </c>
      <c r="AA85" s="14">
        <v>118.41</v>
      </c>
      <c r="AB85" s="14">
        <v>65.2</v>
      </c>
      <c r="AC85" s="14">
        <v>598.69000000000005</v>
      </c>
      <c r="AD85" s="16" t="s">
        <v>147</v>
      </c>
      <c r="AE85" s="16" t="s">
        <v>147</v>
      </c>
      <c r="AF85" s="14">
        <f>SUMIF('Trip Changes'!$B:$B,A85,'Trip Changes'!$E:$E)</f>
        <v>0</v>
      </c>
      <c r="AG85" s="23">
        <f>SUMIF('Trip Cancellations'!$B:$B,A85,'Trip Cancellations'!$E:$E)</f>
        <v>0</v>
      </c>
      <c r="AH85" s="14">
        <f>SUMIF('Trip Cancellations'!$B:$B,A85,'Trip Cancellations'!$F:$F)</f>
        <v>0</v>
      </c>
      <c r="AI85" s="14">
        <f t="shared" si="23"/>
        <v>598.69000000000005</v>
      </c>
      <c r="AJ85" s="14" t="str">
        <f t="shared" si="24"/>
        <v>Yes</v>
      </c>
      <c r="AK85" s="14" t="str">
        <f>IF(Y85=0,"N/A",
IF(_xlfn.XLOOKUP(U85,Hotels!A:A,Hotels!C:C)=TRUE,"Yes","No"))</f>
        <v>Yes</v>
      </c>
      <c r="AL85" s="14" t="str">
        <f>IF(N85="Rail","N/A",IF(_xlfn.XLOOKUP(T85,Airlines!A:A,Airlines!C:C)=TRUE,"Yes","No"))</f>
        <v>Yes</v>
      </c>
      <c r="AM85" s="14" t="str">
        <f t="shared" si="25"/>
        <v>Yes</v>
      </c>
      <c r="AN85" s="14" t="str">
        <f t="shared" si="26"/>
        <v>No</v>
      </c>
      <c r="AO85" s="14" t="str">
        <f t="shared" si="27"/>
        <v>Yes</v>
      </c>
      <c r="AP85" s="16" t="s">
        <v>148</v>
      </c>
      <c r="AQ85" t="str">
        <f t="shared" si="28"/>
        <v>No</v>
      </c>
      <c r="AR85" s="21">
        <v>4</v>
      </c>
      <c r="AS85" s="5">
        <v>135.9</v>
      </c>
      <c r="AT85" s="5" t="str">
        <f>IF(T85="","",_xlfn.XLOOKUP(T85,Airlines!A:A,Airlines!B:B,"Not Found"))</f>
        <v>easyJet</v>
      </c>
      <c r="AU85" s="5" t="str">
        <f>IF(U85="","",_xlfn.XLOOKUP(U85,Hotels!A:A,Hotels!B:B,"Not found"))</f>
        <v>Premier Inn</v>
      </c>
      <c r="AV85" t="s">
        <v>147</v>
      </c>
      <c r="AW85" s="16" t="str">
        <f t="shared" si="29"/>
        <v>OK</v>
      </c>
      <c r="AX85" s="16" t="str">
        <f t="shared" si="30"/>
        <v>OK</v>
      </c>
      <c r="AY85" s="16" t="str">
        <f t="shared" si="31"/>
        <v>OK</v>
      </c>
      <c r="AZ85" s="16" t="str">
        <f t="shared" si="32"/>
        <v>OK</v>
      </c>
      <c r="BA85" s="16" t="str">
        <f t="shared" si="36"/>
        <v>OK</v>
      </c>
      <c r="BB85" s="21">
        <f>COUNTIF('Trip Changes'!B:B,A85)</f>
        <v>0</v>
      </c>
      <c r="BC85" s="16" t="str">
        <f>IF(OR(AND(AD85="Yes",COUNTIF('Trip Changes'!B:B,A85)&gt;0),AND(AD85="No",COUNTIF('Trip Changes'!B:B,A85)=0)),"OK","Check")</f>
        <v>OK</v>
      </c>
      <c r="BD85" t="str">
        <f t="shared" si="37"/>
        <v>OK</v>
      </c>
      <c r="BE85" t="str">
        <f t="shared" si="38"/>
        <v>OK</v>
      </c>
      <c r="BF85" t="str">
        <f t="shared" si="39"/>
        <v>OK</v>
      </c>
      <c r="BG85" t="str">
        <f t="shared" si="40"/>
        <v>OK</v>
      </c>
      <c r="BH85" t="str">
        <f t="shared" si="41"/>
        <v>OK</v>
      </c>
      <c r="BI85" t="str">
        <f t="shared" si="33"/>
        <v>OK</v>
      </c>
      <c r="BJ85" t="str">
        <f t="shared" si="34"/>
        <v>OK</v>
      </c>
      <c r="BK85" t="str">
        <f t="shared" si="35"/>
        <v>OK</v>
      </c>
    </row>
    <row r="86" spans="1:63">
      <c r="A86" s="16" t="s">
        <v>318</v>
      </c>
      <c r="B86" s="16" t="s">
        <v>314</v>
      </c>
      <c r="C86" s="16" t="s">
        <v>142</v>
      </c>
      <c r="D86" s="16" t="s">
        <v>230</v>
      </c>
      <c r="E86" s="16" t="s">
        <v>268</v>
      </c>
      <c r="F86" s="16" t="s">
        <v>178</v>
      </c>
      <c r="G86" s="15">
        <v>46186</v>
      </c>
      <c r="H86" s="15">
        <v>46215</v>
      </c>
      <c r="I86" s="15">
        <v>46217</v>
      </c>
      <c r="J86" s="15" t="s">
        <v>150</v>
      </c>
      <c r="K86" s="16" t="s">
        <v>142</v>
      </c>
      <c r="L86" t="s">
        <v>215</v>
      </c>
      <c r="M86" s="16" t="s">
        <v>152</v>
      </c>
      <c r="N86" s="16" t="s">
        <v>153</v>
      </c>
      <c r="O86" t="s">
        <v>1614</v>
      </c>
      <c r="P86" s="18">
        <v>2418</v>
      </c>
      <c r="Q86" s="21">
        <v>29</v>
      </c>
      <c r="R86" s="21" t="str">
        <f t="shared" si="21"/>
        <v>15-30 days</v>
      </c>
      <c r="S86" s="16" t="s">
        <v>145</v>
      </c>
      <c r="T86" s="16" t="s">
        <v>154</v>
      </c>
      <c r="U86" s="16" t="s">
        <v>187</v>
      </c>
      <c r="V86" t="str">
        <f>IF(U86="","",IFERROR(VLOOKUP(U86,Hotels!A:B,2,FALSE),"Not Found"))</f>
        <v>IHG Hotels &amp; Resorts</v>
      </c>
      <c r="W86" s="14">
        <v>420.84</v>
      </c>
      <c r="X86" s="14">
        <v>0</v>
      </c>
      <c r="Y86" s="21">
        <v>1</v>
      </c>
      <c r="Z86" s="29">
        <f t="shared" si="22"/>
        <v>179.76</v>
      </c>
      <c r="AA86" s="14">
        <v>179.76</v>
      </c>
      <c r="AB86" s="14">
        <v>91.09</v>
      </c>
      <c r="AC86" s="14">
        <v>691.69</v>
      </c>
      <c r="AD86" s="16" t="s">
        <v>147</v>
      </c>
      <c r="AE86" s="16" t="s">
        <v>147</v>
      </c>
      <c r="AF86" s="14">
        <f>SUMIF('Trip Changes'!$B:$B,A86,'Trip Changes'!$E:$E)</f>
        <v>0</v>
      </c>
      <c r="AG86" s="23">
        <f>SUMIF('Trip Cancellations'!$B:$B,A86,'Trip Cancellations'!$E:$E)</f>
        <v>0</v>
      </c>
      <c r="AH86" s="14">
        <f>SUMIF('Trip Cancellations'!$B:$B,A86,'Trip Cancellations'!$F:$F)</f>
        <v>0</v>
      </c>
      <c r="AI86" s="14">
        <f t="shared" si="23"/>
        <v>691.69</v>
      </c>
      <c r="AJ86" s="14" t="str">
        <f t="shared" si="24"/>
        <v>Yes</v>
      </c>
      <c r="AK86" s="14" t="str">
        <f>IF(Y86=0,"N/A",
IF(_xlfn.XLOOKUP(U86,Hotels!A:A,Hotels!C:C)=TRUE,"Yes","No"))</f>
        <v>Yes</v>
      </c>
      <c r="AL86" s="14" t="str">
        <f>IF(N86="Rail","N/A",IF(_xlfn.XLOOKUP(T86,Airlines!A:A,Airlines!C:C)=TRUE,"Yes","No"))</f>
        <v>Yes</v>
      </c>
      <c r="AM86" s="14" t="str">
        <f t="shared" si="25"/>
        <v>Yes</v>
      </c>
      <c r="AN86" s="14" t="str">
        <f t="shared" si="26"/>
        <v>Yes</v>
      </c>
      <c r="AO86" s="14" t="str">
        <f t="shared" si="27"/>
        <v>Yes</v>
      </c>
      <c r="AP86" s="16" t="s">
        <v>148</v>
      </c>
      <c r="AQ86" t="str">
        <f t="shared" si="28"/>
        <v>Yes</v>
      </c>
      <c r="AR86" s="21">
        <v>4</v>
      </c>
      <c r="AS86" s="5">
        <v>362.7</v>
      </c>
      <c r="AT86" s="5" t="str">
        <f>IF(T86="","",_xlfn.XLOOKUP(T86,Airlines!A:A,Airlines!B:B,"Not Found"))</f>
        <v>British Airways</v>
      </c>
      <c r="AU86" s="5" t="str">
        <f>IF(U86="","",_xlfn.XLOOKUP(U86,Hotels!A:A,Hotels!B:B,"Not found"))</f>
        <v>IHG Hotels &amp; Resorts</v>
      </c>
      <c r="AV86" t="s">
        <v>148</v>
      </c>
      <c r="AW86" s="16" t="str">
        <f t="shared" si="29"/>
        <v>OK</v>
      </c>
      <c r="AX86" s="16" t="str">
        <f t="shared" si="30"/>
        <v>OK</v>
      </c>
      <c r="AY86" s="16" t="str">
        <f t="shared" si="31"/>
        <v>OK</v>
      </c>
      <c r="AZ86" s="16" t="str">
        <f t="shared" si="32"/>
        <v>OK</v>
      </c>
      <c r="BA86" s="16" t="str">
        <f t="shared" si="36"/>
        <v>OK</v>
      </c>
      <c r="BB86" s="21">
        <f>COUNTIF('Trip Changes'!B:B,A86)</f>
        <v>0</v>
      </c>
      <c r="BC86" s="16" t="str">
        <f>IF(OR(AND(AD86="Yes",COUNTIF('Trip Changes'!B:B,A86)&gt;0),AND(AD86="No",COUNTIF('Trip Changes'!B:B,A86)=0)),"OK","Check")</f>
        <v>OK</v>
      </c>
      <c r="BD86" t="str">
        <f t="shared" si="37"/>
        <v>OK</v>
      </c>
      <c r="BE86" t="str">
        <f t="shared" si="38"/>
        <v>OK</v>
      </c>
      <c r="BF86" t="str">
        <f t="shared" si="39"/>
        <v>OK</v>
      </c>
      <c r="BG86" t="str">
        <f t="shared" si="40"/>
        <v>OK</v>
      </c>
      <c r="BH86" t="str">
        <f t="shared" si="41"/>
        <v>OK</v>
      </c>
      <c r="BI86" t="str">
        <f t="shared" si="33"/>
        <v>OK</v>
      </c>
      <c r="BJ86" t="str">
        <f t="shared" si="34"/>
        <v>OK</v>
      </c>
      <c r="BK86" t="str">
        <f t="shared" si="35"/>
        <v>OK</v>
      </c>
    </row>
    <row r="87" spans="1:63">
      <c r="A87" s="16" t="s">
        <v>319</v>
      </c>
      <c r="B87" s="16" t="s">
        <v>320</v>
      </c>
      <c r="C87" s="16" t="s">
        <v>193</v>
      </c>
      <c r="D87" s="16" t="s">
        <v>248</v>
      </c>
      <c r="E87" s="16" t="s">
        <v>139</v>
      </c>
      <c r="F87" s="16" t="s">
        <v>170</v>
      </c>
      <c r="G87" s="15">
        <v>46126</v>
      </c>
      <c r="H87" s="15">
        <v>46161</v>
      </c>
      <c r="I87" s="15">
        <v>46164</v>
      </c>
      <c r="J87" s="15" t="s">
        <v>163</v>
      </c>
      <c r="K87" s="16" t="s">
        <v>193</v>
      </c>
      <c r="L87" t="s">
        <v>199</v>
      </c>
      <c r="M87" s="16" t="s">
        <v>152</v>
      </c>
      <c r="N87" s="16" t="s">
        <v>153</v>
      </c>
      <c r="O87" t="s">
        <v>1614</v>
      </c>
      <c r="P87" s="18">
        <v>2646</v>
      </c>
      <c r="Q87" s="21">
        <v>35</v>
      </c>
      <c r="R87" s="21" t="str">
        <f t="shared" si="21"/>
        <v>31+ days</v>
      </c>
      <c r="S87" s="16" t="s">
        <v>145</v>
      </c>
      <c r="T87" s="16" t="s">
        <v>200</v>
      </c>
      <c r="U87" s="16" t="s">
        <v>155</v>
      </c>
      <c r="V87" t="str">
        <f>IF(U87="","",IFERROR(VLOOKUP(U87,Hotels!A:B,2,FALSE),"Not Found"))</f>
        <v>Hilton</v>
      </c>
      <c r="W87" s="14">
        <v>639.55999999999995</v>
      </c>
      <c r="X87" s="14">
        <v>0</v>
      </c>
      <c r="Y87" s="21">
        <v>2</v>
      </c>
      <c r="Z87" s="29">
        <f t="shared" si="22"/>
        <v>151.05500000000001</v>
      </c>
      <c r="AA87" s="14">
        <v>302.11</v>
      </c>
      <c r="AB87" s="14">
        <v>95.39</v>
      </c>
      <c r="AC87" s="14">
        <v>1037.06</v>
      </c>
      <c r="AD87" s="16" t="s">
        <v>147</v>
      </c>
      <c r="AE87" s="16" t="s">
        <v>147</v>
      </c>
      <c r="AF87" s="14">
        <f>SUMIF('Trip Changes'!$B:$B,A87,'Trip Changes'!$E:$E)</f>
        <v>0</v>
      </c>
      <c r="AG87" s="23">
        <f>SUMIF('Trip Cancellations'!$B:$B,A87,'Trip Cancellations'!$E:$E)</f>
        <v>0</v>
      </c>
      <c r="AH87" s="14">
        <f>SUMIF('Trip Cancellations'!$B:$B,A87,'Trip Cancellations'!$F:$F)</f>
        <v>0</v>
      </c>
      <c r="AI87" s="14">
        <f t="shared" si="23"/>
        <v>1037.06</v>
      </c>
      <c r="AJ87" s="14" t="str">
        <f t="shared" si="24"/>
        <v>Yes</v>
      </c>
      <c r="AK87" s="14" t="str">
        <f>IF(Y87=0,"N/A",
IF(_xlfn.XLOOKUP(U87,Hotels!A:A,Hotels!C:C)=TRUE,"Yes","No"))</f>
        <v>Yes</v>
      </c>
      <c r="AL87" s="14" t="str">
        <f>IF(N87="Rail","N/A",IF(_xlfn.XLOOKUP(T87,Airlines!A:A,Airlines!C:C)=TRUE,"Yes","No"))</f>
        <v>Yes</v>
      </c>
      <c r="AM87" s="14" t="str">
        <f t="shared" si="25"/>
        <v>Yes</v>
      </c>
      <c r="AN87" s="14" t="str">
        <f t="shared" si="26"/>
        <v>Yes</v>
      </c>
      <c r="AO87" s="14" t="str">
        <f t="shared" si="27"/>
        <v>Yes</v>
      </c>
      <c r="AP87" s="16" t="s">
        <v>148</v>
      </c>
      <c r="AQ87" t="str">
        <f t="shared" si="28"/>
        <v>Yes</v>
      </c>
      <c r="AR87" s="21">
        <v>5</v>
      </c>
      <c r="AS87" s="5">
        <v>396.9</v>
      </c>
      <c r="AT87" s="5" t="str">
        <f>IF(T87="","",_xlfn.XLOOKUP(T87,Airlines!A:A,Airlines!B:B,"Not Found"))</f>
        <v>Aer Lingus</v>
      </c>
      <c r="AU87" s="5" t="str">
        <f>IF(U87="","",_xlfn.XLOOKUP(U87,Hotels!A:A,Hotels!B:B,"Not found"))</f>
        <v>Hilton</v>
      </c>
      <c r="AV87" t="s">
        <v>147</v>
      </c>
      <c r="AW87" s="16" t="str">
        <f t="shared" si="29"/>
        <v>OK</v>
      </c>
      <c r="AX87" s="16" t="str">
        <f t="shared" si="30"/>
        <v>OK</v>
      </c>
      <c r="AY87" s="16" t="str">
        <f t="shared" si="31"/>
        <v>OK</v>
      </c>
      <c r="AZ87" s="16" t="str">
        <f t="shared" si="32"/>
        <v>OK</v>
      </c>
      <c r="BA87" s="16" t="str">
        <f t="shared" si="36"/>
        <v>OK</v>
      </c>
      <c r="BB87" s="21">
        <f>COUNTIF('Trip Changes'!B:B,A87)</f>
        <v>0</v>
      </c>
      <c r="BC87" s="16" t="str">
        <f>IF(OR(AND(AD87="Yes",COUNTIF('Trip Changes'!B:B,A87)&gt;0),AND(AD87="No",COUNTIF('Trip Changes'!B:B,A87)=0)),"OK","Check")</f>
        <v>OK</v>
      </c>
      <c r="BD87" t="str">
        <f t="shared" si="37"/>
        <v>OK</v>
      </c>
      <c r="BE87" t="str">
        <f t="shared" si="38"/>
        <v>OK</v>
      </c>
      <c r="BF87" t="str">
        <f t="shared" si="39"/>
        <v>OK</v>
      </c>
      <c r="BG87" t="str">
        <f t="shared" si="40"/>
        <v>OK</v>
      </c>
      <c r="BH87" t="str">
        <f t="shared" si="41"/>
        <v>OK</v>
      </c>
      <c r="BI87" t="str">
        <f t="shared" si="33"/>
        <v>OK</v>
      </c>
      <c r="BJ87" t="str">
        <f t="shared" si="34"/>
        <v>OK</v>
      </c>
      <c r="BK87" t="str">
        <f t="shared" si="35"/>
        <v>OK</v>
      </c>
    </row>
    <row r="88" spans="1:63">
      <c r="A88" s="16" t="s">
        <v>321</v>
      </c>
      <c r="B88" s="16" t="s">
        <v>320</v>
      </c>
      <c r="C88" s="16" t="s">
        <v>193</v>
      </c>
      <c r="D88" s="16" t="s">
        <v>248</v>
      </c>
      <c r="E88" s="16" t="s">
        <v>139</v>
      </c>
      <c r="F88" s="16" t="s">
        <v>189</v>
      </c>
      <c r="G88" s="15">
        <v>46191</v>
      </c>
      <c r="H88" s="15">
        <v>46211</v>
      </c>
      <c r="I88" s="15">
        <v>46214</v>
      </c>
      <c r="J88" s="15" t="s">
        <v>150</v>
      </c>
      <c r="K88" s="16" t="s">
        <v>193</v>
      </c>
      <c r="L88" t="s">
        <v>182</v>
      </c>
      <c r="M88" s="16" t="s">
        <v>143</v>
      </c>
      <c r="N88" s="16" t="s">
        <v>144</v>
      </c>
      <c r="O88" t="s">
        <v>1630</v>
      </c>
      <c r="P88" s="18">
        <v>300</v>
      </c>
      <c r="Q88" s="21">
        <v>20</v>
      </c>
      <c r="R88" s="21" t="str">
        <f t="shared" si="21"/>
        <v>15-30 days</v>
      </c>
      <c r="S88" s="16" t="s">
        <v>159</v>
      </c>
      <c r="U88" s="16" t="s">
        <v>146</v>
      </c>
      <c r="V88" t="str">
        <f>IF(U88="","",IFERROR(VLOOKUP(U88,Hotels!A:B,2,FALSE),"Not Found"))</f>
        <v>Premier Inn</v>
      </c>
      <c r="W88" s="14">
        <v>0</v>
      </c>
      <c r="X88" s="14">
        <v>306.73</v>
      </c>
      <c r="Y88" s="21">
        <v>2</v>
      </c>
      <c r="Z88" s="29">
        <f t="shared" si="22"/>
        <v>154.16999999999999</v>
      </c>
      <c r="AA88" s="14">
        <v>308.33999999999997</v>
      </c>
      <c r="AB88" s="14">
        <v>52.83</v>
      </c>
      <c r="AC88" s="14">
        <v>667.9</v>
      </c>
      <c r="AD88" s="16" t="s">
        <v>147</v>
      </c>
      <c r="AE88" s="16" t="s">
        <v>147</v>
      </c>
      <c r="AF88" s="14">
        <f>SUMIF('Trip Changes'!$B:$B,A88,'Trip Changes'!$E:$E)</f>
        <v>0</v>
      </c>
      <c r="AG88" s="23">
        <f>SUMIF('Trip Cancellations'!$B:$B,A88,'Trip Cancellations'!$E:$E)</f>
        <v>0</v>
      </c>
      <c r="AH88" s="14">
        <f>SUMIF('Trip Cancellations'!$B:$B,A88,'Trip Cancellations'!$F:$F)</f>
        <v>0</v>
      </c>
      <c r="AI88" s="14">
        <f t="shared" si="23"/>
        <v>667.9</v>
      </c>
      <c r="AJ88" s="14" t="str">
        <f t="shared" si="24"/>
        <v>Yes</v>
      </c>
      <c r="AK88" s="14" t="str">
        <f>IF(Y88=0,"N/A",
IF(_xlfn.XLOOKUP(U88,Hotels!A:A,Hotels!C:C)=TRUE,"Yes","No"))</f>
        <v>Yes</v>
      </c>
      <c r="AL88" s="14" t="str">
        <f>IF(N88="Rail","N/A",IF(_xlfn.XLOOKUP(T88,Airlines!A:A,Airlines!C:C)=TRUE,"Yes","No"))</f>
        <v>N/A</v>
      </c>
      <c r="AM88" s="14" t="str">
        <f t="shared" si="25"/>
        <v>Yes</v>
      </c>
      <c r="AN88" s="14" t="str">
        <f t="shared" si="26"/>
        <v>Yes</v>
      </c>
      <c r="AO88" s="14" t="str">
        <f t="shared" si="27"/>
        <v>Yes</v>
      </c>
      <c r="AP88" s="16" t="s">
        <v>148</v>
      </c>
      <c r="AQ88" t="str">
        <f t="shared" si="28"/>
        <v>Yes</v>
      </c>
      <c r="AR88" s="21">
        <v>5</v>
      </c>
      <c r="AS88" s="5">
        <v>12</v>
      </c>
      <c r="AT88" s="5" t="str">
        <f>IF(T88="","",_xlfn.XLOOKUP(T88,Airlines!A:A,Airlines!B:B,"Not Found"))</f>
        <v/>
      </c>
      <c r="AU88" s="5" t="str">
        <f>IF(U88="","",_xlfn.XLOOKUP(U88,Hotels!A:A,Hotels!B:B,"Not found"))</f>
        <v>Premier Inn</v>
      </c>
      <c r="AV88" t="s">
        <v>147</v>
      </c>
      <c r="AW88" s="16" t="str">
        <f t="shared" si="29"/>
        <v>OK</v>
      </c>
      <c r="AX88" s="16" t="str">
        <f t="shared" si="30"/>
        <v>OK</v>
      </c>
      <c r="AY88" s="16" t="str">
        <f t="shared" si="31"/>
        <v>OK</v>
      </c>
      <c r="AZ88" s="16" t="str">
        <f t="shared" si="32"/>
        <v>OK</v>
      </c>
      <c r="BA88" s="16" t="str">
        <f t="shared" si="36"/>
        <v>OK</v>
      </c>
      <c r="BB88" s="21">
        <f>COUNTIF('Trip Changes'!B:B,A88)</f>
        <v>0</v>
      </c>
      <c r="BC88" s="16" t="str">
        <f>IF(OR(AND(AD88="Yes",COUNTIF('Trip Changes'!B:B,A88)&gt;0),AND(AD88="No",COUNTIF('Trip Changes'!B:B,A88)=0)),"OK","Check")</f>
        <v>OK</v>
      </c>
      <c r="BD88" t="str">
        <f t="shared" si="37"/>
        <v>OK</v>
      </c>
      <c r="BE88" t="str">
        <f t="shared" si="38"/>
        <v>OK</v>
      </c>
      <c r="BF88" t="str">
        <f t="shared" si="39"/>
        <v>OK</v>
      </c>
      <c r="BG88" t="str">
        <f t="shared" si="40"/>
        <v>OK</v>
      </c>
      <c r="BH88" t="str">
        <f t="shared" si="41"/>
        <v>OK</v>
      </c>
      <c r="BI88" t="str">
        <f t="shared" si="33"/>
        <v>OK</v>
      </c>
      <c r="BJ88" t="str">
        <f t="shared" si="34"/>
        <v>OK</v>
      </c>
      <c r="BK88" t="str">
        <f t="shared" si="35"/>
        <v>OK</v>
      </c>
    </row>
    <row r="89" spans="1:63">
      <c r="A89" s="16" t="s">
        <v>322</v>
      </c>
      <c r="B89" s="16" t="s">
        <v>323</v>
      </c>
      <c r="C89" s="16" t="s">
        <v>182</v>
      </c>
      <c r="D89" s="16" t="s">
        <v>168</v>
      </c>
      <c r="E89" s="16" t="s">
        <v>262</v>
      </c>
      <c r="F89" s="16" t="s">
        <v>162</v>
      </c>
      <c r="G89" s="15">
        <v>46178</v>
      </c>
      <c r="H89" s="15">
        <v>46188</v>
      </c>
      <c r="I89" s="15">
        <v>46191</v>
      </c>
      <c r="J89" s="15" t="s">
        <v>141</v>
      </c>
      <c r="K89" s="16" t="s">
        <v>182</v>
      </c>
      <c r="L89" t="s">
        <v>199</v>
      </c>
      <c r="M89" s="16" t="s">
        <v>152</v>
      </c>
      <c r="N89" s="16" t="s">
        <v>153</v>
      </c>
      <c r="O89" t="s">
        <v>1614</v>
      </c>
      <c r="P89" s="18">
        <v>2634</v>
      </c>
      <c r="Q89" s="21">
        <v>10</v>
      </c>
      <c r="R89" s="21" t="str">
        <f t="shared" si="21"/>
        <v>8-14 days</v>
      </c>
      <c r="S89" s="16" t="s">
        <v>145</v>
      </c>
      <c r="T89" s="16" t="s">
        <v>291</v>
      </c>
      <c r="U89" s="16" t="s">
        <v>155</v>
      </c>
      <c r="V89" t="str">
        <f>IF(U89="","",IFERROR(VLOOKUP(U89,Hotels!A:B,2,FALSE),"Not Found"))</f>
        <v>Hilton</v>
      </c>
      <c r="W89" s="14">
        <v>301.01</v>
      </c>
      <c r="X89" s="14">
        <v>0</v>
      </c>
      <c r="Y89" s="21">
        <v>2</v>
      </c>
      <c r="Z89" s="29">
        <f t="shared" si="22"/>
        <v>110.47499999999999</v>
      </c>
      <c r="AA89" s="14">
        <v>220.95</v>
      </c>
      <c r="AB89" s="14">
        <v>69.36</v>
      </c>
      <c r="AC89" s="14">
        <v>591.32000000000005</v>
      </c>
      <c r="AD89" s="16" t="s">
        <v>147</v>
      </c>
      <c r="AE89" s="16" t="s">
        <v>147</v>
      </c>
      <c r="AF89" s="14">
        <f>SUMIF('Trip Changes'!$B:$B,A89,'Trip Changes'!$E:$E)</f>
        <v>0</v>
      </c>
      <c r="AG89" s="23">
        <f>SUMIF('Trip Cancellations'!$B:$B,A89,'Trip Cancellations'!$E:$E)</f>
        <v>0</v>
      </c>
      <c r="AH89" s="14">
        <f>SUMIF('Trip Cancellations'!$B:$B,A89,'Trip Cancellations'!$F:$F)</f>
        <v>0</v>
      </c>
      <c r="AI89" s="14">
        <f t="shared" si="23"/>
        <v>591.32000000000005</v>
      </c>
      <c r="AJ89" s="14" t="str">
        <f t="shared" si="24"/>
        <v>Yes</v>
      </c>
      <c r="AK89" s="14" t="str">
        <f>IF(Y89=0,"N/A",
IF(_xlfn.XLOOKUP(U89,Hotels!A:A,Hotels!C:C)=TRUE,"Yes","No"))</f>
        <v>Yes</v>
      </c>
      <c r="AL89" s="14" t="str">
        <f>IF(N89="Rail","N/A",IF(_xlfn.XLOOKUP(T89,Airlines!A:A,Airlines!C:C)=TRUE,"Yes","No"))</f>
        <v>No</v>
      </c>
      <c r="AM89" s="14" t="str">
        <f t="shared" si="25"/>
        <v>Yes</v>
      </c>
      <c r="AN89" s="14" t="str">
        <f t="shared" si="26"/>
        <v>Yes</v>
      </c>
      <c r="AO89" s="14" t="str">
        <f t="shared" si="27"/>
        <v>No</v>
      </c>
      <c r="AP89" s="16" t="s">
        <v>148</v>
      </c>
      <c r="AQ89" t="str">
        <f t="shared" si="28"/>
        <v>No</v>
      </c>
      <c r="AR89" s="21">
        <v>5</v>
      </c>
      <c r="AS89" s="5">
        <v>395.1</v>
      </c>
      <c r="AT89" s="5" t="str">
        <f>IF(T89="","",_xlfn.XLOOKUP(T89,Airlines!A:A,Airlines!B:B,"Not Found"))</f>
        <v>Ryanair</v>
      </c>
      <c r="AU89" s="5" t="str">
        <f>IF(U89="","",_xlfn.XLOOKUP(U89,Hotels!A:A,Hotels!B:B,"Not found"))</f>
        <v>Hilton</v>
      </c>
      <c r="AV89" t="s">
        <v>148</v>
      </c>
      <c r="AW89" s="16" t="str">
        <f t="shared" si="29"/>
        <v>OK</v>
      </c>
      <c r="AX89" s="16" t="str">
        <f t="shared" si="30"/>
        <v>OK</v>
      </c>
      <c r="AY89" s="16" t="str">
        <f t="shared" si="31"/>
        <v>OK</v>
      </c>
      <c r="AZ89" s="16" t="str">
        <f t="shared" si="32"/>
        <v>OK</v>
      </c>
      <c r="BA89" s="16" t="str">
        <f t="shared" si="36"/>
        <v>OK</v>
      </c>
      <c r="BB89" s="21">
        <f>COUNTIF('Trip Changes'!B:B,A89)</f>
        <v>0</v>
      </c>
      <c r="BC89" s="16" t="str">
        <f>IF(OR(AND(AD89="Yes",COUNTIF('Trip Changes'!B:B,A89)&gt;0),AND(AD89="No",COUNTIF('Trip Changes'!B:B,A89)=0)),"OK","Check")</f>
        <v>OK</v>
      </c>
      <c r="BD89" t="str">
        <f t="shared" si="37"/>
        <v>OK</v>
      </c>
      <c r="BE89" t="str">
        <f t="shared" si="38"/>
        <v>OK</v>
      </c>
      <c r="BF89" t="str">
        <f t="shared" si="39"/>
        <v>OK</v>
      </c>
      <c r="BG89" t="str">
        <f t="shared" si="40"/>
        <v>OK</v>
      </c>
      <c r="BH89" t="str">
        <f t="shared" si="41"/>
        <v>OK</v>
      </c>
      <c r="BI89" t="str">
        <f t="shared" si="33"/>
        <v>OK</v>
      </c>
      <c r="BJ89" t="str">
        <f t="shared" si="34"/>
        <v>OK</v>
      </c>
      <c r="BK89" t="str">
        <f t="shared" si="35"/>
        <v>OK</v>
      </c>
    </row>
    <row r="90" spans="1:63">
      <c r="A90" s="16" t="s">
        <v>324</v>
      </c>
      <c r="B90" s="16" t="s">
        <v>323</v>
      </c>
      <c r="C90" s="16" t="s">
        <v>182</v>
      </c>
      <c r="D90" s="16" t="s">
        <v>168</v>
      </c>
      <c r="E90" s="16" t="s">
        <v>262</v>
      </c>
      <c r="F90" s="16" t="s">
        <v>140</v>
      </c>
      <c r="G90" s="15">
        <v>46174</v>
      </c>
      <c r="H90" s="15">
        <v>46192</v>
      </c>
      <c r="I90" s="15">
        <v>46197</v>
      </c>
      <c r="J90" s="15" t="s">
        <v>141</v>
      </c>
      <c r="K90" s="16" t="s">
        <v>182</v>
      </c>
      <c r="L90" t="s">
        <v>185</v>
      </c>
      <c r="M90" s="16" t="s">
        <v>152</v>
      </c>
      <c r="N90" s="16" t="s">
        <v>153</v>
      </c>
      <c r="O90" t="s">
        <v>1631</v>
      </c>
      <c r="P90" s="18">
        <v>12712</v>
      </c>
      <c r="Q90" s="21">
        <v>18</v>
      </c>
      <c r="R90" s="21" t="str">
        <f t="shared" si="21"/>
        <v>15-30 days</v>
      </c>
      <c r="S90" s="16" t="s">
        <v>159</v>
      </c>
      <c r="T90" s="16" t="s">
        <v>154</v>
      </c>
      <c r="U90" s="16" t="s">
        <v>187</v>
      </c>
      <c r="V90" t="str">
        <f>IF(U90="","",IFERROR(VLOOKUP(U90,Hotels!A:B,2,FALSE),"Not Found"))</f>
        <v>IHG Hotels &amp; Resorts</v>
      </c>
      <c r="W90" s="14">
        <v>973.91</v>
      </c>
      <c r="X90" s="14">
        <v>0</v>
      </c>
      <c r="Y90" s="21">
        <v>4</v>
      </c>
      <c r="Z90" s="29">
        <f t="shared" si="22"/>
        <v>190.20750000000001</v>
      </c>
      <c r="AA90" s="14">
        <v>760.83</v>
      </c>
      <c r="AB90" s="14">
        <v>67.73</v>
      </c>
      <c r="AC90" s="14">
        <v>1802.47</v>
      </c>
      <c r="AD90" s="16" t="s">
        <v>147</v>
      </c>
      <c r="AE90" s="16" t="s">
        <v>147</v>
      </c>
      <c r="AF90" s="14">
        <f>SUMIF('Trip Changes'!$B:$B,A90,'Trip Changes'!$E:$E)</f>
        <v>0</v>
      </c>
      <c r="AG90" s="23">
        <f>SUMIF('Trip Cancellations'!$B:$B,A90,'Trip Cancellations'!$E:$E)</f>
        <v>0</v>
      </c>
      <c r="AH90" s="14">
        <f>SUMIF('Trip Cancellations'!$B:$B,A90,'Trip Cancellations'!$F:$F)</f>
        <v>0</v>
      </c>
      <c r="AI90" s="14">
        <f t="shared" si="23"/>
        <v>1802.47</v>
      </c>
      <c r="AJ90" s="14" t="str">
        <f t="shared" si="24"/>
        <v>Yes</v>
      </c>
      <c r="AK90" s="14" t="str">
        <f>IF(Y90=0,"N/A",
IF(_xlfn.XLOOKUP(U90,Hotels!A:A,Hotels!C:C)=TRUE,"Yes","No"))</f>
        <v>Yes</v>
      </c>
      <c r="AL90" s="14" t="str">
        <f>IF(N90="Rail","N/A",IF(_xlfn.XLOOKUP(T90,Airlines!A:A,Airlines!C:C)=TRUE,"Yes","No"))</f>
        <v>Yes</v>
      </c>
      <c r="AM90" s="14" t="str">
        <f t="shared" si="25"/>
        <v>No</v>
      </c>
      <c r="AN90" s="14" t="str">
        <f t="shared" si="26"/>
        <v>Yes</v>
      </c>
      <c r="AO90" s="14" t="str">
        <f t="shared" si="27"/>
        <v>Yes</v>
      </c>
      <c r="AP90" s="16" t="s">
        <v>148</v>
      </c>
      <c r="AQ90" t="str">
        <f t="shared" si="28"/>
        <v>No</v>
      </c>
      <c r="AR90" s="21">
        <v>4</v>
      </c>
      <c r="AS90" s="5">
        <v>1906.8</v>
      </c>
      <c r="AT90" s="5" t="str">
        <f>IF(T90="","",_xlfn.XLOOKUP(T90,Airlines!A:A,Airlines!B:B,"Not Found"))</f>
        <v>British Airways</v>
      </c>
      <c r="AU90" s="5" t="str">
        <f>IF(U90="","",_xlfn.XLOOKUP(U90,Hotels!A:A,Hotels!B:B,"Not found"))</f>
        <v>IHG Hotels &amp; Resorts</v>
      </c>
      <c r="AV90" t="s">
        <v>147</v>
      </c>
      <c r="AW90" s="16" t="str">
        <f t="shared" si="29"/>
        <v>OK</v>
      </c>
      <c r="AX90" s="16" t="str">
        <f t="shared" si="30"/>
        <v>OK</v>
      </c>
      <c r="AY90" s="16" t="str">
        <f t="shared" si="31"/>
        <v>OK</v>
      </c>
      <c r="AZ90" s="16" t="str">
        <f t="shared" si="32"/>
        <v>OK</v>
      </c>
      <c r="BA90" s="16" t="str">
        <f t="shared" si="36"/>
        <v>OK</v>
      </c>
      <c r="BB90" s="21">
        <f>COUNTIF('Trip Changes'!B:B,A90)</f>
        <v>0</v>
      </c>
      <c r="BC90" s="16" t="str">
        <f>IF(OR(AND(AD90="Yes",COUNTIF('Trip Changes'!B:B,A90)&gt;0),AND(AD90="No",COUNTIF('Trip Changes'!B:B,A90)=0)),"OK","Check")</f>
        <v>OK</v>
      </c>
      <c r="BD90" t="str">
        <f t="shared" si="37"/>
        <v>OK</v>
      </c>
      <c r="BE90" t="str">
        <f t="shared" si="38"/>
        <v>OK</v>
      </c>
      <c r="BF90" t="str">
        <f t="shared" si="39"/>
        <v>OK</v>
      </c>
      <c r="BG90" t="str">
        <f t="shared" si="40"/>
        <v>OK</v>
      </c>
      <c r="BH90" t="str">
        <f t="shared" si="41"/>
        <v>OK</v>
      </c>
      <c r="BI90" t="str">
        <f t="shared" si="33"/>
        <v>OK</v>
      </c>
      <c r="BJ90" t="str">
        <f t="shared" si="34"/>
        <v>OK</v>
      </c>
      <c r="BK90" t="str">
        <f t="shared" si="35"/>
        <v>OK</v>
      </c>
    </row>
    <row r="91" spans="1:63">
      <c r="A91" s="16" t="s">
        <v>325</v>
      </c>
      <c r="B91" s="16" t="s">
        <v>323</v>
      </c>
      <c r="C91" s="16" t="s">
        <v>182</v>
      </c>
      <c r="D91" s="16" t="s">
        <v>168</v>
      </c>
      <c r="E91" s="16" t="s">
        <v>262</v>
      </c>
      <c r="F91" s="16" t="s">
        <v>178</v>
      </c>
      <c r="G91" s="15">
        <v>46193</v>
      </c>
      <c r="H91" s="15">
        <v>46196</v>
      </c>
      <c r="I91" s="15">
        <v>46200</v>
      </c>
      <c r="J91" s="15" t="s">
        <v>141</v>
      </c>
      <c r="K91" s="16" t="s">
        <v>182</v>
      </c>
      <c r="L91" t="s">
        <v>305</v>
      </c>
      <c r="M91" s="16" t="s">
        <v>152</v>
      </c>
      <c r="N91" s="16" t="s">
        <v>153</v>
      </c>
      <c r="O91" t="s">
        <v>1631</v>
      </c>
      <c r="P91" s="18">
        <v>12622</v>
      </c>
      <c r="Q91" s="21">
        <v>3</v>
      </c>
      <c r="R91" s="21" t="str">
        <f t="shared" si="21"/>
        <v>0-3 days</v>
      </c>
      <c r="S91" s="16" t="s">
        <v>145</v>
      </c>
      <c r="T91" s="16" t="s">
        <v>154</v>
      </c>
      <c r="U91" s="16" t="s">
        <v>164</v>
      </c>
      <c r="V91" t="str">
        <f>IF(U91="","",IFERROR(VLOOKUP(U91,Hotels!A:B,2,FALSE),"Not Found"))</f>
        <v>Marriott</v>
      </c>
      <c r="W91" s="14">
        <v>908.23</v>
      </c>
      <c r="X91" s="14">
        <v>0</v>
      </c>
      <c r="Y91" s="21">
        <v>3</v>
      </c>
      <c r="Z91" s="29">
        <f t="shared" si="22"/>
        <v>157.38</v>
      </c>
      <c r="AA91" s="14">
        <v>472.14</v>
      </c>
      <c r="AB91" s="14">
        <v>73.900000000000006</v>
      </c>
      <c r="AC91" s="14">
        <v>1454.27</v>
      </c>
      <c r="AD91" s="16" t="s">
        <v>147</v>
      </c>
      <c r="AE91" s="16" t="s">
        <v>147</v>
      </c>
      <c r="AF91" s="14">
        <f>SUMIF('Trip Changes'!$B:$B,A91,'Trip Changes'!$E:$E)</f>
        <v>0</v>
      </c>
      <c r="AG91" s="23">
        <f>SUMIF('Trip Cancellations'!$B:$B,A91,'Trip Cancellations'!$E:$E)</f>
        <v>0</v>
      </c>
      <c r="AH91" s="14">
        <f>SUMIF('Trip Cancellations'!$B:$B,A91,'Trip Cancellations'!$F:$F)</f>
        <v>0</v>
      </c>
      <c r="AI91" s="14">
        <f t="shared" si="23"/>
        <v>1454.27</v>
      </c>
      <c r="AJ91" s="14" t="str">
        <f t="shared" si="24"/>
        <v>Yes</v>
      </c>
      <c r="AK91" s="14" t="str">
        <f>IF(Y91=0,"N/A",
IF(_xlfn.XLOOKUP(U91,Hotels!A:A,Hotels!C:C)=TRUE,"Yes","No"))</f>
        <v>Yes</v>
      </c>
      <c r="AL91" s="14" t="str">
        <f>IF(N91="Rail","N/A",IF(_xlfn.XLOOKUP(T91,Airlines!A:A,Airlines!C:C)=TRUE,"Yes","No"))</f>
        <v>Yes</v>
      </c>
      <c r="AM91" s="14" t="str">
        <f t="shared" si="25"/>
        <v>No</v>
      </c>
      <c r="AN91" s="14" t="str">
        <f t="shared" si="26"/>
        <v>Yes</v>
      </c>
      <c r="AO91" s="14" t="str">
        <f t="shared" si="27"/>
        <v>Yes</v>
      </c>
      <c r="AP91" s="16" t="s">
        <v>148</v>
      </c>
      <c r="AQ91" t="str">
        <f t="shared" si="28"/>
        <v>No</v>
      </c>
      <c r="AR91" s="21">
        <v>4</v>
      </c>
      <c r="AS91" s="5">
        <v>1893.3</v>
      </c>
      <c r="AT91" s="5" t="str">
        <f>IF(T91="","",_xlfn.XLOOKUP(T91,Airlines!A:A,Airlines!B:B,"Not Found"))</f>
        <v>British Airways</v>
      </c>
      <c r="AU91" s="5" t="str">
        <f>IF(U91="","",_xlfn.XLOOKUP(U91,Hotels!A:A,Hotels!B:B,"Not found"))</f>
        <v>Marriott</v>
      </c>
      <c r="AV91" t="s">
        <v>147</v>
      </c>
      <c r="AW91" s="16" t="str">
        <f t="shared" si="29"/>
        <v>OK</v>
      </c>
      <c r="AX91" s="16" t="str">
        <f t="shared" si="30"/>
        <v>OK</v>
      </c>
      <c r="AY91" s="16" t="str">
        <f t="shared" si="31"/>
        <v>OK</v>
      </c>
      <c r="AZ91" s="16" t="str">
        <f t="shared" si="32"/>
        <v>OK</v>
      </c>
      <c r="BA91" s="16" t="str">
        <f t="shared" si="36"/>
        <v>OK</v>
      </c>
      <c r="BB91" s="21">
        <f>COUNTIF('Trip Changes'!B:B,A91)</f>
        <v>0</v>
      </c>
      <c r="BC91" s="16" t="str">
        <f>IF(OR(AND(AD91="Yes",COUNTIF('Trip Changes'!B:B,A91)&gt;0),AND(AD91="No",COUNTIF('Trip Changes'!B:B,A91)=0)),"OK","Check")</f>
        <v>OK</v>
      </c>
      <c r="BD91" t="str">
        <f t="shared" si="37"/>
        <v>OK</v>
      </c>
      <c r="BE91" t="str">
        <f t="shared" si="38"/>
        <v>OK</v>
      </c>
      <c r="BF91" t="str">
        <f t="shared" si="39"/>
        <v>OK</v>
      </c>
      <c r="BG91" t="str">
        <f t="shared" si="40"/>
        <v>OK</v>
      </c>
      <c r="BH91" t="str">
        <f t="shared" si="41"/>
        <v>OK</v>
      </c>
      <c r="BI91" t="str">
        <f t="shared" si="33"/>
        <v>OK</v>
      </c>
      <c r="BJ91" t="str">
        <f t="shared" si="34"/>
        <v>OK</v>
      </c>
      <c r="BK91" t="str">
        <f t="shared" si="35"/>
        <v>OK</v>
      </c>
    </row>
    <row r="92" spans="1:63">
      <c r="A92" s="16" t="s">
        <v>326</v>
      </c>
      <c r="B92" s="16" t="s">
        <v>323</v>
      </c>
      <c r="C92" s="16" t="s">
        <v>182</v>
      </c>
      <c r="D92" s="16" t="s">
        <v>168</v>
      </c>
      <c r="E92" s="16" t="s">
        <v>262</v>
      </c>
      <c r="F92" s="16" t="s">
        <v>162</v>
      </c>
      <c r="G92" s="15">
        <v>46157</v>
      </c>
      <c r="H92" s="15">
        <v>46189</v>
      </c>
      <c r="I92" s="15">
        <v>46193</v>
      </c>
      <c r="J92" s="15" t="s">
        <v>141</v>
      </c>
      <c r="K92" s="16" t="s">
        <v>182</v>
      </c>
      <c r="L92" t="s">
        <v>199</v>
      </c>
      <c r="M92" s="16" t="s">
        <v>152</v>
      </c>
      <c r="N92" s="16" t="s">
        <v>153</v>
      </c>
      <c r="O92" t="s">
        <v>1614</v>
      </c>
      <c r="P92" s="18">
        <v>2482</v>
      </c>
      <c r="Q92" s="21">
        <v>32</v>
      </c>
      <c r="R92" s="21" t="str">
        <f t="shared" si="21"/>
        <v>31+ days</v>
      </c>
      <c r="S92" s="16" t="s">
        <v>145</v>
      </c>
      <c r="T92" s="16" t="s">
        <v>154</v>
      </c>
      <c r="U92" s="16" t="s">
        <v>164</v>
      </c>
      <c r="V92" t="str">
        <f>IF(U92="","",IFERROR(VLOOKUP(U92,Hotels!A:B,2,FALSE),"Not Found"))</f>
        <v>Marriott</v>
      </c>
      <c r="W92" s="14">
        <v>425.6</v>
      </c>
      <c r="X92" s="14">
        <v>0</v>
      </c>
      <c r="Y92" s="21">
        <v>3</v>
      </c>
      <c r="Z92" s="29">
        <f t="shared" si="22"/>
        <v>192.99666666666667</v>
      </c>
      <c r="AA92" s="14">
        <v>578.99</v>
      </c>
      <c r="AB92" s="14">
        <v>131.86000000000001</v>
      </c>
      <c r="AC92" s="14">
        <v>1136.45</v>
      </c>
      <c r="AD92" s="16" t="s">
        <v>147</v>
      </c>
      <c r="AE92" s="16" t="s">
        <v>147</v>
      </c>
      <c r="AF92" s="14">
        <f>SUMIF('Trip Changes'!$B:$B,A92,'Trip Changes'!$E:$E)</f>
        <v>0</v>
      </c>
      <c r="AG92" s="23">
        <f>SUMIF('Trip Cancellations'!$B:$B,A92,'Trip Cancellations'!$E:$E)</f>
        <v>0</v>
      </c>
      <c r="AH92" s="14">
        <f>SUMIF('Trip Cancellations'!$B:$B,A92,'Trip Cancellations'!$F:$F)</f>
        <v>0</v>
      </c>
      <c r="AI92" s="14">
        <f t="shared" si="23"/>
        <v>1136.45</v>
      </c>
      <c r="AJ92" s="14" t="str">
        <f t="shared" si="24"/>
        <v>No</v>
      </c>
      <c r="AK92" s="14" t="str">
        <f>IF(Y92=0,"N/A",
IF(_xlfn.XLOOKUP(U92,Hotels!A:A,Hotels!C:C)=TRUE,"Yes","No"))</f>
        <v>Yes</v>
      </c>
      <c r="AL92" s="14" t="str">
        <f>IF(N92="Rail","N/A",IF(_xlfn.XLOOKUP(T92,Airlines!A:A,Airlines!C:C)=TRUE,"Yes","No"))</f>
        <v>Yes</v>
      </c>
      <c r="AM92" s="14" t="str">
        <f t="shared" si="25"/>
        <v>Yes</v>
      </c>
      <c r="AN92" s="14" t="str">
        <f t="shared" si="26"/>
        <v>Yes</v>
      </c>
      <c r="AO92" s="14" t="str">
        <f t="shared" si="27"/>
        <v>Yes</v>
      </c>
      <c r="AP92" s="16" t="s">
        <v>148</v>
      </c>
      <c r="AQ92" t="str">
        <f t="shared" si="28"/>
        <v>No</v>
      </c>
      <c r="AR92" s="21">
        <v>4</v>
      </c>
      <c r="AS92" s="5">
        <v>372.3</v>
      </c>
      <c r="AT92" s="5" t="str">
        <f>IF(T92="","",_xlfn.XLOOKUP(T92,Airlines!A:A,Airlines!B:B,"Not Found"))</f>
        <v>British Airways</v>
      </c>
      <c r="AU92" s="5" t="str">
        <f>IF(U92="","",_xlfn.XLOOKUP(U92,Hotels!A:A,Hotels!B:B,"Not found"))</f>
        <v>Marriott</v>
      </c>
      <c r="AV92" t="s">
        <v>148</v>
      </c>
      <c r="AW92" s="16" t="str">
        <f t="shared" si="29"/>
        <v>OK</v>
      </c>
      <c r="AX92" s="16" t="str">
        <f t="shared" si="30"/>
        <v>OK</v>
      </c>
      <c r="AY92" s="16" t="str">
        <f t="shared" si="31"/>
        <v>OK</v>
      </c>
      <c r="AZ92" s="16" t="str">
        <f t="shared" si="32"/>
        <v>OK</v>
      </c>
      <c r="BA92" s="16" t="str">
        <f t="shared" si="36"/>
        <v>OK</v>
      </c>
      <c r="BB92" s="21">
        <f>COUNTIF('Trip Changes'!B:B,A92)</f>
        <v>0</v>
      </c>
      <c r="BC92" s="16" t="str">
        <f>IF(OR(AND(AD92="Yes",COUNTIF('Trip Changes'!B:B,A92)&gt;0),AND(AD92="No",COUNTIF('Trip Changes'!B:B,A92)=0)),"OK","Check")</f>
        <v>OK</v>
      </c>
      <c r="BD92" t="str">
        <f t="shared" si="37"/>
        <v>OK</v>
      </c>
      <c r="BE92" t="str">
        <f t="shared" si="38"/>
        <v>OK</v>
      </c>
      <c r="BF92" t="str">
        <f t="shared" si="39"/>
        <v>OK</v>
      </c>
      <c r="BG92" t="str">
        <f t="shared" si="40"/>
        <v>OK</v>
      </c>
      <c r="BH92" t="str">
        <f t="shared" si="41"/>
        <v>OK</v>
      </c>
      <c r="BI92" t="str">
        <f t="shared" si="33"/>
        <v>OK</v>
      </c>
      <c r="BJ92" t="str">
        <f t="shared" si="34"/>
        <v>OK</v>
      </c>
      <c r="BK92" t="str">
        <f t="shared" si="35"/>
        <v>OK</v>
      </c>
    </row>
    <row r="93" spans="1:63">
      <c r="A93" s="16" t="s">
        <v>327</v>
      </c>
      <c r="B93" s="16" t="s">
        <v>328</v>
      </c>
      <c r="C93" s="16" t="s">
        <v>142</v>
      </c>
      <c r="D93" s="16" t="s">
        <v>138</v>
      </c>
      <c r="E93" s="16" t="s">
        <v>139</v>
      </c>
      <c r="F93" s="16" t="s">
        <v>140</v>
      </c>
      <c r="G93" s="15">
        <v>46205</v>
      </c>
      <c r="H93" s="15">
        <v>46221</v>
      </c>
      <c r="I93" s="15">
        <v>46226</v>
      </c>
      <c r="J93" s="15" t="s">
        <v>150</v>
      </c>
      <c r="K93" s="16" t="s">
        <v>142</v>
      </c>
      <c r="L93" t="s">
        <v>233</v>
      </c>
      <c r="M93" s="16" t="s">
        <v>152</v>
      </c>
      <c r="N93" s="16" t="s">
        <v>153</v>
      </c>
      <c r="O93" t="s">
        <v>1614</v>
      </c>
      <c r="P93" s="18">
        <v>2614</v>
      </c>
      <c r="Q93" s="21">
        <v>16</v>
      </c>
      <c r="R93" s="21" t="str">
        <f t="shared" si="21"/>
        <v>15-30 days</v>
      </c>
      <c r="S93" s="16" t="s">
        <v>159</v>
      </c>
      <c r="T93" s="16" t="s">
        <v>160</v>
      </c>
      <c r="U93" s="16" t="s">
        <v>155</v>
      </c>
      <c r="V93" t="str">
        <f>IF(U93="","",IFERROR(VLOOKUP(U93,Hotels!A:B,2,FALSE),"Not Found"))</f>
        <v>Hilton</v>
      </c>
      <c r="W93" s="14">
        <v>314.85000000000002</v>
      </c>
      <c r="X93" s="14">
        <v>0</v>
      </c>
      <c r="Y93" s="21">
        <v>4</v>
      </c>
      <c r="Z93" s="29">
        <f t="shared" si="22"/>
        <v>128.83500000000001</v>
      </c>
      <c r="AA93" s="14">
        <v>515.34</v>
      </c>
      <c r="AB93" s="14">
        <v>62.24</v>
      </c>
      <c r="AC93" s="14">
        <v>892.43</v>
      </c>
      <c r="AD93" s="16" t="s">
        <v>147</v>
      </c>
      <c r="AE93" s="16" t="s">
        <v>147</v>
      </c>
      <c r="AF93" s="14">
        <f>SUMIF('Trip Changes'!$B:$B,A93,'Trip Changes'!$E:$E)</f>
        <v>0</v>
      </c>
      <c r="AG93" s="23">
        <f>SUMIF('Trip Cancellations'!$B:$B,A93,'Trip Cancellations'!$E:$E)</f>
        <v>0</v>
      </c>
      <c r="AH93" s="14">
        <f>SUMIF('Trip Cancellations'!$B:$B,A93,'Trip Cancellations'!$F:$F)</f>
        <v>0</v>
      </c>
      <c r="AI93" s="14">
        <f t="shared" si="23"/>
        <v>892.43</v>
      </c>
      <c r="AJ93" s="14" t="str">
        <f t="shared" si="24"/>
        <v>Yes</v>
      </c>
      <c r="AK93" s="14" t="str">
        <f>IF(Y93=0,"N/A",
IF(_xlfn.XLOOKUP(U93,Hotels!A:A,Hotels!C:C)=TRUE,"Yes","No"))</f>
        <v>Yes</v>
      </c>
      <c r="AL93" s="14" t="str">
        <f>IF(N93="Rail","N/A",IF(_xlfn.XLOOKUP(T93,Airlines!A:A,Airlines!C:C)=TRUE,"Yes","No"))</f>
        <v>Yes</v>
      </c>
      <c r="AM93" s="14" t="str">
        <f t="shared" si="25"/>
        <v>Yes</v>
      </c>
      <c r="AN93" s="14" t="str">
        <f t="shared" si="26"/>
        <v>Yes</v>
      </c>
      <c r="AO93" s="14" t="str">
        <f t="shared" si="27"/>
        <v>Yes</v>
      </c>
      <c r="AP93" s="16" t="s">
        <v>148</v>
      </c>
      <c r="AQ93" t="str">
        <f t="shared" si="28"/>
        <v>Yes</v>
      </c>
      <c r="AR93" s="21">
        <v>4</v>
      </c>
      <c r="AS93" s="5">
        <v>392.1</v>
      </c>
      <c r="AT93" s="5" t="str">
        <f>IF(T93="","",_xlfn.XLOOKUP(T93,Airlines!A:A,Airlines!B:B,"Not Found"))</f>
        <v>Air France</v>
      </c>
      <c r="AU93" s="5" t="str">
        <f>IF(U93="","",_xlfn.XLOOKUP(U93,Hotels!A:A,Hotels!B:B,"Not found"))</f>
        <v>Hilton</v>
      </c>
      <c r="AV93" t="s">
        <v>147</v>
      </c>
      <c r="AW93" s="16" t="str">
        <f t="shared" si="29"/>
        <v>OK</v>
      </c>
      <c r="AX93" s="16" t="str">
        <f t="shared" si="30"/>
        <v>OK</v>
      </c>
      <c r="AY93" s="16" t="str">
        <f t="shared" si="31"/>
        <v>OK</v>
      </c>
      <c r="AZ93" s="16" t="str">
        <f t="shared" si="32"/>
        <v>OK</v>
      </c>
      <c r="BA93" s="16" t="str">
        <f t="shared" si="36"/>
        <v>OK</v>
      </c>
      <c r="BB93" s="21">
        <f>COUNTIF('Trip Changes'!B:B,A93)</f>
        <v>0</v>
      </c>
      <c r="BC93" s="16" t="str">
        <f>IF(OR(AND(AD93="Yes",COUNTIF('Trip Changes'!B:B,A93)&gt;0),AND(AD93="No",COUNTIF('Trip Changes'!B:B,A93)=0)),"OK","Check")</f>
        <v>OK</v>
      </c>
      <c r="BD93" t="str">
        <f t="shared" si="37"/>
        <v>OK</v>
      </c>
      <c r="BE93" t="str">
        <f t="shared" si="38"/>
        <v>OK</v>
      </c>
      <c r="BF93" t="str">
        <f t="shared" si="39"/>
        <v>OK</v>
      </c>
      <c r="BG93" t="str">
        <f t="shared" si="40"/>
        <v>OK</v>
      </c>
      <c r="BH93" t="str">
        <f t="shared" si="41"/>
        <v>OK</v>
      </c>
      <c r="BI93" t="str">
        <f t="shared" si="33"/>
        <v>OK</v>
      </c>
      <c r="BJ93" t="str">
        <f t="shared" si="34"/>
        <v>OK</v>
      </c>
      <c r="BK93" t="str">
        <f t="shared" si="35"/>
        <v>OK</v>
      </c>
    </row>
    <row r="94" spans="1:63">
      <c r="A94" s="16" t="s">
        <v>329</v>
      </c>
      <c r="B94" s="16" t="s">
        <v>328</v>
      </c>
      <c r="C94" s="16" t="s">
        <v>142</v>
      </c>
      <c r="D94" s="16" t="s">
        <v>138</v>
      </c>
      <c r="E94" s="16" t="s">
        <v>139</v>
      </c>
      <c r="F94" s="16" t="s">
        <v>140</v>
      </c>
      <c r="G94" s="15">
        <v>46133</v>
      </c>
      <c r="H94" s="15">
        <v>46162</v>
      </c>
      <c r="I94" s="15">
        <v>46164</v>
      </c>
      <c r="J94" s="15" t="s">
        <v>163</v>
      </c>
      <c r="K94" s="16" t="s">
        <v>142</v>
      </c>
      <c r="L94" t="s">
        <v>182</v>
      </c>
      <c r="M94" s="16" t="s">
        <v>143</v>
      </c>
      <c r="N94" s="16" t="s">
        <v>144</v>
      </c>
      <c r="O94" t="s">
        <v>1630</v>
      </c>
      <c r="P94" s="18">
        <v>668</v>
      </c>
      <c r="Q94" s="21">
        <v>29</v>
      </c>
      <c r="R94" s="21" t="str">
        <f t="shared" si="21"/>
        <v>15-30 days</v>
      </c>
      <c r="S94" s="16" t="s">
        <v>145</v>
      </c>
      <c r="U94" s="16" t="s">
        <v>146</v>
      </c>
      <c r="V94" t="str">
        <f>IF(U94="","",IFERROR(VLOOKUP(U94,Hotels!A:B,2,FALSE),"Not Found"))</f>
        <v>Premier Inn</v>
      </c>
      <c r="W94" s="14">
        <v>0</v>
      </c>
      <c r="X94" s="14">
        <v>363.09</v>
      </c>
      <c r="Y94" s="21">
        <v>1</v>
      </c>
      <c r="Z94" s="29">
        <f t="shared" si="22"/>
        <v>235.07</v>
      </c>
      <c r="AA94" s="14">
        <v>235.07</v>
      </c>
      <c r="AB94" s="14">
        <v>23.12</v>
      </c>
      <c r="AC94" s="14">
        <v>621.28</v>
      </c>
      <c r="AD94" s="16" t="s">
        <v>147</v>
      </c>
      <c r="AE94" s="16" t="s">
        <v>147</v>
      </c>
      <c r="AF94" s="14">
        <f>SUMIF('Trip Changes'!$B:$B,A94,'Trip Changes'!$E:$E)</f>
        <v>0</v>
      </c>
      <c r="AG94" s="23">
        <f>SUMIF('Trip Cancellations'!$B:$B,A94,'Trip Cancellations'!$E:$E)</f>
        <v>0</v>
      </c>
      <c r="AH94" s="14">
        <f>SUMIF('Trip Cancellations'!$B:$B,A94,'Trip Cancellations'!$F:$F)</f>
        <v>0</v>
      </c>
      <c r="AI94" s="14">
        <f t="shared" si="23"/>
        <v>621.28</v>
      </c>
      <c r="AJ94" s="14" t="str">
        <f t="shared" si="24"/>
        <v>No</v>
      </c>
      <c r="AK94" s="14" t="str">
        <f>IF(Y94=0,"N/A",
IF(_xlfn.XLOOKUP(U94,Hotels!A:A,Hotels!C:C)=TRUE,"Yes","No"))</f>
        <v>Yes</v>
      </c>
      <c r="AL94" s="14" t="str">
        <f>IF(N94="Rail","N/A",IF(_xlfn.XLOOKUP(T94,Airlines!A:A,Airlines!C:C)=TRUE,"Yes","No"))</f>
        <v>N/A</v>
      </c>
      <c r="AM94" s="14" t="str">
        <f t="shared" si="25"/>
        <v>Yes</v>
      </c>
      <c r="AN94" s="14" t="str">
        <f t="shared" si="26"/>
        <v>Yes</v>
      </c>
      <c r="AO94" s="14" t="str">
        <f t="shared" si="27"/>
        <v>Yes</v>
      </c>
      <c r="AP94" s="16" t="s">
        <v>148</v>
      </c>
      <c r="AQ94" t="str">
        <f t="shared" si="28"/>
        <v>No</v>
      </c>
      <c r="AR94" s="21">
        <v>5</v>
      </c>
      <c r="AS94" s="5">
        <v>26.7</v>
      </c>
      <c r="AT94" s="5" t="str">
        <f>IF(T94="","",_xlfn.XLOOKUP(T94,Airlines!A:A,Airlines!B:B,"Not Found"))</f>
        <v/>
      </c>
      <c r="AU94" s="5" t="str">
        <f>IF(U94="","",_xlfn.XLOOKUP(U94,Hotels!A:A,Hotels!B:B,"Not found"))</f>
        <v>Premier Inn</v>
      </c>
      <c r="AV94" t="s">
        <v>147</v>
      </c>
      <c r="AW94" s="16" t="str">
        <f t="shared" si="29"/>
        <v>OK</v>
      </c>
      <c r="AX94" s="16" t="str">
        <f t="shared" si="30"/>
        <v>OK</v>
      </c>
      <c r="AY94" s="16" t="str">
        <f t="shared" si="31"/>
        <v>OK</v>
      </c>
      <c r="AZ94" s="16" t="str">
        <f t="shared" si="32"/>
        <v>OK</v>
      </c>
      <c r="BA94" s="16" t="str">
        <f t="shared" si="36"/>
        <v>OK</v>
      </c>
      <c r="BB94" s="21">
        <f>COUNTIF('Trip Changes'!B:B,A94)</f>
        <v>0</v>
      </c>
      <c r="BC94" s="16" t="str">
        <f>IF(OR(AND(AD94="Yes",COUNTIF('Trip Changes'!B:B,A94)&gt;0),AND(AD94="No",COUNTIF('Trip Changes'!B:B,A94)=0)),"OK","Check")</f>
        <v>OK</v>
      </c>
      <c r="BD94" t="str">
        <f t="shared" si="37"/>
        <v>OK</v>
      </c>
      <c r="BE94" t="str">
        <f t="shared" si="38"/>
        <v>OK</v>
      </c>
      <c r="BF94" t="str">
        <f t="shared" si="39"/>
        <v>OK</v>
      </c>
      <c r="BG94" t="str">
        <f t="shared" si="40"/>
        <v>OK</v>
      </c>
      <c r="BH94" t="str">
        <f t="shared" si="41"/>
        <v>OK</v>
      </c>
      <c r="BI94" t="str">
        <f t="shared" si="33"/>
        <v>OK</v>
      </c>
      <c r="BJ94" t="str">
        <f t="shared" si="34"/>
        <v>OK</v>
      </c>
      <c r="BK94" t="str">
        <f t="shared" si="35"/>
        <v>OK</v>
      </c>
    </row>
    <row r="95" spans="1:63">
      <c r="A95" s="16" t="s">
        <v>330</v>
      </c>
      <c r="B95" s="16" t="s">
        <v>328</v>
      </c>
      <c r="C95" s="16" t="s">
        <v>142</v>
      </c>
      <c r="D95" s="16" t="s">
        <v>138</v>
      </c>
      <c r="E95" s="16" t="s">
        <v>139</v>
      </c>
      <c r="F95" s="16" t="s">
        <v>162</v>
      </c>
      <c r="G95" s="15">
        <v>46202</v>
      </c>
      <c r="H95" s="15">
        <v>46203</v>
      </c>
      <c r="I95" s="15">
        <v>46205</v>
      </c>
      <c r="J95" s="15" t="s">
        <v>141</v>
      </c>
      <c r="K95" s="16" t="s">
        <v>142</v>
      </c>
      <c r="L95" t="s">
        <v>182</v>
      </c>
      <c r="M95" s="16" t="s">
        <v>143</v>
      </c>
      <c r="N95" s="16" t="s">
        <v>144</v>
      </c>
      <c r="O95" t="s">
        <v>1630</v>
      </c>
      <c r="P95" s="18">
        <v>570</v>
      </c>
      <c r="Q95" s="21">
        <v>1</v>
      </c>
      <c r="R95" s="21" t="str">
        <f t="shared" si="21"/>
        <v>0-3 days</v>
      </c>
      <c r="S95" s="16" t="s">
        <v>145</v>
      </c>
      <c r="U95" s="16" t="s">
        <v>155</v>
      </c>
      <c r="V95" t="str">
        <f>IF(U95="","",IFERROR(VLOOKUP(U95,Hotels!A:B,2,FALSE),"Not Found"))</f>
        <v>Hilton</v>
      </c>
      <c r="W95" s="14">
        <v>0</v>
      </c>
      <c r="X95" s="14">
        <v>242.24</v>
      </c>
      <c r="Y95" s="21">
        <v>1</v>
      </c>
      <c r="Z95" s="29">
        <f t="shared" si="22"/>
        <v>120.86</v>
      </c>
      <c r="AA95" s="14">
        <v>120.86</v>
      </c>
      <c r="AB95" s="14">
        <v>55.12</v>
      </c>
      <c r="AC95" s="14">
        <v>418.22</v>
      </c>
      <c r="AD95" s="16" t="s">
        <v>147</v>
      </c>
      <c r="AE95" s="16" t="s">
        <v>147</v>
      </c>
      <c r="AF95" s="14">
        <f>SUMIF('Trip Changes'!$B:$B,A95,'Trip Changes'!$E:$E)</f>
        <v>0</v>
      </c>
      <c r="AG95" s="23">
        <f>SUMIF('Trip Cancellations'!$B:$B,A95,'Trip Cancellations'!$E:$E)</f>
        <v>0</v>
      </c>
      <c r="AH95" s="14">
        <f>SUMIF('Trip Cancellations'!$B:$B,A95,'Trip Cancellations'!$F:$F)</f>
        <v>0</v>
      </c>
      <c r="AI95" s="14">
        <f t="shared" si="23"/>
        <v>418.22</v>
      </c>
      <c r="AJ95" s="14" t="str">
        <f t="shared" si="24"/>
        <v>Yes</v>
      </c>
      <c r="AK95" s="14" t="str">
        <f>IF(Y95=0,"N/A",
IF(_xlfn.XLOOKUP(U95,Hotels!A:A,Hotels!C:C)=TRUE,"Yes","No"))</f>
        <v>Yes</v>
      </c>
      <c r="AL95" s="14" t="str">
        <f>IF(N95="Rail","N/A",IF(_xlfn.XLOOKUP(T95,Airlines!A:A,Airlines!C:C)=TRUE,"Yes","No"))</f>
        <v>N/A</v>
      </c>
      <c r="AM95" s="14" t="str">
        <f t="shared" si="25"/>
        <v>Yes</v>
      </c>
      <c r="AN95" s="14" t="str">
        <f t="shared" si="26"/>
        <v>Yes</v>
      </c>
      <c r="AO95" s="14" t="str">
        <f t="shared" si="27"/>
        <v>Yes</v>
      </c>
      <c r="AP95" s="16" t="s">
        <v>148</v>
      </c>
      <c r="AQ95" t="str">
        <f t="shared" si="28"/>
        <v>Yes</v>
      </c>
      <c r="AR95" s="21">
        <v>4</v>
      </c>
      <c r="AS95" s="5">
        <v>22.8</v>
      </c>
      <c r="AT95" s="5" t="str">
        <f>IF(T95="","",_xlfn.XLOOKUP(T95,Airlines!A:A,Airlines!B:B,"Not Found"))</f>
        <v/>
      </c>
      <c r="AU95" s="5" t="str">
        <f>IF(U95="","",_xlfn.XLOOKUP(U95,Hotels!A:A,Hotels!B:B,"Not found"))</f>
        <v>Hilton</v>
      </c>
      <c r="AV95" t="s">
        <v>147</v>
      </c>
      <c r="AW95" s="16" t="str">
        <f t="shared" si="29"/>
        <v>OK</v>
      </c>
      <c r="AX95" s="16" t="str">
        <f t="shared" si="30"/>
        <v>OK</v>
      </c>
      <c r="AY95" s="16" t="str">
        <f t="shared" si="31"/>
        <v>OK</v>
      </c>
      <c r="AZ95" s="16" t="str">
        <f t="shared" si="32"/>
        <v>OK</v>
      </c>
      <c r="BA95" s="16" t="str">
        <f t="shared" si="36"/>
        <v>OK</v>
      </c>
      <c r="BB95" s="21">
        <f>COUNTIF('Trip Changes'!B:B,A95)</f>
        <v>0</v>
      </c>
      <c r="BC95" s="16" t="str">
        <f>IF(OR(AND(AD95="Yes",COUNTIF('Trip Changes'!B:B,A95)&gt;0),AND(AD95="No",COUNTIF('Trip Changes'!B:B,A95)=0)),"OK","Check")</f>
        <v>OK</v>
      </c>
      <c r="BD95" t="str">
        <f t="shared" si="37"/>
        <v>OK</v>
      </c>
      <c r="BE95" t="str">
        <f t="shared" si="38"/>
        <v>OK</v>
      </c>
      <c r="BF95" t="str">
        <f t="shared" si="39"/>
        <v>OK</v>
      </c>
      <c r="BG95" t="str">
        <f t="shared" si="40"/>
        <v>OK</v>
      </c>
      <c r="BH95" t="str">
        <f t="shared" si="41"/>
        <v>OK</v>
      </c>
      <c r="BI95" t="str">
        <f t="shared" si="33"/>
        <v>OK</v>
      </c>
      <c r="BJ95" t="str">
        <f t="shared" si="34"/>
        <v>OK</v>
      </c>
      <c r="BK95" t="str">
        <f t="shared" si="35"/>
        <v>OK</v>
      </c>
    </row>
    <row r="96" spans="1:63">
      <c r="A96" s="16" t="s">
        <v>331</v>
      </c>
      <c r="B96" s="16" t="s">
        <v>328</v>
      </c>
      <c r="C96" s="16" t="s">
        <v>142</v>
      </c>
      <c r="D96" s="16" t="s">
        <v>138</v>
      </c>
      <c r="E96" s="16" t="s">
        <v>139</v>
      </c>
      <c r="F96" s="16" t="s">
        <v>140</v>
      </c>
      <c r="G96" s="15">
        <v>46200</v>
      </c>
      <c r="H96" s="15">
        <v>46222</v>
      </c>
      <c r="I96" s="15">
        <v>46225</v>
      </c>
      <c r="J96" s="15" t="s">
        <v>150</v>
      </c>
      <c r="K96" s="16" t="s">
        <v>142</v>
      </c>
      <c r="L96" t="s">
        <v>158</v>
      </c>
      <c r="M96" s="16" t="s">
        <v>152</v>
      </c>
      <c r="N96" s="16" t="s">
        <v>153</v>
      </c>
      <c r="O96" t="s">
        <v>1614</v>
      </c>
      <c r="P96" s="18">
        <v>2530</v>
      </c>
      <c r="Q96" s="21">
        <v>22</v>
      </c>
      <c r="R96" s="21" t="str">
        <f t="shared" si="21"/>
        <v>15-30 days</v>
      </c>
      <c r="S96" s="16" t="s">
        <v>216</v>
      </c>
      <c r="T96" s="16" t="s">
        <v>172</v>
      </c>
      <c r="U96" s="16" t="s">
        <v>155</v>
      </c>
      <c r="V96" t="str">
        <f>IF(U96="","",IFERROR(VLOOKUP(U96,Hotels!A:B,2,FALSE),"Not Found"))</f>
        <v>Hilton</v>
      </c>
      <c r="W96" s="14">
        <v>693.65</v>
      </c>
      <c r="X96" s="14">
        <v>0</v>
      </c>
      <c r="Y96" s="21">
        <v>2</v>
      </c>
      <c r="Z96" s="29">
        <f t="shared" si="22"/>
        <v>205.57499999999999</v>
      </c>
      <c r="AA96" s="14">
        <v>411.15</v>
      </c>
      <c r="AB96" s="14">
        <v>54.1</v>
      </c>
      <c r="AC96" s="14">
        <v>1158.9000000000001</v>
      </c>
      <c r="AD96" s="16" t="s">
        <v>147</v>
      </c>
      <c r="AE96" s="16" t="s">
        <v>147</v>
      </c>
      <c r="AF96" s="14">
        <f>SUMIF('Trip Changes'!$B:$B,A96,'Trip Changes'!$E:$E)</f>
        <v>0</v>
      </c>
      <c r="AG96" s="23">
        <f>SUMIF('Trip Cancellations'!$B:$B,A96,'Trip Cancellations'!$E:$E)</f>
        <v>0</v>
      </c>
      <c r="AH96" s="14">
        <f>SUMIF('Trip Cancellations'!$B:$B,A96,'Trip Cancellations'!$F:$F)</f>
        <v>0</v>
      </c>
      <c r="AI96" s="14">
        <f t="shared" si="23"/>
        <v>1158.9000000000001</v>
      </c>
      <c r="AJ96" s="14" t="str">
        <f t="shared" si="24"/>
        <v>No</v>
      </c>
      <c r="AK96" s="14" t="str">
        <f>IF(Y96=0,"N/A",
IF(_xlfn.XLOOKUP(U96,Hotels!A:A,Hotels!C:C)=TRUE,"Yes","No"))</f>
        <v>Yes</v>
      </c>
      <c r="AL96" s="14" t="str">
        <f>IF(N96="Rail","N/A",IF(_xlfn.XLOOKUP(T96,Airlines!A:A,Airlines!C:C)=TRUE,"Yes","No"))</f>
        <v>Yes</v>
      </c>
      <c r="AM96" s="14" t="str">
        <f t="shared" si="25"/>
        <v>Yes</v>
      </c>
      <c r="AN96" s="14" t="str">
        <f t="shared" si="26"/>
        <v>No</v>
      </c>
      <c r="AO96" s="14" t="str">
        <f t="shared" si="27"/>
        <v>Yes</v>
      </c>
      <c r="AP96" s="16" t="s">
        <v>148</v>
      </c>
      <c r="AQ96" t="str">
        <f t="shared" si="28"/>
        <v>No</v>
      </c>
      <c r="AR96" s="21">
        <v>4</v>
      </c>
      <c r="AS96" s="5">
        <v>379.5</v>
      </c>
      <c r="AT96" s="5" t="str">
        <f>IF(T96="","",_xlfn.XLOOKUP(T96,Airlines!A:A,Airlines!B:B,"Not Found"))</f>
        <v>Lufthansa</v>
      </c>
      <c r="AU96" s="5" t="str">
        <f>IF(U96="","",_xlfn.XLOOKUP(U96,Hotels!A:A,Hotels!B:B,"Not found"))</f>
        <v>Hilton</v>
      </c>
      <c r="AV96" t="s">
        <v>148</v>
      </c>
      <c r="AW96" s="16" t="str">
        <f t="shared" si="29"/>
        <v>OK</v>
      </c>
      <c r="AX96" s="16" t="str">
        <f t="shared" si="30"/>
        <v>OK</v>
      </c>
      <c r="AY96" s="16" t="str">
        <f t="shared" si="31"/>
        <v>OK</v>
      </c>
      <c r="AZ96" s="16" t="str">
        <f t="shared" si="32"/>
        <v>OK</v>
      </c>
      <c r="BA96" s="16" t="str">
        <f t="shared" si="36"/>
        <v>OK</v>
      </c>
      <c r="BB96" s="21">
        <f>COUNTIF('Trip Changes'!B:B,A96)</f>
        <v>0</v>
      </c>
      <c r="BC96" s="16" t="str">
        <f>IF(OR(AND(AD96="Yes",COUNTIF('Trip Changes'!B:B,A96)&gt;0),AND(AD96="No",COUNTIF('Trip Changes'!B:B,A96)=0)),"OK","Check")</f>
        <v>OK</v>
      </c>
      <c r="BD96" t="str">
        <f t="shared" si="37"/>
        <v>OK</v>
      </c>
      <c r="BE96" t="str">
        <f t="shared" si="38"/>
        <v>OK</v>
      </c>
      <c r="BF96" t="str">
        <f t="shared" si="39"/>
        <v>OK</v>
      </c>
      <c r="BG96" t="str">
        <f t="shared" si="40"/>
        <v>OK</v>
      </c>
      <c r="BH96" t="str">
        <f t="shared" si="41"/>
        <v>OK</v>
      </c>
      <c r="BI96" t="str">
        <f t="shared" si="33"/>
        <v>OK</v>
      </c>
      <c r="BJ96" t="str">
        <f t="shared" si="34"/>
        <v>OK</v>
      </c>
      <c r="BK96" t="str">
        <f t="shared" si="35"/>
        <v>OK</v>
      </c>
    </row>
    <row r="97" spans="1:63">
      <c r="A97" s="16" t="s">
        <v>332</v>
      </c>
      <c r="B97" s="16" t="s">
        <v>333</v>
      </c>
      <c r="C97" s="16" t="s">
        <v>182</v>
      </c>
      <c r="D97" s="16" t="s">
        <v>138</v>
      </c>
      <c r="E97" s="16" t="s">
        <v>139</v>
      </c>
      <c r="F97" s="16" t="s">
        <v>140</v>
      </c>
      <c r="G97" s="15">
        <v>46193</v>
      </c>
      <c r="H97" s="15">
        <v>46220</v>
      </c>
      <c r="I97" s="15">
        <v>46224</v>
      </c>
      <c r="J97" s="15" t="s">
        <v>150</v>
      </c>
      <c r="K97" s="16" t="s">
        <v>182</v>
      </c>
      <c r="L97" t="s">
        <v>264</v>
      </c>
      <c r="M97" s="16" t="s">
        <v>152</v>
      </c>
      <c r="N97" s="16" t="s">
        <v>153</v>
      </c>
      <c r="O97" t="s">
        <v>1614</v>
      </c>
      <c r="P97" s="18">
        <v>1296</v>
      </c>
      <c r="Q97" s="21">
        <v>27</v>
      </c>
      <c r="R97" s="21" t="str">
        <f t="shared" si="21"/>
        <v>15-30 days</v>
      </c>
      <c r="S97" s="16" t="s">
        <v>159</v>
      </c>
      <c r="T97" s="16" t="s">
        <v>176</v>
      </c>
      <c r="U97" s="16" t="s">
        <v>190</v>
      </c>
      <c r="V97" t="str">
        <f>IF(U97="","",IFERROR(VLOOKUP(U97,Hotels!A:B,2,FALSE),"Not Found"))</f>
        <v>Radisson Hotel Group</v>
      </c>
      <c r="W97" s="14">
        <v>459.37</v>
      </c>
      <c r="X97" s="14">
        <v>0</v>
      </c>
      <c r="Y97" s="21">
        <v>3</v>
      </c>
      <c r="Z97" s="29">
        <f t="shared" si="22"/>
        <v>150.56666666666666</v>
      </c>
      <c r="AA97" s="14">
        <v>451.7</v>
      </c>
      <c r="AB97" s="14">
        <v>87.9</v>
      </c>
      <c r="AC97" s="14">
        <v>998.97</v>
      </c>
      <c r="AD97" s="16" t="s">
        <v>147</v>
      </c>
      <c r="AE97" s="16" t="s">
        <v>147</v>
      </c>
      <c r="AF97" s="14">
        <f>SUMIF('Trip Changes'!$B:$B,A97,'Trip Changes'!$E:$E)</f>
        <v>0</v>
      </c>
      <c r="AG97" s="23">
        <f>SUMIF('Trip Cancellations'!$B:$B,A97,'Trip Cancellations'!$E:$E)</f>
        <v>0</v>
      </c>
      <c r="AH97" s="14">
        <f>SUMIF('Trip Cancellations'!$B:$B,A97,'Trip Cancellations'!$F:$F)</f>
        <v>0</v>
      </c>
      <c r="AI97" s="14">
        <f t="shared" si="23"/>
        <v>998.97</v>
      </c>
      <c r="AJ97" s="14" t="str">
        <f t="shared" si="24"/>
        <v>Yes</v>
      </c>
      <c r="AK97" s="14" t="str">
        <f>IF(Y97=0,"N/A",
IF(_xlfn.XLOOKUP(U97,Hotels!A:A,Hotels!C:C)=TRUE,"Yes","No"))</f>
        <v>No</v>
      </c>
      <c r="AL97" s="14" t="str">
        <f>IF(N97="Rail","N/A",IF(_xlfn.XLOOKUP(T97,Airlines!A:A,Airlines!C:C)=TRUE,"Yes","No"))</f>
        <v>Yes</v>
      </c>
      <c r="AM97" s="14" t="str">
        <f t="shared" si="25"/>
        <v>Yes</v>
      </c>
      <c r="AN97" s="14" t="str">
        <f t="shared" si="26"/>
        <v>Yes</v>
      </c>
      <c r="AO97" s="14" t="str">
        <f t="shared" si="27"/>
        <v>No</v>
      </c>
      <c r="AP97" s="16" t="s">
        <v>148</v>
      </c>
      <c r="AQ97" t="str">
        <f t="shared" si="28"/>
        <v>No</v>
      </c>
      <c r="AR97" s="21">
        <v>4</v>
      </c>
      <c r="AS97" s="5">
        <v>194.4</v>
      </c>
      <c r="AT97" s="5" t="str">
        <f>IF(T97="","",_xlfn.XLOOKUP(T97,Airlines!A:A,Airlines!B:B,"Not Found"))</f>
        <v>easyJet</v>
      </c>
      <c r="AU97" s="5" t="str">
        <f>IF(U97="","",_xlfn.XLOOKUP(U97,Hotels!A:A,Hotels!B:B,"Not found"))</f>
        <v>Radisson Hotel Group</v>
      </c>
      <c r="AV97" t="s">
        <v>148</v>
      </c>
      <c r="AW97" s="16" t="str">
        <f t="shared" si="29"/>
        <v>OK</v>
      </c>
      <c r="AX97" s="16" t="str">
        <f t="shared" si="30"/>
        <v>OK</v>
      </c>
      <c r="AY97" s="16" t="str">
        <f t="shared" si="31"/>
        <v>OK</v>
      </c>
      <c r="AZ97" s="16" t="str">
        <f t="shared" si="32"/>
        <v>OK</v>
      </c>
      <c r="BA97" s="16" t="str">
        <f t="shared" si="36"/>
        <v>OK</v>
      </c>
      <c r="BB97" s="21">
        <f>COUNTIF('Trip Changes'!B:B,A97)</f>
        <v>0</v>
      </c>
      <c r="BC97" s="16" t="str">
        <f>IF(OR(AND(AD97="Yes",COUNTIF('Trip Changes'!B:B,A97)&gt;0),AND(AD97="No",COUNTIF('Trip Changes'!B:B,A97)=0)),"OK","Check")</f>
        <v>OK</v>
      </c>
      <c r="BD97" t="str">
        <f t="shared" si="37"/>
        <v>OK</v>
      </c>
      <c r="BE97" t="str">
        <f t="shared" si="38"/>
        <v>OK</v>
      </c>
      <c r="BF97" t="str">
        <f t="shared" si="39"/>
        <v>OK</v>
      </c>
      <c r="BG97" t="str">
        <f t="shared" si="40"/>
        <v>OK</v>
      </c>
      <c r="BH97" t="str">
        <f t="shared" si="41"/>
        <v>OK</v>
      </c>
      <c r="BI97" t="str">
        <f t="shared" si="33"/>
        <v>OK</v>
      </c>
      <c r="BJ97" t="str">
        <f t="shared" si="34"/>
        <v>OK</v>
      </c>
      <c r="BK97" t="str">
        <f t="shared" si="35"/>
        <v>OK</v>
      </c>
    </row>
    <row r="98" spans="1:63">
      <c r="A98" s="16" t="s">
        <v>334</v>
      </c>
      <c r="B98" s="16" t="s">
        <v>333</v>
      </c>
      <c r="C98" s="16" t="s">
        <v>182</v>
      </c>
      <c r="D98" s="16" t="s">
        <v>138</v>
      </c>
      <c r="E98" s="16" t="s">
        <v>139</v>
      </c>
      <c r="F98" s="16" t="s">
        <v>189</v>
      </c>
      <c r="G98" s="15">
        <v>46208</v>
      </c>
      <c r="H98" s="15">
        <v>46219</v>
      </c>
      <c r="I98" s="15">
        <v>46223</v>
      </c>
      <c r="J98" s="15" t="s">
        <v>150</v>
      </c>
      <c r="K98" s="16" t="s">
        <v>182</v>
      </c>
      <c r="L98" t="s">
        <v>199</v>
      </c>
      <c r="M98" s="16" t="s">
        <v>152</v>
      </c>
      <c r="N98" s="16" t="s">
        <v>153</v>
      </c>
      <c r="O98" t="s">
        <v>1614</v>
      </c>
      <c r="P98" s="18">
        <v>2460</v>
      </c>
      <c r="Q98" s="21">
        <v>11</v>
      </c>
      <c r="R98" s="21" t="str">
        <f t="shared" si="21"/>
        <v>8-14 days</v>
      </c>
      <c r="S98" s="16" t="s">
        <v>159</v>
      </c>
      <c r="T98" s="16" t="s">
        <v>200</v>
      </c>
      <c r="U98" s="16" t="s">
        <v>164</v>
      </c>
      <c r="V98" t="str">
        <f>IF(U98="","",IFERROR(VLOOKUP(U98,Hotels!A:B,2,FALSE),"Not Found"))</f>
        <v>Marriott</v>
      </c>
      <c r="W98" s="14">
        <v>624.67999999999995</v>
      </c>
      <c r="X98" s="14">
        <v>0</v>
      </c>
      <c r="Y98" s="21">
        <v>3</v>
      </c>
      <c r="Z98" s="29">
        <f t="shared" si="22"/>
        <v>198.16333333333333</v>
      </c>
      <c r="AA98" s="14">
        <v>594.49</v>
      </c>
      <c r="AB98" s="14">
        <v>55.45</v>
      </c>
      <c r="AC98" s="14">
        <v>1274.6199999999999</v>
      </c>
      <c r="AD98" s="16" t="s">
        <v>147</v>
      </c>
      <c r="AE98" s="16" t="s">
        <v>147</v>
      </c>
      <c r="AF98" s="14">
        <f>SUMIF('Trip Changes'!$B:$B,A98,'Trip Changes'!$E:$E)</f>
        <v>0</v>
      </c>
      <c r="AG98" s="23">
        <f>SUMIF('Trip Cancellations'!$B:$B,A98,'Trip Cancellations'!$E:$E)</f>
        <v>0</v>
      </c>
      <c r="AH98" s="14">
        <f>SUMIF('Trip Cancellations'!$B:$B,A98,'Trip Cancellations'!$F:$F)</f>
        <v>0</v>
      </c>
      <c r="AI98" s="14">
        <f t="shared" si="23"/>
        <v>1274.6199999999999</v>
      </c>
      <c r="AJ98" s="14" t="str">
        <f t="shared" si="24"/>
        <v>No</v>
      </c>
      <c r="AK98" s="14" t="str">
        <f>IF(Y98=0,"N/A",
IF(_xlfn.XLOOKUP(U98,Hotels!A:A,Hotels!C:C)=TRUE,"Yes","No"))</f>
        <v>Yes</v>
      </c>
      <c r="AL98" s="14" t="str">
        <f>IF(N98="Rail","N/A",IF(_xlfn.XLOOKUP(T98,Airlines!A:A,Airlines!C:C)=TRUE,"Yes","No"))</f>
        <v>Yes</v>
      </c>
      <c r="AM98" s="14" t="str">
        <f t="shared" si="25"/>
        <v>Yes</v>
      </c>
      <c r="AN98" s="14" t="str">
        <f t="shared" si="26"/>
        <v>Yes</v>
      </c>
      <c r="AO98" s="14" t="str">
        <f t="shared" si="27"/>
        <v>Yes</v>
      </c>
      <c r="AP98" s="16" t="s">
        <v>148</v>
      </c>
      <c r="AQ98" t="str">
        <f t="shared" si="28"/>
        <v>No</v>
      </c>
      <c r="AR98" s="21">
        <v>5</v>
      </c>
      <c r="AS98" s="5">
        <v>369</v>
      </c>
      <c r="AT98" s="5" t="str">
        <f>IF(T98="","",_xlfn.XLOOKUP(T98,Airlines!A:A,Airlines!B:B,"Not Found"))</f>
        <v>Aer Lingus</v>
      </c>
      <c r="AU98" s="5" t="str">
        <f>IF(U98="","",_xlfn.XLOOKUP(U98,Hotels!A:A,Hotels!B:B,"Not found"))</f>
        <v>Marriott</v>
      </c>
      <c r="AV98" t="s">
        <v>148</v>
      </c>
      <c r="AW98" s="16" t="str">
        <f t="shared" si="29"/>
        <v>OK</v>
      </c>
      <c r="AX98" s="16" t="str">
        <f t="shared" si="30"/>
        <v>OK</v>
      </c>
      <c r="AY98" s="16" t="str">
        <f t="shared" si="31"/>
        <v>OK</v>
      </c>
      <c r="AZ98" s="16" t="str">
        <f t="shared" si="32"/>
        <v>OK</v>
      </c>
      <c r="BA98" s="16" t="str">
        <f t="shared" si="36"/>
        <v>OK</v>
      </c>
      <c r="BB98" s="21">
        <f>COUNTIF('Trip Changes'!B:B,A98)</f>
        <v>0</v>
      </c>
      <c r="BC98" s="16" t="str">
        <f>IF(OR(AND(AD98="Yes",COUNTIF('Trip Changes'!B:B,A98)&gt;0),AND(AD98="No",COUNTIF('Trip Changes'!B:B,A98)=0)),"OK","Check")</f>
        <v>OK</v>
      </c>
      <c r="BD98" t="str">
        <f t="shared" si="37"/>
        <v>OK</v>
      </c>
      <c r="BE98" t="str">
        <f t="shared" si="38"/>
        <v>OK</v>
      </c>
      <c r="BF98" t="str">
        <f t="shared" si="39"/>
        <v>OK</v>
      </c>
      <c r="BG98" t="str">
        <f t="shared" si="40"/>
        <v>OK</v>
      </c>
      <c r="BH98" t="str">
        <f t="shared" si="41"/>
        <v>OK</v>
      </c>
      <c r="BI98" t="str">
        <f t="shared" si="33"/>
        <v>OK</v>
      </c>
      <c r="BJ98" t="str">
        <f t="shared" si="34"/>
        <v>OK</v>
      </c>
      <c r="BK98" t="str">
        <f t="shared" si="35"/>
        <v>OK</v>
      </c>
    </row>
    <row r="99" spans="1:63">
      <c r="A99" s="16" t="s">
        <v>335</v>
      </c>
      <c r="B99" s="16" t="s">
        <v>333</v>
      </c>
      <c r="C99" s="16" t="s">
        <v>182</v>
      </c>
      <c r="D99" s="16" t="s">
        <v>138</v>
      </c>
      <c r="E99" s="16" t="s">
        <v>139</v>
      </c>
      <c r="F99" s="16" t="s">
        <v>140</v>
      </c>
      <c r="G99" s="15">
        <v>46221</v>
      </c>
      <c r="H99" s="15">
        <v>46224</v>
      </c>
      <c r="I99" s="15">
        <v>46228</v>
      </c>
      <c r="J99" s="15" t="s">
        <v>150</v>
      </c>
      <c r="K99" s="16" t="s">
        <v>182</v>
      </c>
      <c r="L99" t="s">
        <v>199</v>
      </c>
      <c r="M99" s="16" t="s">
        <v>152</v>
      </c>
      <c r="N99" s="16" t="s">
        <v>153</v>
      </c>
      <c r="O99" t="s">
        <v>1614</v>
      </c>
      <c r="P99" s="18">
        <v>1538</v>
      </c>
      <c r="Q99" s="21">
        <v>3</v>
      </c>
      <c r="R99" s="21" t="str">
        <f t="shared" si="21"/>
        <v>0-3 days</v>
      </c>
      <c r="S99" s="16" t="s">
        <v>145</v>
      </c>
      <c r="T99" s="16" t="s">
        <v>200</v>
      </c>
      <c r="U99" s="16" t="s">
        <v>187</v>
      </c>
      <c r="V99" t="str">
        <f>IF(U99="","",IFERROR(VLOOKUP(U99,Hotels!A:B,2,FALSE),"Not Found"))</f>
        <v>IHG Hotels &amp; Resorts</v>
      </c>
      <c r="W99" s="14">
        <v>489.46</v>
      </c>
      <c r="X99" s="14">
        <v>0</v>
      </c>
      <c r="Y99" s="21">
        <v>3</v>
      </c>
      <c r="Z99" s="29">
        <f t="shared" si="22"/>
        <v>194.98333333333335</v>
      </c>
      <c r="AA99" s="14">
        <v>584.95000000000005</v>
      </c>
      <c r="AB99" s="14">
        <v>74.8</v>
      </c>
      <c r="AC99" s="14">
        <v>1149.21</v>
      </c>
      <c r="AD99" s="16" t="s">
        <v>147</v>
      </c>
      <c r="AE99" s="16" t="s">
        <v>147</v>
      </c>
      <c r="AF99" s="14">
        <f>SUMIF('Trip Changes'!$B:$B,A99,'Trip Changes'!$E:$E)</f>
        <v>0</v>
      </c>
      <c r="AG99" s="23">
        <f>SUMIF('Trip Cancellations'!$B:$B,A99,'Trip Cancellations'!$E:$E)</f>
        <v>0</v>
      </c>
      <c r="AH99" s="14">
        <f>SUMIF('Trip Cancellations'!$B:$B,A99,'Trip Cancellations'!$F:$F)</f>
        <v>0</v>
      </c>
      <c r="AI99" s="14">
        <f t="shared" si="23"/>
        <v>1149.21</v>
      </c>
      <c r="AJ99" s="14" t="str">
        <f t="shared" si="24"/>
        <v>No</v>
      </c>
      <c r="AK99" s="14" t="str">
        <f>IF(Y99=0,"N/A",
IF(_xlfn.XLOOKUP(U99,Hotels!A:A,Hotels!C:C)=TRUE,"Yes","No"))</f>
        <v>Yes</v>
      </c>
      <c r="AL99" s="14" t="str">
        <f>IF(N99="Rail","N/A",IF(_xlfn.XLOOKUP(T99,Airlines!A:A,Airlines!C:C)=TRUE,"Yes","No"))</f>
        <v>Yes</v>
      </c>
      <c r="AM99" s="14" t="str">
        <f t="shared" si="25"/>
        <v>Yes</v>
      </c>
      <c r="AN99" s="14" t="str">
        <f t="shared" si="26"/>
        <v>Yes</v>
      </c>
      <c r="AO99" s="14" t="str">
        <f t="shared" si="27"/>
        <v>Yes</v>
      </c>
      <c r="AP99" s="16" t="s">
        <v>147</v>
      </c>
      <c r="AQ99" t="str">
        <f t="shared" si="28"/>
        <v>No</v>
      </c>
      <c r="AR99" s="21">
        <v>5</v>
      </c>
      <c r="AS99" s="5">
        <v>230.7</v>
      </c>
      <c r="AT99" s="5" t="str">
        <f>IF(T99="","",_xlfn.XLOOKUP(T99,Airlines!A:A,Airlines!B:B,"Not Found"))</f>
        <v>Aer Lingus</v>
      </c>
      <c r="AU99" s="5" t="str">
        <f>IF(U99="","",_xlfn.XLOOKUP(U99,Hotels!A:A,Hotels!B:B,"Not found"))</f>
        <v>IHG Hotels &amp; Resorts</v>
      </c>
      <c r="AV99" t="s">
        <v>147</v>
      </c>
      <c r="AW99" s="16" t="str">
        <f t="shared" si="29"/>
        <v>OK</v>
      </c>
      <c r="AX99" s="16" t="str">
        <f t="shared" si="30"/>
        <v>OK</v>
      </c>
      <c r="AY99" s="16" t="str">
        <f t="shared" si="31"/>
        <v>OK</v>
      </c>
      <c r="AZ99" s="16" t="str">
        <f t="shared" si="32"/>
        <v>OK</v>
      </c>
      <c r="BA99" s="16" t="str">
        <f t="shared" si="36"/>
        <v>OK</v>
      </c>
      <c r="BB99" s="21">
        <f>COUNTIF('Trip Changes'!B:B,A99)</f>
        <v>0</v>
      </c>
      <c r="BC99" s="16" t="str">
        <f>IF(OR(AND(AD99="Yes",COUNTIF('Trip Changes'!B:B,A99)&gt;0),AND(AD99="No",COUNTIF('Trip Changes'!B:B,A99)=0)),"OK","Check")</f>
        <v>OK</v>
      </c>
      <c r="BD99" t="str">
        <f t="shared" si="37"/>
        <v>OK</v>
      </c>
      <c r="BE99" t="str">
        <f t="shared" si="38"/>
        <v>OK</v>
      </c>
      <c r="BF99" t="str">
        <f t="shared" si="39"/>
        <v>OK</v>
      </c>
      <c r="BG99" t="str">
        <f t="shared" si="40"/>
        <v>OK</v>
      </c>
      <c r="BH99" t="str">
        <f t="shared" si="41"/>
        <v>OK</v>
      </c>
      <c r="BI99" t="str">
        <f t="shared" si="33"/>
        <v>OK</v>
      </c>
      <c r="BJ99" t="str">
        <f t="shared" si="34"/>
        <v>OK</v>
      </c>
      <c r="BK99" t="str">
        <f t="shared" si="35"/>
        <v>OK</v>
      </c>
    </row>
    <row r="100" spans="1:63">
      <c r="A100" s="16" t="s">
        <v>336</v>
      </c>
      <c r="B100" s="16" t="s">
        <v>333</v>
      </c>
      <c r="C100" s="16" t="s">
        <v>182</v>
      </c>
      <c r="D100" s="16" t="s">
        <v>138</v>
      </c>
      <c r="E100" s="16" t="s">
        <v>139</v>
      </c>
      <c r="F100" s="16" t="s">
        <v>178</v>
      </c>
      <c r="G100" s="15">
        <v>46172</v>
      </c>
      <c r="H100" s="15">
        <v>46185</v>
      </c>
      <c r="I100" s="15">
        <v>46187</v>
      </c>
      <c r="J100" s="15" t="s">
        <v>141</v>
      </c>
      <c r="K100" s="16" t="s">
        <v>182</v>
      </c>
      <c r="L100" t="s">
        <v>264</v>
      </c>
      <c r="M100" s="16" t="s">
        <v>152</v>
      </c>
      <c r="N100" s="16" t="s">
        <v>153</v>
      </c>
      <c r="O100" t="s">
        <v>1614</v>
      </c>
      <c r="P100" s="18">
        <v>2152</v>
      </c>
      <c r="Q100" s="21">
        <v>13</v>
      </c>
      <c r="R100" s="21" t="str">
        <f t="shared" si="21"/>
        <v>8-14 days</v>
      </c>
      <c r="S100" s="16" t="s">
        <v>145</v>
      </c>
      <c r="T100" s="16" t="s">
        <v>176</v>
      </c>
      <c r="U100" s="16" t="s">
        <v>173</v>
      </c>
      <c r="V100" t="str">
        <f>IF(U100="","",IFERROR(VLOOKUP(U100,Hotels!A:B,2,FALSE),"Not Found"))</f>
        <v>Accor</v>
      </c>
      <c r="W100" s="14">
        <v>446.47</v>
      </c>
      <c r="X100" s="14">
        <v>0</v>
      </c>
      <c r="Y100" s="21">
        <v>1</v>
      </c>
      <c r="Z100" s="29">
        <f t="shared" si="22"/>
        <v>151.63999999999999</v>
      </c>
      <c r="AA100" s="14">
        <v>151.63999999999999</v>
      </c>
      <c r="AB100" s="14">
        <v>76.97</v>
      </c>
      <c r="AC100" s="14">
        <v>675.08</v>
      </c>
      <c r="AD100" s="16" t="s">
        <v>147</v>
      </c>
      <c r="AE100" s="16" t="s">
        <v>147</v>
      </c>
      <c r="AF100" s="14">
        <f>SUMIF('Trip Changes'!$B:$B,A100,'Trip Changes'!$E:$E)</f>
        <v>0</v>
      </c>
      <c r="AG100" s="23">
        <f>SUMIF('Trip Cancellations'!$B:$B,A100,'Trip Cancellations'!$E:$E)</f>
        <v>0</v>
      </c>
      <c r="AH100" s="14">
        <f>SUMIF('Trip Cancellations'!$B:$B,A100,'Trip Cancellations'!$F:$F)</f>
        <v>0</v>
      </c>
      <c r="AI100" s="14">
        <f t="shared" si="23"/>
        <v>675.08</v>
      </c>
      <c r="AJ100" s="14" t="str">
        <f t="shared" si="24"/>
        <v>Yes</v>
      </c>
      <c r="AK100" s="14" t="str">
        <f>IF(Y100=0,"N/A",
IF(_xlfn.XLOOKUP(U100,Hotels!A:A,Hotels!C:C)=TRUE,"Yes","No"))</f>
        <v>Yes</v>
      </c>
      <c r="AL100" s="14" t="str">
        <f>IF(N100="Rail","N/A",IF(_xlfn.XLOOKUP(T100,Airlines!A:A,Airlines!C:C)=TRUE,"Yes","No"))</f>
        <v>Yes</v>
      </c>
      <c r="AM100" s="14" t="str">
        <f t="shared" si="25"/>
        <v>Yes</v>
      </c>
      <c r="AN100" s="14" t="str">
        <f t="shared" si="26"/>
        <v>Yes</v>
      </c>
      <c r="AO100" s="14" t="str">
        <f t="shared" si="27"/>
        <v>Yes</v>
      </c>
      <c r="AP100" s="16" t="s">
        <v>148</v>
      </c>
      <c r="AQ100" t="str">
        <f t="shared" si="28"/>
        <v>Yes</v>
      </c>
      <c r="AR100" s="21">
        <v>5</v>
      </c>
      <c r="AS100" s="5">
        <v>322.8</v>
      </c>
      <c r="AT100" s="5" t="str">
        <f>IF(T100="","",_xlfn.XLOOKUP(T100,Airlines!A:A,Airlines!B:B,"Not Found"))</f>
        <v>easyJet</v>
      </c>
      <c r="AU100" s="5" t="str">
        <f>IF(U100="","",_xlfn.XLOOKUP(U100,Hotels!A:A,Hotels!B:B,"Not found"))</f>
        <v>Accor</v>
      </c>
      <c r="AV100" t="s">
        <v>148</v>
      </c>
      <c r="AW100" s="16" t="str">
        <f t="shared" si="29"/>
        <v>OK</v>
      </c>
      <c r="AX100" s="16" t="str">
        <f t="shared" si="30"/>
        <v>OK</v>
      </c>
      <c r="AY100" s="16" t="str">
        <f t="shared" si="31"/>
        <v>OK</v>
      </c>
      <c r="AZ100" s="16" t="str">
        <f t="shared" si="32"/>
        <v>OK</v>
      </c>
      <c r="BA100" s="16" t="str">
        <f t="shared" si="36"/>
        <v>OK</v>
      </c>
      <c r="BB100" s="21">
        <f>COUNTIF('Trip Changes'!B:B,A100)</f>
        <v>0</v>
      </c>
      <c r="BC100" s="16" t="str">
        <f>IF(OR(AND(AD100="Yes",COUNTIF('Trip Changes'!B:B,A100)&gt;0),AND(AD100="No",COUNTIF('Trip Changes'!B:B,A100)=0)),"OK","Check")</f>
        <v>OK</v>
      </c>
      <c r="BD100" t="str">
        <f t="shared" si="37"/>
        <v>OK</v>
      </c>
      <c r="BE100" t="str">
        <f t="shared" si="38"/>
        <v>OK</v>
      </c>
      <c r="BF100" t="str">
        <f t="shared" si="39"/>
        <v>OK</v>
      </c>
      <c r="BG100" t="str">
        <f t="shared" si="40"/>
        <v>OK</v>
      </c>
      <c r="BH100" t="str">
        <f t="shared" si="41"/>
        <v>OK</v>
      </c>
      <c r="BI100" t="str">
        <f t="shared" si="33"/>
        <v>OK</v>
      </c>
      <c r="BJ100" t="str">
        <f t="shared" si="34"/>
        <v>OK</v>
      </c>
      <c r="BK100" t="str">
        <f t="shared" si="35"/>
        <v>OK</v>
      </c>
    </row>
    <row r="101" spans="1:63">
      <c r="A101" s="16" t="s">
        <v>337</v>
      </c>
      <c r="B101" s="16" t="s">
        <v>338</v>
      </c>
      <c r="C101" s="16" t="s">
        <v>282</v>
      </c>
      <c r="D101" s="16" t="s">
        <v>168</v>
      </c>
      <c r="E101" s="16" t="s">
        <v>249</v>
      </c>
      <c r="F101" s="16" t="s">
        <v>162</v>
      </c>
      <c r="G101" s="15">
        <v>46145</v>
      </c>
      <c r="H101" s="15">
        <v>46153</v>
      </c>
      <c r="I101" s="15">
        <v>46158</v>
      </c>
      <c r="J101" s="15" t="s">
        <v>163</v>
      </c>
      <c r="K101" s="16" t="s">
        <v>282</v>
      </c>
      <c r="L101" t="s">
        <v>151</v>
      </c>
      <c r="M101" s="16" t="s">
        <v>152</v>
      </c>
      <c r="N101" s="16" t="s">
        <v>153</v>
      </c>
      <c r="O101" t="s">
        <v>1614</v>
      </c>
      <c r="P101" s="18">
        <v>1742</v>
      </c>
      <c r="Q101" s="21">
        <v>8</v>
      </c>
      <c r="R101" s="21" t="str">
        <f t="shared" si="21"/>
        <v>8-14 days</v>
      </c>
      <c r="S101" s="16" t="s">
        <v>145</v>
      </c>
      <c r="T101" s="16" t="s">
        <v>172</v>
      </c>
      <c r="U101" s="16" t="s">
        <v>173</v>
      </c>
      <c r="V101" t="str">
        <f>IF(U101="","",IFERROR(VLOOKUP(U101,Hotels!A:B,2,FALSE),"Not Found"))</f>
        <v>Accor</v>
      </c>
      <c r="W101" s="14">
        <v>361.9</v>
      </c>
      <c r="X101" s="14">
        <v>0</v>
      </c>
      <c r="Y101" s="21">
        <v>4</v>
      </c>
      <c r="Z101" s="29">
        <f t="shared" si="22"/>
        <v>258.67500000000001</v>
      </c>
      <c r="AA101" s="14">
        <v>1034.7</v>
      </c>
      <c r="AB101" s="14">
        <v>82.59</v>
      </c>
      <c r="AC101" s="14">
        <v>1479.19</v>
      </c>
      <c r="AD101" s="16" t="s">
        <v>147</v>
      </c>
      <c r="AE101" s="16" t="s">
        <v>147</v>
      </c>
      <c r="AF101" s="14">
        <f>SUMIF('Trip Changes'!$B:$B,A101,'Trip Changes'!$E:$E)</f>
        <v>0</v>
      </c>
      <c r="AG101" s="23">
        <f>SUMIF('Trip Cancellations'!$B:$B,A101,'Trip Cancellations'!$E:$E)</f>
        <v>0</v>
      </c>
      <c r="AH101" s="14">
        <f>SUMIF('Trip Cancellations'!$B:$B,A101,'Trip Cancellations'!$F:$F)</f>
        <v>0</v>
      </c>
      <c r="AI101" s="14">
        <f t="shared" si="23"/>
        <v>1479.19</v>
      </c>
      <c r="AJ101" s="14" t="str">
        <f t="shared" si="24"/>
        <v>No</v>
      </c>
      <c r="AK101" s="14" t="str">
        <f>IF(Y101=0,"N/A",
IF(_xlfn.XLOOKUP(U101,Hotels!A:A,Hotels!C:C)=TRUE,"Yes","No"))</f>
        <v>Yes</v>
      </c>
      <c r="AL101" s="14" t="str">
        <f>IF(N101="Rail","N/A",IF(_xlfn.XLOOKUP(T101,Airlines!A:A,Airlines!C:C)=TRUE,"Yes","No"))</f>
        <v>Yes</v>
      </c>
      <c r="AM101" s="14" t="str">
        <f t="shared" si="25"/>
        <v>Yes</v>
      </c>
      <c r="AN101" s="14" t="str">
        <f t="shared" si="26"/>
        <v>Yes</v>
      </c>
      <c r="AO101" s="14" t="str">
        <f t="shared" si="27"/>
        <v>Yes</v>
      </c>
      <c r="AP101" s="16" t="s">
        <v>148</v>
      </c>
      <c r="AQ101" t="str">
        <f t="shared" si="28"/>
        <v>No</v>
      </c>
      <c r="AR101" s="21">
        <v>4</v>
      </c>
      <c r="AS101" s="5">
        <v>261.3</v>
      </c>
      <c r="AT101" s="5" t="str">
        <f>IF(T101="","",_xlfn.XLOOKUP(T101,Airlines!A:A,Airlines!B:B,"Not Found"))</f>
        <v>Lufthansa</v>
      </c>
      <c r="AU101" s="5" t="str">
        <f>IF(U101="","",_xlfn.XLOOKUP(U101,Hotels!A:A,Hotels!B:B,"Not found"))</f>
        <v>Accor</v>
      </c>
      <c r="AV101" t="s">
        <v>147</v>
      </c>
      <c r="AW101" s="16" t="str">
        <f t="shared" si="29"/>
        <v>OK</v>
      </c>
      <c r="AX101" s="16" t="str">
        <f t="shared" si="30"/>
        <v>OK</v>
      </c>
      <c r="AY101" s="16" t="str">
        <f t="shared" si="31"/>
        <v>OK</v>
      </c>
      <c r="AZ101" s="16" t="str">
        <f t="shared" si="32"/>
        <v>OK</v>
      </c>
      <c r="BA101" s="16" t="str">
        <f t="shared" si="36"/>
        <v>OK</v>
      </c>
      <c r="BB101" s="21">
        <f>COUNTIF('Trip Changes'!B:B,A101)</f>
        <v>0</v>
      </c>
      <c r="BC101" s="16" t="str">
        <f>IF(OR(AND(AD101="Yes",COUNTIF('Trip Changes'!B:B,A101)&gt;0),AND(AD101="No",COUNTIF('Trip Changes'!B:B,A101)=0)),"OK","Check")</f>
        <v>OK</v>
      </c>
      <c r="BD101" t="str">
        <f t="shared" si="37"/>
        <v>OK</v>
      </c>
      <c r="BE101" t="str">
        <f t="shared" si="38"/>
        <v>OK</v>
      </c>
      <c r="BF101" t="str">
        <f t="shared" si="39"/>
        <v>OK</v>
      </c>
      <c r="BG101" t="str">
        <f t="shared" si="40"/>
        <v>OK</v>
      </c>
      <c r="BH101" t="str">
        <f t="shared" si="41"/>
        <v>OK</v>
      </c>
      <c r="BI101" t="str">
        <f t="shared" si="33"/>
        <v>OK</v>
      </c>
      <c r="BJ101" t="str">
        <f t="shared" si="34"/>
        <v>OK</v>
      </c>
      <c r="BK101" t="str">
        <f t="shared" si="35"/>
        <v>OK</v>
      </c>
    </row>
    <row r="102" spans="1:63">
      <c r="A102" s="16" t="s">
        <v>339</v>
      </c>
      <c r="B102" s="16" t="s">
        <v>338</v>
      </c>
      <c r="C102" s="16" t="s">
        <v>282</v>
      </c>
      <c r="D102" s="16" t="s">
        <v>168</v>
      </c>
      <c r="E102" s="16" t="s">
        <v>249</v>
      </c>
      <c r="F102" s="16" t="s">
        <v>207</v>
      </c>
      <c r="G102" s="15">
        <v>46219</v>
      </c>
      <c r="H102" s="15">
        <v>46231</v>
      </c>
      <c r="I102" s="15">
        <v>46235</v>
      </c>
      <c r="J102" s="15" t="s">
        <v>150</v>
      </c>
      <c r="K102" s="16" t="s">
        <v>282</v>
      </c>
      <c r="L102" t="s">
        <v>185</v>
      </c>
      <c r="M102" s="16" t="s">
        <v>152</v>
      </c>
      <c r="N102" s="16" t="s">
        <v>153</v>
      </c>
      <c r="O102" t="s">
        <v>1614</v>
      </c>
      <c r="P102" s="18">
        <v>11702</v>
      </c>
      <c r="Q102" s="21">
        <v>12</v>
      </c>
      <c r="R102" s="21" t="str">
        <f t="shared" si="21"/>
        <v>8-14 days</v>
      </c>
      <c r="S102" s="16" t="s">
        <v>159</v>
      </c>
      <c r="T102" s="16" t="s">
        <v>154</v>
      </c>
      <c r="U102" s="16" t="s">
        <v>173</v>
      </c>
      <c r="V102" t="str">
        <f>IF(U102="","",IFERROR(VLOOKUP(U102,Hotels!A:B,2,FALSE),"Not Found"))</f>
        <v>Accor</v>
      </c>
      <c r="W102" s="14">
        <v>910.21</v>
      </c>
      <c r="X102" s="14">
        <v>0</v>
      </c>
      <c r="Y102" s="21">
        <v>3</v>
      </c>
      <c r="Z102" s="29">
        <f t="shared" si="22"/>
        <v>149.11666666666667</v>
      </c>
      <c r="AA102" s="14">
        <v>447.35</v>
      </c>
      <c r="AB102" s="14">
        <v>54.35</v>
      </c>
      <c r="AC102" s="14">
        <v>1411.91</v>
      </c>
      <c r="AD102" s="16" t="s">
        <v>147</v>
      </c>
      <c r="AE102" s="16" t="s">
        <v>147</v>
      </c>
      <c r="AF102" s="14">
        <f>SUMIF('Trip Changes'!$B:$B,A102,'Trip Changes'!$E:$E)</f>
        <v>0</v>
      </c>
      <c r="AG102" s="23">
        <f>SUMIF('Trip Cancellations'!$B:$B,A102,'Trip Cancellations'!$E:$E)</f>
        <v>0</v>
      </c>
      <c r="AH102" s="14">
        <f>SUMIF('Trip Cancellations'!$B:$B,A102,'Trip Cancellations'!$F:$F)</f>
        <v>0</v>
      </c>
      <c r="AI102" s="14">
        <f t="shared" si="23"/>
        <v>1411.91</v>
      </c>
      <c r="AJ102" s="14" t="str">
        <f t="shared" si="24"/>
        <v>Yes</v>
      </c>
      <c r="AK102" s="14" t="str">
        <f>IF(Y102=0,"N/A",
IF(_xlfn.XLOOKUP(U102,Hotels!A:A,Hotels!C:C)=TRUE,"Yes","No"))</f>
        <v>Yes</v>
      </c>
      <c r="AL102" s="14" t="str">
        <f>IF(N102="Rail","N/A",IF(_xlfn.XLOOKUP(T102,Airlines!A:A,Airlines!C:C)=TRUE,"Yes","No"))</f>
        <v>Yes</v>
      </c>
      <c r="AM102" s="14" t="str">
        <f t="shared" si="25"/>
        <v>Yes</v>
      </c>
      <c r="AN102" s="14" t="str">
        <f t="shared" si="26"/>
        <v>Yes</v>
      </c>
      <c r="AO102" s="14" t="str">
        <f t="shared" si="27"/>
        <v>Yes</v>
      </c>
      <c r="AP102" s="16" t="s">
        <v>148</v>
      </c>
      <c r="AQ102" t="str">
        <f t="shared" si="28"/>
        <v>Yes</v>
      </c>
      <c r="AR102" s="21">
        <v>5</v>
      </c>
      <c r="AS102" s="5">
        <v>1755.3</v>
      </c>
      <c r="AT102" s="5" t="str">
        <f>IF(T102="","",_xlfn.XLOOKUP(T102,Airlines!A:A,Airlines!B:B,"Not Found"))</f>
        <v>British Airways</v>
      </c>
      <c r="AU102" s="5" t="str">
        <f>IF(U102="","",_xlfn.XLOOKUP(U102,Hotels!A:A,Hotels!B:B,"Not found"))</f>
        <v>Accor</v>
      </c>
      <c r="AV102" t="s">
        <v>148</v>
      </c>
      <c r="AW102" s="16" t="str">
        <f t="shared" si="29"/>
        <v>OK</v>
      </c>
      <c r="AX102" s="16" t="str">
        <f t="shared" si="30"/>
        <v>OK</v>
      </c>
      <c r="AY102" s="16" t="str">
        <f t="shared" si="31"/>
        <v>OK</v>
      </c>
      <c r="AZ102" s="16" t="str">
        <f t="shared" si="32"/>
        <v>OK</v>
      </c>
      <c r="BA102" s="16" t="str">
        <f t="shared" si="36"/>
        <v>OK</v>
      </c>
      <c r="BB102" s="21">
        <f>COUNTIF('Trip Changes'!B:B,A102)</f>
        <v>0</v>
      </c>
      <c r="BC102" s="16" t="str">
        <f>IF(OR(AND(AD102="Yes",COUNTIF('Trip Changes'!B:B,A102)&gt;0),AND(AD102="No",COUNTIF('Trip Changes'!B:B,A102)=0)),"OK","Check")</f>
        <v>OK</v>
      </c>
      <c r="BD102" t="str">
        <f t="shared" si="37"/>
        <v>OK</v>
      </c>
      <c r="BE102" t="str">
        <f t="shared" si="38"/>
        <v>OK</v>
      </c>
      <c r="BF102" t="str">
        <f t="shared" si="39"/>
        <v>OK</v>
      </c>
      <c r="BG102" t="str">
        <f t="shared" si="40"/>
        <v>OK</v>
      </c>
      <c r="BH102" t="str">
        <f t="shared" si="41"/>
        <v>OK</v>
      </c>
      <c r="BI102" t="str">
        <f t="shared" si="33"/>
        <v>OK</v>
      </c>
      <c r="BJ102" t="str">
        <f t="shared" si="34"/>
        <v>OK</v>
      </c>
      <c r="BK102" t="str">
        <f t="shared" si="35"/>
        <v>OK</v>
      </c>
    </row>
    <row r="103" spans="1:63">
      <c r="A103" s="16" t="s">
        <v>340</v>
      </c>
      <c r="B103" s="16" t="s">
        <v>338</v>
      </c>
      <c r="C103" s="16" t="s">
        <v>282</v>
      </c>
      <c r="D103" s="16" t="s">
        <v>168</v>
      </c>
      <c r="E103" s="16" t="s">
        <v>249</v>
      </c>
      <c r="F103" s="16" t="s">
        <v>189</v>
      </c>
      <c r="G103" s="15">
        <v>46123</v>
      </c>
      <c r="H103" s="15">
        <v>46147</v>
      </c>
      <c r="I103" s="15">
        <v>46152</v>
      </c>
      <c r="J103" s="15" t="s">
        <v>163</v>
      </c>
      <c r="K103" s="16" t="s">
        <v>282</v>
      </c>
      <c r="L103" t="s">
        <v>283</v>
      </c>
      <c r="M103" s="16" t="s">
        <v>152</v>
      </c>
      <c r="N103" s="16" t="s">
        <v>153</v>
      </c>
      <c r="O103" t="s">
        <v>1614</v>
      </c>
      <c r="P103" s="18">
        <v>11338</v>
      </c>
      <c r="Q103" s="21">
        <v>24</v>
      </c>
      <c r="R103" s="21" t="str">
        <f t="shared" si="21"/>
        <v>15-30 days</v>
      </c>
      <c r="S103" s="16" t="s">
        <v>159</v>
      </c>
      <c r="T103" s="16" t="s">
        <v>154</v>
      </c>
      <c r="U103" s="16" t="s">
        <v>187</v>
      </c>
      <c r="V103" t="str">
        <f>IF(U103="","",IFERROR(VLOOKUP(U103,Hotels!A:B,2,FALSE),"Not Found"))</f>
        <v>IHG Hotels &amp; Resorts</v>
      </c>
      <c r="W103" s="14">
        <v>900</v>
      </c>
      <c r="X103" s="14">
        <v>0</v>
      </c>
      <c r="Y103" s="21">
        <v>4</v>
      </c>
      <c r="Z103" s="29">
        <f t="shared" si="22"/>
        <v>225.5575</v>
      </c>
      <c r="AA103" s="14">
        <v>902.23</v>
      </c>
      <c r="AB103" s="14">
        <v>40.74</v>
      </c>
      <c r="AC103" s="14">
        <v>1842.97</v>
      </c>
      <c r="AD103" s="16" t="s">
        <v>147</v>
      </c>
      <c r="AE103" s="16" t="s">
        <v>147</v>
      </c>
      <c r="AF103" s="14">
        <f>SUMIF('Trip Changes'!$B:$B,A103,'Trip Changes'!$E:$E)</f>
        <v>0</v>
      </c>
      <c r="AG103" s="23">
        <f>SUMIF('Trip Cancellations'!$B:$B,A103,'Trip Cancellations'!$E:$E)</f>
        <v>0</v>
      </c>
      <c r="AH103" s="14">
        <f>SUMIF('Trip Cancellations'!$B:$B,A103,'Trip Cancellations'!$F:$F)</f>
        <v>0</v>
      </c>
      <c r="AI103" s="14">
        <f t="shared" si="23"/>
        <v>1842.97</v>
      </c>
      <c r="AJ103" s="14" t="str">
        <f t="shared" si="24"/>
        <v>No</v>
      </c>
      <c r="AK103" s="14" t="str">
        <f>IF(Y103=0,"N/A",
IF(_xlfn.XLOOKUP(U103,Hotels!A:A,Hotels!C:C)=TRUE,"Yes","No"))</f>
        <v>Yes</v>
      </c>
      <c r="AL103" s="14" t="str">
        <f>IF(N103="Rail","N/A",IF(_xlfn.XLOOKUP(T103,Airlines!A:A,Airlines!C:C)=TRUE,"Yes","No"))</f>
        <v>Yes</v>
      </c>
      <c r="AM103" s="14" t="str">
        <f t="shared" si="25"/>
        <v>Yes</v>
      </c>
      <c r="AN103" s="14" t="str">
        <f t="shared" si="26"/>
        <v>Yes</v>
      </c>
      <c r="AO103" s="14" t="str">
        <f t="shared" si="27"/>
        <v>Yes</v>
      </c>
      <c r="AP103" s="16" t="s">
        <v>148</v>
      </c>
      <c r="AQ103" t="str">
        <f t="shared" si="28"/>
        <v>No</v>
      </c>
      <c r="AR103" s="21">
        <v>4</v>
      </c>
      <c r="AS103" s="5">
        <v>1700.7</v>
      </c>
      <c r="AT103" s="5" t="str">
        <f>IF(T103="","",_xlfn.XLOOKUP(T103,Airlines!A:A,Airlines!B:B,"Not Found"))</f>
        <v>British Airways</v>
      </c>
      <c r="AU103" s="5" t="str">
        <f>IF(U103="","",_xlfn.XLOOKUP(U103,Hotels!A:A,Hotels!B:B,"Not found"))</f>
        <v>IHG Hotels &amp; Resorts</v>
      </c>
      <c r="AV103" t="s">
        <v>147</v>
      </c>
      <c r="AW103" s="16" t="str">
        <f t="shared" si="29"/>
        <v>OK</v>
      </c>
      <c r="AX103" s="16" t="str">
        <f t="shared" si="30"/>
        <v>OK</v>
      </c>
      <c r="AY103" s="16" t="str">
        <f t="shared" si="31"/>
        <v>OK</v>
      </c>
      <c r="AZ103" s="16" t="str">
        <f t="shared" si="32"/>
        <v>OK</v>
      </c>
      <c r="BA103" s="16" t="str">
        <f t="shared" si="36"/>
        <v>OK</v>
      </c>
      <c r="BB103" s="21">
        <f>COUNTIF('Trip Changes'!B:B,A103)</f>
        <v>0</v>
      </c>
      <c r="BC103" s="16" t="str">
        <f>IF(OR(AND(AD103="Yes",COUNTIF('Trip Changes'!B:B,A103)&gt;0),AND(AD103="No",COUNTIF('Trip Changes'!B:B,A103)=0)),"OK","Check")</f>
        <v>OK</v>
      </c>
      <c r="BD103" t="str">
        <f t="shared" si="37"/>
        <v>OK</v>
      </c>
      <c r="BE103" t="str">
        <f t="shared" si="38"/>
        <v>OK</v>
      </c>
      <c r="BF103" t="str">
        <f t="shared" si="39"/>
        <v>OK</v>
      </c>
      <c r="BG103" t="str">
        <f t="shared" si="40"/>
        <v>OK</v>
      </c>
      <c r="BH103" t="str">
        <f t="shared" si="41"/>
        <v>OK</v>
      </c>
      <c r="BI103" t="str">
        <f t="shared" si="33"/>
        <v>OK</v>
      </c>
      <c r="BJ103" t="str">
        <f t="shared" si="34"/>
        <v>OK</v>
      </c>
      <c r="BK103" t="str">
        <f t="shared" si="35"/>
        <v>OK</v>
      </c>
    </row>
    <row r="104" spans="1:63">
      <c r="A104" s="16" t="s">
        <v>341</v>
      </c>
      <c r="B104" s="16" t="s">
        <v>338</v>
      </c>
      <c r="C104" s="16" t="s">
        <v>282</v>
      </c>
      <c r="D104" s="16" t="s">
        <v>168</v>
      </c>
      <c r="E104" s="16" t="s">
        <v>249</v>
      </c>
      <c r="F104" s="16" t="s">
        <v>140</v>
      </c>
      <c r="G104" s="15">
        <v>46147</v>
      </c>
      <c r="H104" s="15">
        <v>46149</v>
      </c>
      <c r="I104" s="15">
        <v>46151</v>
      </c>
      <c r="J104" s="15" t="s">
        <v>163</v>
      </c>
      <c r="K104" s="16" t="s">
        <v>282</v>
      </c>
      <c r="L104" t="s">
        <v>193</v>
      </c>
      <c r="M104" s="16" t="s">
        <v>143</v>
      </c>
      <c r="N104" s="16" t="s">
        <v>153</v>
      </c>
      <c r="O104" t="s">
        <v>1631</v>
      </c>
      <c r="P104" s="18">
        <v>1260</v>
      </c>
      <c r="Q104" s="21">
        <v>2</v>
      </c>
      <c r="R104" s="21" t="str">
        <f t="shared" si="21"/>
        <v>0-3 days</v>
      </c>
      <c r="S104" s="16" t="s">
        <v>145</v>
      </c>
      <c r="T104" s="16" t="s">
        <v>154</v>
      </c>
      <c r="U104" s="16" t="s">
        <v>155</v>
      </c>
      <c r="V104" t="str">
        <f>IF(U104="","",IFERROR(VLOOKUP(U104,Hotels!A:B,2,FALSE),"Not Found"))</f>
        <v>Hilton</v>
      </c>
      <c r="W104" s="14">
        <v>201.32</v>
      </c>
      <c r="X104" s="14">
        <v>0</v>
      </c>
      <c r="Y104" s="21">
        <v>1</v>
      </c>
      <c r="Z104" s="29">
        <f t="shared" si="22"/>
        <v>81.260000000000005</v>
      </c>
      <c r="AA104" s="14">
        <v>81.260000000000005</v>
      </c>
      <c r="AB104" s="14">
        <v>60.05</v>
      </c>
      <c r="AC104" s="14">
        <v>342.63</v>
      </c>
      <c r="AD104" s="16" t="s">
        <v>147</v>
      </c>
      <c r="AE104" s="16" t="s">
        <v>147</v>
      </c>
      <c r="AF104" s="14">
        <f>SUMIF('Trip Changes'!$B:$B,A104,'Trip Changes'!$E:$E)</f>
        <v>0</v>
      </c>
      <c r="AG104" s="23">
        <f>SUMIF('Trip Cancellations'!$B:$B,A104,'Trip Cancellations'!$E:$E)</f>
        <v>0</v>
      </c>
      <c r="AH104" s="14">
        <f>SUMIF('Trip Cancellations'!$B:$B,A104,'Trip Cancellations'!$F:$F)</f>
        <v>0</v>
      </c>
      <c r="AI104" s="14">
        <f t="shared" si="23"/>
        <v>342.63</v>
      </c>
      <c r="AJ104" s="14" t="str">
        <f t="shared" si="24"/>
        <v>Yes</v>
      </c>
      <c r="AK104" s="14" t="str">
        <f>IF(Y104=0,"N/A",
IF(_xlfn.XLOOKUP(U104,Hotels!A:A,Hotels!C:C)=TRUE,"Yes","No"))</f>
        <v>Yes</v>
      </c>
      <c r="AL104" s="14" t="str">
        <f>IF(N104="Rail","N/A",IF(_xlfn.XLOOKUP(T104,Airlines!A:A,Airlines!C:C)=TRUE,"Yes","No"))</f>
        <v>Yes</v>
      </c>
      <c r="AM104" s="14" t="str">
        <f t="shared" si="25"/>
        <v>No</v>
      </c>
      <c r="AN104" s="14" t="str">
        <f t="shared" si="26"/>
        <v>Yes</v>
      </c>
      <c r="AO104" s="14" t="str">
        <f t="shared" si="27"/>
        <v>Yes</v>
      </c>
      <c r="AP104" s="16" t="s">
        <v>148</v>
      </c>
      <c r="AQ104" t="str">
        <f t="shared" si="28"/>
        <v>No</v>
      </c>
      <c r="AR104" s="21">
        <v>5</v>
      </c>
      <c r="AS104" s="5">
        <v>189</v>
      </c>
      <c r="AT104" s="5" t="str">
        <f>IF(T104="","",_xlfn.XLOOKUP(T104,Airlines!A:A,Airlines!B:B,"Not Found"))</f>
        <v>British Airways</v>
      </c>
      <c r="AU104" s="5" t="str">
        <f>IF(U104="","",_xlfn.XLOOKUP(U104,Hotels!A:A,Hotels!B:B,"Not found"))</f>
        <v>Hilton</v>
      </c>
      <c r="AV104" t="s">
        <v>148</v>
      </c>
      <c r="AW104" s="16" t="str">
        <f t="shared" si="29"/>
        <v>OK</v>
      </c>
      <c r="AX104" s="16" t="str">
        <f t="shared" si="30"/>
        <v>OK</v>
      </c>
      <c r="AY104" s="16" t="str">
        <f t="shared" si="31"/>
        <v>OK</v>
      </c>
      <c r="AZ104" s="16" t="str">
        <f t="shared" si="32"/>
        <v>OK</v>
      </c>
      <c r="BA104" s="16" t="str">
        <f t="shared" si="36"/>
        <v>OK</v>
      </c>
      <c r="BB104" s="21">
        <f>COUNTIF('Trip Changes'!B:B,A104)</f>
        <v>0</v>
      </c>
      <c r="BC104" s="16" t="str">
        <f>IF(OR(AND(AD104="Yes",COUNTIF('Trip Changes'!B:B,A104)&gt;0),AND(AD104="No",COUNTIF('Trip Changes'!B:B,A104)=0)),"OK","Check")</f>
        <v>OK</v>
      </c>
      <c r="BD104" t="str">
        <f t="shared" si="37"/>
        <v>OK</v>
      </c>
      <c r="BE104" t="str">
        <f t="shared" si="38"/>
        <v>OK</v>
      </c>
      <c r="BF104" t="str">
        <f t="shared" si="39"/>
        <v>OK</v>
      </c>
      <c r="BG104" t="str">
        <f t="shared" si="40"/>
        <v>OK</v>
      </c>
      <c r="BH104" t="str">
        <f t="shared" si="41"/>
        <v>OK</v>
      </c>
      <c r="BI104" t="str">
        <f t="shared" si="33"/>
        <v>OK</v>
      </c>
      <c r="BJ104" t="str">
        <f t="shared" si="34"/>
        <v>OK</v>
      </c>
      <c r="BK104" t="str">
        <f t="shared" si="35"/>
        <v>OK</v>
      </c>
    </row>
    <row r="105" spans="1:63">
      <c r="A105" s="16" t="s">
        <v>342</v>
      </c>
      <c r="B105" s="16" t="s">
        <v>343</v>
      </c>
      <c r="C105" s="16" t="s">
        <v>307</v>
      </c>
      <c r="D105" s="16" t="s">
        <v>168</v>
      </c>
      <c r="E105" s="16" t="s">
        <v>169</v>
      </c>
      <c r="F105" s="16" t="s">
        <v>162</v>
      </c>
      <c r="G105" s="15">
        <v>46194</v>
      </c>
      <c r="H105" s="15">
        <v>46204</v>
      </c>
      <c r="I105" s="15">
        <v>46208</v>
      </c>
      <c r="J105" s="15" t="s">
        <v>150</v>
      </c>
      <c r="K105" s="16" t="s">
        <v>307</v>
      </c>
      <c r="L105" t="s">
        <v>225</v>
      </c>
      <c r="M105" s="16" t="s">
        <v>152</v>
      </c>
      <c r="N105" s="16" t="s">
        <v>153</v>
      </c>
      <c r="O105" t="s">
        <v>1614</v>
      </c>
      <c r="P105" s="18">
        <v>2620</v>
      </c>
      <c r="Q105" s="21">
        <v>10</v>
      </c>
      <c r="R105" s="21" t="str">
        <f t="shared" si="21"/>
        <v>8-14 days</v>
      </c>
      <c r="S105" s="16" t="s">
        <v>145</v>
      </c>
      <c r="T105" s="16" t="s">
        <v>236</v>
      </c>
      <c r="U105" s="16" t="s">
        <v>187</v>
      </c>
      <c r="V105" t="str">
        <f>IF(U105="","",IFERROR(VLOOKUP(U105,Hotels!A:B,2,FALSE),"Not Found"))</f>
        <v>IHG Hotels &amp; Resorts</v>
      </c>
      <c r="W105" s="14">
        <v>621.75</v>
      </c>
      <c r="X105" s="14">
        <v>0</v>
      </c>
      <c r="Y105" s="21">
        <v>3</v>
      </c>
      <c r="Z105" s="29">
        <f t="shared" si="22"/>
        <v>234.74666666666667</v>
      </c>
      <c r="AA105" s="14">
        <v>704.24</v>
      </c>
      <c r="AB105" s="14">
        <v>116.42</v>
      </c>
      <c r="AC105" s="14">
        <v>1442.41</v>
      </c>
      <c r="AD105" s="16" t="s">
        <v>147</v>
      </c>
      <c r="AE105" s="16" t="s">
        <v>147</v>
      </c>
      <c r="AF105" s="14">
        <f>SUMIF('Trip Changes'!$B:$B,A105,'Trip Changes'!$E:$E)</f>
        <v>0</v>
      </c>
      <c r="AG105" s="23">
        <f>SUMIF('Trip Cancellations'!$B:$B,A105,'Trip Cancellations'!$E:$E)</f>
        <v>0</v>
      </c>
      <c r="AH105" s="14">
        <f>SUMIF('Trip Cancellations'!$B:$B,A105,'Trip Cancellations'!$F:$F)</f>
        <v>0</v>
      </c>
      <c r="AI105" s="14">
        <f t="shared" si="23"/>
        <v>1442.41</v>
      </c>
      <c r="AJ105" s="14" t="str">
        <f t="shared" si="24"/>
        <v>No</v>
      </c>
      <c r="AK105" s="14" t="str">
        <f>IF(Y105=0,"N/A",
IF(_xlfn.XLOOKUP(U105,Hotels!A:A,Hotels!C:C)=TRUE,"Yes","No"))</f>
        <v>Yes</v>
      </c>
      <c r="AL105" s="14" t="str">
        <f>IF(N105="Rail","N/A",IF(_xlfn.XLOOKUP(T105,Airlines!A:A,Airlines!C:C)=TRUE,"Yes","No"))</f>
        <v>Yes</v>
      </c>
      <c r="AM105" s="14" t="str">
        <f t="shared" si="25"/>
        <v>Yes</v>
      </c>
      <c r="AN105" s="14" t="str">
        <f t="shared" si="26"/>
        <v>Yes</v>
      </c>
      <c r="AO105" s="14" t="str">
        <f t="shared" si="27"/>
        <v>Yes</v>
      </c>
      <c r="AP105" s="16" t="s">
        <v>148</v>
      </c>
      <c r="AQ105" t="str">
        <f t="shared" si="28"/>
        <v>No</v>
      </c>
      <c r="AR105" s="21">
        <v>5</v>
      </c>
      <c r="AS105" s="5">
        <v>393</v>
      </c>
      <c r="AT105" s="5" t="str">
        <f>IF(T105="","",_xlfn.XLOOKUP(T105,Airlines!A:A,Airlines!B:B,"Not Found"))</f>
        <v>KLM</v>
      </c>
      <c r="AU105" s="5" t="str">
        <f>IF(U105="","",_xlfn.XLOOKUP(U105,Hotels!A:A,Hotels!B:B,"Not found"))</f>
        <v>IHG Hotels &amp; Resorts</v>
      </c>
      <c r="AV105" t="s">
        <v>148</v>
      </c>
      <c r="AW105" s="16" t="str">
        <f t="shared" si="29"/>
        <v>OK</v>
      </c>
      <c r="AX105" s="16" t="str">
        <f t="shared" si="30"/>
        <v>OK</v>
      </c>
      <c r="AY105" s="16" t="str">
        <f t="shared" si="31"/>
        <v>OK</v>
      </c>
      <c r="AZ105" s="16" t="str">
        <f t="shared" si="32"/>
        <v>OK</v>
      </c>
      <c r="BA105" s="16" t="str">
        <f t="shared" si="36"/>
        <v>OK</v>
      </c>
      <c r="BB105" s="21">
        <f>COUNTIF('Trip Changes'!B:B,A105)</f>
        <v>0</v>
      </c>
      <c r="BC105" s="16" t="str">
        <f>IF(OR(AND(AD105="Yes",COUNTIF('Trip Changes'!B:B,A105)&gt;0),AND(AD105="No",COUNTIF('Trip Changes'!B:B,A105)=0)),"OK","Check")</f>
        <v>OK</v>
      </c>
      <c r="BD105" t="str">
        <f t="shared" si="37"/>
        <v>OK</v>
      </c>
      <c r="BE105" t="str">
        <f t="shared" si="38"/>
        <v>OK</v>
      </c>
      <c r="BF105" t="str">
        <f t="shared" si="39"/>
        <v>OK</v>
      </c>
      <c r="BG105" t="str">
        <f t="shared" si="40"/>
        <v>OK</v>
      </c>
      <c r="BH105" t="str">
        <f t="shared" si="41"/>
        <v>OK</v>
      </c>
      <c r="BI105" t="str">
        <f t="shared" si="33"/>
        <v>OK</v>
      </c>
      <c r="BJ105" t="str">
        <f t="shared" si="34"/>
        <v>OK</v>
      </c>
      <c r="BK105" t="str">
        <f t="shared" si="35"/>
        <v>OK</v>
      </c>
    </row>
    <row r="106" spans="1:63">
      <c r="A106" s="16" t="s">
        <v>344</v>
      </c>
      <c r="B106" s="16" t="s">
        <v>343</v>
      </c>
      <c r="C106" s="16" t="s">
        <v>307</v>
      </c>
      <c r="D106" s="16" t="s">
        <v>168</v>
      </c>
      <c r="E106" s="16" t="s">
        <v>169</v>
      </c>
      <c r="F106" s="16" t="s">
        <v>157</v>
      </c>
      <c r="G106" s="15">
        <v>46178</v>
      </c>
      <c r="H106" s="15">
        <v>46184</v>
      </c>
      <c r="I106" s="15">
        <v>46187</v>
      </c>
      <c r="J106" s="15" t="s">
        <v>141</v>
      </c>
      <c r="K106" s="16" t="s">
        <v>307</v>
      </c>
      <c r="L106" t="s">
        <v>240</v>
      </c>
      <c r="M106" s="16" t="s">
        <v>152</v>
      </c>
      <c r="N106" s="16" t="s">
        <v>153</v>
      </c>
      <c r="O106" t="s">
        <v>1614</v>
      </c>
      <c r="P106" s="18">
        <v>14518</v>
      </c>
      <c r="Q106" s="21">
        <v>6</v>
      </c>
      <c r="R106" s="21" t="str">
        <f t="shared" si="21"/>
        <v>4-7 days</v>
      </c>
      <c r="S106" s="16" t="s">
        <v>145</v>
      </c>
      <c r="T106" s="16" t="s">
        <v>154</v>
      </c>
      <c r="U106" s="16" t="s">
        <v>173</v>
      </c>
      <c r="V106" t="str">
        <f>IF(U106="","",IFERROR(VLOOKUP(U106,Hotels!A:B,2,FALSE),"Not Found"))</f>
        <v>Accor</v>
      </c>
      <c r="W106" s="14">
        <v>1349.29</v>
      </c>
      <c r="X106" s="14">
        <v>0</v>
      </c>
      <c r="Y106" s="21">
        <v>2</v>
      </c>
      <c r="Z106" s="29">
        <f t="shared" si="22"/>
        <v>149.755</v>
      </c>
      <c r="AA106" s="14">
        <v>299.51</v>
      </c>
      <c r="AB106" s="14">
        <v>126.86</v>
      </c>
      <c r="AC106" s="14">
        <v>1775.66</v>
      </c>
      <c r="AD106" s="16" t="s">
        <v>147</v>
      </c>
      <c r="AE106" s="16" t="s">
        <v>147</v>
      </c>
      <c r="AF106" s="14">
        <f>SUMIF('Trip Changes'!$B:$B,A106,'Trip Changes'!$E:$E)</f>
        <v>0</v>
      </c>
      <c r="AG106" s="23">
        <f>SUMIF('Trip Cancellations'!$B:$B,A106,'Trip Cancellations'!$E:$E)</f>
        <v>0</v>
      </c>
      <c r="AH106" s="14">
        <f>SUMIF('Trip Cancellations'!$B:$B,A106,'Trip Cancellations'!$F:$F)</f>
        <v>0</v>
      </c>
      <c r="AI106" s="14">
        <f t="shared" si="23"/>
        <v>1775.66</v>
      </c>
      <c r="AJ106" s="14" t="str">
        <f t="shared" si="24"/>
        <v>Yes</v>
      </c>
      <c r="AK106" s="14" t="str">
        <f>IF(Y106=0,"N/A",
IF(_xlfn.XLOOKUP(U106,Hotels!A:A,Hotels!C:C)=TRUE,"Yes","No"))</f>
        <v>Yes</v>
      </c>
      <c r="AL106" s="14" t="str">
        <f>IF(N106="Rail","N/A",IF(_xlfn.XLOOKUP(T106,Airlines!A:A,Airlines!C:C)=TRUE,"Yes","No"))</f>
        <v>Yes</v>
      </c>
      <c r="AM106" s="14" t="str">
        <f t="shared" si="25"/>
        <v>Yes</v>
      </c>
      <c r="AN106" s="14" t="str">
        <f t="shared" si="26"/>
        <v>Yes</v>
      </c>
      <c r="AO106" s="14" t="str">
        <f t="shared" si="27"/>
        <v>Yes</v>
      </c>
      <c r="AP106" s="16" t="s">
        <v>148</v>
      </c>
      <c r="AQ106" t="str">
        <f t="shared" si="28"/>
        <v>Yes</v>
      </c>
      <c r="AR106" s="21">
        <v>4</v>
      </c>
      <c r="AS106" s="5">
        <v>2177.6999999999998</v>
      </c>
      <c r="AT106" s="5" t="str">
        <f>IF(T106="","",_xlfn.XLOOKUP(T106,Airlines!A:A,Airlines!B:B,"Not Found"))</f>
        <v>British Airways</v>
      </c>
      <c r="AU106" s="5" t="str">
        <f>IF(U106="","",_xlfn.XLOOKUP(U106,Hotels!A:A,Hotels!B:B,"Not found"))</f>
        <v>Accor</v>
      </c>
      <c r="AV106" t="s">
        <v>148</v>
      </c>
      <c r="AW106" s="16" t="str">
        <f t="shared" si="29"/>
        <v>OK</v>
      </c>
      <c r="AX106" s="16" t="str">
        <f t="shared" si="30"/>
        <v>OK</v>
      </c>
      <c r="AY106" s="16" t="str">
        <f t="shared" si="31"/>
        <v>OK</v>
      </c>
      <c r="AZ106" s="16" t="str">
        <f t="shared" si="32"/>
        <v>OK</v>
      </c>
      <c r="BA106" s="16" t="str">
        <f t="shared" si="36"/>
        <v>OK</v>
      </c>
      <c r="BB106" s="21">
        <f>COUNTIF('Trip Changes'!B:B,A106)</f>
        <v>0</v>
      </c>
      <c r="BC106" s="16" t="str">
        <f>IF(OR(AND(AD106="Yes",COUNTIF('Trip Changes'!B:B,A106)&gt;0),AND(AD106="No",COUNTIF('Trip Changes'!B:B,A106)=0)),"OK","Check")</f>
        <v>OK</v>
      </c>
      <c r="BD106" t="str">
        <f t="shared" si="37"/>
        <v>OK</v>
      </c>
      <c r="BE106" t="str">
        <f t="shared" si="38"/>
        <v>OK</v>
      </c>
      <c r="BF106" t="str">
        <f t="shared" si="39"/>
        <v>OK</v>
      </c>
      <c r="BG106" t="str">
        <f t="shared" si="40"/>
        <v>OK</v>
      </c>
      <c r="BH106" t="str">
        <f t="shared" si="41"/>
        <v>OK</v>
      </c>
      <c r="BI106" t="str">
        <f t="shared" si="33"/>
        <v>OK</v>
      </c>
      <c r="BJ106" t="str">
        <f t="shared" si="34"/>
        <v>OK</v>
      </c>
      <c r="BK106" t="str">
        <f t="shared" si="35"/>
        <v>OK</v>
      </c>
    </row>
    <row r="107" spans="1:63">
      <c r="A107" s="16" t="s">
        <v>345</v>
      </c>
      <c r="B107" s="16" t="s">
        <v>343</v>
      </c>
      <c r="C107" s="16" t="s">
        <v>307</v>
      </c>
      <c r="D107" s="16" t="s">
        <v>168</v>
      </c>
      <c r="E107" s="16" t="s">
        <v>169</v>
      </c>
      <c r="F107" s="16" t="s">
        <v>178</v>
      </c>
      <c r="G107" s="15">
        <v>46133</v>
      </c>
      <c r="H107" s="15">
        <v>46144</v>
      </c>
      <c r="I107" s="15">
        <v>46146</v>
      </c>
      <c r="J107" s="15" t="s">
        <v>163</v>
      </c>
      <c r="K107" s="16" t="s">
        <v>307</v>
      </c>
      <c r="L107" t="s">
        <v>225</v>
      </c>
      <c r="M107" s="16" t="s">
        <v>152</v>
      </c>
      <c r="N107" s="16" t="s">
        <v>153</v>
      </c>
      <c r="O107" t="s">
        <v>1614</v>
      </c>
      <c r="P107" s="18">
        <v>1108</v>
      </c>
      <c r="Q107" s="21">
        <v>11</v>
      </c>
      <c r="R107" s="21" t="str">
        <f t="shared" si="21"/>
        <v>8-14 days</v>
      </c>
      <c r="S107" s="16" t="s">
        <v>207</v>
      </c>
      <c r="T107" s="16" t="s">
        <v>176</v>
      </c>
      <c r="U107" s="16" t="s">
        <v>187</v>
      </c>
      <c r="V107" t="str">
        <f>IF(U107="","",IFERROR(VLOOKUP(U107,Hotels!A:B,2,FALSE),"Not Found"))</f>
        <v>IHG Hotels &amp; Resorts</v>
      </c>
      <c r="W107" s="14">
        <v>162</v>
      </c>
      <c r="X107" s="14">
        <v>0</v>
      </c>
      <c r="Y107" s="21">
        <v>1</v>
      </c>
      <c r="Z107" s="29">
        <f t="shared" si="22"/>
        <v>199.11</v>
      </c>
      <c r="AA107" s="14">
        <v>199.11</v>
      </c>
      <c r="AB107" s="14">
        <v>61.69</v>
      </c>
      <c r="AC107" s="14">
        <v>422.8</v>
      </c>
      <c r="AD107" s="16" t="s">
        <v>147</v>
      </c>
      <c r="AE107" s="16" t="s">
        <v>147</v>
      </c>
      <c r="AF107" s="14">
        <f>SUMIF('Trip Changes'!$B:$B,A107,'Trip Changes'!$E:$E)</f>
        <v>0</v>
      </c>
      <c r="AG107" s="23">
        <f>SUMIF('Trip Cancellations'!$B:$B,A107,'Trip Cancellations'!$E:$E)</f>
        <v>0</v>
      </c>
      <c r="AH107" s="14">
        <f>SUMIF('Trip Cancellations'!$B:$B,A107,'Trip Cancellations'!$F:$F)</f>
        <v>0</v>
      </c>
      <c r="AI107" s="14">
        <f t="shared" si="23"/>
        <v>422.8</v>
      </c>
      <c r="AJ107" s="14" t="str">
        <f t="shared" si="24"/>
        <v>No</v>
      </c>
      <c r="AK107" s="14" t="str">
        <f>IF(Y107=0,"N/A",
IF(_xlfn.XLOOKUP(U107,Hotels!A:A,Hotels!C:C)=TRUE,"Yes","No"))</f>
        <v>Yes</v>
      </c>
      <c r="AL107" s="14" t="str">
        <f>IF(N107="Rail","N/A",IF(_xlfn.XLOOKUP(T107,Airlines!A:A,Airlines!C:C)=TRUE,"Yes","No"))</f>
        <v>Yes</v>
      </c>
      <c r="AM107" s="14" t="str">
        <f t="shared" si="25"/>
        <v>Yes</v>
      </c>
      <c r="AN107" s="14" t="str">
        <f t="shared" si="26"/>
        <v>No</v>
      </c>
      <c r="AO107" s="14" t="str">
        <f t="shared" si="27"/>
        <v>Yes</v>
      </c>
      <c r="AP107" s="16" t="s">
        <v>147</v>
      </c>
      <c r="AQ107" t="str">
        <f t="shared" si="28"/>
        <v>No</v>
      </c>
      <c r="AR107" s="21">
        <v>4</v>
      </c>
      <c r="AS107" s="5">
        <v>166.2</v>
      </c>
      <c r="AT107" s="5" t="str">
        <f>IF(T107="","",_xlfn.XLOOKUP(T107,Airlines!A:A,Airlines!B:B,"Not Found"))</f>
        <v>easyJet</v>
      </c>
      <c r="AU107" s="5" t="str">
        <f>IF(U107="","",_xlfn.XLOOKUP(U107,Hotels!A:A,Hotels!B:B,"Not found"))</f>
        <v>IHG Hotels &amp; Resorts</v>
      </c>
      <c r="AV107" t="s">
        <v>147</v>
      </c>
      <c r="AW107" s="16" t="str">
        <f t="shared" si="29"/>
        <v>OK</v>
      </c>
      <c r="AX107" s="16" t="str">
        <f t="shared" si="30"/>
        <v>OK</v>
      </c>
      <c r="AY107" s="16" t="str">
        <f t="shared" si="31"/>
        <v>OK</v>
      </c>
      <c r="AZ107" s="16" t="str">
        <f t="shared" si="32"/>
        <v>OK</v>
      </c>
      <c r="BA107" s="16" t="str">
        <f t="shared" si="36"/>
        <v>OK</v>
      </c>
      <c r="BB107" s="21">
        <f>COUNTIF('Trip Changes'!B:B,A107)</f>
        <v>0</v>
      </c>
      <c r="BC107" s="16" t="str">
        <f>IF(OR(AND(AD107="Yes",COUNTIF('Trip Changes'!B:B,A107)&gt;0),AND(AD107="No",COUNTIF('Trip Changes'!B:B,A107)=0)),"OK","Check")</f>
        <v>OK</v>
      </c>
      <c r="BD107" t="str">
        <f t="shared" si="37"/>
        <v>OK</v>
      </c>
      <c r="BE107" t="str">
        <f t="shared" si="38"/>
        <v>OK</v>
      </c>
      <c r="BF107" t="str">
        <f t="shared" si="39"/>
        <v>OK</v>
      </c>
      <c r="BG107" t="str">
        <f t="shared" si="40"/>
        <v>OK</v>
      </c>
      <c r="BH107" t="str">
        <f t="shared" si="41"/>
        <v>OK</v>
      </c>
      <c r="BI107" t="str">
        <f t="shared" si="33"/>
        <v>OK</v>
      </c>
      <c r="BJ107" t="str">
        <f t="shared" si="34"/>
        <v>OK</v>
      </c>
      <c r="BK107" t="str">
        <f t="shared" si="35"/>
        <v>OK</v>
      </c>
    </row>
    <row r="108" spans="1:63">
      <c r="A108" s="16" t="s">
        <v>346</v>
      </c>
      <c r="B108" s="16" t="s">
        <v>343</v>
      </c>
      <c r="C108" s="16" t="s">
        <v>307</v>
      </c>
      <c r="D108" s="16" t="s">
        <v>168</v>
      </c>
      <c r="E108" s="16" t="s">
        <v>169</v>
      </c>
      <c r="F108" s="16" t="s">
        <v>170</v>
      </c>
      <c r="G108" s="15">
        <v>46211</v>
      </c>
      <c r="H108" s="15">
        <v>46219</v>
      </c>
      <c r="I108" s="15">
        <v>46223</v>
      </c>
      <c r="J108" s="15" t="s">
        <v>150</v>
      </c>
      <c r="K108" s="16" t="s">
        <v>307</v>
      </c>
      <c r="L108" t="s">
        <v>215</v>
      </c>
      <c r="M108" s="16" t="s">
        <v>152</v>
      </c>
      <c r="N108" s="16" t="s">
        <v>153</v>
      </c>
      <c r="O108" t="s">
        <v>1614</v>
      </c>
      <c r="P108" s="18">
        <v>2682</v>
      </c>
      <c r="Q108" s="21">
        <v>8</v>
      </c>
      <c r="R108" s="21" t="str">
        <f t="shared" si="21"/>
        <v>8-14 days</v>
      </c>
      <c r="S108" s="16" t="s">
        <v>145</v>
      </c>
      <c r="T108" s="16" t="s">
        <v>160</v>
      </c>
      <c r="U108" s="16" t="s">
        <v>187</v>
      </c>
      <c r="V108" t="str">
        <f>IF(U108="","",IFERROR(VLOOKUP(U108,Hotels!A:B,2,FALSE),"Not Found"))</f>
        <v>IHG Hotels &amp; Resorts</v>
      </c>
      <c r="W108" s="14">
        <v>525.94000000000005</v>
      </c>
      <c r="X108" s="14">
        <v>0</v>
      </c>
      <c r="Y108" s="21">
        <v>3</v>
      </c>
      <c r="Z108" s="29">
        <f t="shared" si="22"/>
        <v>148.00333333333333</v>
      </c>
      <c r="AA108" s="14">
        <v>444.01</v>
      </c>
      <c r="AB108" s="14">
        <v>31.18</v>
      </c>
      <c r="AC108" s="14">
        <v>1001.13</v>
      </c>
      <c r="AD108" s="16" t="s">
        <v>147</v>
      </c>
      <c r="AE108" s="16" t="s">
        <v>147</v>
      </c>
      <c r="AF108" s="14">
        <f>SUMIF('Trip Changes'!$B:$B,A108,'Trip Changes'!$E:$E)</f>
        <v>0</v>
      </c>
      <c r="AG108" s="23">
        <f>SUMIF('Trip Cancellations'!$B:$B,A108,'Trip Cancellations'!$E:$E)</f>
        <v>0</v>
      </c>
      <c r="AH108" s="14">
        <f>SUMIF('Trip Cancellations'!$B:$B,A108,'Trip Cancellations'!$F:$F)</f>
        <v>0</v>
      </c>
      <c r="AI108" s="14">
        <f t="shared" si="23"/>
        <v>1001.13</v>
      </c>
      <c r="AJ108" s="14" t="str">
        <f t="shared" si="24"/>
        <v>Yes</v>
      </c>
      <c r="AK108" s="14" t="str">
        <f>IF(Y108=0,"N/A",
IF(_xlfn.XLOOKUP(U108,Hotels!A:A,Hotels!C:C)=TRUE,"Yes","No"))</f>
        <v>Yes</v>
      </c>
      <c r="AL108" s="14" t="str">
        <f>IF(N108="Rail","N/A",IF(_xlfn.XLOOKUP(T108,Airlines!A:A,Airlines!C:C)=TRUE,"Yes","No"))</f>
        <v>Yes</v>
      </c>
      <c r="AM108" s="14" t="str">
        <f t="shared" si="25"/>
        <v>Yes</v>
      </c>
      <c r="AN108" s="14" t="str">
        <f t="shared" si="26"/>
        <v>Yes</v>
      </c>
      <c r="AO108" s="14" t="str">
        <f t="shared" si="27"/>
        <v>Yes</v>
      </c>
      <c r="AP108" s="16" t="s">
        <v>148</v>
      </c>
      <c r="AQ108" t="str">
        <f t="shared" si="28"/>
        <v>Yes</v>
      </c>
      <c r="AR108" s="21">
        <v>5</v>
      </c>
      <c r="AS108" s="5">
        <v>402.3</v>
      </c>
      <c r="AT108" s="5" t="str">
        <f>IF(T108="","",_xlfn.XLOOKUP(T108,Airlines!A:A,Airlines!B:B,"Not Found"))</f>
        <v>Air France</v>
      </c>
      <c r="AU108" s="5" t="str">
        <f>IF(U108="","",_xlfn.XLOOKUP(U108,Hotels!A:A,Hotels!B:B,"Not found"))</f>
        <v>IHG Hotels &amp; Resorts</v>
      </c>
      <c r="AV108" t="s">
        <v>148</v>
      </c>
      <c r="AW108" s="16" t="str">
        <f t="shared" si="29"/>
        <v>OK</v>
      </c>
      <c r="AX108" s="16" t="str">
        <f t="shared" si="30"/>
        <v>OK</v>
      </c>
      <c r="AY108" s="16" t="str">
        <f t="shared" si="31"/>
        <v>OK</v>
      </c>
      <c r="AZ108" s="16" t="str">
        <f t="shared" si="32"/>
        <v>OK</v>
      </c>
      <c r="BA108" s="16" t="str">
        <f t="shared" si="36"/>
        <v>OK</v>
      </c>
      <c r="BB108" s="21">
        <f>COUNTIF('Trip Changes'!B:B,A108)</f>
        <v>0</v>
      </c>
      <c r="BC108" s="16" t="str">
        <f>IF(OR(AND(AD108="Yes",COUNTIF('Trip Changes'!B:B,A108)&gt;0),AND(AD108="No",COUNTIF('Trip Changes'!B:B,A108)=0)),"OK","Check")</f>
        <v>OK</v>
      </c>
      <c r="BD108" t="str">
        <f t="shared" si="37"/>
        <v>OK</v>
      </c>
      <c r="BE108" t="str">
        <f t="shared" si="38"/>
        <v>OK</v>
      </c>
      <c r="BF108" t="str">
        <f t="shared" si="39"/>
        <v>OK</v>
      </c>
      <c r="BG108" t="str">
        <f t="shared" si="40"/>
        <v>OK</v>
      </c>
      <c r="BH108" t="str">
        <f t="shared" si="41"/>
        <v>OK</v>
      </c>
      <c r="BI108" t="str">
        <f t="shared" si="33"/>
        <v>OK</v>
      </c>
      <c r="BJ108" t="str">
        <f t="shared" si="34"/>
        <v>OK</v>
      </c>
      <c r="BK108" t="str">
        <f t="shared" si="35"/>
        <v>OK</v>
      </c>
    </row>
    <row r="109" spans="1:63">
      <c r="A109" s="16" t="s">
        <v>347</v>
      </c>
      <c r="B109" s="16" t="s">
        <v>343</v>
      </c>
      <c r="C109" s="16" t="s">
        <v>307</v>
      </c>
      <c r="D109" s="16" t="s">
        <v>168</v>
      </c>
      <c r="E109" s="16" t="s">
        <v>169</v>
      </c>
      <c r="F109" s="16" t="s">
        <v>140</v>
      </c>
      <c r="G109" s="15">
        <v>46180</v>
      </c>
      <c r="H109" s="15">
        <v>46192</v>
      </c>
      <c r="I109" s="15">
        <v>46194</v>
      </c>
      <c r="J109" s="15" t="s">
        <v>141</v>
      </c>
      <c r="K109" s="16" t="s">
        <v>307</v>
      </c>
      <c r="L109" t="s">
        <v>151</v>
      </c>
      <c r="M109" s="16" t="s">
        <v>152</v>
      </c>
      <c r="N109" s="16" t="s">
        <v>153</v>
      </c>
      <c r="O109" t="s">
        <v>1614</v>
      </c>
      <c r="P109" s="18">
        <v>1220</v>
      </c>
      <c r="Q109" s="21">
        <v>12</v>
      </c>
      <c r="R109" s="21" t="str">
        <f t="shared" si="21"/>
        <v>8-14 days</v>
      </c>
      <c r="S109" s="16" t="s">
        <v>145</v>
      </c>
      <c r="T109" s="16" t="s">
        <v>154</v>
      </c>
      <c r="U109" s="16" t="s">
        <v>173</v>
      </c>
      <c r="V109" t="str">
        <f>IF(U109="","",IFERROR(VLOOKUP(U109,Hotels!A:B,2,FALSE),"Not Found"))</f>
        <v>Accor</v>
      </c>
      <c r="W109" s="14">
        <v>386.92</v>
      </c>
      <c r="X109" s="14">
        <v>0</v>
      </c>
      <c r="Y109" s="21">
        <v>1</v>
      </c>
      <c r="Z109" s="29">
        <f t="shared" si="22"/>
        <v>158.61000000000001</v>
      </c>
      <c r="AA109" s="14">
        <v>158.61000000000001</v>
      </c>
      <c r="AB109" s="14">
        <v>95.73</v>
      </c>
      <c r="AC109" s="14">
        <v>641.26</v>
      </c>
      <c r="AD109" s="16" t="s">
        <v>147</v>
      </c>
      <c r="AE109" s="16" t="s">
        <v>147</v>
      </c>
      <c r="AF109" s="14">
        <f>SUMIF('Trip Changes'!$B:$B,A109,'Trip Changes'!$E:$E)</f>
        <v>0</v>
      </c>
      <c r="AG109" s="23">
        <f>SUMIF('Trip Cancellations'!$B:$B,A109,'Trip Cancellations'!$E:$E)</f>
        <v>0</v>
      </c>
      <c r="AH109" s="14">
        <f>SUMIF('Trip Cancellations'!$B:$B,A109,'Trip Cancellations'!$F:$F)</f>
        <v>0</v>
      </c>
      <c r="AI109" s="14">
        <f t="shared" si="23"/>
        <v>641.26</v>
      </c>
      <c r="AJ109" s="14" t="str">
        <f t="shared" si="24"/>
        <v>Yes</v>
      </c>
      <c r="AK109" s="14" t="str">
        <f>IF(Y109=0,"N/A",
IF(_xlfn.XLOOKUP(U109,Hotels!A:A,Hotels!C:C)=TRUE,"Yes","No"))</f>
        <v>Yes</v>
      </c>
      <c r="AL109" s="14" t="str">
        <f>IF(N109="Rail","N/A",IF(_xlfn.XLOOKUP(T109,Airlines!A:A,Airlines!C:C)=TRUE,"Yes","No"))</f>
        <v>Yes</v>
      </c>
      <c r="AM109" s="14" t="str">
        <f t="shared" si="25"/>
        <v>Yes</v>
      </c>
      <c r="AN109" s="14" t="str">
        <f t="shared" si="26"/>
        <v>Yes</v>
      </c>
      <c r="AO109" s="14" t="str">
        <f t="shared" si="27"/>
        <v>Yes</v>
      </c>
      <c r="AP109" s="16" t="s">
        <v>147</v>
      </c>
      <c r="AQ109" t="str">
        <f t="shared" si="28"/>
        <v>Yes</v>
      </c>
      <c r="AR109" s="21">
        <v>5</v>
      </c>
      <c r="AS109" s="5">
        <v>183</v>
      </c>
      <c r="AT109" s="5" t="str">
        <f>IF(T109="","",_xlfn.XLOOKUP(T109,Airlines!A:A,Airlines!B:B,"Not Found"))</f>
        <v>British Airways</v>
      </c>
      <c r="AU109" s="5" t="str">
        <f>IF(U109="","",_xlfn.XLOOKUP(U109,Hotels!A:A,Hotels!B:B,"Not found"))</f>
        <v>Accor</v>
      </c>
      <c r="AV109" t="s">
        <v>147</v>
      </c>
      <c r="AW109" s="16" t="str">
        <f t="shared" si="29"/>
        <v>OK</v>
      </c>
      <c r="AX109" s="16" t="str">
        <f t="shared" si="30"/>
        <v>OK</v>
      </c>
      <c r="AY109" s="16" t="str">
        <f t="shared" si="31"/>
        <v>OK</v>
      </c>
      <c r="AZ109" s="16" t="str">
        <f t="shared" si="32"/>
        <v>OK</v>
      </c>
      <c r="BA109" s="16" t="str">
        <f t="shared" si="36"/>
        <v>OK</v>
      </c>
      <c r="BB109" s="21">
        <f>COUNTIF('Trip Changes'!B:B,A109)</f>
        <v>0</v>
      </c>
      <c r="BC109" s="16" t="str">
        <f>IF(OR(AND(AD109="Yes",COUNTIF('Trip Changes'!B:B,A109)&gt;0),AND(AD109="No",COUNTIF('Trip Changes'!B:B,A109)=0)),"OK","Check")</f>
        <v>OK</v>
      </c>
      <c r="BD109" t="str">
        <f t="shared" si="37"/>
        <v>OK</v>
      </c>
      <c r="BE109" t="str">
        <f t="shared" si="38"/>
        <v>OK</v>
      </c>
      <c r="BF109" t="str">
        <f t="shared" si="39"/>
        <v>OK</v>
      </c>
      <c r="BG109" t="str">
        <f t="shared" si="40"/>
        <v>OK</v>
      </c>
      <c r="BH109" t="str">
        <f t="shared" si="41"/>
        <v>OK</v>
      </c>
      <c r="BI109" t="str">
        <f t="shared" si="33"/>
        <v>OK</v>
      </c>
      <c r="BJ109" t="str">
        <f t="shared" si="34"/>
        <v>OK</v>
      </c>
      <c r="BK109" t="str">
        <f t="shared" si="35"/>
        <v>OK</v>
      </c>
    </row>
    <row r="110" spans="1:63">
      <c r="A110" s="16" t="s">
        <v>348</v>
      </c>
      <c r="B110" s="16" t="s">
        <v>349</v>
      </c>
      <c r="C110" s="16" t="s">
        <v>182</v>
      </c>
      <c r="D110" s="16" t="s">
        <v>204</v>
      </c>
      <c r="E110" s="16" t="s">
        <v>169</v>
      </c>
      <c r="F110" s="16" t="s">
        <v>162</v>
      </c>
      <c r="G110" s="15">
        <v>46190</v>
      </c>
      <c r="H110" s="15">
        <v>46193</v>
      </c>
      <c r="I110" s="15">
        <v>46196</v>
      </c>
      <c r="J110" s="15" t="s">
        <v>141</v>
      </c>
      <c r="K110" s="16" t="s">
        <v>182</v>
      </c>
      <c r="L110" t="s">
        <v>233</v>
      </c>
      <c r="M110" s="16" t="s">
        <v>152</v>
      </c>
      <c r="N110" s="16" t="s">
        <v>153</v>
      </c>
      <c r="O110" t="s">
        <v>1614</v>
      </c>
      <c r="P110" s="18">
        <v>1196</v>
      </c>
      <c r="Q110" s="21">
        <v>3</v>
      </c>
      <c r="R110" s="21" t="str">
        <f t="shared" si="21"/>
        <v>0-3 days</v>
      </c>
      <c r="S110" s="16" t="s">
        <v>145</v>
      </c>
      <c r="T110" s="16" t="s">
        <v>160</v>
      </c>
      <c r="U110" s="16" t="s">
        <v>190</v>
      </c>
      <c r="V110" t="str">
        <f>IF(U110="","",IFERROR(VLOOKUP(U110,Hotels!A:B,2,FALSE),"Not Found"))</f>
        <v>Radisson Hotel Group</v>
      </c>
      <c r="W110" s="14">
        <v>662.88</v>
      </c>
      <c r="X110" s="14">
        <v>0</v>
      </c>
      <c r="Y110" s="21">
        <v>2</v>
      </c>
      <c r="Z110" s="29">
        <f t="shared" si="22"/>
        <v>193.3</v>
      </c>
      <c r="AA110" s="14">
        <v>386.6</v>
      </c>
      <c r="AB110" s="14">
        <v>154.41</v>
      </c>
      <c r="AC110" s="14">
        <v>1203.8900000000001</v>
      </c>
      <c r="AD110" s="16" t="s">
        <v>147</v>
      </c>
      <c r="AE110" s="16" t="s">
        <v>147</v>
      </c>
      <c r="AF110" s="14">
        <f>SUMIF('Trip Changes'!$B:$B,A110,'Trip Changes'!$E:$E)</f>
        <v>0</v>
      </c>
      <c r="AG110" s="23">
        <f>SUMIF('Trip Cancellations'!$B:$B,A110,'Trip Cancellations'!$E:$E)</f>
        <v>0</v>
      </c>
      <c r="AH110" s="14">
        <f>SUMIF('Trip Cancellations'!$B:$B,A110,'Trip Cancellations'!$F:$F)</f>
        <v>0</v>
      </c>
      <c r="AI110" s="14">
        <f t="shared" si="23"/>
        <v>1203.8900000000001</v>
      </c>
      <c r="AJ110" s="14" t="str">
        <f t="shared" si="24"/>
        <v>No</v>
      </c>
      <c r="AK110" s="14" t="str">
        <f>IF(Y110=0,"N/A",
IF(_xlfn.XLOOKUP(U110,Hotels!A:A,Hotels!C:C)=TRUE,"Yes","No"))</f>
        <v>No</v>
      </c>
      <c r="AL110" s="14" t="str">
        <f>IF(N110="Rail","N/A",IF(_xlfn.XLOOKUP(T110,Airlines!A:A,Airlines!C:C)=TRUE,"Yes","No"))</f>
        <v>Yes</v>
      </c>
      <c r="AM110" s="14" t="str">
        <f t="shared" si="25"/>
        <v>Yes</v>
      </c>
      <c r="AN110" s="14" t="str">
        <f t="shared" si="26"/>
        <v>Yes</v>
      </c>
      <c r="AO110" s="14" t="str">
        <f t="shared" si="27"/>
        <v>No</v>
      </c>
      <c r="AP110" s="16" t="s">
        <v>148</v>
      </c>
      <c r="AQ110" t="str">
        <f t="shared" si="28"/>
        <v>No</v>
      </c>
      <c r="AR110" s="21">
        <v>5</v>
      </c>
      <c r="AS110" s="5">
        <v>179.4</v>
      </c>
      <c r="AT110" s="5" t="str">
        <f>IF(T110="","",_xlfn.XLOOKUP(T110,Airlines!A:A,Airlines!B:B,"Not Found"))</f>
        <v>Air France</v>
      </c>
      <c r="AU110" s="5" t="str">
        <f>IF(U110="","",_xlfn.XLOOKUP(U110,Hotels!A:A,Hotels!B:B,"Not found"))</f>
        <v>Radisson Hotel Group</v>
      </c>
      <c r="AV110" t="s">
        <v>148</v>
      </c>
      <c r="AW110" s="16" t="str">
        <f t="shared" si="29"/>
        <v>OK</v>
      </c>
      <c r="AX110" s="16" t="str">
        <f t="shared" si="30"/>
        <v>OK</v>
      </c>
      <c r="AY110" s="16" t="str">
        <f t="shared" si="31"/>
        <v>OK</v>
      </c>
      <c r="AZ110" s="16" t="str">
        <f t="shared" si="32"/>
        <v>OK</v>
      </c>
      <c r="BA110" s="16" t="str">
        <f t="shared" si="36"/>
        <v>OK</v>
      </c>
      <c r="BB110" s="21">
        <f>COUNTIF('Trip Changes'!B:B,A110)</f>
        <v>0</v>
      </c>
      <c r="BC110" s="16" t="str">
        <f>IF(OR(AND(AD110="Yes",COUNTIF('Trip Changes'!B:B,A110)&gt;0),AND(AD110="No",COUNTIF('Trip Changes'!B:B,A110)=0)),"OK","Check")</f>
        <v>OK</v>
      </c>
      <c r="BD110" t="str">
        <f t="shared" si="37"/>
        <v>OK</v>
      </c>
      <c r="BE110" t="str">
        <f t="shared" si="38"/>
        <v>OK</v>
      </c>
      <c r="BF110" t="str">
        <f t="shared" si="39"/>
        <v>OK</v>
      </c>
      <c r="BG110" t="str">
        <f t="shared" si="40"/>
        <v>OK</v>
      </c>
      <c r="BH110" t="str">
        <f t="shared" si="41"/>
        <v>OK</v>
      </c>
      <c r="BI110" t="str">
        <f t="shared" si="33"/>
        <v>OK</v>
      </c>
      <c r="BJ110" t="str">
        <f t="shared" si="34"/>
        <v>OK</v>
      </c>
      <c r="BK110" t="str">
        <f t="shared" si="35"/>
        <v>OK</v>
      </c>
    </row>
    <row r="111" spans="1:63">
      <c r="A111" s="16" t="s">
        <v>350</v>
      </c>
      <c r="B111" s="16" t="s">
        <v>349</v>
      </c>
      <c r="C111" s="16" t="s">
        <v>182</v>
      </c>
      <c r="D111" s="16" t="s">
        <v>204</v>
      </c>
      <c r="E111" s="16" t="s">
        <v>169</v>
      </c>
      <c r="F111" s="16" t="s">
        <v>181</v>
      </c>
      <c r="G111" s="15">
        <v>46178</v>
      </c>
      <c r="H111" s="15">
        <v>46188</v>
      </c>
      <c r="I111" s="15">
        <v>46192</v>
      </c>
      <c r="J111" s="15" t="s">
        <v>141</v>
      </c>
      <c r="K111" s="16" t="s">
        <v>182</v>
      </c>
      <c r="L111" t="s">
        <v>283</v>
      </c>
      <c r="M111" s="16" t="s">
        <v>152</v>
      </c>
      <c r="N111" s="16" t="s">
        <v>153</v>
      </c>
      <c r="O111" t="s">
        <v>1614</v>
      </c>
      <c r="P111" s="18">
        <v>11046</v>
      </c>
      <c r="Q111" s="21">
        <v>10</v>
      </c>
      <c r="R111" s="21" t="str">
        <f t="shared" si="21"/>
        <v>8-14 days</v>
      </c>
      <c r="S111" s="16" t="s">
        <v>159</v>
      </c>
      <c r="T111" s="16" t="s">
        <v>154</v>
      </c>
      <c r="U111" s="16" t="s">
        <v>190</v>
      </c>
      <c r="V111" t="str">
        <f>IF(U111="","",IFERROR(VLOOKUP(U111,Hotels!A:B,2,FALSE),"Not Found"))</f>
        <v>Radisson Hotel Group</v>
      </c>
      <c r="W111" s="14">
        <v>867.91</v>
      </c>
      <c r="X111" s="14">
        <v>0</v>
      </c>
      <c r="Y111" s="21">
        <v>3</v>
      </c>
      <c r="Z111" s="29">
        <f t="shared" si="22"/>
        <v>214.93333333333331</v>
      </c>
      <c r="AA111" s="14">
        <v>644.79999999999995</v>
      </c>
      <c r="AB111" s="14">
        <v>90.82</v>
      </c>
      <c r="AC111" s="14">
        <v>1603.53</v>
      </c>
      <c r="AD111" s="16" t="s">
        <v>147</v>
      </c>
      <c r="AE111" s="16" t="s">
        <v>147</v>
      </c>
      <c r="AF111" s="14">
        <f>SUMIF('Trip Changes'!$B:$B,A111,'Trip Changes'!$E:$E)</f>
        <v>0</v>
      </c>
      <c r="AG111" s="23">
        <f>SUMIF('Trip Cancellations'!$B:$B,A111,'Trip Cancellations'!$E:$E)</f>
        <v>0</v>
      </c>
      <c r="AH111" s="14">
        <f>SUMIF('Trip Cancellations'!$B:$B,A111,'Trip Cancellations'!$F:$F)</f>
        <v>0</v>
      </c>
      <c r="AI111" s="14">
        <f t="shared" si="23"/>
        <v>1603.53</v>
      </c>
      <c r="AJ111" s="14" t="str">
        <f t="shared" si="24"/>
        <v>Yes</v>
      </c>
      <c r="AK111" s="14" t="str">
        <f>IF(Y111=0,"N/A",
IF(_xlfn.XLOOKUP(U111,Hotels!A:A,Hotels!C:C)=TRUE,"Yes","No"))</f>
        <v>No</v>
      </c>
      <c r="AL111" s="14" t="str">
        <f>IF(N111="Rail","N/A",IF(_xlfn.XLOOKUP(T111,Airlines!A:A,Airlines!C:C)=TRUE,"Yes","No"))</f>
        <v>Yes</v>
      </c>
      <c r="AM111" s="14" t="str">
        <f t="shared" si="25"/>
        <v>Yes</v>
      </c>
      <c r="AN111" s="14" t="str">
        <f t="shared" si="26"/>
        <v>Yes</v>
      </c>
      <c r="AO111" s="14" t="str">
        <f t="shared" si="27"/>
        <v>No</v>
      </c>
      <c r="AP111" s="16" t="s">
        <v>148</v>
      </c>
      <c r="AQ111" t="str">
        <f t="shared" si="28"/>
        <v>No</v>
      </c>
      <c r="AR111" s="21">
        <v>5</v>
      </c>
      <c r="AS111" s="5">
        <v>1656.9</v>
      </c>
      <c r="AT111" s="5" t="str">
        <f>IF(T111="","",_xlfn.XLOOKUP(T111,Airlines!A:A,Airlines!B:B,"Not Found"))</f>
        <v>British Airways</v>
      </c>
      <c r="AU111" s="5" t="str">
        <f>IF(U111="","",_xlfn.XLOOKUP(U111,Hotels!A:A,Hotels!B:B,"Not found"))</f>
        <v>Radisson Hotel Group</v>
      </c>
      <c r="AV111" t="s">
        <v>148</v>
      </c>
      <c r="AW111" s="16" t="str">
        <f t="shared" si="29"/>
        <v>OK</v>
      </c>
      <c r="AX111" s="16" t="str">
        <f t="shared" si="30"/>
        <v>OK</v>
      </c>
      <c r="AY111" s="16" t="str">
        <f t="shared" si="31"/>
        <v>OK</v>
      </c>
      <c r="AZ111" s="16" t="str">
        <f t="shared" si="32"/>
        <v>OK</v>
      </c>
      <c r="BA111" s="16" t="str">
        <f t="shared" si="36"/>
        <v>OK</v>
      </c>
      <c r="BB111" s="21">
        <f>COUNTIF('Trip Changes'!B:B,A111)</f>
        <v>0</v>
      </c>
      <c r="BC111" s="16" t="str">
        <f>IF(OR(AND(AD111="Yes",COUNTIF('Trip Changes'!B:B,A111)&gt;0),AND(AD111="No",COUNTIF('Trip Changes'!B:B,A111)=0)),"OK","Check")</f>
        <v>OK</v>
      </c>
      <c r="BD111" t="str">
        <f t="shared" si="37"/>
        <v>OK</v>
      </c>
      <c r="BE111" t="str">
        <f t="shared" si="38"/>
        <v>OK</v>
      </c>
      <c r="BF111" t="str">
        <f t="shared" si="39"/>
        <v>OK</v>
      </c>
      <c r="BG111" t="str">
        <f t="shared" si="40"/>
        <v>OK</v>
      </c>
      <c r="BH111" t="str">
        <f t="shared" si="41"/>
        <v>OK</v>
      </c>
      <c r="BI111" t="str">
        <f t="shared" si="33"/>
        <v>OK</v>
      </c>
      <c r="BJ111" t="str">
        <f t="shared" si="34"/>
        <v>OK</v>
      </c>
      <c r="BK111" t="str">
        <f t="shared" si="35"/>
        <v>OK</v>
      </c>
    </row>
    <row r="112" spans="1:63">
      <c r="A112" s="16" t="s">
        <v>351</v>
      </c>
      <c r="B112" s="16" t="s">
        <v>349</v>
      </c>
      <c r="C112" s="16" t="s">
        <v>182</v>
      </c>
      <c r="D112" s="16" t="s">
        <v>204</v>
      </c>
      <c r="E112" s="16" t="s">
        <v>169</v>
      </c>
      <c r="F112" s="16" t="s">
        <v>170</v>
      </c>
      <c r="G112" s="15">
        <v>46146</v>
      </c>
      <c r="H112" s="15">
        <v>46154</v>
      </c>
      <c r="I112" s="15">
        <v>46158</v>
      </c>
      <c r="J112" s="15" t="s">
        <v>163</v>
      </c>
      <c r="K112" s="16" t="s">
        <v>182</v>
      </c>
      <c r="L112" t="s">
        <v>225</v>
      </c>
      <c r="M112" s="16" t="s">
        <v>152</v>
      </c>
      <c r="N112" s="16" t="s">
        <v>153</v>
      </c>
      <c r="O112" t="s">
        <v>1614</v>
      </c>
      <c r="P112" s="18">
        <v>2940</v>
      </c>
      <c r="Q112" s="21">
        <v>8</v>
      </c>
      <c r="R112" s="21" t="str">
        <f t="shared" si="21"/>
        <v>8-14 days</v>
      </c>
      <c r="S112" s="16" t="s">
        <v>145</v>
      </c>
      <c r="T112" s="16" t="s">
        <v>154</v>
      </c>
      <c r="U112" s="16" t="s">
        <v>155</v>
      </c>
      <c r="V112" t="str">
        <f>IF(U112="","",IFERROR(VLOOKUP(U112,Hotels!A:B,2,FALSE),"Not Found"))</f>
        <v>Hilton</v>
      </c>
      <c r="W112" s="14">
        <v>549.53</v>
      </c>
      <c r="X112" s="14">
        <v>0</v>
      </c>
      <c r="Y112" s="21">
        <v>3</v>
      </c>
      <c r="Z112" s="29">
        <f t="shared" si="22"/>
        <v>164.07333333333335</v>
      </c>
      <c r="AA112" s="14">
        <v>492.22</v>
      </c>
      <c r="AB112" s="14">
        <v>71.8</v>
      </c>
      <c r="AC112" s="14">
        <v>1113.55</v>
      </c>
      <c r="AD112" s="16" t="s">
        <v>147</v>
      </c>
      <c r="AE112" s="16" t="s">
        <v>148</v>
      </c>
      <c r="AF112" s="14">
        <f>SUMIF('Trip Changes'!$B:$B,A112,'Trip Changes'!$E:$E)</f>
        <v>0</v>
      </c>
      <c r="AG112" s="23">
        <f>SUMIF('Trip Cancellations'!$B:$B,A112,'Trip Cancellations'!$E:$E)</f>
        <v>4.41</v>
      </c>
      <c r="AH112" s="14">
        <f>SUMIF('Trip Cancellations'!$B:$B,A112,'Trip Cancellations'!$F:$F)</f>
        <v>937.58</v>
      </c>
      <c r="AI112" s="14">
        <f t="shared" si="23"/>
        <v>180.38</v>
      </c>
      <c r="AJ112" s="14" t="str">
        <f t="shared" si="24"/>
        <v>Yes</v>
      </c>
      <c r="AK112" s="14" t="str">
        <f>IF(Y112=0,"N/A",
IF(_xlfn.XLOOKUP(U112,Hotels!A:A,Hotels!C:C)=TRUE,"Yes","No"))</f>
        <v>Yes</v>
      </c>
      <c r="AL112" s="14" t="str">
        <f>IF(N112="Rail","N/A",IF(_xlfn.XLOOKUP(T112,Airlines!A:A,Airlines!C:C)=TRUE,"Yes","No"))</f>
        <v>Yes</v>
      </c>
      <c r="AM112" s="14" t="str">
        <f t="shared" si="25"/>
        <v>Yes</v>
      </c>
      <c r="AN112" s="14" t="str">
        <f t="shared" si="26"/>
        <v>Yes</v>
      </c>
      <c r="AO112" s="14" t="str">
        <f t="shared" si="27"/>
        <v>Yes</v>
      </c>
      <c r="AP112" s="16" t="s">
        <v>148</v>
      </c>
      <c r="AQ112" t="str">
        <f t="shared" si="28"/>
        <v>Yes</v>
      </c>
      <c r="AR112" s="21">
        <v>3</v>
      </c>
      <c r="AS112" s="5">
        <v>441</v>
      </c>
      <c r="AT112" s="5" t="str">
        <f>IF(T112="","",_xlfn.XLOOKUP(T112,Airlines!A:A,Airlines!B:B,"Not Found"))</f>
        <v>British Airways</v>
      </c>
      <c r="AU112" s="5" t="str">
        <f>IF(U112="","",_xlfn.XLOOKUP(U112,Hotels!A:A,Hotels!B:B,"Not found"))</f>
        <v>Hilton</v>
      </c>
      <c r="AV112" t="s">
        <v>147</v>
      </c>
      <c r="AW112" s="16" t="str">
        <f t="shared" si="29"/>
        <v>OK</v>
      </c>
      <c r="AX112" s="16" t="str">
        <f t="shared" si="30"/>
        <v>OK</v>
      </c>
      <c r="AY112" s="16" t="str">
        <f t="shared" si="31"/>
        <v>OK</v>
      </c>
      <c r="AZ112" s="16" t="str">
        <f t="shared" si="32"/>
        <v>OK</v>
      </c>
      <c r="BA112" s="16" t="str">
        <f t="shared" si="36"/>
        <v>OK</v>
      </c>
      <c r="BB112" s="21">
        <f>COUNTIF('Trip Changes'!B:B,A112)</f>
        <v>0</v>
      </c>
      <c r="BC112" s="16" t="str">
        <f>IF(OR(AND(AD112="Yes",COUNTIF('Trip Changes'!B:B,A112)&gt;0),AND(AD112="No",COUNTIF('Trip Changes'!B:B,A112)=0)),"OK","Check")</f>
        <v>OK</v>
      </c>
      <c r="BD112" t="str">
        <f t="shared" si="37"/>
        <v>OK</v>
      </c>
      <c r="BE112" t="str">
        <f t="shared" si="38"/>
        <v>OK</v>
      </c>
      <c r="BF112" t="str">
        <f t="shared" si="39"/>
        <v>OK</v>
      </c>
      <c r="BG112" t="str">
        <f t="shared" si="40"/>
        <v>OK</v>
      </c>
      <c r="BH112" t="str">
        <f t="shared" si="41"/>
        <v>OK</v>
      </c>
      <c r="BI112" t="str">
        <f t="shared" si="33"/>
        <v>OK</v>
      </c>
      <c r="BJ112" t="str">
        <f t="shared" si="34"/>
        <v>OK</v>
      </c>
      <c r="BK112" t="str">
        <f t="shared" si="35"/>
        <v>OK</v>
      </c>
    </row>
    <row r="113" spans="1:63">
      <c r="A113" s="16" t="s">
        <v>352</v>
      </c>
      <c r="B113" s="16" t="s">
        <v>349</v>
      </c>
      <c r="C113" s="16" t="s">
        <v>182</v>
      </c>
      <c r="D113" s="16" t="s">
        <v>204</v>
      </c>
      <c r="E113" s="16" t="s">
        <v>169</v>
      </c>
      <c r="F113" s="16" t="s">
        <v>189</v>
      </c>
      <c r="G113" s="15">
        <v>46186</v>
      </c>
      <c r="H113" s="15">
        <v>46198</v>
      </c>
      <c r="I113" s="15">
        <v>46200</v>
      </c>
      <c r="J113" s="15" t="s">
        <v>141</v>
      </c>
      <c r="K113" s="16" t="s">
        <v>182</v>
      </c>
      <c r="L113" t="s">
        <v>199</v>
      </c>
      <c r="M113" s="16" t="s">
        <v>152</v>
      </c>
      <c r="N113" s="16" t="s">
        <v>153</v>
      </c>
      <c r="O113" t="s">
        <v>1614</v>
      </c>
      <c r="P113" s="18">
        <v>2456</v>
      </c>
      <c r="Q113" s="21">
        <v>12</v>
      </c>
      <c r="R113" s="21" t="str">
        <f t="shared" si="21"/>
        <v>8-14 days</v>
      </c>
      <c r="S113" s="16" t="s">
        <v>145</v>
      </c>
      <c r="T113" s="16" t="s">
        <v>200</v>
      </c>
      <c r="U113" s="16" t="s">
        <v>187</v>
      </c>
      <c r="V113" t="str">
        <f>IF(U113="","",IFERROR(VLOOKUP(U113,Hotels!A:B,2,FALSE),"Not Found"))</f>
        <v>IHG Hotels &amp; Resorts</v>
      </c>
      <c r="W113" s="14">
        <v>492.38</v>
      </c>
      <c r="X113" s="14">
        <v>0</v>
      </c>
      <c r="Y113" s="21">
        <v>1</v>
      </c>
      <c r="Z113" s="29">
        <f t="shared" si="22"/>
        <v>197.44</v>
      </c>
      <c r="AA113" s="14">
        <v>197.44</v>
      </c>
      <c r="AB113" s="14">
        <v>102.45</v>
      </c>
      <c r="AC113" s="14">
        <v>792.27</v>
      </c>
      <c r="AD113" s="16" t="s">
        <v>147</v>
      </c>
      <c r="AE113" s="16" t="s">
        <v>147</v>
      </c>
      <c r="AF113" s="14">
        <f>SUMIF('Trip Changes'!$B:$B,A113,'Trip Changes'!$E:$E)</f>
        <v>0</v>
      </c>
      <c r="AG113" s="23">
        <f>SUMIF('Trip Cancellations'!$B:$B,A113,'Trip Cancellations'!$E:$E)</f>
        <v>0</v>
      </c>
      <c r="AH113" s="14">
        <f>SUMIF('Trip Cancellations'!$B:$B,A113,'Trip Cancellations'!$F:$F)</f>
        <v>0</v>
      </c>
      <c r="AI113" s="14">
        <f t="shared" si="23"/>
        <v>792.27</v>
      </c>
      <c r="AJ113" s="14" t="str">
        <f t="shared" si="24"/>
        <v>No</v>
      </c>
      <c r="AK113" s="14" t="str">
        <f>IF(Y113=0,"N/A",
IF(_xlfn.XLOOKUP(U113,Hotels!A:A,Hotels!C:C)=TRUE,"Yes","No"))</f>
        <v>Yes</v>
      </c>
      <c r="AL113" s="14" t="str">
        <f>IF(N113="Rail","N/A",IF(_xlfn.XLOOKUP(T113,Airlines!A:A,Airlines!C:C)=TRUE,"Yes","No"))</f>
        <v>Yes</v>
      </c>
      <c r="AM113" s="14" t="str">
        <f t="shared" si="25"/>
        <v>Yes</v>
      </c>
      <c r="AN113" s="14" t="str">
        <f t="shared" si="26"/>
        <v>Yes</v>
      </c>
      <c r="AO113" s="14" t="str">
        <f t="shared" si="27"/>
        <v>Yes</v>
      </c>
      <c r="AP113" s="16" t="s">
        <v>148</v>
      </c>
      <c r="AQ113" t="str">
        <f t="shared" si="28"/>
        <v>No</v>
      </c>
      <c r="AR113" s="21">
        <v>5</v>
      </c>
      <c r="AS113" s="5">
        <v>368.4</v>
      </c>
      <c r="AT113" s="5" t="str">
        <f>IF(T113="","",_xlfn.XLOOKUP(T113,Airlines!A:A,Airlines!B:B,"Not Found"))</f>
        <v>Aer Lingus</v>
      </c>
      <c r="AU113" s="5" t="str">
        <f>IF(U113="","",_xlfn.XLOOKUP(U113,Hotels!A:A,Hotels!B:B,"Not found"))</f>
        <v>IHG Hotels &amp; Resorts</v>
      </c>
      <c r="AV113" t="s">
        <v>148</v>
      </c>
      <c r="AW113" s="16" t="str">
        <f t="shared" si="29"/>
        <v>OK</v>
      </c>
      <c r="AX113" s="16" t="str">
        <f t="shared" si="30"/>
        <v>OK</v>
      </c>
      <c r="AY113" s="16" t="str">
        <f t="shared" si="31"/>
        <v>OK</v>
      </c>
      <c r="AZ113" s="16" t="str">
        <f t="shared" si="32"/>
        <v>OK</v>
      </c>
      <c r="BA113" s="16" t="str">
        <f t="shared" si="36"/>
        <v>OK</v>
      </c>
      <c r="BB113" s="21">
        <f>COUNTIF('Trip Changes'!B:B,A113)</f>
        <v>0</v>
      </c>
      <c r="BC113" s="16" t="str">
        <f>IF(OR(AND(AD113="Yes",COUNTIF('Trip Changes'!B:B,A113)&gt;0),AND(AD113="No",COUNTIF('Trip Changes'!B:B,A113)=0)),"OK","Check")</f>
        <v>OK</v>
      </c>
      <c r="BD113" t="str">
        <f t="shared" si="37"/>
        <v>OK</v>
      </c>
      <c r="BE113" t="str">
        <f t="shared" si="38"/>
        <v>OK</v>
      </c>
      <c r="BF113" t="str">
        <f t="shared" si="39"/>
        <v>OK</v>
      </c>
      <c r="BG113" t="str">
        <f t="shared" si="40"/>
        <v>OK</v>
      </c>
      <c r="BH113" t="str">
        <f t="shared" si="41"/>
        <v>OK</v>
      </c>
      <c r="BI113" t="str">
        <f t="shared" si="33"/>
        <v>OK</v>
      </c>
      <c r="BJ113" t="str">
        <f t="shared" si="34"/>
        <v>OK</v>
      </c>
      <c r="BK113" t="str">
        <f t="shared" si="35"/>
        <v>OK</v>
      </c>
    </row>
    <row r="114" spans="1:63">
      <c r="A114" s="16" t="s">
        <v>353</v>
      </c>
      <c r="B114" s="16" t="s">
        <v>354</v>
      </c>
      <c r="C114" s="16" t="s">
        <v>182</v>
      </c>
      <c r="D114" s="16" t="s">
        <v>248</v>
      </c>
      <c r="E114" s="16" t="s">
        <v>139</v>
      </c>
      <c r="F114" s="16" t="s">
        <v>140</v>
      </c>
      <c r="G114" s="15">
        <v>46141</v>
      </c>
      <c r="H114" s="15">
        <v>46148</v>
      </c>
      <c r="I114" s="15">
        <v>46151</v>
      </c>
      <c r="J114" s="15" t="s">
        <v>163</v>
      </c>
      <c r="K114" s="16" t="s">
        <v>182</v>
      </c>
      <c r="L114" t="s">
        <v>233</v>
      </c>
      <c r="M114" s="16" t="s">
        <v>152</v>
      </c>
      <c r="N114" s="16" t="s">
        <v>153</v>
      </c>
      <c r="O114" t="s">
        <v>1614</v>
      </c>
      <c r="P114" s="18">
        <v>1016</v>
      </c>
      <c r="Q114" s="21">
        <v>7</v>
      </c>
      <c r="R114" s="21" t="str">
        <f t="shared" si="21"/>
        <v>4-7 days</v>
      </c>
      <c r="S114" s="16" t="s">
        <v>145</v>
      </c>
      <c r="T114" s="16" t="s">
        <v>154</v>
      </c>
      <c r="U114" s="16" t="s">
        <v>155</v>
      </c>
      <c r="V114" t="str">
        <f>IF(U114="","",IFERROR(VLOOKUP(U114,Hotels!A:B,2,FALSE),"Not Found"))</f>
        <v>Hilton</v>
      </c>
      <c r="W114" s="14">
        <v>418.2</v>
      </c>
      <c r="X114" s="14">
        <v>0</v>
      </c>
      <c r="Y114" s="21">
        <v>2</v>
      </c>
      <c r="Z114" s="29">
        <f t="shared" si="22"/>
        <v>218.33500000000001</v>
      </c>
      <c r="AA114" s="14">
        <v>436.67</v>
      </c>
      <c r="AB114" s="14">
        <v>61.1</v>
      </c>
      <c r="AC114" s="14">
        <v>915.97</v>
      </c>
      <c r="AD114" s="16" t="s">
        <v>148</v>
      </c>
      <c r="AE114" s="16" t="s">
        <v>147</v>
      </c>
      <c r="AF114" s="14">
        <f>SUMIF('Trip Changes'!$B:$B,A114,'Trip Changes'!$E:$E)</f>
        <v>50.45</v>
      </c>
      <c r="AG114" s="23">
        <f>SUMIF('Trip Cancellations'!$B:$B,A114,'Trip Cancellations'!$E:$E)</f>
        <v>0</v>
      </c>
      <c r="AH114" s="14">
        <f>SUMIF('Trip Cancellations'!$B:$B,A114,'Trip Cancellations'!$F:$F)</f>
        <v>0</v>
      </c>
      <c r="AI114" s="14">
        <f t="shared" si="23"/>
        <v>966.42000000000007</v>
      </c>
      <c r="AJ114" s="14" t="str">
        <f t="shared" si="24"/>
        <v>No</v>
      </c>
      <c r="AK114" s="14" t="str">
        <f>IF(Y114=0,"N/A",
IF(_xlfn.XLOOKUP(U114,Hotels!A:A,Hotels!C:C)=TRUE,"Yes","No"))</f>
        <v>Yes</v>
      </c>
      <c r="AL114" s="14" t="str">
        <f>IF(N114="Rail","N/A",IF(_xlfn.XLOOKUP(T114,Airlines!A:A,Airlines!C:C)=TRUE,"Yes","No"))</f>
        <v>Yes</v>
      </c>
      <c r="AM114" s="14" t="str">
        <f t="shared" si="25"/>
        <v>Yes</v>
      </c>
      <c r="AN114" s="14" t="str">
        <f t="shared" si="26"/>
        <v>Yes</v>
      </c>
      <c r="AO114" s="14" t="str">
        <f t="shared" si="27"/>
        <v>Yes</v>
      </c>
      <c r="AP114" s="16" t="s">
        <v>148</v>
      </c>
      <c r="AQ114" t="str">
        <f t="shared" si="28"/>
        <v>No</v>
      </c>
      <c r="AR114" s="21">
        <v>5</v>
      </c>
      <c r="AS114" s="5">
        <v>152.4</v>
      </c>
      <c r="AT114" s="5" t="str">
        <f>IF(T114="","",_xlfn.XLOOKUP(T114,Airlines!A:A,Airlines!B:B,"Not Found"))</f>
        <v>British Airways</v>
      </c>
      <c r="AU114" s="5" t="str">
        <f>IF(U114="","",_xlfn.XLOOKUP(U114,Hotels!A:A,Hotels!B:B,"Not found"))</f>
        <v>Hilton</v>
      </c>
      <c r="AV114" t="s">
        <v>147</v>
      </c>
      <c r="AW114" s="16" t="str">
        <f t="shared" si="29"/>
        <v>OK</v>
      </c>
      <c r="AX114" s="16" t="str">
        <f t="shared" si="30"/>
        <v>OK</v>
      </c>
      <c r="AY114" s="16" t="str">
        <f t="shared" si="31"/>
        <v>OK</v>
      </c>
      <c r="AZ114" s="16" t="str">
        <f t="shared" si="32"/>
        <v>OK</v>
      </c>
      <c r="BA114" s="16" t="str">
        <f t="shared" si="36"/>
        <v>OK</v>
      </c>
      <c r="BB114" s="21">
        <f>COUNTIF('Trip Changes'!B:B,A114)</f>
        <v>1</v>
      </c>
      <c r="BC114" s="16" t="str">
        <f>IF(OR(AND(AD114="Yes",COUNTIF('Trip Changes'!B:B,A114)&gt;0),AND(AD114="No",COUNTIF('Trip Changes'!B:B,A114)=0)),"OK","Check")</f>
        <v>OK</v>
      </c>
      <c r="BD114" t="str">
        <f t="shared" si="37"/>
        <v>OK</v>
      </c>
      <c r="BE114" t="str">
        <f t="shared" si="38"/>
        <v>OK</v>
      </c>
      <c r="BF114" t="str">
        <f t="shared" si="39"/>
        <v>OK</v>
      </c>
      <c r="BG114" t="str">
        <f t="shared" si="40"/>
        <v>OK</v>
      </c>
      <c r="BH114" t="str">
        <f t="shared" si="41"/>
        <v>OK</v>
      </c>
      <c r="BI114" t="str">
        <f t="shared" si="33"/>
        <v>OK</v>
      </c>
      <c r="BJ114" t="str">
        <f t="shared" si="34"/>
        <v>OK</v>
      </c>
      <c r="BK114" t="str">
        <f t="shared" si="35"/>
        <v>OK</v>
      </c>
    </row>
    <row r="115" spans="1:63">
      <c r="A115" s="16" t="s">
        <v>355</v>
      </c>
      <c r="B115" s="16" t="s">
        <v>354</v>
      </c>
      <c r="C115" s="16" t="s">
        <v>182</v>
      </c>
      <c r="D115" s="16" t="s">
        <v>248</v>
      </c>
      <c r="E115" s="16" t="s">
        <v>139</v>
      </c>
      <c r="F115" s="16" t="s">
        <v>189</v>
      </c>
      <c r="G115" s="15">
        <v>46147</v>
      </c>
      <c r="H115" s="15">
        <v>46148</v>
      </c>
      <c r="I115" s="15">
        <v>46151</v>
      </c>
      <c r="J115" s="15" t="s">
        <v>163</v>
      </c>
      <c r="K115" s="16" t="s">
        <v>182</v>
      </c>
      <c r="L115" t="s">
        <v>175</v>
      </c>
      <c r="M115" s="16" t="s">
        <v>152</v>
      </c>
      <c r="N115" s="16" t="s">
        <v>153</v>
      </c>
      <c r="O115" t="s">
        <v>1614</v>
      </c>
      <c r="P115" s="18">
        <v>1274</v>
      </c>
      <c r="Q115" s="21">
        <v>1</v>
      </c>
      <c r="R115" s="21" t="str">
        <f t="shared" si="21"/>
        <v>0-3 days</v>
      </c>
      <c r="S115" s="16" t="s">
        <v>145</v>
      </c>
      <c r="T115" s="16" t="s">
        <v>236</v>
      </c>
      <c r="U115" s="16" t="s">
        <v>173</v>
      </c>
      <c r="V115" t="str">
        <f>IF(U115="","",IFERROR(VLOOKUP(U115,Hotels!A:B,2,FALSE),"Not Found"))</f>
        <v>Accor</v>
      </c>
      <c r="W115" s="14">
        <v>565.11</v>
      </c>
      <c r="X115" s="14">
        <v>0</v>
      </c>
      <c r="Y115" s="21">
        <v>2</v>
      </c>
      <c r="Z115" s="29">
        <f t="shared" si="22"/>
        <v>140.61000000000001</v>
      </c>
      <c r="AA115" s="14">
        <v>281.22000000000003</v>
      </c>
      <c r="AB115" s="14">
        <v>117.14</v>
      </c>
      <c r="AC115" s="14">
        <v>963.47</v>
      </c>
      <c r="AD115" s="16" t="s">
        <v>148</v>
      </c>
      <c r="AE115" s="16" t="s">
        <v>147</v>
      </c>
      <c r="AF115" s="14">
        <f>SUMIF('Trip Changes'!$B:$B,A115,'Trip Changes'!$E:$E)</f>
        <v>89.48</v>
      </c>
      <c r="AG115" s="23">
        <f>SUMIF('Trip Cancellations'!$B:$B,A115,'Trip Cancellations'!$E:$E)</f>
        <v>0</v>
      </c>
      <c r="AH115" s="14">
        <f>SUMIF('Trip Cancellations'!$B:$B,A115,'Trip Cancellations'!$F:$F)</f>
        <v>0</v>
      </c>
      <c r="AI115" s="14">
        <f t="shared" si="23"/>
        <v>1052.95</v>
      </c>
      <c r="AJ115" s="14" t="str">
        <f t="shared" si="24"/>
        <v>Yes</v>
      </c>
      <c r="AK115" s="14" t="str">
        <f>IF(Y115=0,"N/A",
IF(_xlfn.XLOOKUP(U115,Hotels!A:A,Hotels!C:C)=TRUE,"Yes","No"))</f>
        <v>Yes</v>
      </c>
      <c r="AL115" s="14" t="str">
        <f>IF(N115="Rail","N/A",IF(_xlfn.XLOOKUP(T115,Airlines!A:A,Airlines!C:C)=TRUE,"Yes","No"))</f>
        <v>Yes</v>
      </c>
      <c r="AM115" s="14" t="str">
        <f t="shared" si="25"/>
        <v>Yes</v>
      </c>
      <c r="AN115" s="14" t="str">
        <f t="shared" si="26"/>
        <v>Yes</v>
      </c>
      <c r="AO115" s="14" t="str">
        <f t="shared" si="27"/>
        <v>Yes</v>
      </c>
      <c r="AP115" s="16" t="s">
        <v>148</v>
      </c>
      <c r="AQ115" t="str">
        <f t="shared" si="28"/>
        <v>Yes</v>
      </c>
      <c r="AR115" s="21">
        <v>4</v>
      </c>
      <c r="AS115" s="5">
        <v>191.1</v>
      </c>
      <c r="AT115" s="5" t="str">
        <f>IF(T115="","",_xlfn.XLOOKUP(T115,Airlines!A:A,Airlines!B:B,"Not Found"))</f>
        <v>KLM</v>
      </c>
      <c r="AU115" s="5" t="str">
        <f>IF(U115="","",_xlfn.XLOOKUP(U115,Hotels!A:A,Hotels!B:B,"Not found"))</f>
        <v>Accor</v>
      </c>
      <c r="AV115" t="s">
        <v>147</v>
      </c>
      <c r="AW115" s="16" t="str">
        <f t="shared" si="29"/>
        <v>OK</v>
      </c>
      <c r="AX115" s="16" t="str">
        <f t="shared" si="30"/>
        <v>OK</v>
      </c>
      <c r="AY115" s="16" t="str">
        <f t="shared" si="31"/>
        <v>OK</v>
      </c>
      <c r="AZ115" s="16" t="str">
        <f t="shared" si="32"/>
        <v>OK</v>
      </c>
      <c r="BA115" s="16" t="str">
        <f t="shared" si="36"/>
        <v>OK</v>
      </c>
      <c r="BB115" s="21">
        <f>COUNTIF('Trip Changes'!B:B,A115)</f>
        <v>1</v>
      </c>
      <c r="BC115" s="16" t="str">
        <f>IF(OR(AND(AD115="Yes",COUNTIF('Trip Changes'!B:B,A115)&gt;0),AND(AD115="No",COUNTIF('Trip Changes'!B:B,A115)=0)),"OK","Check")</f>
        <v>OK</v>
      </c>
      <c r="BD115" t="str">
        <f t="shared" si="37"/>
        <v>OK</v>
      </c>
      <c r="BE115" t="str">
        <f t="shared" si="38"/>
        <v>OK</v>
      </c>
      <c r="BF115" t="str">
        <f t="shared" si="39"/>
        <v>OK</v>
      </c>
      <c r="BG115" t="str">
        <f t="shared" si="40"/>
        <v>OK</v>
      </c>
      <c r="BH115" t="str">
        <f t="shared" si="41"/>
        <v>OK</v>
      </c>
      <c r="BI115" t="str">
        <f t="shared" si="33"/>
        <v>OK</v>
      </c>
      <c r="BJ115" t="str">
        <f t="shared" si="34"/>
        <v>OK</v>
      </c>
      <c r="BK115" t="str">
        <f t="shared" si="35"/>
        <v>OK</v>
      </c>
    </row>
    <row r="116" spans="1:63">
      <c r="A116" s="16" t="s">
        <v>356</v>
      </c>
      <c r="B116" s="16" t="s">
        <v>354</v>
      </c>
      <c r="C116" s="16" t="s">
        <v>182</v>
      </c>
      <c r="D116" s="16" t="s">
        <v>248</v>
      </c>
      <c r="E116" s="16" t="s">
        <v>139</v>
      </c>
      <c r="F116" s="16" t="s">
        <v>140</v>
      </c>
      <c r="G116" s="15">
        <v>46166</v>
      </c>
      <c r="H116" s="15">
        <v>46180</v>
      </c>
      <c r="I116" s="15">
        <v>46185</v>
      </c>
      <c r="J116" s="15" t="s">
        <v>141</v>
      </c>
      <c r="K116" s="16" t="s">
        <v>182</v>
      </c>
      <c r="L116" t="s">
        <v>158</v>
      </c>
      <c r="M116" s="16" t="s">
        <v>152</v>
      </c>
      <c r="N116" s="16" t="s">
        <v>153</v>
      </c>
      <c r="O116" t="s">
        <v>1614</v>
      </c>
      <c r="P116" s="18">
        <v>2690</v>
      </c>
      <c r="Q116" s="21">
        <v>14</v>
      </c>
      <c r="R116" s="21" t="str">
        <f t="shared" si="21"/>
        <v>8-14 days</v>
      </c>
      <c r="S116" s="16" t="s">
        <v>145</v>
      </c>
      <c r="T116" s="16" t="s">
        <v>172</v>
      </c>
      <c r="U116" s="16" t="s">
        <v>155</v>
      </c>
      <c r="V116" t="str">
        <f>IF(U116="","",IFERROR(VLOOKUP(U116,Hotels!A:B,2,FALSE),"Not Found"))</f>
        <v>Hilton</v>
      </c>
      <c r="W116" s="14">
        <v>645.32000000000005</v>
      </c>
      <c r="X116" s="14">
        <v>0</v>
      </c>
      <c r="Y116" s="21">
        <v>4</v>
      </c>
      <c r="Z116" s="29">
        <f t="shared" si="22"/>
        <v>166.9975</v>
      </c>
      <c r="AA116" s="14">
        <v>667.99</v>
      </c>
      <c r="AB116" s="14">
        <v>61.98</v>
      </c>
      <c r="AC116" s="14">
        <v>1375.29</v>
      </c>
      <c r="AD116" s="16" t="s">
        <v>147</v>
      </c>
      <c r="AE116" s="16" t="s">
        <v>147</v>
      </c>
      <c r="AF116" s="14">
        <f>SUMIF('Trip Changes'!$B:$B,A116,'Trip Changes'!$E:$E)</f>
        <v>0</v>
      </c>
      <c r="AG116" s="23">
        <f>SUMIF('Trip Cancellations'!$B:$B,A116,'Trip Cancellations'!$E:$E)</f>
        <v>0</v>
      </c>
      <c r="AH116" s="14">
        <f>SUMIF('Trip Cancellations'!$B:$B,A116,'Trip Cancellations'!$F:$F)</f>
        <v>0</v>
      </c>
      <c r="AI116" s="14">
        <f t="shared" si="23"/>
        <v>1375.29</v>
      </c>
      <c r="AJ116" s="14" t="str">
        <f t="shared" si="24"/>
        <v>Yes</v>
      </c>
      <c r="AK116" s="14" t="str">
        <f>IF(Y116=0,"N/A",
IF(_xlfn.XLOOKUP(U116,Hotels!A:A,Hotels!C:C)=TRUE,"Yes","No"))</f>
        <v>Yes</v>
      </c>
      <c r="AL116" s="14" t="str">
        <f>IF(N116="Rail","N/A",IF(_xlfn.XLOOKUP(T116,Airlines!A:A,Airlines!C:C)=TRUE,"Yes","No"))</f>
        <v>Yes</v>
      </c>
      <c r="AM116" s="14" t="str">
        <f t="shared" si="25"/>
        <v>Yes</v>
      </c>
      <c r="AN116" s="14" t="str">
        <f t="shared" si="26"/>
        <v>Yes</v>
      </c>
      <c r="AO116" s="14" t="str">
        <f t="shared" si="27"/>
        <v>Yes</v>
      </c>
      <c r="AP116" s="16" t="s">
        <v>148</v>
      </c>
      <c r="AQ116" t="str">
        <f t="shared" si="28"/>
        <v>Yes</v>
      </c>
      <c r="AR116" s="21">
        <v>3</v>
      </c>
      <c r="AS116" s="5">
        <v>403.5</v>
      </c>
      <c r="AT116" s="5" t="str">
        <f>IF(T116="","",_xlfn.XLOOKUP(T116,Airlines!A:A,Airlines!B:B,"Not Found"))</f>
        <v>Lufthansa</v>
      </c>
      <c r="AU116" s="5" t="str">
        <f>IF(U116="","",_xlfn.XLOOKUP(U116,Hotels!A:A,Hotels!B:B,"Not found"))</f>
        <v>Hilton</v>
      </c>
      <c r="AV116" t="s">
        <v>147</v>
      </c>
      <c r="AW116" s="16" t="str">
        <f t="shared" si="29"/>
        <v>OK</v>
      </c>
      <c r="AX116" s="16" t="str">
        <f t="shared" si="30"/>
        <v>OK</v>
      </c>
      <c r="AY116" s="16" t="str">
        <f t="shared" si="31"/>
        <v>OK</v>
      </c>
      <c r="AZ116" s="16" t="str">
        <f t="shared" si="32"/>
        <v>OK</v>
      </c>
      <c r="BA116" s="16" t="str">
        <f t="shared" si="36"/>
        <v>OK</v>
      </c>
      <c r="BB116" s="21">
        <f>COUNTIF('Trip Changes'!B:B,A116)</f>
        <v>0</v>
      </c>
      <c r="BC116" s="16" t="str">
        <f>IF(OR(AND(AD116="Yes",COUNTIF('Trip Changes'!B:B,A116)&gt;0),AND(AD116="No",COUNTIF('Trip Changes'!B:B,A116)=0)),"OK","Check")</f>
        <v>OK</v>
      </c>
      <c r="BD116" t="str">
        <f t="shared" si="37"/>
        <v>OK</v>
      </c>
      <c r="BE116" t="str">
        <f t="shared" si="38"/>
        <v>OK</v>
      </c>
      <c r="BF116" t="str">
        <f t="shared" si="39"/>
        <v>OK</v>
      </c>
      <c r="BG116" t="str">
        <f t="shared" si="40"/>
        <v>OK</v>
      </c>
      <c r="BH116" t="str">
        <f t="shared" si="41"/>
        <v>OK</v>
      </c>
      <c r="BI116" t="str">
        <f t="shared" si="33"/>
        <v>OK</v>
      </c>
      <c r="BJ116" t="str">
        <f t="shared" si="34"/>
        <v>OK</v>
      </c>
      <c r="BK116" t="str">
        <f t="shared" si="35"/>
        <v>OK</v>
      </c>
    </row>
    <row r="117" spans="1:63">
      <c r="A117" s="16" t="s">
        <v>357</v>
      </c>
      <c r="B117" s="16" t="s">
        <v>358</v>
      </c>
      <c r="C117" s="16" t="s">
        <v>282</v>
      </c>
      <c r="D117" s="16" t="s">
        <v>204</v>
      </c>
      <c r="E117" s="16" t="s">
        <v>169</v>
      </c>
      <c r="F117" s="16" t="s">
        <v>207</v>
      </c>
      <c r="G117" s="15">
        <v>46136</v>
      </c>
      <c r="H117" s="15">
        <v>46155</v>
      </c>
      <c r="I117" s="15">
        <v>46158</v>
      </c>
      <c r="J117" s="15" t="s">
        <v>163</v>
      </c>
      <c r="K117" s="16" t="s">
        <v>282</v>
      </c>
      <c r="L117" t="s">
        <v>215</v>
      </c>
      <c r="M117" s="16" t="s">
        <v>152</v>
      </c>
      <c r="N117" s="16" t="s">
        <v>153</v>
      </c>
      <c r="O117" t="s">
        <v>1614</v>
      </c>
      <c r="P117" s="18">
        <v>3028</v>
      </c>
      <c r="Q117" s="21">
        <v>19</v>
      </c>
      <c r="R117" s="21" t="str">
        <f t="shared" si="21"/>
        <v>15-30 days</v>
      </c>
      <c r="S117" s="16" t="s">
        <v>159</v>
      </c>
      <c r="T117" s="16" t="s">
        <v>236</v>
      </c>
      <c r="U117" s="16" t="s">
        <v>187</v>
      </c>
      <c r="V117" t="str">
        <f>IF(U117="","",IFERROR(VLOOKUP(U117,Hotels!A:B,2,FALSE),"Not Found"))</f>
        <v>IHG Hotels &amp; Resorts</v>
      </c>
      <c r="W117" s="14">
        <v>402.19</v>
      </c>
      <c r="X117" s="14">
        <v>0</v>
      </c>
      <c r="Y117" s="21">
        <v>2</v>
      </c>
      <c r="Z117" s="29">
        <f t="shared" si="22"/>
        <v>204.41</v>
      </c>
      <c r="AA117" s="14">
        <v>408.82</v>
      </c>
      <c r="AB117" s="14">
        <v>85.28</v>
      </c>
      <c r="AC117" s="14">
        <v>896.29</v>
      </c>
      <c r="AD117" s="16" t="s">
        <v>147</v>
      </c>
      <c r="AE117" s="16" t="s">
        <v>147</v>
      </c>
      <c r="AF117" s="14">
        <f>SUMIF('Trip Changes'!$B:$B,A117,'Trip Changes'!$E:$E)</f>
        <v>0</v>
      </c>
      <c r="AG117" s="23">
        <f>SUMIF('Trip Cancellations'!$B:$B,A117,'Trip Cancellations'!$E:$E)</f>
        <v>0</v>
      </c>
      <c r="AH117" s="14">
        <f>SUMIF('Trip Cancellations'!$B:$B,A117,'Trip Cancellations'!$F:$F)</f>
        <v>0</v>
      </c>
      <c r="AI117" s="14">
        <f t="shared" si="23"/>
        <v>896.29</v>
      </c>
      <c r="AJ117" s="14" t="str">
        <f t="shared" si="24"/>
        <v>No</v>
      </c>
      <c r="AK117" s="14" t="str">
        <f>IF(Y117=0,"N/A",
IF(_xlfn.XLOOKUP(U117,Hotels!A:A,Hotels!C:C)=TRUE,"Yes","No"))</f>
        <v>Yes</v>
      </c>
      <c r="AL117" s="14" t="str">
        <f>IF(N117="Rail","N/A",IF(_xlfn.XLOOKUP(T117,Airlines!A:A,Airlines!C:C)=TRUE,"Yes","No"))</f>
        <v>Yes</v>
      </c>
      <c r="AM117" s="14" t="str">
        <f t="shared" si="25"/>
        <v>Yes</v>
      </c>
      <c r="AN117" s="14" t="str">
        <f t="shared" si="26"/>
        <v>Yes</v>
      </c>
      <c r="AO117" s="14" t="str">
        <f t="shared" si="27"/>
        <v>Yes</v>
      </c>
      <c r="AP117" s="16" t="s">
        <v>148</v>
      </c>
      <c r="AQ117" t="str">
        <f t="shared" si="28"/>
        <v>No</v>
      </c>
      <c r="AR117" s="21">
        <v>5</v>
      </c>
      <c r="AS117" s="5">
        <v>454.2</v>
      </c>
      <c r="AT117" s="5" t="str">
        <f>IF(T117="","",_xlfn.XLOOKUP(T117,Airlines!A:A,Airlines!B:B,"Not Found"))</f>
        <v>KLM</v>
      </c>
      <c r="AU117" s="5" t="str">
        <f>IF(U117="","",_xlfn.XLOOKUP(U117,Hotels!A:A,Hotels!B:B,"Not found"))</f>
        <v>IHG Hotels &amp; Resorts</v>
      </c>
      <c r="AV117" t="s">
        <v>147</v>
      </c>
      <c r="AW117" s="16" t="str">
        <f t="shared" si="29"/>
        <v>OK</v>
      </c>
      <c r="AX117" s="16" t="str">
        <f t="shared" si="30"/>
        <v>OK</v>
      </c>
      <c r="AY117" s="16" t="str">
        <f t="shared" si="31"/>
        <v>OK</v>
      </c>
      <c r="AZ117" s="16" t="str">
        <f t="shared" si="32"/>
        <v>OK</v>
      </c>
      <c r="BA117" s="16" t="str">
        <f t="shared" si="36"/>
        <v>OK</v>
      </c>
      <c r="BB117" s="21">
        <f>COUNTIF('Trip Changes'!B:B,A117)</f>
        <v>0</v>
      </c>
      <c r="BC117" s="16" t="str">
        <f>IF(OR(AND(AD117="Yes",COUNTIF('Trip Changes'!B:B,A117)&gt;0),AND(AD117="No",COUNTIF('Trip Changes'!B:B,A117)=0)),"OK","Check")</f>
        <v>OK</v>
      </c>
      <c r="BD117" t="str">
        <f t="shared" si="37"/>
        <v>OK</v>
      </c>
      <c r="BE117" t="str">
        <f t="shared" si="38"/>
        <v>OK</v>
      </c>
      <c r="BF117" t="str">
        <f t="shared" si="39"/>
        <v>OK</v>
      </c>
      <c r="BG117" t="str">
        <f t="shared" si="40"/>
        <v>OK</v>
      </c>
      <c r="BH117" t="str">
        <f t="shared" si="41"/>
        <v>OK</v>
      </c>
      <c r="BI117" t="str">
        <f t="shared" si="33"/>
        <v>OK</v>
      </c>
      <c r="BJ117" t="str">
        <f t="shared" si="34"/>
        <v>OK</v>
      </c>
      <c r="BK117" t="str">
        <f t="shared" si="35"/>
        <v>OK</v>
      </c>
    </row>
    <row r="118" spans="1:63">
      <c r="A118" s="16" t="s">
        <v>359</v>
      </c>
      <c r="B118" s="16" t="s">
        <v>358</v>
      </c>
      <c r="C118" s="16" t="s">
        <v>282</v>
      </c>
      <c r="D118" s="16" t="s">
        <v>204</v>
      </c>
      <c r="E118" s="16" t="s">
        <v>169</v>
      </c>
      <c r="F118" s="16" t="s">
        <v>178</v>
      </c>
      <c r="G118" s="15">
        <v>46128</v>
      </c>
      <c r="H118" s="15">
        <v>46145</v>
      </c>
      <c r="I118" s="15">
        <v>46147</v>
      </c>
      <c r="J118" s="15" t="s">
        <v>163</v>
      </c>
      <c r="K118" s="16" t="s">
        <v>282</v>
      </c>
      <c r="L118" t="s">
        <v>225</v>
      </c>
      <c r="M118" s="16" t="s">
        <v>152</v>
      </c>
      <c r="N118" s="16" t="s">
        <v>153</v>
      </c>
      <c r="O118" t="s">
        <v>1614</v>
      </c>
      <c r="P118" s="18">
        <v>1132</v>
      </c>
      <c r="Q118" s="21">
        <v>17</v>
      </c>
      <c r="R118" s="21" t="str">
        <f t="shared" si="21"/>
        <v>15-30 days</v>
      </c>
      <c r="S118" s="16" t="s">
        <v>159</v>
      </c>
      <c r="T118" s="16" t="s">
        <v>154</v>
      </c>
      <c r="U118" s="16" t="s">
        <v>173</v>
      </c>
      <c r="V118" t="str">
        <f>IF(U118="","",IFERROR(VLOOKUP(U118,Hotels!A:B,2,FALSE),"Not Found"))</f>
        <v>Accor</v>
      </c>
      <c r="W118" s="14">
        <v>373.22</v>
      </c>
      <c r="X118" s="14">
        <v>0</v>
      </c>
      <c r="Y118" s="21">
        <v>1</v>
      </c>
      <c r="Z118" s="29">
        <f t="shared" si="22"/>
        <v>193.17</v>
      </c>
      <c r="AA118" s="14">
        <v>193.17</v>
      </c>
      <c r="AB118" s="14">
        <v>104.17</v>
      </c>
      <c r="AC118" s="14">
        <v>670.56</v>
      </c>
      <c r="AD118" s="16" t="s">
        <v>147</v>
      </c>
      <c r="AE118" s="16" t="s">
        <v>147</v>
      </c>
      <c r="AF118" s="14">
        <f>SUMIF('Trip Changes'!$B:$B,A118,'Trip Changes'!$E:$E)</f>
        <v>0</v>
      </c>
      <c r="AG118" s="23">
        <f>SUMIF('Trip Cancellations'!$B:$B,A118,'Trip Cancellations'!$E:$E)</f>
        <v>0</v>
      </c>
      <c r="AH118" s="14">
        <f>SUMIF('Trip Cancellations'!$B:$B,A118,'Trip Cancellations'!$F:$F)</f>
        <v>0</v>
      </c>
      <c r="AI118" s="14">
        <f t="shared" si="23"/>
        <v>670.56</v>
      </c>
      <c r="AJ118" s="14" t="str">
        <f t="shared" si="24"/>
        <v>No</v>
      </c>
      <c r="AK118" s="14" t="str">
        <f>IF(Y118=0,"N/A",
IF(_xlfn.XLOOKUP(U118,Hotels!A:A,Hotels!C:C)=TRUE,"Yes","No"))</f>
        <v>Yes</v>
      </c>
      <c r="AL118" s="14" t="str">
        <f>IF(N118="Rail","N/A",IF(_xlfn.XLOOKUP(T118,Airlines!A:A,Airlines!C:C)=TRUE,"Yes","No"))</f>
        <v>Yes</v>
      </c>
      <c r="AM118" s="14" t="str">
        <f t="shared" si="25"/>
        <v>Yes</v>
      </c>
      <c r="AN118" s="14" t="str">
        <f t="shared" si="26"/>
        <v>Yes</v>
      </c>
      <c r="AO118" s="14" t="str">
        <f t="shared" si="27"/>
        <v>Yes</v>
      </c>
      <c r="AP118" s="16" t="s">
        <v>148</v>
      </c>
      <c r="AQ118" t="str">
        <f t="shared" si="28"/>
        <v>No</v>
      </c>
      <c r="AR118" s="21">
        <v>4</v>
      </c>
      <c r="AS118" s="5">
        <v>169.8</v>
      </c>
      <c r="AT118" s="5" t="str">
        <f>IF(T118="","",_xlfn.XLOOKUP(T118,Airlines!A:A,Airlines!B:B,"Not Found"))</f>
        <v>British Airways</v>
      </c>
      <c r="AU118" s="5" t="str">
        <f>IF(U118="","",_xlfn.XLOOKUP(U118,Hotels!A:A,Hotels!B:B,"Not found"))</f>
        <v>Accor</v>
      </c>
      <c r="AV118" t="s">
        <v>147</v>
      </c>
      <c r="AW118" s="16" t="str">
        <f t="shared" si="29"/>
        <v>OK</v>
      </c>
      <c r="AX118" s="16" t="str">
        <f t="shared" si="30"/>
        <v>OK</v>
      </c>
      <c r="AY118" s="16" t="str">
        <f t="shared" si="31"/>
        <v>OK</v>
      </c>
      <c r="AZ118" s="16" t="str">
        <f t="shared" si="32"/>
        <v>OK</v>
      </c>
      <c r="BA118" s="16" t="str">
        <f t="shared" si="36"/>
        <v>OK</v>
      </c>
      <c r="BB118" s="21">
        <f>COUNTIF('Trip Changes'!B:B,A118)</f>
        <v>0</v>
      </c>
      <c r="BC118" s="16" t="str">
        <f>IF(OR(AND(AD118="Yes",COUNTIF('Trip Changes'!B:B,A118)&gt;0),AND(AD118="No",COUNTIF('Trip Changes'!B:B,A118)=0)),"OK","Check")</f>
        <v>OK</v>
      </c>
      <c r="BD118" t="str">
        <f t="shared" si="37"/>
        <v>OK</v>
      </c>
      <c r="BE118" t="str">
        <f t="shared" si="38"/>
        <v>OK</v>
      </c>
      <c r="BF118" t="str">
        <f t="shared" si="39"/>
        <v>OK</v>
      </c>
      <c r="BG118" t="str">
        <f t="shared" si="40"/>
        <v>OK</v>
      </c>
      <c r="BH118" t="str">
        <f t="shared" si="41"/>
        <v>OK</v>
      </c>
      <c r="BI118" t="str">
        <f t="shared" si="33"/>
        <v>OK</v>
      </c>
      <c r="BJ118" t="str">
        <f t="shared" si="34"/>
        <v>OK</v>
      </c>
      <c r="BK118" t="str">
        <f t="shared" si="35"/>
        <v>OK</v>
      </c>
    </row>
    <row r="119" spans="1:63">
      <c r="A119" s="16" t="s">
        <v>360</v>
      </c>
      <c r="B119" s="16" t="s">
        <v>358</v>
      </c>
      <c r="C119" s="16" t="s">
        <v>282</v>
      </c>
      <c r="D119" s="16" t="s">
        <v>204</v>
      </c>
      <c r="E119" s="16" t="s">
        <v>169</v>
      </c>
      <c r="F119" s="16" t="s">
        <v>170</v>
      </c>
      <c r="G119" s="15">
        <v>46185</v>
      </c>
      <c r="H119" s="15">
        <v>46223</v>
      </c>
      <c r="I119" s="15">
        <v>46225</v>
      </c>
      <c r="J119" s="15" t="s">
        <v>150</v>
      </c>
      <c r="K119" s="16" t="s">
        <v>282</v>
      </c>
      <c r="L119" t="s">
        <v>307</v>
      </c>
      <c r="M119" s="16" t="s">
        <v>143</v>
      </c>
      <c r="N119" s="16" t="s">
        <v>144</v>
      </c>
      <c r="O119" t="s">
        <v>1630</v>
      </c>
      <c r="P119" s="18">
        <v>874</v>
      </c>
      <c r="Q119" s="21">
        <v>38</v>
      </c>
      <c r="R119" s="21" t="str">
        <f t="shared" si="21"/>
        <v>31+ days</v>
      </c>
      <c r="S119" s="16" t="s">
        <v>216</v>
      </c>
      <c r="U119" s="16" t="s">
        <v>195</v>
      </c>
      <c r="V119" t="str">
        <f>IF(U119="","",IFERROR(VLOOKUP(U119,Hotels!A:B,2,FALSE),"Not Found"))</f>
        <v>Travelodge</v>
      </c>
      <c r="W119" s="14">
        <v>0</v>
      </c>
      <c r="X119" s="14">
        <v>150.56</v>
      </c>
      <c r="Y119" s="21">
        <v>1</v>
      </c>
      <c r="Z119" s="29">
        <f t="shared" si="22"/>
        <v>145.83000000000001</v>
      </c>
      <c r="AA119" s="14">
        <v>145.83000000000001</v>
      </c>
      <c r="AB119" s="14">
        <v>53.16</v>
      </c>
      <c r="AC119" s="14">
        <v>349.55</v>
      </c>
      <c r="AD119" s="16" t="s">
        <v>147</v>
      </c>
      <c r="AE119" s="16" t="s">
        <v>147</v>
      </c>
      <c r="AF119" s="14">
        <f>SUMIF('Trip Changes'!$B:$B,A119,'Trip Changes'!$E:$E)</f>
        <v>0</v>
      </c>
      <c r="AG119" s="23">
        <f>SUMIF('Trip Cancellations'!$B:$B,A119,'Trip Cancellations'!$E:$E)</f>
        <v>0</v>
      </c>
      <c r="AH119" s="14">
        <f>SUMIF('Trip Cancellations'!$B:$B,A119,'Trip Cancellations'!$F:$F)</f>
        <v>0</v>
      </c>
      <c r="AI119" s="14">
        <f t="shared" si="23"/>
        <v>349.55</v>
      </c>
      <c r="AJ119" s="14" t="str">
        <f t="shared" si="24"/>
        <v>Yes</v>
      </c>
      <c r="AK119" s="14" t="str">
        <f>IF(Y119=0,"N/A",
IF(_xlfn.XLOOKUP(U119,Hotels!A:A,Hotels!C:C)=TRUE,"Yes","No"))</f>
        <v>No</v>
      </c>
      <c r="AL119" s="14" t="str">
        <f>IF(N119="Rail","N/A",IF(_xlfn.XLOOKUP(T119,Airlines!A:A,Airlines!C:C)=TRUE,"Yes","No"))</f>
        <v>N/A</v>
      </c>
      <c r="AM119" s="14" t="str">
        <f t="shared" si="25"/>
        <v>Yes</v>
      </c>
      <c r="AN119" s="14" t="str">
        <f t="shared" si="26"/>
        <v>No</v>
      </c>
      <c r="AO119" s="14" t="str">
        <f t="shared" si="27"/>
        <v>No</v>
      </c>
      <c r="AP119" s="16" t="s">
        <v>148</v>
      </c>
      <c r="AQ119" t="str">
        <f t="shared" si="28"/>
        <v>No</v>
      </c>
      <c r="AR119" s="21">
        <v>5</v>
      </c>
      <c r="AS119" s="5">
        <v>35</v>
      </c>
      <c r="AT119" s="5" t="str">
        <f>IF(T119="","",_xlfn.XLOOKUP(T119,Airlines!A:A,Airlines!B:B,"Not Found"))</f>
        <v/>
      </c>
      <c r="AU119" s="5" t="str">
        <f>IF(U119="","",_xlfn.XLOOKUP(U119,Hotels!A:A,Hotels!B:B,"Not found"))</f>
        <v>Travelodge</v>
      </c>
      <c r="AV119" t="s">
        <v>147</v>
      </c>
      <c r="AW119" s="16" t="str">
        <f t="shared" si="29"/>
        <v>OK</v>
      </c>
      <c r="AX119" s="16" t="str">
        <f t="shared" si="30"/>
        <v>OK</v>
      </c>
      <c r="AY119" s="16" t="str">
        <f t="shared" si="31"/>
        <v>OK</v>
      </c>
      <c r="AZ119" s="16" t="str">
        <f t="shared" si="32"/>
        <v>OK</v>
      </c>
      <c r="BA119" s="16" t="str">
        <f t="shared" si="36"/>
        <v>OK</v>
      </c>
      <c r="BB119" s="21">
        <f>COUNTIF('Trip Changes'!B:B,A119)</f>
        <v>0</v>
      </c>
      <c r="BC119" s="16" t="str">
        <f>IF(OR(AND(AD119="Yes",COUNTIF('Trip Changes'!B:B,A119)&gt;0),AND(AD119="No",COUNTIF('Trip Changes'!B:B,A119)=0)),"OK","Check")</f>
        <v>OK</v>
      </c>
      <c r="BD119" t="str">
        <f t="shared" si="37"/>
        <v>OK</v>
      </c>
      <c r="BE119" t="str">
        <f t="shared" si="38"/>
        <v>OK</v>
      </c>
      <c r="BF119" t="str">
        <f t="shared" si="39"/>
        <v>OK</v>
      </c>
      <c r="BG119" t="str">
        <f t="shared" si="40"/>
        <v>OK</v>
      </c>
      <c r="BH119" t="str">
        <f t="shared" si="41"/>
        <v>OK</v>
      </c>
      <c r="BI119" t="str">
        <f t="shared" si="33"/>
        <v>OK</v>
      </c>
      <c r="BJ119" t="str">
        <f t="shared" si="34"/>
        <v>OK</v>
      </c>
      <c r="BK119" t="str">
        <f t="shared" si="35"/>
        <v>OK</v>
      </c>
    </row>
    <row r="120" spans="1:63">
      <c r="A120" s="16" t="s">
        <v>361</v>
      </c>
      <c r="B120" s="16" t="s">
        <v>358</v>
      </c>
      <c r="C120" s="16" t="s">
        <v>282</v>
      </c>
      <c r="D120" s="16" t="s">
        <v>204</v>
      </c>
      <c r="E120" s="16" t="s">
        <v>169</v>
      </c>
      <c r="F120" s="16" t="s">
        <v>207</v>
      </c>
      <c r="G120" s="15">
        <v>46171</v>
      </c>
      <c r="H120" s="15">
        <v>46191</v>
      </c>
      <c r="I120" s="15">
        <v>46194</v>
      </c>
      <c r="J120" s="15" t="s">
        <v>141</v>
      </c>
      <c r="K120" s="16" t="s">
        <v>282</v>
      </c>
      <c r="L120" t="s">
        <v>362</v>
      </c>
      <c r="M120" s="16" t="s">
        <v>152</v>
      </c>
      <c r="N120" s="16" t="s">
        <v>153</v>
      </c>
      <c r="O120" t="s">
        <v>1614</v>
      </c>
      <c r="P120" s="18">
        <v>1804</v>
      </c>
      <c r="Q120" s="21">
        <v>20</v>
      </c>
      <c r="R120" s="21" t="str">
        <f t="shared" si="21"/>
        <v>15-30 days</v>
      </c>
      <c r="S120" s="16" t="s">
        <v>145</v>
      </c>
      <c r="T120" s="16" t="s">
        <v>154</v>
      </c>
      <c r="U120" s="16" t="s">
        <v>187</v>
      </c>
      <c r="V120" t="str">
        <f>IF(U120="","",IFERROR(VLOOKUP(U120,Hotels!A:B,2,FALSE),"Not Found"))</f>
        <v>IHG Hotels &amp; Resorts</v>
      </c>
      <c r="W120" s="14">
        <v>188.62</v>
      </c>
      <c r="X120" s="14">
        <v>0</v>
      </c>
      <c r="Y120" s="21">
        <v>2</v>
      </c>
      <c r="Z120" s="29">
        <f t="shared" si="22"/>
        <v>141.22</v>
      </c>
      <c r="AA120" s="14">
        <v>282.44</v>
      </c>
      <c r="AB120" s="14">
        <v>69.900000000000006</v>
      </c>
      <c r="AC120" s="14">
        <v>540.96</v>
      </c>
      <c r="AD120" s="16" t="s">
        <v>147</v>
      </c>
      <c r="AE120" s="16" t="s">
        <v>147</v>
      </c>
      <c r="AF120" s="14">
        <f>SUMIF('Trip Changes'!$B:$B,A120,'Trip Changes'!$E:$E)</f>
        <v>0</v>
      </c>
      <c r="AG120" s="23">
        <f>SUMIF('Trip Cancellations'!$B:$B,A120,'Trip Cancellations'!$E:$E)</f>
        <v>0</v>
      </c>
      <c r="AH120" s="14">
        <f>SUMIF('Trip Cancellations'!$B:$B,A120,'Trip Cancellations'!$F:$F)</f>
        <v>0</v>
      </c>
      <c r="AI120" s="14">
        <f t="shared" si="23"/>
        <v>540.96</v>
      </c>
      <c r="AJ120" s="14" t="str">
        <f t="shared" si="24"/>
        <v>Yes</v>
      </c>
      <c r="AK120" s="14" t="str">
        <f>IF(Y120=0,"N/A",
IF(_xlfn.XLOOKUP(U120,Hotels!A:A,Hotels!C:C)=TRUE,"Yes","No"))</f>
        <v>Yes</v>
      </c>
      <c r="AL120" s="14" t="str">
        <f>IF(N120="Rail","N/A",IF(_xlfn.XLOOKUP(T120,Airlines!A:A,Airlines!C:C)=TRUE,"Yes","No"))</f>
        <v>Yes</v>
      </c>
      <c r="AM120" s="14" t="str">
        <f t="shared" si="25"/>
        <v>Yes</v>
      </c>
      <c r="AN120" s="14" t="str">
        <f t="shared" si="26"/>
        <v>Yes</v>
      </c>
      <c r="AO120" s="14" t="str">
        <f t="shared" si="27"/>
        <v>Yes</v>
      </c>
      <c r="AP120" s="16" t="s">
        <v>147</v>
      </c>
      <c r="AQ120" t="str">
        <f t="shared" si="28"/>
        <v>Yes</v>
      </c>
      <c r="AR120" s="21">
        <v>3</v>
      </c>
      <c r="AS120" s="5">
        <v>270.60000000000002</v>
      </c>
      <c r="AT120" s="5" t="str">
        <f>IF(T120="","",_xlfn.XLOOKUP(T120,Airlines!A:A,Airlines!B:B,"Not Found"))</f>
        <v>British Airways</v>
      </c>
      <c r="AU120" s="5" t="str">
        <f>IF(U120="","",_xlfn.XLOOKUP(U120,Hotels!A:A,Hotels!B:B,"Not found"))</f>
        <v>IHG Hotels &amp; Resorts</v>
      </c>
      <c r="AV120" t="s">
        <v>147</v>
      </c>
      <c r="AW120" s="16" t="str">
        <f t="shared" si="29"/>
        <v>OK</v>
      </c>
      <c r="AX120" s="16" t="str">
        <f t="shared" si="30"/>
        <v>OK</v>
      </c>
      <c r="AY120" s="16" t="str">
        <f t="shared" si="31"/>
        <v>OK</v>
      </c>
      <c r="AZ120" s="16" t="str">
        <f t="shared" si="32"/>
        <v>OK</v>
      </c>
      <c r="BA120" s="16" t="str">
        <f t="shared" si="36"/>
        <v>OK</v>
      </c>
      <c r="BB120" s="21">
        <f>COUNTIF('Trip Changes'!B:B,A120)</f>
        <v>0</v>
      </c>
      <c r="BC120" s="16" t="str">
        <f>IF(OR(AND(AD120="Yes",COUNTIF('Trip Changes'!B:B,A120)&gt;0),AND(AD120="No",COUNTIF('Trip Changes'!B:B,A120)=0)),"OK","Check")</f>
        <v>OK</v>
      </c>
      <c r="BD120" t="str">
        <f t="shared" si="37"/>
        <v>OK</v>
      </c>
      <c r="BE120" t="str">
        <f t="shared" si="38"/>
        <v>OK</v>
      </c>
      <c r="BF120" t="str">
        <f t="shared" si="39"/>
        <v>OK</v>
      </c>
      <c r="BG120" t="str">
        <f t="shared" si="40"/>
        <v>OK</v>
      </c>
      <c r="BH120" t="str">
        <f t="shared" si="41"/>
        <v>OK</v>
      </c>
      <c r="BI120" t="str">
        <f t="shared" si="33"/>
        <v>OK</v>
      </c>
      <c r="BJ120" t="str">
        <f t="shared" si="34"/>
        <v>OK</v>
      </c>
      <c r="BK120" t="str">
        <f t="shared" si="35"/>
        <v>OK</v>
      </c>
    </row>
    <row r="121" spans="1:63">
      <c r="A121" s="16" t="s">
        <v>363</v>
      </c>
      <c r="B121" s="16" t="s">
        <v>364</v>
      </c>
      <c r="C121" s="16" t="s">
        <v>257</v>
      </c>
      <c r="D121" s="16" t="s">
        <v>248</v>
      </c>
      <c r="E121" s="16" t="s">
        <v>268</v>
      </c>
      <c r="F121" s="16" t="s">
        <v>140</v>
      </c>
      <c r="G121" s="15">
        <v>46198</v>
      </c>
      <c r="H121" s="15">
        <v>46215</v>
      </c>
      <c r="I121" s="15">
        <v>46217</v>
      </c>
      <c r="J121" s="15" t="s">
        <v>150</v>
      </c>
      <c r="K121" s="16" t="s">
        <v>257</v>
      </c>
      <c r="L121" t="s">
        <v>182</v>
      </c>
      <c r="M121" s="16" t="s">
        <v>143</v>
      </c>
      <c r="N121" s="16" t="s">
        <v>144</v>
      </c>
      <c r="O121" t="s">
        <v>1630</v>
      </c>
      <c r="P121" s="18">
        <v>590</v>
      </c>
      <c r="Q121" s="21">
        <v>17</v>
      </c>
      <c r="R121" s="21" t="str">
        <f t="shared" si="21"/>
        <v>15-30 days</v>
      </c>
      <c r="S121" s="16" t="s">
        <v>159</v>
      </c>
      <c r="U121" s="16" t="s">
        <v>155</v>
      </c>
      <c r="V121" t="str">
        <f>IF(U121="","",IFERROR(VLOOKUP(U121,Hotels!A:B,2,FALSE),"Not Found"))</f>
        <v>Hilton</v>
      </c>
      <c r="W121" s="14">
        <v>0</v>
      </c>
      <c r="X121" s="14">
        <v>207.58</v>
      </c>
      <c r="Y121" s="21">
        <v>1</v>
      </c>
      <c r="Z121" s="29">
        <f t="shared" si="22"/>
        <v>81.69</v>
      </c>
      <c r="AA121" s="14">
        <v>81.69</v>
      </c>
      <c r="AB121" s="14">
        <v>20</v>
      </c>
      <c r="AC121" s="14">
        <v>309.27</v>
      </c>
      <c r="AD121" s="16" t="s">
        <v>147</v>
      </c>
      <c r="AE121" s="16" t="s">
        <v>147</v>
      </c>
      <c r="AF121" s="14">
        <f>SUMIF('Trip Changes'!$B:$B,A121,'Trip Changes'!$E:$E)</f>
        <v>0</v>
      </c>
      <c r="AG121" s="23">
        <f>SUMIF('Trip Cancellations'!$B:$B,A121,'Trip Cancellations'!$E:$E)</f>
        <v>0</v>
      </c>
      <c r="AH121" s="14">
        <f>SUMIF('Trip Cancellations'!$B:$B,A121,'Trip Cancellations'!$F:$F)</f>
        <v>0</v>
      </c>
      <c r="AI121" s="14">
        <f t="shared" si="23"/>
        <v>309.27</v>
      </c>
      <c r="AJ121" s="14" t="str">
        <f t="shared" si="24"/>
        <v>Yes</v>
      </c>
      <c r="AK121" s="14" t="str">
        <f>IF(Y121=0,"N/A",
IF(_xlfn.XLOOKUP(U121,Hotels!A:A,Hotels!C:C)=TRUE,"Yes","No"))</f>
        <v>Yes</v>
      </c>
      <c r="AL121" s="14" t="str">
        <f>IF(N121="Rail","N/A",IF(_xlfn.XLOOKUP(T121,Airlines!A:A,Airlines!C:C)=TRUE,"Yes","No"))</f>
        <v>N/A</v>
      </c>
      <c r="AM121" s="14" t="str">
        <f t="shared" si="25"/>
        <v>Yes</v>
      </c>
      <c r="AN121" s="14" t="str">
        <f t="shared" si="26"/>
        <v>Yes</v>
      </c>
      <c r="AO121" s="14" t="str">
        <f t="shared" si="27"/>
        <v>Yes</v>
      </c>
      <c r="AP121" s="16" t="s">
        <v>148</v>
      </c>
      <c r="AQ121" t="str">
        <f t="shared" si="28"/>
        <v>Yes</v>
      </c>
      <c r="AR121" s="21">
        <v>5</v>
      </c>
      <c r="AS121" s="5">
        <v>23.6</v>
      </c>
      <c r="AT121" s="5" t="str">
        <f>IF(T121="","",_xlfn.XLOOKUP(T121,Airlines!A:A,Airlines!B:B,"Not Found"))</f>
        <v/>
      </c>
      <c r="AU121" s="5" t="str">
        <f>IF(U121="","",_xlfn.XLOOKUP(U121,Hotels!A:A,Hotels!B:B,"Not found"))</f>
        <v>Hilton</v>
      </c>
      <c r="AV121" t="s">
        <v>147</v>
      </c>
      <c r="AW121" s="16" t="str">
        <f t="shared" si="29"/>
        <v>OK</v>
      </c>
      <c r="AX121" s="16" t="str">
        <f t="shared" si="30"/>
        <v>OK</v>
      </c>
      <c r="AY121" s="16" t="str">
        <f t="shared" si="31"/>
        <v>OK</v>
      </c>
      <c r="AZ121" s="16" t="str">
        <f t="shared" si="32"/>
        <v>OK</v>
      </c>
      <c r="BA121" s="16" t="str">
        <f t="shared" si="36"/>
        <v>OK</v>
      </c>
      <c r="BB121" s="21">
        <f>COUNTIF('Trip Changes'!B:B,A121)</f>
        <v>0</v>
      </c>
      <c r="BC121" s="16" t="str">
        <f>IF(OR(AND(AD121="Yes",COUNTIF('Trip Changes'!B:B,A121)&gt;0),AND(AD121="No",COUNTIF('Trip Changes'!B:B,A121)=0)),"OK","Check")</f>
        <v>OK</v>
      </c>
      <c r="BD121" t="str">
        <f t="shared" si="37"/>
        <v>OK</v>
      </c>
      <c r="BE121" t="str">
        <f t="shared" si="38"/>
        <v>OK</v>
      </c>
      <c r="BF121" t="str">
        <f t="shared" si="39"/>
        <v>OK</v>
      </c>
      <c r="BG121" t="str">
        <f t="shared" si="40"/>
        <v>OK</v>
      </c>
      <c r="BH121" t="str">
        <f t="shared" si="41"/>
        <v>OK</v>
      </c>
      <c r="BI121" t="str">
        <f t="shared" si="33"/>
        <v>OK</v>
      </c>
      <c r="BJ121" t="str">
        <f t="shared" si="34"/>
        <v>OK</v>
      </c>
      <c r="BK121" t="str">
        <f t="shared" si="35"/>
        <v>OK</v>
      </c>
    </row>
    <row r="122" spans="1:63">
      <c r="A122" s="16" t="s">
        <v>365</v>
      </c>
      <c r="B122" s="16" t="s">
        <v>364</v>
      </c>
      <c r="C122" s="16" t="s">
        <v>257</v>
      </c>
      <c r="D122" s="16" t="s">
        <v>248</v>
      </c>
      <c r="E122" s="16" t="s">
        <v>268</v>
      </c>
      <c r="F122" s="16" t="s">
        <v>178</v>
      </c>
      <c r="G122" s="15">
        <v>46157</v>
      </c>
      <c r="H122" s="15">
        <v>46176</v>
      </c>
      <c r="I122" s="15">
        <v>46178</v>
      </c>
      <c r="J122" s="15" t="s">
        <v>141</v>
      </c>
      <c r="K122" s="16" t="s">
        <v>257</v>
      </c>
      <c r="L122" t="s">
        <v>182</v>
      </c>
      <c r="M122" s="16" t="s">
        <v>143</v>
      </c>
      <c r="N122" s="16" t="s">
        <v>144</v>
      </c>
      <c r="O122" t="s">
        <v>1630</v>
      </c>
      <c r="P122" s="18">
        <v>468</v>
      </c>
      <c r="Q122" s="21">
        <v>19</v>
      </c>
      <c r="R122" s="21" t="str">
        <f t="shared" si="21"/>
        <v>15-30 days</v>
      </c>
      <c r="S122" s="16" t="s">
        <v>145</v>
      </c>
      <c r="U122" s="16" t="s">
        <v>146</v>
      </c>
      <c r="V122" t="str">
        <f>IF(U122="","",IFERROR(VLOOKUP(U122,Hotels!A:B,2,FALSE),"Not Found"))</f>
        <v>Premier Inn</v>
      </c>
      <c r="W122" s="14">
        <v>0</v>
      </c>
      <c r="X122" s="14">
        <v>211.07</v>
      </c>
      <c r="Y122" s="21">
        <v>1</v>
      </c>
      <c r="Z122" s="29">
        <f t="shared" si="22"/>
        <v>107.62</v>
      </c>
      <c r="AA122" s="14">
        <v>107.62</v>
      </c>
      <c r="AB122" s="14">
        <v>37.35</v>
      </c>
      <c r="AC122" s="14">
        <v>356.04</v>
      </c>
      <c r="AD122" s="16" t="s">
        <v>147</v>
      </c>
      <c r="AE122" s="16" t="s">
        <v>147</v>
      </c>
      <c r="AF122" s="14">
        <f>SUMIF('Trip Changes'!$B:$B,A122,'Trip Changes'!$E:$E)</f>
        <v>0</v>
      </c>
      <c r="AG122" s="23">
        <f>SUMIF('Trip Cancellations'!$B:$B,A122,'Trip Cancellations'!$E:$E)</f>
        <v>0</v>
      </c>
      <c r="AH122" s="14">
        <f>SUMIF('Trip Cancellations'!$B:$B,A122,'Trip Cancellations'!$F:$F)</f>
        <v>0</v>
      </c>
      <c r="AI122" s="14">
        <f t="shared" si="23"/>
        <v>356.04</v>
      </c>
      <c r="AJ122" s="14" t="str">
        <f t="shared" si="24"/>
        <v>Yes</v>
      </c>
      <c r="AK122" s="14" t="str">
        <f>IF(Y122=0,"N/A",
IF(_xlfn.XLOOKUP(U122,Hotels!A:A,Hotels!C:C)=TRUE,"Yes","No"))</f>
        <v>Yes</v>
      </c>
      <c r="AL122" s="14" t="str">
        <f>IF(N122="Rail","N/A",IF(_xlfn.XLOOKUP(T122,Airlines!A:A,Airlines!C:C)=TRUE,"Yes","No"))</f>
        <v>N/A</v>
      </c>
      <c r="AM122" s="14" t="str">
        <f t="shared" si="25"/>
        <v>Yes</v>
      </c>
      <c r="AN122" s="14" t="str">
        <f t="shared" si="26"/>
        <v>Yes</v>
      </c>
      <c r="AO122" s="14" t="str">
        <f t="shared" si="27"/>
        <v>Yes</v>
      </c>
      <c r="AP122" s="16" t="s">
        <v>148</v>
      </c>
      <c r="AQ122" t="str">
        <f t="shared" si="28"/>
        <v>Yes</v>
      </c>
      <c r="AR122" s="21">
        <v>4</v>
      </c>
      <c r="AS122" s="5">
        <v>18.7</v>
      </c>
      <c r="AT122" s="5" t="str">
        <f>IF(T122="","",_xlfn.XLOOKUP(T122,Airlines!A:A,Airlines!B:B,"Not Found"))</f>
        <v/>
      </c>
      <c r="AU122" s="5" t="str">
        <f>IF(U122="","",_xlfn.XLOOKUP(U122,Hotels!A:A,Hotels!B:B,"Not found"))</f>
        <v>Premier Inn</v>
      </c>
      <c r="AV122" t="s">
        <v>147</v>
      </c>
      <c r="AW122" s="16" t="str">
        <f t="shared" si="29"/>
        <v>OK</v>
      </c>
      <c r="AX122" s="16" t="str">
        <f t="shared" si="30"/>
        <v>OK</v>
      </c>
      <c r="AY122" s="16" t="str">
        <f t="shared" si="31"/>
        <v>OK</v>
      </c>
      <c r="AZ122" s="16" t="str">
        <f t="shared" si="32"/>
        <v>OK</v>
      </c>
      <c r="BA122" s="16" t="str">
        <f t="shared" si="36"/>
        <v>OK</v>
      </c>
      <c r="BB122" s="21">
        <f>COUNTIF('Trip Changes'!B:B,A122)</f>
        <v>0</v>
      </c>
      <c r="BC122" s="16" t="str">
        <f>IF(OR(AND(AD122="Yes",COUNTIF('Trip Changes'!B:B,A122)&gt;0),AND(AD122="No",COUNTIF('Trip Changes'!B:B,A122)=0)),"OK","Check")</f>
        <v>OK</v>
      </c>
      <c r="BD122" t="str">
        <f t="shared" si="37"/>
        <v>OK</v>
      </c>
      <c r="BE122" t="str">
        <f t="shared" si="38"/>
        <v>OK</v>
      </c>
      <c r="BF122" t="str">
        <f t="shared" si="39"/>
        <v>OK</v>
      </c>
      <c r="BG122" t="str">
        <f t="shared" si="40"/>
        <v>OK</v>
      </c>
      <c r="BH122" t="str">
        <f t="shared" si="41"/>
        <v>OK</v>
      </c>
      <c r="BI122" t="str">
        <f t="shared" si="33"/>
        <v>OK</v>
      </c>
      <c r="BJ122" t="str">
        <f t="shared" si="34"/>
        <v>OK</v>
      </c>
      <c r="BK122" t="str">
        <f t="shared" si="35"/>
        <v>OK</v>
      </c>
    </row>
    <row r="123" spans="1:63">
      <c r="A123" s="16" t="s">
        <v>366</v>
      </c>
      <c r="B123" s="16" t="s">
        <v>364</v>
      </c>
      <c r="C123" s="16" t="s">
        <v>257</v>
      </c>
      <c r="D123" s="16" t="s">
        <v>248</v>
      </c>
      <c r="E123" s="16" t="s">
        <v>268</v>
      </c>
      <c r="F123" s="16" t="s">
        <v>162</v>
      </c>
      <c r="G123" s="15">
        <v>46130</v>
      </c>
      <c r="H123" s="15">
        <v>46162</v>
      </c>
      <c r="I123" s="15">
        <v>46167</v>
      </c>
      <c r="J123" s="15" t="s">
        <v>163</v>
      </c>
      <c r="K123" s="16" t="s">
        <v>257</v>
      </c>
      <c r="L123" t="s">
        <v>233</v>
      </c>
      <c r="M123" s="16" t="s">
        <v>152</v>
      </c>
      <c r="N123" s="16" t="s">
        <v>153</v>
      </c>
      <c r="O123" t="s">
        <v>1614</v>
      </c>
      <c r="P123" s="18">
        <v>2532</v>
      </c>
      <c r="Q123" s="21">
        <v>32</v>
      </c>
      <c r="R123" s="21" t="str">
        <f t="shared" si="21"/>
        <v>31+ days</v>
      </c>
      <c r="S123" s="16" t="s">
        <v>145</v>
      </c>
      <c r="T123" s="16" t="s">
        <v>160</v>
      </c>
      <c r="U123" s="16" t="s">
        <v>155</v>
      </c>
      <c r="V123" t="str">
        <f>IF(U123="","",IFERROR(VLOOKUP(U123,Hotels!A:B,2,FALSE),"Not Found"))</f>
        <v>Hilton</v>
      </c>
      <c r="W123" s="14">
        <v>457.34</v>
      </c>
      <c r="X123" s="14">
        <v>0</v>
      </c>
      <c r="Y123" s="21">
        <v>4</v>
      </c>
      <c r="Z123" s="29">
        <f t="shared" si="22"/>
        <v>166.07499999999999</v>
      </c>
      <c r="AA123" s="14">
        <v>664.3</v>
      </c>
      <c r="AB123" s="14">
        <v>87.84</v>
      </c>
      <c r="AC123" s="14">
        <v>1209.48</v>
      </c>
      <c r="AD123" s="16" t="s">
        <v>148</v>
      </c>
      <c r="AE123" s="16" t="s">
        <v>147</v>
      </c>
      <c r="AF123" s="14">
        <f>SUMIF('Trip Changes'!$B:$B,A123,'Trip Changes'!$E:$E)</f>
        <v>146.38999999999999</v>
      </c>
      <c r="AG123" s="23">
        <f>SUMIF('Trip Cancellations'!$B:$B,A123,'Trip Cancellations'!$E:$E)</f>
        <v>0</v>
      </c>
      <c r="AH123" s="14">
        <f>SUMIF('Trip Cancellations'!$B:$B,A123,'Trip Cancellations'!$F:$F)</f>
        <v>0</v>
      </c>
      <c r="AI123" s="14">
        <f t="shared" si="23"/>
        <v>1355.87</v>
      </c>
      <c r="AJ123" s="14" t="str">
        <f t="shared" si="24"/>
        <v>Yes</v>
      </c>
      <c r="AK123" s="14" t="str">
        <f>IF(Y123=0,"N/A",
IF(_xlfn.XLOOKUP(U123,Hotels!A:A,Hotels!C:C)=TRUE,"Yes","No"))</f>
        <v>Yes</v>
      </c>
      <c r="AL123" s="14" t="str">
        <f>IF(N123="Rail","N/A",IF(_xlfn.XLOOKUP(T123,Airlines!A:A,Airlines!C:C)=TRUE,"Yes","No"))</f>
        <v>Yes</v>
      </c>
      <c r="AM123" s="14" t="str">
        <f t="shared" si="25"/>
        <v>Yes</v>
      </c>
      <c r="AN123" s="14" t="str">
        <f t="shared" si="26"/>
        <v>Yes</v>
      </c>
      <c r="AO123" s="14" t="str">
        <f t="shared" si="27"/>
        <v>Yes</v>
      </c>
      <c r="AP123" s="16" t="s">
        <v>148</v>
      </c>
      <c r="AQ123" t="str">
        <f t="shared" si="28"/>
        <v>Yes</v>
      </c>
      <c r="AR123" s="21">
        <v>4</v>
      </c>
      <c r="AS123" s="5">
        <v>379.8</v>
      </c>
      <c r="AT123" s="5" t="str">
        <f>IF(T123="","",_xlfn.XLOOKUP(T123,Airlines!A:A,Airlines!B:B,"Not Found"))</f>
        <v>Air France</v>
      </c>
      <c r="AU123" s="5" t="str">
        <f>IF(U123="","",_xlfn.XLOOKUP(U123,Hotels!A:A,Hotels!B:B,"Not found"))</f>
        <v>Hilton</v>
      </c>
      <c r="AV123" t="s">
        <v>147</v>
      </c>
      <c r="AW123" s="16" t="str">
        <f t="shared" si="29"/>
        <v>OK</v>
      </c>
      <c r="AX123" s="16" t="str">
        <f t="shared" si="30"/>
        <v>OK</v>
      </c>
      <c r="AY123" s="16" t="str">
        <f t="shared" si="31"/>
        <v>OK</v>
      </c>
      <c r="AZ123" s="16" t="str">
        <f t="shared" si="32"/>
        <v>OK</v>
      </c>
      <c r="BA123" s="16" t="str">
        <f t="shared" si="36"/>
        <v>OK</v>
      </c>
      <c r="BB123" s="21">
        <f>COUNTIF('Trip Changes'!B:B,A123)</f>
        <v>1</v>
      </c>
      <c r="BC123" s="16" t="str">
        <f>IF(OR(AND(AD123="Yes",COUNTIF('Trip Changes'!B:B,A123)&gt;0),AND(AD123="No",COUNTIF('Trip Changes'!B:B,A123)=0)),"OK","Check")</f>
        <v>OK</v>
      </c>
      <c r="BD123" t="str">
        <f t="shared" si="37"/>
        <v>OK</v>
      </c>
      <c r="BE123" t="str">
        <f t="shared" si="38"/>
        <v>OK</v>
      </c>
      <c r="BF123" t="str">
        <f t="shared" si="39"/>
        <v>OK</v>
      </c>
      <c r="BG123" t="str">
        <f t="shared" si="40"/>
        <v>OK</v>
      </c>
      <c r="BH123" t="str">
        <f t="shared" si="41"/>
        <v>OK</v>
      </c>
      <c r="BI123" t="str">
        <f t="shared" si="33"/>
        <v>OK</v>
      </c>
      <c r="BJ123" t="str">
        <f t="shared" si="34"/>
        <v>OK</v>
      </c>
      <c r="BK123" t="str">
        <f t="shared" si="35"/>
        <v>OK</v>
      </c>
    </row>
    <row r="124" spans="1:63">
      <c r="A124" s="16" t="s">
        <v>367</v>
      </c>
      <c r="B124" s="16" t="s">
        <v>364</v>
      </c>
      <c r="C124" s="16" t="s">
        <v>257</v>
      </c>
      <c r="D124" s="16" t="s">
        <v>248</v>
      </c>
      <c r="E124" s="16" t="s">
        <v>268</v>
      </c>
      <c r="F124" s="16" t="s">
        <v>189</v>
      </c>
      <c r="G124" s="15">
        <v>46199</v>
      </c>
      <c r="H124" s="15">
        <v>46216</v>
      </c>
      <c r="I124" s="15">
        <v>46218</v>
      </c>
      <c r="J124" s="15" t="s">
        <v>150</v>
      </c>
      <c r="K124" s="16" t="s">
        <v>257</v>
      </c>
      <c r="L124" t="s">
        <v>227</v>
      </c>
      <c r="M124" s="16" t="s">
        <v>152</v>
      </c>
      <c r="N124" s="16" t="s">
        <v>153</v>
      </c>
      <c r="O124" t="s">
        <v>1614</v>
      </c>
      <c r="P124" s="18">
        <v>1400</v>
      </c>
      <c r="Q124" s="21">
        <v>17</v>
      </c>
      <c r="R124" s="21" t="str">
        <f t="shared" si="21"/>
        <v>15-30 days</v>
      </c>
      <c r="S124" s="16" t="s">
        <v>145</v>
      </c>
      <c r="T124" s="16" t="s">
        <v>154</v>
      </c>
      <c r="U124" s="16" t="s">
        <v>164</v>
      </c>
      <c r="V124" t="str">
        <f>IF(U124="","",IFERROR(VLOOKUP(U124,Hotels!A:B,2,FALSE),"Not Found"))</f>
        <v>Marriott</v>
      </c>
      <c r="W124" s="14">
        <v>269.16000000000003</v>
      </c>
      <c r="X124" s="14">
        <v>0</v>
      </c>
      <c r="Y124" s="21">
        <v>1</v>
      </c>
      <c r="Z124" s="29">
        <f t="shared" si="22"/>
        <v>193.12</v>
      </c>
      <c r="AA124" s="14">
        <v>193.12</v>
      </c>
      <c r="AB124" s="14">
        <v>72.91</v>
      </c>
      <c r="AC124" s="14">
        <v>535.19000000000005</v>
      </c>
      <c r="AD124" s="16" t="s">
        <v>147</v>
      </c>
      <c r="AE124" s="16" t="s">
        <v>147</v>
      </c>
      <c r="AF124" s="14">
        <f>SUMIF('Trip Changes'!$B:$B,A124,'Trip Changes'!$E:$E)</f>
        <v>0</v>
      </c>
      <c r="AG124" s="23">
        <f>SUMIF('Trip Cancellations'!$B:$B,A124,'Trip Cancellations'!$E:$E)</f>
        <v>0</v>
      </c>
      <c r="AH124" s="14">
        <f>SUMIF('Trip Cancellations'!$B:$B,A124,'Trip Cancellations'!$F:$F)</f>
        <v>0</v>
      </c>
      <c r="AI124" s="14">
        <f t="shared" si="23"/>
        <v>535.19000000000005</v>
      </c>
      <c r="AJ124" s="14" t="str">
        <f t="shared" si="24"/>
        <v>No</v>
      </c>
      <c r="AK124" s="14" t="str">
        <f>IF(Y124=0,"N/A",
IF(_xlfn.XLOOKUP(U124,Hotels!A:A,Hotels!C:C)=TRUE,"Yes","No"))</f>
        <v>Yes</v>
      </c>
      <c r="AL124" s="14" t="str">
        <f>IF(N124="Rail","N/A",IF(_xlfn.XLOOKUP(T124,Airlines!A:A,Airlines!C:C)=TRUE,"Yes","No"))</f>
        <v>Yes</v>
      </c>
      <c r="AM124" s="14" t="str">
        <f t="shared" si="25"/>
        <v>Yes</v>
      </c>
      <c r="AN124" s="14" t="str">
        <f t="shared" si="26"/>
        <v>Yes</v>
      </c>
      <c r="AO124" s="14" t="str">
        <f t="shared" si="27"/>
        <v>Yes</v>
      </c>
      <c r="AP124" s="16" t="s">
        <v>148</v>
      </c>
      <c r="AQ124" t="str">
        <f t="shared" si="28"/>
        <v>No</v>
      </c>
      <c r="AR124" s="21">
        <v>4</v>
      </c>
      <c r="AS124" s="5">
        <v>210</v>
      </c>
      <c r="AT124" s="5" t="str">
        <f>IF(T124="","",_xlfn.XLOOKUP(T124,Airlines!A:A,Airlines!B:B,"Not Found"))</f>
        <v>British Airways</v>
      </c>
      <c r="AU124" s="5" t="str">
        <f>IF(U124="","",_xlfn.XLOOKUP(U124,Hotels!A:A,Hotels!B:B,"Not found"))</f>
        <v>Marriott</v>
      </c>
      <c r="AV124" t="s">
        <v>147</v>
      </c>
      <c r="AW124" s="16" t="str">
        <f t="shared" si="29"/>
        <v>OK</v>
      </c>
      <c r="AX124" s="16" t="str">
        <f t="shared" si="30"/>
        <v>OK</v>
      </c>
      <c r="AY124" s="16" t="str">
        <f t="shared" si="31"/>
        <v>OK</v>
      </c>
      <c r="AZ124" s="16" t="str">
        <f t="shared" si="32"/>
        <v>OK</v>
      </c>
      <c r="BA124" s="16" t="str">
        <f t="shared" si="36"/>
        <v>OK</v>
      </c>
      <c r="BB124" s="21">
        <f>COUNTIF('Trip Changes'!B:B,A124)</f>
        <v>0</v>
      </c>
      <c r="BC124" s="16" t="str">
        <f>IF(OR(AND(AD124="Yes",COUNTIF('Trip Changes'!B:B,A124)&gt;0),AND(AD124="No",COUNTIF('Trip Changes'!B:B,A124)=0)),"OK","Check")</f>
        <v>OK</v>
      </c>
      <c r="BD124" t="str">
        <f t="shared" si="37"/>
        <v>OK</v>
      </c>
      <c r="BE124" t="str">
        <f t="shared" si="38"/>
        <v>OK</v>
      </c>
      <c r="BF124" t="str">
        <f t="shared" si="39"/>
        <v>OK</v>
      </c>
      <c r="BG124" t="str">
        <f t="shared" si="40"/>
        <v>OK</v>
      </c>
      <c r="BH124" t="str">
        <f t="shared" si="41"/>
        <v>OK</v>
      </c>
      <c r="BI124" t="str">
        <f t="shared" si="33"/>
        <v>OK</v>
      </c>
      <c r="BJ124" t="str">
        <f t="shared" si="34"/>
        <v>OK</v>
      </c>
      <c r="BK124" t="str">
        <f t="shared" si="35"/>
        <v>OK</v>
      </c>
    </row>
    <row r="125" spans="1:63">
      <c r="A125" s="16" t="s">
        <v>368</v>
      </c>
      <c r="B125" s="16" t="s">
        <v>364</v>
      </c>
      <c r="C125" s="16" t="s">
        <v>257</v>
      </c>
      <c r="D125" s="16" t="s">
        <v>248</v>
      </c>
      <c r="E125" s="16" t="s">
        <v>268</v>
      </c>
      <c r="F125" s="16" t="s">
        <v>170</v>
      </c>
      <c r="G125" s="15">
        <v>46177</v>
      </c>
      <c r="H125" s="15">
        <v>46184</v>
      </c>
      <c r="I125" s="15">
        <v>46186</v>
      </c>
      <c r="J125" s="15" t="s">
        <v>141</v>
      </c>
      <c r="K125" s="16" t="s">
        <v>257</v>
      </c>
      <c r="L125" t="s">
        <v>225</v>
      </c>
      <c r="M125" s="16" t="s">
        <v>152</v>
      </c>
      <c r="N125" s="16" t="s">
        <v>153</v>
      </c>
      <c r="O125" t="s">
        <v>1614</v>
      </c>
      <c r="P125" s="18">
        <v>2694</v>
      </c>
      <c r="Q125" s="21">
        <v>7</v>
      </c>
      <c r="R125" s="21" t="str">
        <f t="shared" si="21"/>
        <v>4-7 days</v>
      </c>
      <c r="S125" s="16" t="s">
        <v>145</v>
      </c>
      <c r="T125" s="16" t="s">
        <v>154</v>
      </c>
      <c r="U125" s="16" t="s">
        <v>190</v>
      </c>
      <c r="V125" t="str">
        <f>IF(U125="","",IFERROR(VLOOKUP(U125,Hotels!A:B,2,FALSE),"Not Found"))</f>
        <v>Radisson Hotel Group</v>
      </c>
      <c r="W125" s="14">
        <v>382.46</v>
      </c>
      <c r="X125" s="14">
        <v>0</v>
      </c>
      <c r="Y125" s="21">
        <v>1</v>
      </c>
      <c r="Z125" s="29">
        <f t="shared" si="22"/>
        <v>178.14</v>
      </c>
      <c r="AA125" s="14">
        <v>178.14</v>
      </c>
      <c r="AB125" s="14">
        <v>86.88</v>
      </c>
      <c r="AC125" s="14">
        <v>647.48</v>
      </c>
      <c r="AD125" s="16" t="s">
        <v>147</v>
      </c>
      <c r="AE125" s="16" t="s">
        <v>147</v>
      </c>
      <c r="AF125" s="14">
        <f>SUMIF('Trip Changes'!$B:$B,A125,'Trip Changes'!$E:$E)</f>
        <v>0</v>
      </c>
      <c r="AG125" s="23">
        <f>SUMIF('Trip Cancellations'!$B:$B,A125,'Trip Cancellations'!$E:$E)</f>
        <v>0</v>
      </c>
      <c r="AH125" s="14">
        <f>SUMIF('Trip Cancellations'!$B:$B,A125,'Trip Cancellations'!$F:$F)</f>
        <v>0</v>
      </c>
      <c r="AI125" s="14">
        <f t="shared" si="23"/>
        <v>647.48</v>
      </c>
      <c r="AJ125" s="14" t="str">
        <f t="shared" si="24"/>
        <v>Yes</v>
      </c>
      <c r="AK125" s="14" t="str">
        <f>IF(Y125=0,"N/A",
IF(_xlfn.XLOOKUP(U125,Hotels!A:A,Hotels!C:C)=TRUE,"Yes","No"))</f>
        <v>No</v>
      </c>
      <c r="AL125" s="14" t="str">
        <f>IF(N125="Rail","N/A",IF(_xlfn.XLOOKUP(T125,Airlines!A:A,Airlines!C:C)=TRUE,"Yes","No"))</f>
        <v>Yes</v>
      </c>
      <c r="AM125" s="14" t="str">
        <f t="shared" si="25"/>
        <v>Yes</v>
      </c>
      <c r="AN125" s="14" t="str">
        <f t="shared" si="26"/>
        <v>Yes</v>
      </c>
      <c r="AO125" s="14" t="str">
        <f t="shared" si="27"/>
        <v>No</v>
      </c>
      <c r="AP125" s="16" t="s">
        <v>148</v>
      </c>
      <c r="AQ125" t="str">
        <f t="shared" si="28"/>
        <v>No</v>
      </c>
      <c r="AR125" s="21">
        <v>5</v>
      </c>
      <c r="AS125" s="5">
        <v>404.1</v>
      </c>
      <c r="AT125" s="5" t="str">
        <f>IF(T125="","",_xlfn.XLOOKUP(T125,Airlines!A:A,Airlines!B:B,"Not Found"))</f>
        <v>British Airways</v>
      </c>
      <c r="AU125" s="5" t="str">
        <f>IF(U125="","",_xlfn.XLOOKUP(U125,Hotels!A:A,Hotels!B:B,"Not found"))</f>
        <v>Radisson Hotel Group</v>
      </c>
      <c r="AV125" t="s">
        <v>148</v>
      </c>
      <c r="AW125" s="16" t="str">
        <f t="shared" si="29"/>
        <v>OK</v>
      </c>
      <c r="AX125" s="16" t="str">
        <f t="shared" si="30"/>
        <v>OK</v>
      </c>
      <c r="AY125" s="16" t="str">
        <f t="shared" si="31"/>
        <v>OK</v>
      </c>
      <c r="AZ125" s="16" t="str">
        <f t="shared" si="32"/>
        <v>OK</v>
      </c>
      <c r="BA125" s="16" t="str">
        <f t="shared" si="36"/>
        <v>OK</v>
      </c>
      <c r="BB125" s="21">
        <f>COUNTIF('Trip Changes'!B:B,A125)</f>
        <v>0</v>
      </c>
      <c r="BC125" s="16" t="str">
        <f>IF(OR(AND(AD125="Yes",COUNTIF('Trip Changes'!B:B,A125)&gt;0),AND(AD125="No",COUNTIF('Trip Changes'!B:B,A125)=0)),"OK","Check")</f>
        <v>OK</v>
      </c>
      <c r="BD125" t="str">
        <f t="shared" si="37"/>
        <v>OK</v>
      </c>
      <c r="BE125" t="str">
        <f t="shared" si="38"/>
        <v>OK</v>
      </c>
      <c r="BF125" t="str">
        <f t="shared" si="39"/>
        <v>OK</v>
      </c>
      <c r="BG125" t="str">
        <f t="shared" si="40"/>
        <v>OK</v>
      </c>
      <c r="BH125" t="str">
        <f t="shared" si="41"/>
        <v>OK</v>
      </c>
      <c r="BI125" t="str">
        <f t="shared" si="33"/>
        <v>OK</v>
      </c>
      <c r="BJ125" t="str">
        <f t="shared" si="34"/>
        <v>OK</v>
      </c>
      <c r="BK125" t="str">
        <f t="shared" si="35"/>
        <v>OK</v>
      </c>
    </row>
    <row r="126" spans="1:63">
      <c r="A126" s="16" t="s">
        <v>369</v>
      </c>
      <c r="B126" s="16" t="s">
        <v>364</v>
      </c>
      <c r="C126" s="16" t="s">
        <v>257</v>
      </c>
      <c r="D126" s="16" t="s">
        <v>248</v>
      </c>
      <c r="E126" s="16" t="s">
        <v>268</v>
      </c>
      <c r="F126" s="16" t="s">
        <v>140</v>
      </c>
      <c r="G126" s="15">
        <v>46182</v>
      </c>
      <c r="H126" s="15">
        <v>46215</v>
      </c>
      <c r="I126" s="15">
        <v>46218</v>
      </c>
      <c r="J126" s="15" t="s">
        <v>150</v>
      </c>
      <c r="K126" s="16" t="s">
        <v>257</v>
      </c>
      <c r="L126" t="s">
        <v>182</v>
      </c>
      <c r="M126" s="16" t="s">
        <v>143</v>
      </c>
      <c r="N126" s="16" t="s">
        <v>144</v>
      </c>
      <c r="O126" t="s">
        <v>1630</v>
      </c>
      <c r="P126" s="18">
        <v>432</v>
      </c>
      <c r="Q126" s="21">
        <v>33</v>
      </c>
      <c r="R126" s="21" t="str">
        <f t="shared" si="21"/>
        <v>31+ days</v>
      </c>
      <c r="S126" s="16" t="s">
        <v>145</v>
      </c>
      <c r="U126" s="16" t="s">
        <v>195</v>
      </c>
      <c r="V126" t="str">
        <f>IF(U126="","",IFERROR(VLOOKUP(U126,Hotels!A:B,2,FALSE),"Not Found"))</f>
        <v>Travelodge</v>
      </c>
      <c r="W126" s="14">
        <v>0</v>
      </c>
      <c r="X126" s="14">
        <v>266</v>
      </c>
      <c r="Y126" s="21">
        <v>2</v>
      </c>
      <c r="Z126" s="29">
        <f t="shared" si="22"/>
        <v>142.215</v>
      </c>
      <c r="AA126" s="14">
        <v>284.43</v>
      </c>
      <c r="AB126" s="14">
        <v>82.68</v>
      </c>
      <c r="AC126" s="14">
        <v>633.11</v>
      </c>
      <c r="AD126" s="16" t="s">
        <v>147</v>
      </c>
      <c r="AE126" s="16" t="s">
        <v>147</v>
      </c>
      <c r="AF126" s="14">
        <f>SUMIF('Trip Changes'!$B:$B,A126,'Trip Changes'!$E:$E)</f>
        <v>0</v>
      </c>
      <c r="AG126" s="23">
        <f>SUMIF('Trip Cancellations'!$B:$B,A126,'Trip Cancellations'!$E:$E)</f>
        <v>0</v>
      </c>
      <c r="AH126" s="14">
        <f>SUMIF('Trip Cancellations'!$B:$B,A126,'Trip Cancellations'!$F:$F)</f>
        <v>0</v>
      </c>
      <c r="AI126" s="14">
        <f t="shared" si="23"/>
        <v>633.11</v>
      </c>
      <c r="AJ126" s="14" t="str">
        <f t="shared" si="24"/>
        <v>Yes</v>
      </c>
      <c r="AK126" s="14" t="str">
        <f>IF(Y126=0,"N/A",
IF(_xlfn.XLOOKUP(U126,Hotels!A:A,Hotels!C:C)=TRUE,"Yes","No"))</f>
        <v>No</v>
      </c>
      <c r="AL126" s="14" t="str">
        <f>IF(N126="Rail","N/A",IF(_xlfn.XLOOKUP(T126,Airlines!A:A,Airlines!C:C)=TRUE,"Yes","No"))</f>
        <v>N/A</v>
      </c>
      <c r="AM126" s="14" t="str">
        <f t="shared" si="25"/>
        <v>Yes</v>
      </c>
      <c r="AN126" s="14" t="str">
        <f t="shared" si="26"/>
        <v>Yes</v>
      </c>
      <c r="AO126" s="14" t="str">
        <f t="shared" si="27"/>
        <v>No</v>
      </c>
      <c r="AP126" s="16" t="s">
        <v>148</v>
      </c>
      <c r="AQ126" t="str">
        <f t="shared" si="28"/>
        <v>No</v>
      </c>
      <c r="AR126" s="21">
        <v>4</v>
      </c>
      <c r="AS126" s="5">
        <v>17.3</v>
      </c>
      <c r="AT126" s="5" t="str">
        <f>IF(T126="","",_xlfn.XLOOKUP(T126,Airlines!A:A,Airlines!B:B,"Not Found"))</f>
        <v/>
      </c>
      <c r="AU126" s="5" t="str">
        <f>IF(U126="","",_xlfn.XLOOKUP(U126,Hotels!A:A,Hotels!B:B,"Not found"))</f>
        <v>Travelodge</v>
      </c>
      <c r="AV126" t="s">
        <v>148</v>
      </c>
      <c r="AW126" s="16" t="str">
        <f t="shared" si="29"/>
        <v>OK</v>
      </c>
      <c r="AX126" s="16" t="str">
        <f t="shared" si="30"/>
        <v>OK</v>
      </c>
      <c r="AY126" s="16" t="str">
        <f t="shared" si="31"/>
        <v>OK</v>
      </c>
      <c r="AZ126" s="16" t="str">
        <f t="shared" si="32"/>
        <v>OK</v>
      </c>
      <c r="BA126" s="16" t="str">
        <f t="shared" si="36"/>
        <v>OK</v>
      </c>
      <c r="BB126" s="21">
        <f>COUNTIF('Trip Changes'!B:B,A126)</f>
        <v>0</v>
      </c>
      <c r="BC126" s="16" t="str">
        <f>IF(OR(AND(AD126="Yes",COUNTIF('Trip Changes'!B:B,A126)&gt;0),AND(AD126="No",COUNTIF('Trip Changes'!B:B,A126)=0)),"OK","Check")</f>
        <v>OK</v>
      </c>
      <c r="BD126" t="str">
        <f t="shared" si="37"/>
        <v>OK</v>
      </c>
      <c r="BE126" t="str">
        <f t="shared" si="38"/>
        <v>OK</v>
      </c>
      <c r="BF126" t="str">
        <f t="shared" si="39"/>
        <v>OK</v>
      </c>
      <c r="BG126" t="str">
        <f t="shared" si="40"/>
        <v>OK</v>
      </c>
      <c r="BH126" t="str">
        <f t="shared" si="41"/>
        <v>OK</v>
      </c>
      <c r="BI126" t="str">
        <f t="shared" si="33"/>
        <v>OK</v>
      </c>
      <c r="BJ126" t="str">
        <f t="shared" si="34"/>
        <v>OK</v>
      </c>
      <c r="BK126" t="str">
        <f t="shared" si="35"/>
        <v>OK</v>
      </c>
    </row>
    <row r="127" spans="1:63">
      <c r="A127" s="16" t="s">
        <v>370</v>
      </c>
      <c r="B127" s="16" t="s">
        <v>371</v>
      </c>
      <c r="C127" s="16" t="s">
        <v>182</v>
      </c>
      <c r="D127" s="16" t="s">
        <v>230</v>
      </c>
      <c r="E127" s="16" t="s">
        <v>262</v>
      </c>
      <c r="F127" s="16" t="s">
        <v>140</v>
      </c>
      <c r="G127" s="15">
        <v>46176</v>
      </c>
      <c r="H127" s="15">
        <v>46189</v>
      </c>
      <c r="I127" s="15">
        <v>46192</v>
      </c>
      <c r="J127" s="15" t="s">
        <v>141</v>
      </c>
      <c r="K127" s="16" t="s">
        <v>182</v>
      </c>
      <c r="L127" t="s">
        <v>225</v>
      </c>
      <c r="M127" s="16" t="s">
        <v>152</v>
      </c>
      <c r="N127" s="16" t="s">
        <v>153</v>
      </c>
      <c r="O127" t="s">
        <v>1614</v>
      </c>
      <c r="P127" s="18">
        <v>3518</v>
      </c>
      <c r="Q127" s="21">
        <v>13</v>
      </c>
      <c r="R127" s="21" t="str">
        <f t="shared" si="21"/>
        <v>8-14 days</v>
      </c>
      <c r="S127" s="16" t="s">
        <v>145</v>
      </c>
      <c r="T127" s="16" t="s">
        <v>236</v>
      </c>
      <c r="U127" s="16" t="s">
        <v>164</v>
      </c>
      <c r="V127" t="str">
        <f>IF(U127="","",IFERROR(VLOOKUP(U127,Hotels!A:B,2,FALSE),"Not Found"))</f>
        <v>Marriott</v>
      </c>
      <c r="W127" s="14">
        <v>395.19</v>
      </c>
      <c r="X127" s="14">
        <v>0</v>
      </c>
      <c r="Y127" s="21">
        <v>2</v>
      </c>
      <c r="Z127" s="29">
        <f t="shared" si="22"/>
        <v>173.25</v>
      </c>
      <c r="AA127" s="14">
        <v>346.5</v>
      </c>
      <c r="AB127" s="14">
        <v>85.68</v>
      </c>
      <c r="AC127" s="14">
        <v>827.37</v>
      </c>
      <c r="AD127" s="16" t="s">
        <v>148</v>
      </c>
      <c r="AE127" s="16" t="s">
        <v>147</v>
      </c>
      <c r="AF127" s="14">
        <f>SUMIF('Trip Changes'!$B:$B,A127,'Trip Changes'!$E:$E)</f>
        <v>99.3</v>
      </c>
      <c r="AG127" s="23">
        <f>SUMIF('Trip Cancellations'!$B:$B,A127,'Trip Cancellations'!$E:$E)</f>
        <v>0</v>
      </c>
      <c r="AH127" s="14">
        <f>SUMIF('Trip Cancellations'!$B:$B,A127,'Trip Cancellations'!$F:$F)</f>
        <v>0</v>
      </c>
      <c r="AI127" s="14">
        <f t="shared" si="23"/>
        <v>926.67</v>
      </c>
      <c r="AJ127" s="14" t="str">
        <f t="shared" si="24"/>
        <v>Yes</v>
      </c>
      <c r="AK127" s="14" t="str">
        <f>IF(Y127=0,"N/A",
IF(_xlfn.XLOOKUP(U127,Hotels!A:A,Hotels!C:C)=TRUE,"Yes","No"))</f>
        <v>Yes</v>
      </c>
      <c r="AL127" s="14" t="str">
        <f>IF(N127="Rail","N/A",IF(_xlfn.XLOOKUP(T127,Airlines!A:A,Airlines!C:C)=TRUE,"Yes","No"))</f>
        <v>Yes</v>
      </c>
      <c r="AM127" s="14" t="str">
        <f t="shared" si="25"/>
        <v>Yes</v>
      </c>
      <c r="AN127" s="14" t="str">
        <f t="shared" si="26"/>
        <v>Yes</v>
      </c>
      <c r="AO127" s="14" t="str">
        <f t="shared" si="27"/>
        <v>Yes</v>
      </c>
      <c r="AP127" s="16" t="s">
        <v>148</v>
      </c>
      <c r="AQ127" t="str">
        <f t="shared" si="28"/>
        <v>Yes</v>
      </c>
      <c r="AR127" s="21">
        <v>5</v>
      </c>
      <c r="AS127" s="5">
        <v>527.70000000000005</v>
      </c>
      <c r="AT127" s="5" t="str">
        <f>IF(T127="","",_xlfn.XLOOKUP(T127,Airlines!A:A,Airlines!B:B,"Not Found"))</f>
        <v>KLM</v>
      </c>
      <c r="AU127" s="5" t="str">
        <f>IF(U127="","",_xlfn.XLOOKUP(U127,Hotels!A:A,Hotels!B:B,"Not found"))</f>
        <v>Marriott</v>
      </c>
      <c r="AV127" t="s">
        <v>147</v>
      </c>
      <c r="AW127" s="16" t="str">
        <f t="shared" si="29"/>
        <v>OK</v>
      </c>
      <c r="AX127" s="16" t="str">
        <f t="shared" si="30"/>
        <v>OK</v>
      </c>
      <c r="AY127" s="16" t="str">
        <f t="shared" si="31"/>
        <v>OK</v>
      </c>
      <c r="AZ127" s="16" t="str">
        <f t="shared" si="32"/>
        <v>OK</v>
      </c>
      <c r="BA127" s="16" t="str">
        <f t="shared" si="36"/>
        <v>OK</v>
      </c>
      <c r="BB127" s="21">
        <f>COUNTIF('Trip Changes'!B:B,A127)</f>
        <v>1</v>
      </c>
      <c r="BC127" s="16" t="str">
        <f>IF(OR(AND(AD127="Yes",COUNTIF('Trip Changes'!B:B,A127)&gt;0),AND(AD127="No",COUNTIF('Trip Changes'!B:B,A127)=0)),"OK","Check")</f>
        <v>OK</v>
      </c>
      <c r="BD127" t="str">
        <f t="shared" si="37"/>
        <v>OK</v>
      </c>
      <c r="BE127" t="str">
        <f t="shared" si="38"/>
        <v>OK</v>
      </c>
      <c r="BF127" t="str">
        <f t="shared" si="39"/>
        <v>OK</v>
      </c>
      <c r="BG127" t="str">
        <f t="shared" si="40"/>
        <v>OK</v>
      </c>
      <c r="BH127" t="str">
        <f t="shared" si="41"/>
        <v>OK</v>
      </c>
      <c r="BI127" t="str">
        <f t="shared" si="33"/>
        <v>OK</v>
      </c>
      <c r="BJ127" t="str">
        <f t="shared" si="34"/>
        <v>OK</v>
      </c>
      <c r="BK127" t="str">
        <f t="shared" si="35"/>
        <v>OK</v>
      </c>
    </row>
    <row r="128" spans="1:63">
      <c r="A128" s="16" t="s">
        <v>372</v>
      </c>
      <c r="B128" s="16" t="s">
        <v>371</v>
      </c>
      <c r="C128" s="16" t="s">
        <v>182</v>
      </c>
      <c r="D128" s="16" t="s">
        <v>230</v>
      </c>
      <c r="E128" s="16" t="s">
        <v>262</v>
      </c>
      <c r="F128" s="16" t="s">
        <v>170</v>
      </c>
      <c r="G128" s="15">
        <v>46178</v>
      </c>
      <c r="H128" s="15">
        <v>46207</v>
      </c>
      <c r="I128" s="15">
        <v>46210</v>
      </c>
      <c r="J128" s="15" t="s">
        <v>150</v>
      </c>
      <c r="K128" s="16" t="s">
        <v>182</v>
      </c>
      <c r="L128" t="s">
        <v>185</v>
      </c>
      <c r="M128" s="16" t="s">
        <v>152</v>
      </c>
      <c r="N128" s="16" t="s">
        <v>153</v>
      </c>
      <c r="O128" t="s">
        <v>1631</v>
      </c>
      <c r="P128" s="18">
        <v>10804</v>
      </c>
      <c r="Q128" s="21">
        <v>29</v>
      </c>
      <c r="R128" s="21" t="str">
        <f t="shared" si="21"/>
        <v>15-30 days</v>
      </c>
      <c r="S128" s="16" t="s">
        <v>145</v>
      </c>
      <c r="T128" s="16" t="s">
        <v>186</v>
      </c>
      <c r="U128" s="16" t="s">
        <v>164</v>
      </c>
      <c r="V128" t="str">
        <f>IF(U128="","",IFERROR(VLOOKUP(U128,Hotels!A:B,2,FALSE),"Not Found"))</f>
        <v>Marriott</v>
      </c>
      <c r="W128" s="14">
        <v>547.89</v>
      </c>
      <c r="X128" s="14">
        <v>0</v>
      </c>
      <c r="Y128" s="21">
        <v>2</v>
      </c>
      <c r="Z128" s="29">
        <f t="shared" si="22"/>
        <v>164.01</v>
      </c>
      <c r="AA128" s="14">
        <v>328.02</v>
      </c>
      <c r="AB128" s="14">
        <v>61.22</v>
      </c>
      <c r="AC128" s="14">
        <v>937.13</v>
      </c>
      <c r="AD128" s="16" t="s">
        <v>147</v>
      </c>
      <c r="AE128" s="16" t="s">
        <v>147</v>
      </c>
      <c r="AF128" s="14">
        <f>SUMIF('Trip Changes'!$B:$B,A128,'Trip Changes'!$E:$E)</f>
        <v>0</v>
      </c>
      <c r="AG128" s="23">
        <f>SUMIF('Trip Cancellations'!$B:$B,A128,'Trip Cancellations'!$E:$E)</f>
        <v>0</v>
      </c>
      <c r="AH128" s="14">
        <f>SUMIF('Trip Cancellations'!$B:$B,A128,'Trip Cancellations'!$F:$F)</f>
        <v>0</v>
      </c>
      <c r="AI128" s="14">
        <f t="shared" si="23"/>
        <v>937.13</v>
      </c>
      <c r="AJ128" s="14" t="str">
        <f t="shared" si="24"/>
        <v>Yes</v>
      </c>
      <c r="AK128" s="14" t="str">
        <f>IF(Y128=0,"N/A",
IF(_xlfn.XLOOKUP(U128,Hotels!A:A,Hotels!C:C)=TRUE,"Yes","No"))</f>
        <v>Yes</v>
      </c>
      <c r="AL128" s="14" t="str">
        <f>IF(N128="Rail","N/A",IF(_xlfn.XLOOKUP(T128,Airlines!A:A,Airlines!C:C)=TRUE,"Yes","No"))</f>
        <v>Yes</v>
      </c>
      <c r="AM128" s="14" t="str">
        <f t="shared" si="25"/>
        <v>No</v>
      </c>
      <c r="AN128" s="14" t="str">
        <f t="shared" si="26"/>
        <v>Yes</v>
      </c>
      <c r="AO128" s="14" t="str">
        <f t="shared" si="27"/>
        <v>Yes</v>
      </c>
      <c r="AP128" s="16" t="s">
        <v>148</v>
      </c>
      <c r="AQ128" t="str">
        <f t="shared" si="28"/>
        <v>No</v>
      </c>
      <c r="AR128" s="21">
        <v>5</v>
      </c>
      <c r="AS128" s="5">
        <v>1620.6</v>
      </c>
      <c r="AT128" s="5" t="str">
        <f>IF(T128="","",_xlfn.XLOOKUP(T128,Airlines!A:A,Airlines!B:B,"Not Found"))</f>
        <v>Virgin Atlantic</v>
      </c>
      <c r="AU128" s="5" t="str">
        <f>IF(U128="","",_xlfn.XLOOKUP(U128,Hotels!A:A,Hotels!B:B,"Not found"))</f>
        <v>Marriott</v>
      </c>
      <c r="AV128" t="s">
        <v>147</v>
      </c>
      <c r="AW128" s="16" t="str">
        <f t="shared" si="29"/>
        <v>OK</v>
      </c>
      <c r="AX128" s="16" t="str">
        <f t="shared" si="30"/>
        <v>OK</v>
      </c>
      <c r="AY128" s="16" t="str">
        <f t="shared" si="31"/>
        <v>OK</v>
      </c>
      <c r="AZ128" s="16" t="str">
        <f t="shared" si="32"/>
        <v>OK</v>
      </c>
      <c r="BA128" s="16" t="str">
        <f t="shared" si="36"/>
        <v>OK</v>
      </c>
      <c r="BB128" s="21">
        <f>COUNTIF('Trip Changes'!B:B,A128)</f>
        <v>0</v>
      </c>
      <c r="BC128" s="16" t="str">
        <f>IF(OR(AND(AD128="Yes",COUNTIF('Trip Changes'!B:B,A128)&gt;0),AND(AD128="No",COUNTIF('Trip Changes'!B:B,A128)=0)),"OK","Check")</f>
        <v>OK</v>
      </c>
      <c r="BD128" t="str">
        <f t="shared" si="37"/>
        <v>OK</v>
      </c>
      <c r="BE128" t="str">
        <f t="shared" si="38"/>
        <v>OK</v>
      </c>
      <c r="BF128" t="str">
        <f t="shared" si="39"/>
        <v>OK</v>
      </c>
      <c r="BG128" t="str">
        <f t="shared" si="40"/>
        <v>OK</v>
      </c>
      <c r="BH128" t="str">
        <f t="shared" si="41"/>
        <v>OK</v>
      </c>
      <c r="BI128" t="str">
        <f t="shared" si="33"/>
        <v>OK</v>
      </c>
      <c r="BJ128" t="str">
        <f t="shared" si="34"/>
        <v>OK</v>
      </c>
      <c r="BK128" t="str">
        <f t="shared" si="35"/>
        <v>OK</v>
      </c>
    </row>
    <row r="129" spans="1:63">
      <c r="A129" s="16" t="s">
        <v>373</v>
      </c>
      <c r="B129" s="16" t="s">
        <v>371</v>
      </c>
      <c r="C129" s="16" t="s">
        <v>182</v>
      </c>
      <c r="D129" s="16" t="s">
        <v>230</v>
      </c>
      <c r="E129" s="16" t="s">
        <v>262</v>
      </c>
      <c r="F129" s="16" t="s">
        <v>140</v>
      </c>
      <c r="G129" s="15">
        <v>46148</v>
      </c>
      <c r="H129" s="15">
        <v>46171</v>
      </c>
      <c r="I129" s="15">
        <v>46174</v>
      </c>
      <c r="J129" s="15" t="s">
        <v>163</v>
      </c>
      <c r="K129" s="16" t="s">
        <v>182</v>
      </c>
      <c r="L129" t="s">
        <v>225</v>
      </c>
      <c r="M129" s="16" t="s">
        <v>152</v>
      </c>
      <c r="N129" s="16" t="s">
        <v>153</v>
      </c>
      <c r="O129" t="s">
        <v>1614</v>
      </c>
      <c r="P129" s="18">
        <v>1192</v>
      </c>
      <c r="Q129" s="21">
        <v>23</v>
      </c>
      <c r="R129" s="21" t="str">
        <f t="shared" si="21"/>
        <v>15-30 days</v>
      </c>
      <c r="S129" s="16" t="s">
        <v>145</v>
      </c>
      <c r="T129" s="16" t="s">
        <v>236</v>
      </c>
      <c r="U129" s="16" t="s">
        <v>155</v>
      </c>
      <c r="V129" t="str">
        <f>IF(U129="","",IFERROR(VLOOKUP(U129,Hotels!A:B,2,FALSE),"Not Found"))</f>
        <v>Hilton</v>
      </c>
      <c r="W129" s="14">
        <v>599.79999999999995</v>
      </c>
      <c r="X129" s="14">
        <v>0</v>
      </c>
      <c r="Y129" s="21">
        <v>2</v>
      </c>
      <c r="Z129" s="29">
        <f t="shared" si="22"/>
        <v>162.87</v>
      </c>
      <c r="AA129" s="14">
        <v>325.74</v>
      </c>
      <c r="AB129" s="14">
        <v>51.84</v>
      </c>
      <c r="AC129" s="14">
        <v>977.38</v>
      </c>
      <c r="AD129" s="16" t="s">
        <v>147</v>
      </c>
      <c r="AE129" s="16" t="s">
        <v>147</v>
      </c>
      <c r="AF129" s="14">
        <f>SUMIF('Trip Changes'!$B:$B,A129,'Trip Changes'!$E:$E)</f>
        <v>0</v>
      </c>
      <c r="AG129" s="23">
        <f>SUMIF('Trip Cancellations'!$B:$B,A129,'Trip Cancellations'!$E:$E)</f>
        <v>0</v>
      </c>
      <c r="AH129" s="14">
        <f>SUMIF('Trip Cancellations'!$B:$B,A129,'Trip Cancellations'!$F:$F)</f>
        <v>0</v>
      </c>
      <c r="AI129" s="14">
        <f t="shared" si="23"/>
        <v>977.38</v>
      </c>
      <c r="AJ129" s="14" t="str">
        <f t="shared" si="24"/>
        <v>Yes</v>
      </c>
      <c r="AK129" s="14" t="str">
        <f>IF(Y129=0,"N/A",
IF(_xlfn.XLOOKUP(U129,Hotels!A:A,Hotels!C:C)=TRUE,"Yes","No"))</f>
        <v>Yes</v>
      </c>
      <c r="AL129" s="14" t="str">
        <f>IF(N129="Rail","N/A",IF(_xlfn.XLOOKUP(T129,Airlines!A:A,Airlines!C:C)=TRUE,"Yes","No"))</f>
        <v>Yes</v>
      </c>
      <c r="AM129" s="14" t="str">
        <f t="shared" si="25"/>
        <v>Yes</v>
      </c>
      <c r="AN129" s="14" t="str">
        <f t="shared" si="26"/>
        <v>Yes</v>
      </c>
      <c r="AO129" s="14" t="str">
        <f t="shared" si="27"/>
        <v>Yes</v>
      </c>
      <c r="AP129" s="16" t="s">
        <v>148</v>
      </c>
      <c r="AQ129" t="str">
        <f t="shared" si="28"/>
        <v>Yes</v>
      </c>
      <c r="AR129" s="21">
        <v>4</v>
      </c>
      <c r="AS129" s="5">
        <v>178.8</v>
      </c>
      <c r="AT129" s="5" t="str">
        <f>IF(T129="","",_xlfn.XLOOKUP(T129,Airlines!A:A,Airlines!B:B,"Not Found"))</f>
        <v>KLM</v>
      </c>
      <c r="AU129" s="5" t="str">
        <f>IF(U129="","",_xlfn.XLOOKUP(U129,Hotels!A:A,Hotels!B:B,"Not found"))</f>
        <v>Hilton</v>
      </c>
      <c r="AV129" t="s">
        <v>147</v>
      </c>
      <c r="AW129" s="16" t="str">
        <f t="shared" si="29"/>
        <v>OK</v>
      </c>
      <c r="AX129" s="16" t="str">
        <f t="shared" si="30"/>
        <v>OK</v>
      </c>
      <c r="AY129" s="16" t="str">
        <f t="shared" si="31"/>
        <v>OK</v>
      </c>
      <c r="AZ129" s="16" t="str">
        <f t="shared" si="32"/>
        <v>OK</v>
      </c>
      <c r="BA129" s="16" t="str">
        <f t="shared" si="36"/>
        <v>OK</v>
      </c>
      <c r="BB129" s="21">
        <f>COUNTIF('Trip Changes'!B:B,A129)</f>
        <v>0</v>
      </c>
      <c r="BC129" s="16" t="str">
        <f>IF(OR(AND(AD129="Yes",COUNTIF('Trip Changes'!B:B,A129)&gt;0),AND(AD129="No",COUNTIF('Trip Changes'!B:B,A129)=0)),"OK","Check")</f>
        <v>OK</v>
      </c>
      <c r="BD129" t="str">
        <f t="shared" si="37"/>
        <v>OK</v>
      </c>
      <c r="BE129" t="str">
        <f t="shared" si="38"/>
        <v>OK</v>
      </c>
      <c r="BF129" t="str">
        <f t="shared" si="39"/>
        <v>OK</v>
      </c>
      <c r="BG129" t="str">
        <f t="shared" si="40"/>
        <v>OK</v>
      </c>
      <c r="BH129" t="str">
        <f t="shared" si="41"/>
        <v>OK</v>
      </c>
      <c r="BI129" t="str">
        <f t="shared" si="33"/>
        <v>OK</v>
      </c>
      <c r="BJ129" t="str">
        <f t="shared" si="34"/>
        <v>OK</v>
      </c>
      <c r="BK129" t="str">
        <f t="shared" si="35"/>
        <v>OK</v>
      </c>
    </row>
    <row r="130" spans="1:63">
      <c r="A130" s="16" t="s">
        <v>374</v>
      </c>
      <c r="B130" s="16" t="s">
        <v>371</v>
      </c>
      <c r="C130" s="16" t="s">
        <v>182</v>
      </c>
      <c r="D130" s="16" t="s">
        <v>230</v>
      </c>
      <c r="E130" s="16" t="s">
        <v>262</v>
      </c>
      <c r="F130" s="16" t="s">
        <v>178</v>
      </c>
      <c r="G130" s="15">
        <v>46158</v>
      </c>
      <c r="H130" s="15">
        <v>46172</v>
      </c>
      <c r="I130" s="15">
        <v>46176</v>
      </c>
      <c r="J130" s="15" t="s">
        <v>163</v>
      </c>
      <c r="K130" s="16" t="s">
        <v>182</v>
      </c>
      <c r="L130" t="s">
        <v>171</v>
      </c>
      <c r="M130" s="16" t="s">
        <v>152</v>
      </c>
      <c r="N130" s="16" t="s">
        <v>153</v>
      </c>
      <c r="O130" t="s">
        <v>1614</v>
      </c>
      <c r="P130" s="18">
        <v>2968</v>
      </c>
      <c r="Q130" s="21">
        <v>14</v>
      </c>
      <c r="R130" s="21" t="str">
        <f t="shared" ref="R130:R193" si="42">IF(Q130&lt;=3,"0-3 days",IF(Q130&lt;=7,"4-7 days",IF(Q130&lt;=14,"8-14 days",IF(Q130&lt;=30,"15-30 days","31+ days"))))</f>
        <v>8-14 days</v>
      </c>
      <c r="S130" s="16" t="s">
        <v>145</v>
      </c>
      <c r="T130" s="16" t="s">
        <v>154</v>
      </c>
      <c r="U130" s="16" t="s">
        <v>187</v>
      </c>
      <c r="V130" t="str">
        <f>IF(U130="","",IFERROR(VLOOKUP(U130,Hotels!A:B,2,FALSE),"Not Found"))</f>
        <v>IHG Hotels &amp; Resorts</v>
      </c>
      <c r="W130" s="14">
        <v>274.93</v>
      </c>
      <c r="X130" s="14">
        <v>0</v>
      </c>
      <c r="Y130" s="21">
        <v>3</v>
      </c>
      <c r="Z130" s="29">
        <f t="shared" ref="Z130:Z193" si="43">IF(Y130&gt;0,AA130/Y130,0)</f>
        <v>188.67999999999998</v>
      </c>
      <c r="AA130" s="14">
        <v>566.04</v>
      </c>
      <c r="AB130" s="14">
        <v>137.52000000000001</v>
      </c>
      <c r="AC130" s="14">
        <v>978.49</v>
      </c>
      <c r="AD130" s="16" t="s">
        <v>147</v>
      </c>
      <c r="AE130" s="16" t="s">
        <v>147</v>
      </c>
      <c r="AF130" s="14">
        <f>SUMIF('Trip Changes'!$B:$B,A130,'Trip Changes'!$E:$E)</f>
        <v>0</v>
      </c>
      <c r="AG130" s="23">
        <f>SUMIF('Trip Cancellations'!$B:$B,A130,'Trip Cancellations'!$E:$E)</f>
        <v>0</v>
      </c>
      <c r="AH130" s="14">
        <f>SUMIF('Trip Cancellations'!$B:$B,A130,'Trip Cancellations'!$F:$F)</f>
        <v>0</v>
      </c>
      <c r="AI130" s="14">
        <f t="shared" ref="AI130:AI193" si="44">AC130+AF130+AG130-AH130</f>
        <v>978.49</v>
      </c>
      <c r="AJ130" s="14" t="str">
        <f t="shared" ref="AJ130:AJ193" si="45">IF(Y130=0,"N/A",
IF(OR(L130="London",L130="Manchester",L130="Birmingham",L130="Edinburgh",L130="Glasgow",
L130="New York",L130="Boston",L130="Chicago",L130="Zurich",L130="Singapore",L130="Hong Kong",L130="Dubai"),
IF(Z130&lt;=220,"Yes","No"),
IF(Z130&lt;=180,"Yes","No")))</f>
        <v>No</v>
      </c>
      <c r="AK130" s="14" t="str">
        <f>IF(Y130=0,"N/A",
IF(_xlfn.XLOOKUP(U130,Hotels!A:A,Hotels!C:C)=TRUE,"Yes","No"))</f>
        <v>Yes</v>
      </c>
      <c r="AL130" s="14" t="str">
        <f>IF(N130="Rail","N/A",IF(_xlfn.XLOOKUP(T130,Airlines!A:A,Airlines!C:C)=TRUE,"Yes","No"))</f>
        <v>Yes</v>
      </c>
      <c r="AM130" s="14" t="str">
        <f t="shared" ref="AM130:AM193" si="46">IF(OR(
AND(N130="Air",O130="Economy"),
AND(N130="Rail",O130="Standard / 2nd Class")
),"Yes","No")</f>
        <v>Yes</v>
      </c>
      <c r="AN130" s="14" t="str">
        <f t="shared" ref="AN130:AN193" si="47">IF(OR(S130="Online Booking Tool",S130="TMC Assisted"),"Yes","No")</f>
        <v>Yes</v>
      </c>
      <c r="AO130" s="14" t="str">
        <f t="shared" ref="AO130:AO193" si="48">IF(AND(OR(AK130="Yes",AK130="N/A"),OR(AL130="Yes",AL130="N/A")),"Yes","No")</f>
        <v>Yes</v>
      </c>
      <c r="AP130" s="16" t="s">
        <v>148</v>
      </c>
      <c r="AQ130" t="str">
        <f t="shared" ref="AQ130:AQ193" si="49">IF(AND(OR(AJ130="Yes",AJ130="N/A"),OR(AK130="Yes",AK130="N/A"),OR(AL130="Yes",AL130="N/A"),AM130="Yes",AN130="Yes"),"Yes","No")</f>
        <v>No</v>
      </c>
      <c r="AR130" s="21">
        <v>5</v>
      </c>
      <c r="AS130" s="5">
        <v>445.2</v>
      </c>
      <c r="AT130" s="5" t="str">
        <f>IF(T130="","",_xlfn.XLOOKUP(T130,Airlines!A:A,Airlines!B:B,"Not Found"))</f>
        <v>British Airways</v>
      </c>
      <c r="AU130" s="5" t="str">
        <f>IF(U130="","",_xlfn.XLOOKUP(U130,Hotels!A:A,Hotels!B:B,"Not found"))</f>
        <v>IHG Hotels &amp; Resorts</v>
      </c>
      <c r="AV130" t="s">
        <v>148</v>
      </c>
      <c r="AW130" s="16" t="str">
        <f t="shared" ref="AW130:AW193" si="50">IF(OR(A130="",B130="",G130="",H130="",I130="",K130="",L130="",M130="",N130="",S130="",AC130="",AI130=""),"Check","OK")</f>
        <v>OK</v>
      </c>
      <c r="AX130" s="16" t="str">
        <f t="shared" ref="AX130:AX193" si="51">IF(AND(G130&lt;=H130, H130&lt;=I130),"OK","CHECK")</f>
        <v>OK</v>
      </c>
      <c r="AY130" s="16" t="str">
        <f t="shared" ref="AY130:AY193" si="52">IF(Q130=H130-G130,"OK","Check")</f>
        <v>OK</v>
      </c>
      <c r="AZ130" s="16" t="str">
        <f t="shared" ref="AZ130:AZ193" si="53">IF(ROUND(W130+X130+AA130+AB130,2)=ROUND(AC130,2),"OK","Check")</f>
        <v>OK</v>
      </c>
      <c r="BA130" s="16" t="str">
        <f t="shared" si="36"/>
        <v>OK</v>
      </c>
      <c r="BB130" s="21">
        <f>COUNTIF('Trip Changes'!B:B,A130)</f>
        <v>0</v>
      </c>
      <c r="BC130" s="16" t="str">
        <f>IF(OR(AND(AD130="Yes",COUNTIF('Trip Changes'!B:B,A130)&gt;0),AND(AD130="No",COUNTIF('Trip Changes'!B:B,A130)=0)),"OK","Check")</f>
        <v>OK</v>
      </c>
      <c r="BD130" t="str">
        <f t="shared" si="37"/>
        <v>OK</v>
      </c>
      <c r="BE130" t="str">
        <f t="shared" si="38"/>
        <v>OK</v>
      </c>
      <c r="BF130" t="str">
        <f t="shared" si="39"/>
        <v>OK</v>
      </c>
      <c r="BG130" t="str">
        <f t="shared" si="40"/>
        <v>OK</v>
      </c>
      <c r="BH130" t="str">
        <f t="shared" si="41"/>
        <v>OK</v>
      </c>
      <c r="BI130" t="str">
        <f t="shared" ref="BI130:BI193" si="54">IF(OR(N130="Air",N130="Rail"),"OK","Check")</f>
        <v>OK</v>
      </c>
      <c r="BJ130" t="str">
        <f t="shared" ref="BJ130:BJ193" si="55">IF(OR(M130="Domestic",M130="International"),"OK","Check")</f>
        <v>OK</v>
      </c>
      <c r="BK130" t="str">
        <f t="shared" ref="BK130:BK193" si="56">IF(OR(S130="Online Booking Tool",S130="TMC Assisted",S130="Direct Supplier",S130="Other"),"OK","Check")</f>
        <v>OK</v>
      </c>
    </row>
    <row r="131" spans="1:63">
      <c r="A131" s="16" t="s">
        <v>375</v>
      </c>
      <c r="B131" s="16" t="s">
        <v>376</v>
      </c>
      <c r="C131" s="16" t="s">
        <v>182</v>
      </c>
      <c r="D131" s="16" t="s">
        <v>194</v>
      </c>
      <c r="E131" s="16" t="s">
        <v>139</v>
      </c>
      <c r="F131" s="16" t="s">
        <v>181</v>
      </c>
      <c r="G131" s="15">
        <v>46170</v>
      </c>
      <c r="H131" s="15">
        <v>46173</v>
      </c>
      <c r="I131" s="15">
        <v>46178</v>
      </c>
      <c r="J131" s="15" t="s">
        <v>163</v>
      </c>
      <c r="K131" s="16" t="s">
        <v>182</v>
      </c>
      <c r="L131" t="s">
        <v>233</v>
      </c>
      <c r="M131" s="16" t="s">
        <v>152</v>
      </c>
      <c r="N131" s="16" t="s">
        <v>153</v>
      </c>
      <c r="O131" t="s">
        <v>1614</v>
      </c>
      <c r="P131" s="18">
        <v>3218</v>
      </c>
      <c r="Q131" s="21">
        <v>3</v>
      </c>
      <c r="R131" s="21" t="str">
        <f t="shared" si="42"/>
        <v>0-3 days</v>
      </c>
      <c r="S131" s="16" t="s">
        <v>145</v>
      </c>
      <c r="T131" s="16" t="s">
        <v>160</v>
      </c>
      <c r="U131" s="16" t="s">
        <v>187</v>
      </c>
      <c r="V131" t="str">
        <f>IF(U131="","",IFERROR(VLOOKUP(U131,Hotels!A:B,2,FALSE),"Not Found"))</f>
        <v>IHG Hotels &amp; Resorts</v>
      </c>
      <c r="W131" s="14">
        <v>435.97</v>
      </c>
      <c r="X131" s="14">
        <v>0</v>
      </c>
      <c r="Y131" s="21">
        <v>4</v>
      </c>
      <c r="Z131" s="29">
        <f t="shared" si="43"/>
        <v>182.1525</v>
      </c>
      <c r="AA131" s="14">
        <v>728.61</v>
      </c>
      <c r="AB131" s="14">
        <v>52.06</v>
      </c>
      <c r="AC131" s="14">
        <v>1216.6400000000001</v>
      </c>
      <c r="AD131" s="16" t="s">
        <v>148</v>
      </c>
      <c r="AE131" s="16" t="s">
        <v>147</v>
      </c>
      <c r="AF131" s="14">
        <f>SUMIF('Trip Changes'!$B:$B,A131,'Trip Changes'!$E:$E)</f>
        <v>26.56</v>
      </c>
      <c r="AG131" s="23">
        <f>SUMIF('Trip Cancellations'!$B:$B,A131,'Trip Cancellations'!$E:$E)</f>
        <v>0</v>
      </c>
      <c r="AH131" s="14">
        <f>SUMIF('Trip Cancellations'!$B:$B,A131,'Trip Cancellations'!$F:$F)</f>
        <v>0</v>
      </c>
      <c r="AI131" s="14">
        <f t="shared" si="44"/>
        <v>1243.2</v>
      </c>
      <c r="AJ131" s="14" t="str">
        <f t="shared" si="45"/>
        <v>No</v>
      </c>
      <c r="AK131" s="14" t="str">
        <f>IF(Y131=0,"N/A",
IF(_xlfn.XLOOKUP(U131,Hotels!A:A,Hotels!C:C)=TRUE,"Yes","No"))</f>
        <v>Yes</v>
      </c>
      <c r="AL131" s="14" t="str">
        <f>IF(N131="Rail","N/A",IF(_xlfn.XLOOKUP(T131,Airlines!A:A,Airlines!C:C)=TRUE,"Yes","No"))</f>
        <v>Yes</v>
      </c>
      <c r="AM131" s="14" t="str">
        <f t="shared" si="46"/>
        <v>Yes</v>
      </c>
      <c r="AN131" s="14" t="str">
        <f t="shared" si="47"/>
        <v>Yes</v>
      </c>
      <c r="AO131" s="14" t="str">
        <f t="shared" si="48"/>
        <v>Yes</v>
      </c>
      <c r="AP131" s="16" t="s">
        <v>148</v>
      </c>
      <c r="AQ131" t="str">
        <f t="shared" si="49"/>
        <v>No</v>
      </c>
      <c r="AR131" s="21">
        <v>4</v>
      </c>
      <c r="AS131" s="5">
        <v>482.7</v>
      </c>
      <c r="AT131" s="5" t="str">
        <f>IF(T131="","",_xlfn.XLOOKUP(T131,Airlines!A:A,Airlines!B:B,"Not Found"))</f>
        <v>Air France</v>
      </c>
      <c r="AU131" s="5" t="str">
        <f>IF(U131="","",_xlfn.XLOOKUP(U131,Hotels!A:A,Hotels!B:B,"Not found"))</f>
        <v>IHG Hotels &amp; Resorts</v>
      </c>
      <c r="AV131" t="s">
        <v>147</v>
      </c>
      <c r="AW131" s="16" t="str">
        <f t="shared" si="50"/>
        <v>OK</v>
      </c>
      <c r="AX131" s="16" t="str">
        <f t="shared" si="51"/>
        <v>OK</v>
      </c>
      <c r="AY131" s="16" t="str">
        <f t="shared" si="52"/>
        <v>OK</v>
      </c>
      <c r="AZ131" s="16" t="str">
        <f t="shared" si="53"/>
        <v>OK</v>
      </c>
      <c r="BA131" s="16" t="str">
        <f t="shared" ref="BA131:BA194" si="57">IF(ROUND(AC131+AF131+AG131-AH131,2)=ROUND(AI131,2),"OK","Check")</f>
        <v>OK</v>
      </c>
      <c r="BB131" s="21">
        <f>COUNTIF('Trip Changes'!B:B,A131)</f>
        <v>1</v>
      </c>
      <c r="BC131" s="16" t="str">
        <f>IF(OR(AND(AD131="Yes",COUNTIF('Trip Changes'!B:B,A131)&gt;0),AND(AD131="No",COUNTIF('Trip Changes'!B:B,A131)=0)),"OK","Check")</f>
        <v>OK</v>
      </c>
      <c r="BD131" t="str">
        <f t="shared" ref="BD131:BD194" si="58">IF(OR(AD131="Yes",AD131="No"),"OK","Check")</f>
        <v>OK</v>
      </c>
      <c r="BE131" t="str">
        <f t="shared" ref="BE131:BE194" si="59">IF(OR(AE131="Yes",AE131="No"),"OK","Check")</f>
        <v>OK</v>
      </c>
      <c r="BF131" t="str">
        <f t="shared" ref="BF131:BF194" si="60">IF(OR(AP131="Yes",AP131="No"),"OK","Check")</f>
        <v>OK</v>
      </c>
      <c r="BG131" t="str">
        <f t="shared" ref="BG131:BG194" si="61">IF(OR(AV131="Yes",AV131="No"),"OK","Check")</f>
        <v>OK</v>
      </c>
      <c r="BH131" t="str">
        <f t="shared" ref="BH131:BH194" si="62">IF(AND(ISNUMBER(AR131),AR131&gt;=1,AR131&lt;=5),"OK","Check")</f>
        <v>OK</v>
      </c>
      <c r="BI131" t="str">
        <f t="shared" si="54"/>
        <v>OK</v>
      </c>
      <c r="BJ131" t="str">
        <f t="shared" si="55"/>
        <v>OK</v>
      </c>
      <c r="BK131" t="str">
        <f t="shared" si="56"/>
        <v>OK</v>
      </c>
    </row>
    <row r="132" spans="1:63">
      <c r="A132" s="16" t="s">
        <v>377</v>
      </c>
      <c r="B132" s="16" t="s">
        <v>376</v>
      </c>
      <c r="C132" s="16" t="s">
        <v>182</v>
      </c>
      <c r="D132" s="16" t="s">
        <v>194</v>
      </c>
      <c r="E132" s="16" t="s">
        <v>139</v>
      </c>
      <c r="F132" s="16" t="s">
        <v>170</v>
      </c>
      <c r="G132" s="15">
        <v>46179</v>
      </c>
      <c r="H132" s="15">
        <v>46194</v>
      </c>
      <c r="I132" s="15">
        <v>46196</v>
      </c>
      <c r="J132" s="15" t="s">
        <v>141</v>
      </c>
      <c r="K132" s="16" t="s">
        <v>182</v>
      </c>
      <c r="L132" t="s">
        <v>199</v>
      </c>
      <c r="M132" s="16" t="s">
        <v>152</v>
      </c>
      <c r="N132" s="16" t="s">
        <v>153</v>
      </c>
      <c r="O132" t="s">
        <v>1614</v>
      </c>
      <c r="P132" s="18">
        <v>2924</v>
      </c>
      <c r="Q132" s="21">
        <v>15</v>
      </c>
      <c r="R132" s="21" t="str">
        <f t="shared" si="42"/>
        <v>15-30 days</v>
      </c>
      <c r="S132" s="16" t="s">
        <v>145</v>
      </c>
      <c r="T132" s="16" t="s">
        <v>291</v>
      </c>
      <c r="U132" s="16" t="s">
        <v>155</v>
      </c>
      <c r="V132" t="str">
        <f>IF(U132="","",IFERROR(VLOOKUP(U132,Hotels!A:B,2,FALSE),"Not Found"))</f>
        <v>Hilton</v>
      </c>
      <c r="W132" s="14">
        <v>250.97</v>
      </c>
      <c r="X132" s="14">
        <v>0</v>
      </c>
      <c r="Y132" s="21">
        <v>1</v>
      </c>
      <c r="Z132" s="29">
        <f t="shared" si="43"/>
        <v>237.87</v>
      </c>
      <c r="AA132" s="14">
        <v>237.87</v>
      </c>
      <c r="AB132" s="14">
        <v>68.73</v>
      </c>
      <c r="AC132" s="14">
        <v>557.57000000000005</v>
      </c>
      <c r="AD132" s="16" t="s">
        <v>148</v>
      </c>
      <c r="AE132" s="16" t="s">
        <v>147</v>
      </c>
      <c r="AF132" s="14">
        <f>SUMIF('Trip Changes'!$B:$B,A132,'Trip Changes'!$E:$E)</f>
        <v>101.1</v>
      </c>
      <c r="AG132" s="23">
        <f>SUMIF('Trip Cancellations'!$B:$B,A132,'Trip Cancellations'!$E:$E)</f>
        <v>0</v>
      </c>
      <c r="AH132" s="14">
        <f>SUMIF('Trip Cancellations'!$B:$B,A132,'Trip Cancellations'!$F:$F)</f>
        <v>0</v>
      </c>
      <c r="AI132" s="14">
        <f t="shared" si="44"/>
        <v>658.67000000000007</v>
      </c>
      <c r="AJ132" s="14" t="str">
        <f t="shared" si="45"/>
        <v>No</v>
      </c>
      <c r="AK132" s="14" t="str">
        <f>IF(Y132=0,"N/A",
IF(_xlfn.XLOOKUP(U132,Hotels!A:A,Hotels!C:C)=TRUE,"Yes","No"))</f>
        <v>Yes</v>
      </c>
      <c r="AL132" s="14" t="str">
        <f>IF(N132="Rail","N/A",IF(_xlfn.XLOOKUP(T132,Airlines!A:A,Airlines!C:C)=TRUE,"Yes","No"))</f>
        <v>No</v>
      </c>
      <c r="AM132" s="14" t="str">
        <f t="shared" si="46"/>
        <v>Yes</v>
      </c>
      <c r="AN132" s="14" t="str">
        <f t="shared" si="47"/>
        <v>Yes</v>
      </c>
      <c r="AO132" s="14" t="str">
        <f t="shared" si="48"/>
        <v>No</v>
      </c>
      <c r="AP132" s="16" t="s">
        <v>148</v>
      </c>
      <c r="AQ132" t="str">
        <f t="shared" si="49"/>
        <v>No</v>
      </c>
      <c r="AR132" s="21">
        <v>4</v>
      </c>
      <c r="AS132" s="5">
        <v>438.6</v>
      </c>
      <c r="AT132" s="5" t="str">
        <f>IF(T132="","",_xlfn.XLOOKUP(T132,Airlines!A:A,Airlines!B:B,"Not Found"))</f>
        <v>Ryanair</v>
      </c>
      <c r="AU132" s="5" t="str">
        <f>IF(U132="","",_xlfn.XLOOKUP(U132,Hotels!A:A,Hotels!B:B,"Not found"))</f>
        <v>Hilton</v>
      </c>
      <c r="AV132" t="s">
        <v>147</v>
      </c>
      <c r="AW132" s="16" t="str">
        <f t="shared" si="50"/>
        <v>OK</v>
      </c>
      <c r="AX132" s="16" t="str">
        <f t="shared" si="51"/>
        <v>OK</v>
      </c>
      <c r="AY132" s="16" t="str">
        <f t="shared" si="52"/>
        <v>OK</v>
      </c>
      <c r="AZ132" s="16" t="str">
        <f t="shared" si="53"/>
        <v>OK</v>
      </c>
      <c r="BA132" s="16" t="str">
        <f t="shared" si="57"/>
        <v>OK</v>
      </c>
      <c r="BB132" s="21">
        <f>COUNTIF('Trip Changes'!B:B,A132)</f>
        <v>1</v>
      </c>
      <c r="BC132" s="16" t="str">
        <f>IF(OR(AND(AD132="Yes",COUNTIF('Trip Changes'!B:B,A132)&gt;0),AND(AD132="No",COUNTIF('Trip Changes'!B:B,A132)=0)),"OK","Check")</f>
        <v>OK</v>
      </c>
      <c r="BD132" t="str">
        <f t="shared" si="58"/>
        <v>OK</v>
      </c>
      <c r="BE132" t="str">
        <f t="shared" si="59"/>
        <v>OK</v>
      </c>
      <c r="BF132" t="str">
        <f t="shared" si="60"/>
        <v>OK</v>
      </c>
      <c r="BG132" t="str">
        <f t="shared" si="61"/>
        <v>OK</v>
      </c>
      <c r="BH132" t="str">
        <f t="shared" si="62"/>
        <v>OK</v>
      </c>
      <c r="BI132" t="str">
        <f t="shared" si="54"/>
        <v>OK</v>
      </c>
      <c r="BJ132" t="str">
        <f t="shared" si="55"/>
        <v>OK</v>
      </c>
      <c r="BK132" t="str">
        <f t="shared" si="56"/>
        <v>OK</v>
      </c>
    </row>
    <row r="133" spans="1:63">
      <c r="A133" s="16" t="s">
        <v>378</v>
      </c>
      <c r="B133" s="16" t="s">
        <v>376</v>
      </c>
      <c r="C133" s="16" t="s">
        <v>182</v>
      </c>
      <c r="D133" s="16" t="s">
        <v>194</v>
      </c>
      <c r="E133" s="16" t="s">
        <v>139</v>
      </c>
      <c r="F133" s="16" t="s">
        <v>157</v>
      </c>
      <c r="G133" s="15">
        <v>46138</v>
      </c>
      <c r="H133" s="15">
        <v>46147</v>
      </c>
      <c r="I133" s="15">
        <v>46149</v>
      </c>
      <c r="J133" s="15" t="s">
        <v>163</v>
      </c>
      <c r="K133" s="16" t="s">
        <v>182</v>
      </c>
      <c r="L133" t="s">
        <v>227</v>
      </c>
      <c r="M133" s="16" t="s">
        <v>152</v>
      </c>
      <c r="N133" s="16" t="s">
        <v>153</v>
      </c>
      <c r="O133" t="s">
        <v>1614</v>
      </c>
      <c r="P133" s="18">
        <v>2742</v>
      </c>
      <c r="Q133" s="21">
        <v>9</v>
      </c>
      <c r="R133" s="21" t="str">
        <f t="shared" si="42"/>
        <v>8-14 days</v>
      </c>
      <c r="S133" s="16" t="s">
        <v>145</v>
      </c>
      <c r="T133" s="16" t="s">
        <v>172</v>
      </c>
      <c r="U133" s="16" t="s">
        <v>173</v>
      </c>
      <c r="V133" t="str">
        <f>IF(U133="","",IFERROR(VLOOKUP(U133,Hotels!A:B,2,FALSE),"Not Found"))</f>
        <v>Accor</v>
      </c>
      <c r="W133" s="14">
        <v>417.84</v>
      </c>
      <c r="X133" s="14">
        <v>0</v>
      </c>
      <c r="Y133" s="21">
        <v>1</v>
      </c>
      <c r="Z133" s="29">
        <f t="shared" si="43"/>
        <v>143.52000000000001</v>
      </c>
      <c r="AA133" s="14">
        <v>143.52000000000001</v>
      </c>
      <c r="AB133" s="14">
        <v>67.599999999999994</v>
      </c>
      <c r="AC133" s="14">
        <v>628.96</v>
      </c>
      <c r="AD133" s="16" t="s">
        <v>147</v>
      </c>
      <c r="AE133" s="16" t="s">
        <v>147</v>
      </c>
      <c r="AF133" s="14">
        <f>SUMIF('Trip Changes'!$B:$B,A133,'Trip Changes'!$E:$E)</f>
        <v>0</v>
      </c>
      <c r="AG133" s="23">
        <f>SUMIF('Trip Cancellations'!$B:$B,A133,'Trip Cancellations'!$E:$E)</f>
        <v>0</v>
      </c>
      <c r="AH133" s="14">
        <f>SUMIF('Trip Cancellations'!$B:$B,A133,'Trip Cancellations'!$F:$F)</f>
        <v>0</v>
      </c>
      <c r="AI133" s="14">
        <f t="shared" si="44"/>
        <v>628.96</v>
      </c>
      <c r="AJ133" s="14" t="str">
        <f t="shared" si="45"/>
        <v>Yes</v>
      </c>
      <c r="AK133" s="14" t="str">
        <f>IF(Y133=0,"N/A",
IF(_xlfn.XLOOKUP(U133,Hotels!A:A,Hotels!C:C)=TRUE,"Yes","No"))</f>
        <v>Yes</v>
      </c>
      <c r="AL133" s="14" t="str">
        <f>IF(N133="Rail","N/A",IF(_xlfn.XLOOKUP(T133,Airlines!A:A,Airlines!C:C)=TRUE,"Yes","No"))</f>
        <v>Yes</v>
      </c>
      <c r="AM133" s="14" t="str">
        <f t="shared" si="46"/>
        <v>Yes</v>
      </c>
      <c r="AN133" s="14" t="str">
        <f t="shared" si="47"/>
        <v>Yes</v>
      </c>
      <c r="AO133" s="14" t="str">
        <f t="shared" si="48"/>
        <v>Yes</v>
      </c>
      <c r="AP133" s="16" t="s">
        <v>148</v>
      </c>
      <c r="AQ133" t="str">
        <f t="shared" si="49"/>
        <v>Yes</v>
      </c>
      <c r="AR133" s="21">
        <v>3</v>
      </c>
      <c r="AS133" s="5">
        <v>411.3</v>
      </c>
      <c r="AT133" s="5" t="str">
        <f>IF(T133="","",_xlfn.XLOOKUP(T133,Airlines!A:A,Airlines!B:B,"Not Found"))</f>
        <v>Lufthansa</v>
      </c>
      <c r="AU133" s="5" t="str">
        <f>IF(U133="","",_xlfn.XLOOKUP(U133,Hotels!A:A,Hotels!B:B,"Not found"))</f>
        <v>Accor</v>
      </c>
      <c r="AV133" t="s">
        <v>148</v>
      </c>
      <c r="AW133" s="16" t="str">
        <f t="shared" si="50"/>
        <v>OK</v>
      </c>
      <c r="AX133" s="16" t="str">
        <f t="shared" si="51"/>
        <v>OK</v>
      </c>
      <c r="AY133" s="16" t="str">
        <f t="shared" si="52"/>
        <v>OK</v>
      </c>
      <c r="AZ133" s="16" t="str">
        <f t="shared" si="53"/>
        <v>OK</v>
      </c>
      <c r="BA133" s="16" t="str">
        <f t="shared" si="57"/>
        <v>OK</v>
      </c>
      <c r="BB133" s="21">
        <f>COUNTIF('Trip Changes'!B:B,A133)</f>
        <v>0</v>
      </c>
      <c r="BC133" s="16" t="str">
        <f>IF(OR(AND(AD133="Yes",COUNTIF('Trip Changes'!B:B,A133)&gt;0),AND(AD133="No",COUNTIF('Trip Changes'!B:B,A133)=0)),"OK","Check")</f>
        <v>OK</v>
      </c>
      <c r="BD133" t="str">
        <f t="shared" si="58"/>
        <v>OK</v>
      </c>
      <c r="BE133" t="str">
        <f t="shared" si="59"/>
        <v>OK</v>
      </c>
      <c r="BF133" t="str">
        <f t="shared" si="60"/>
        <v>OK</v>
      </c>
      <c r="BG133" t="str">
        <f t="shared" si="61"/>
        <v>OK</v>
      </c>
      <c r="BH133" t="str">
        <f t="shared" si="62"/>
        <v>OK</v>
      </c>
      <c r="BI133" t="str">
        <f t="shared" si="54"/>
        <v>OK</v>
      </c>
      <c r="BJ133" t="str">
        <f t="shared" si="55"/>
        <v>OK</v>
      </c>
      <c r="BK133" t="str">
        <f t="shared" si="56"/>
        <v>OK</v>
      </c>
    </row>
    <row r="134" spans="1:63">
      <c r="A134" s="16" t="s">
        <v>379</v>
      </c>
      <c r="B134" s="16" t="s">
        <v>376</v>
      </c>
      <c r="C134" s="16" t="s">
        <v>182</v>
      </c>
      <c r="D134" s="16" t="s">
        <v>194</v>
      </c>
      <c r="E134" s="16" t="s">
        <v>139</v>
      </c>
      <c r="F134" s="16" t="s">
        <v>157</v>
      </c>
      <c r="G134" s="15">
        <v>46168</v>
      </c>
      <c r="H134" s="15">
        <v>46176</v>
      </c>
      <c r="I134" s="15">
        <v>46180</v>
      </c>
      <c r="J134" s="15" t="s">
        <v>141</v>
      </c>
      <c r="K134" s="16" t="s">
        <v>182</v>
      </c>
      <c r="L134" t="s">
        <v>225</v>
      </c>
      <c r="M134" s="16" t="s">
        <v>152</v>
      </c>
      <c r="N134" s="16" t="s">
        <v>153</v>
      </c>
      <c r="O134" t="s">
        <v>1614</v>
      </c>
      <c r="P134" s="18">
        <v>1018</v>
      </c>
      <c r="Q134" s="21">
        <v>8</v>
      </c>
      <c r="R134" s="21" t="str">
        <f t="shared" si="42"/>
        <v>8-14 days</v>
      </c>
      <c r="S134" s="16" t="s">
        <v>145</v>
      </c>
      <c r="T134" s="16" t="s">
        <v>236</v>
      </c>
      <c r="U134" s="16" t="s">
        <v>173</v>
      </c>
      <c r="V134" t="str">
        <f>IF(U134="","",IFERROR(VLOOKUP(U134,Hotels!A:B,2,FALSE),"Not Found"))</f>
        <v>Accor</v>
      </c>
      <c r="W134" s="14">
        <v>416.91</v>
      </c>
      <c r="X134" s="14">
        <v>0</v>
      </c>
      <c r="Y134" s="21">
        <v>3</v>
      </c>
      <c r="Z134" s="29">
        <f t="shared" si="43"/>
        <v>174.41666666666666</v>
      </c>
      <c r="AA134" s="14">
        <v>523.25</v>
      </c>
      <c r="AB134" s="14">
        <v>45.53</v>
      </c>
      <c r="AC134" s="14">
        <v>985.69</v>
      </c>
      <c r="AD134" s="16" t="s">
        <v>147</v>
      </c>
      <c r="AE134" s="16" t="s">
        <v>147</v>
      </c>
      <c r="AF134" s="14">
        <f>SUMIF('Trip Changes'!$B:$B,A134,'Trip Changes'!$E:$E)</f>
        <v>0</v>
      </c>
      <c r="AG134" s="23">
        <f>SUMIF('Trip Cancellations'!$B:$B,A134,'Trip Cancellations'!$E:$E)</f>
        <v>0</v>
      </c>
      <c r="AH134" s="14">
        <f>SUMIF('Trip Cancellations'!$B:$B,A134,'Trip Cancellations'!$F:$F)</f>
        <v>0</v>
      </c>
      <c r="AI134" s="14">
        <f t="shared" si="44"/>
        <v>985.69</v>
      </c>
      <c r="AJ134" s="14" t="str">
        <f t="shared" si="45"/>
        <v>Yes</v>
      </c>
      <c r="AK134" s="14" t="str">
        <f>IF(Y134=0,"N/A",
IF(_xlfn.XLOOKUP(U134,Hotels!A:A,Hotels!C:C)=TRUE,"Yes","No"))</f>
        <v>Yes</v>
      </c>
      <c r="AL134" s="14" t="str">
        <f>IF(N134="Rail","N/A",IF(_xlfn.XLOOKUP(T134,Airlines!A:A,Airlines!C:C)=TRUE,"Yes","No"))</f>
        <v>Yes</v>
      </c>
      <c r="AM134" s="14" t="str">
        <f t="shared" si="46"/>
        <v>Yes</v>
      </c>
      <c r="AN134" s="14" t="str">
        <f t="shared" si="47"/>
        <v>Yes</v>
      </c>
      <c r="AO134" s="14" t="str">
        <f t="shared" si="48"/>
        <v>Yes</v>
      </c>
      <c r="AP134" s="16" t="s">
        <v>148</v>
      </c>
      <c r="AQ134" t="str">
        <f t="shared" si="49"/>
        <v>Yes</v>
      </c>
      <c r="AR134" s="21">
        <v>3</v>
      </c>
      <c r="AS134" s="5">
        <v>152.69999999999999</v>
      </c>
      <c r="AT134" s="5" t="str">
        <f>IF(T134="","",_xlfn.XLOOKUP(T134,Airlines!A:A,Airlines!B:B,"Not Found"))</f>
        <v>KLM</v>
      </c>
      <c r="AU134" s="5" t="str">
        <f>IF(U134="","",_xlfn.XLOOKUP(U134,Hotels!A:A,Hotels!B:B,"Not found"))</f>
        <v>Accor</v>
      </c>
      <c r="AV134" t="s">
        <v>147</v>
      </c>
      <c r="AW134" s="16" t="str">
        <f t="shared" si="50"/>
        <v>OK</v>
      </c>
      <c r="AX134" s="16" t="str">
        <f t="shared" si="51"/>
        <v>OK</v>
      </c>
      <c r="AY134" s="16" t="str">
        <f t="shared" si="52"/>
        <v>OK</v>
      </c>
      <c r="AZ134" s="16" t="str">
        <f t="shared" si="53"/>
        <v>OK</v>
      </c>
      <c r="BA134" s="16" t="str">
        <f t="shared" si="57"/>
        <v>OK</v>
      </c>
      <c r="BB134" s="21">
        <f>COUNTIF('Trip Changes'!B:B,A134)</f>
        <v>0</v>
      </c>
      <c r="BC134" s="16" t="str">
        <f>IF(OR(AND(AD134="Yes",COUNTIF('Trip Changes'!B:B,A134)&gt;0),AND(AD134="No",COUNTIF('Trip Changes'!B:B,A134)=0)),"OK","Check")</f>
        <v>OK</v>
      </c>
      <c r="BD134" t="str">
        <f t="shared" si="58"/>
        <v>OK</v>
      </c>
      <c r="BE134" t="str">
        <f t="shared" si="59"/>
        <v>OK</v>
      </c>
      <c r="BF134" t="str">
        <f t="shared" si="60"/>
        <v>OK</v>
      </c>
      <c r="BG134" t="str">
        <f t="shared" si="61"/>
        <v>OK</v>
      </c>
      <c r="BH134" t="str">
        <f t="shared" si="62"/>
        <v>OK</v>
      </c>
      <c r="BI134" t="str">
        <f t="shared" si="54"/>
        <v>OK</v>
      </c>
      <c r="BJ134" t="str">
        <f t="shared" si="55"/>
        <v>OK</v>
      </c>
      <c r="BK134" t="str">
        <f t="shared" si="56"/>
        <v>OK</v>
      </c>
    </row>
    <row r="135" spans="1:63">
      <c r="A135" s="16" t="s">
        <v>380</v>
      </c>
      <c r="B135" s="16" t="s">
        <v>381</v>
      </c>
      <c r="C135" s="16" t="s">
        <v>182</v>
      </c>
      <c r="D135" s="16" t="s">
        <v>168</v>
      </c>
      <c r="E135" s="16" t="s">
        <v>169</v>
      </c>
      <c r="F135" s="16" t="s">
        <v>140</v>
      </c>
      <c r="G135" s="15">
        <v>46173</v>
      </c>
      <c r="H135" s="15">
        <v>46189</v>
      </c>
      <c r="I135" s="15">
        <v>46192</v>
      </c>
      <c r="J135" s="15" t="s">
        <v>141</v>
      </c>
      <c r="K135" s="16" t="s">
        <v>182</v>
      </c>
      <c r="L135" t="s">
        <v>199</v>
      </c>
      <c r="M135" s="16" t="s">
        <v>152</v>
      </c>
      <c r="N135" s="16" t="s">
        <v>153</v>
      </c>
      <c r="O135" t="s">
        <v>1614</v>
      </c>
      <c r="P135" s="18">
        <v>1170</v>
      </c>
      <c r="Q135" s="21">
        <v>16</v>
      </c>
      <c r="R135" s="21" t="str">
        <f t="shared" si="42"/>
        <v>15-30 days</v>
      </c>
      <c r="S135" s="16" t="s">
        <v>159</v>
      </c>
      <c r="T135" s="16" t="s">
        <v>291</v>
      </c>
      <c r="U135" s="16" t="s">
        <v>164</v>
      </c>
      <c r="V135" t="str">
        <f>IF(U135="","",IFERROR(VLOOKUP(U135,Hotels!A:B,2,FALSE),"Not Found"))</f>
        <v>Marriott</v>
      </c>
      <c r="W135" s="14">
        <v>150</v>
      </c>
      <c r="X135" s="14">
        <v>0</v>
      </c>
      <c r="Y135" s="21">
        <v>2</v>
      </c>
      <c r="Z135" s="29">
        <f t="shared" si="43"/>
        <v>178.8</v>
      </c>
      <c r="AA135" s="14">
        <v>357.6</v>
      </c>
      <c r="AB135" s="14">
        <v>141.32</v>
      </c>
      <c r="AC135" s="14">
        <v>648.91999999999996</v>
      </c>
      <c r="AD135" s="16" t="s">
        <v>147</v>
      </c>
      <c r="AE135" s="16" t="s">
        <v>147</v>
      </c>
      <c r="AF135" s="14">
        <f>SUMIF('Trip Changes'!$B:$B,A135,'Trip Changes'!$E:$E)</f>
        <v>0</v>
      </c>
      <c r="AG135" s="23">
        <f>SUMIF('Trip Cancellations'!$B:$B,A135,'Trip Cancellations'!$E:$E)</f>
        <v>0</v>
      </c>
      <c r="AH135" s="14">
        <f>SUMIF('Trip Cancellations'!$B:$B,A135,'Trip Cancellations'!$F:$F)</f>
        <v>0</v>
      </c>
      <c r="AI135" s="14">
        <f t="shared" si="44"/>
        <v>648.91999999999996</v>
      </c>
      <c r="AJ135" s="14" t="str">
        <f t="shared" si="45"/>
        <v>Yes</v>
      </c>
      <c r="AK135" s="14" t="str">
        <f>IF(Y135=0,"N/A",
IF(_xlfn.XLOOKUP(U135,Hotels!A:A,Hotels!C:C)=TRUE,"Yes","No"))</f>
        <v>Yes</v>
      </c>
      <c r="AL135" s="14" t="str">
        <f>IF(N135="Rail","N/A",IF(_xlfn.XLOOKUP(T135,Airlines!A:A,Airlines!C:C)=TRUE,"Yes","No"))</f>
        <v>No</v>
      </c>
      <c r="AM135" s="14" t="str">
        <f t="shared" si="46"/>
        <v>Yes</v>
      </c>
      <c r="AN135" s="14" t="str">
        <f t="shared" si="47"/>
        <v>Yes</v>
      </c>
      <c r="AO135" s="14" t="str">
        <f t="shared" si="48"/>
        <v>No</v>
      </c>
      <c r="AP135" s="16" t="s">
        <v>148</v>
      </c>
      <c r="AQ135" t="str">
        <f t="shared" si="49"/>
        <v>No</v>
      </c>
      <c r="AR135" s="21">
        <v>5</v>
      </c>
      <c r="AS135" s="5">
        <v>175.5</v>
      </c>
      <c r="AT135" s="5" t="str">
        <f>IF(T135="","",_xlfn.XLOOKUP(T135,Airlines!A:A,Airlines!B:B,"Not Found"))</f>
        <v>Ryanair</v>
      </c>
      <c r="AU135" s="5" t="str">
        <f>IF(U135="","",_xlfn.XLOOKUP(U135,Hotels!A:A,Hotels!B:B,"Not found"))</f>
        <v>Marriott</v>
      </c>
      <c r="AV135" t="s">
        <v>148</v>
      </c>
      <c r="AW135" s="16" t="str">
        <f t="shared" si="50"/>
        <v>OK</v>
      </c>
      <c r="AX135" s="16" t="str">
        <f t="shared" si="51"/>
        <v>OK</v>
      </c>
      <c r="AY135" s="16" t="str">
        <f t="shared" si="52"/>
        <v>OK</v>
      </c>
      <c r="AZ135" s="16" t="str">
        <f t="shared" si="53"/>
        <v>OK</v>
      </c>
      <c r="BA135" s="16" t="str">
        <f t="shared" si="57"/>
        <v>OK</v>
      </c>
      <c r="BB135" s="21">
        <f>COUNTIF('Trip Changes'!B:B,A135)</f>
        <v>0</v>
      </c>
      <c r="BC135" s="16" t="str">
        <f>IF(OR(AND(AD135="Yes",COUNTIF('Trip Changes'!B:B,A135)&gt;0),AND(AD135="No",COUNTIF('Trip Changes'!B:B,A135)=0)),"OK","Check")</f>
        <v>OK</v>
      </c>
      <c r="BD135" t="str">
        <f t="shared" si="58"/>
        <v>OK</v>
      </c>
      <c r="BE135" t="str">
        <f t="shared" si="59"/>
        <v>OK</v>
      </c>
      <c r="BF135" t="str">
        <f t="shared" si="60"/>
        <v>OK</v>
      </c>
      <c r="BG135" t="str">
        <f t="shared" si="61"/>
        <v>OK</v>
      </c>
      <c r="BH135" t="str">
        <f t="shared" si="62"/>
        <v>OK</v>
      </c>
      <c r="BI135" t="str">
        <f t="shared" si="54"/>
        <v>OK</v>
      </c>
      <c r="BJ135" t="str">
        <f t="shared" si="55"/>
        <v>OK</v>
      </c>
      <c r="BK135" t="str">
        <f t="shared" si="56"/>
        <v>OK</v>
      </c>
    </row>
    <row r="136" spans="1:63">
      <c r="A136" s="16" t="s">
        <v>382</v>
      </c>
      <c r="B136" s="16" t="s">
        <v>381</v>
      </c>
      <c r="C136" s="16" t="s">
        <v>182</v>
      </c>
      <c r="D136" s="16" t="s">
        <v>168</v>
      </c>
      <c r="E136" s="16" t="s">
        <v>169</v>
      </c>
      <c r="F136" s="16" t="s">
        <v>157</v>
      </c>
      <c r="G136" s="15">
        <v>46199</v>
      </c>
      <c r="H136" s="15">
        <v>46209</v>
      </c>
      <c r="I136" s="15">
        <v>46211</v>
      </c>
      <c r="J136" s="15" t="s">
        <v>150</v>
      </c>
      <c r="K136" s="16" t="s">
        <v>182</v>
      </c>
      <c r="L136" t="s">
        <v>151</v>
      </c>
      <c r="M136" s="16" t="s">
        <v>152</v>
      </c>
      <c r="N136" s="16" t="s">
        <v>153</v>
      </c>
      <c r="O136" t="s">
        <v>1614</v>
      </c>
      <c r="P136" s="18">
        <v>3070</v>
      </c>
      <c r="Q136" s="21">
        <v>10</v>
      </c>
      <c r="R136" s="21" t="str">
        <f t="shared" si="42"/>
        <v>8-14 days</v>
      </c>
      <c r="S136" s="16" t="s">
        <v>159</v>
      </c>
      <c r="T136" s="16" t="s">
        <v>154</v>
      </c>
      <c r="U136" s="16" t="s">
        <v>187</v>
      </c>
      <c r="V136" t="str">
        <f>IF(U136="","",IFERROR(VLOOKUP(U136,Hotels!A:B,2,FALSE),"Not Found"))</f>
        <v>IHG Hotels &amp; Resorts</v>
      </c>
      <c r="W136" s="14">
        <v>287.44</v>
      </c>
      <c r="X136" s="14">
        <v>0</v>
      </c>
      <c r="Y136" s="21">
        <v>1</v>
      </c>
      <c r="Z136" s="29">
        <f t="shared" si="43"/>
        <v>144.82</v>
      </c>
      <c r="AA136" s="14">
        <v>144.82</v>
      </c>
      <c r="AB136" s="14">
        <v>93.06</v>
      </c>
      <c r="AC136" s="14">
        <v>525.32000000000005</v>
      </c>
      <c r="AD136" s="16" t="s">
        <v>147</v>
      </c>
      <c r="AE136" s="16" t="s">
        <v>147</v>
      </c>
      <c r="AF136" s="14">
        <f>SUMIF('Trip Changes'!$B:$B,A136,'Trip Changes'!$E:$E)</f>
        <v>0</v>
      </c>
      <c r="AG136" s="23">
        <f>SUMIF('Trip Cancellations'!$B:$B,A136,'Trip Cancellations'!$E:$E)</f>
        <v>0</v>
      </c>
      <c r="AH136" s="14">
        <f>SUMIF('Trip Cancellations'!$B:$B,A136,'Trip Cancellations'!$F:$F)</f>
        <v>0</v>
      </c>
      <c r="AI136" s="14">
        <f t="shared" si="44"/>
        <v>525.32000000000005</v>
      </c>
      <c r="AJ136" s="14" t="str">
        <f t="shared" si="45"/>
        <v>Yes</v>
      </c>
      <c r="AK136" s="14" t="str">
        <f>IF(Y136=0,"N/A",
IF(_xlfn.XLOOKUP(U136,Hotels!A:A,Hotels!C:C)=TRUE,"Yes","No"))</f>
        <v>Yes</v>
      </c>
      <c r="AL136" s="14" t="str">
        <f>IF(N136="Rail","N/A",IF(_xlfn.XLOOKUP(T136,Airlines!A:A,Airlines!C:C)=TRUE,"Yes","No"))</f>
        <v>Yes</v>
      </c>
      <c r="AM136" s="14" t="str">
        <f t="shared" si="46"/>
        <v>Yes</v>
      </c>
      <c r="AN136" s="14" t="str">
        <f t="shared" si="47"/>
        <v>Yes</v>
      </c>
      <c r="AO136" s="14" t="str">
        <f t="shared" si="48"/>
        <v>Yes</v>
      </c>
      <c r="AP136" s="16" t="s">
        <v>148</v>
      </c>
      <c r="AQ136" t="str">
        <f t="shared" si="49"/>
        <v>Yes</v>
      </c>
      <c r="AR136" s="21">
        <v>3</v>
      </c>
      <c r="AS136" s="5">
        <v>460.5</v>
      </c>
      <c r="AT136" s="5" t="str">
        <f>IF(T136="","",_xlfn.XLOOKUP(T136,Airlines!A:A,Airlines!B:B,"Not Found"))</f>
        <v>British Airways</v>
      </c>
      <c r="AU136" s="5" t="str">
        <f>IF(U136="","",_xlfn.XLOOKUP(U136,Hotels!A:A,Hotels!B:B,"Not found"))</f>
        <v>IHG Hotels &amp; Resorts</v>
      </c>
      <c r="AV136" t="s">
        <v>147</v>
      </c>
      <c r="AW136" s="16" t="str">
        <f t="shared" si="50"/>
        <v>OK</v>
      </c>
      <c r="AX136" s="16" t="str">
        <f t="shared" si="51"/>
        <v>OK</v>
      </c>
      <c r="AY136" s="16" t="str">
        <f t="shared" si="52"/>
        <v>OK</v>
      </c>
      <c r="AZ136" s="16" t="str">
        <f t="shared" si="53"/>
        <v>OK</v>
      </c>
      <c r="BA136" s="16" t="str">
        <f t="shared" si="57"/>
        <v>OK</v>
      </c>
      <c r="BB136" s="21">
        <f>COUNTIF('Trip Changes'!B:B,A136)</f>
        <v>0</v>
      </c>
      <c r="BC136" s="16" t="str">
        <f>IF(OR(AND(AD136="Yes",COUNTIF('Trip Changes'!B:B,A136)&gt;0),AND(AD136="No",COUNTIF('Trip Changes'!B:B,A136)=0)),"OK","Check")</f>
        <v>OK</v>
      </c>
      <c r="BD136" t="str">
        <f t="shared" si="58"/>
        <v>OK</v>
      </c>
      <c r="BE136" t="str">
        <f t="shared" si="59"/>
        <v>OK</v>
      </c>
      <c r="BF136" t="str">
        <f t="shared" si="60"/>
        <v>OK</v>
      </c>
      <c r="BG136" t="str">
        <f t="shared" si="61"/>
        <v>OK</v>
      </c>
      <c r="BH136" t="str">
        <f t="shared" si="62"/>
        <v>OK</v>
      </c>
      <c r="BI136" t="str">
        <f t="shared" si="54"/>
        <v>OK</v>
      </c>
      <c r="BJ136" t="str">
        <f t="shared" si="55"/>
        <v>OK</v>
      </c>
      <c r="BK136" t="str">
        <f t="shared" si="56"/>
        <v>OK</v>
      </c>
    </row>
    <row r="137" spans="1:63">
      <c r="A137" s="16" t="s">
        <v>383</v>
      </c>
      <c r="B137" s="16" t="s">
        <v>381</v>
      </c>
      <c r="C137" s="16" t="s">
        <v>182</v>
      </c>
      <c r="D137" s="16" t="s">
        <v>168</v>
      </c>
      <c r="E137" s="16" t="s">
        <v>169</v>
      </c>
      <c r="F137" s="16" t="s">
        <v>140</v>
      </c>
      <c r="G137" s="15">
        <v>46203</v>
      </c>
      <c r="H137" s="15">
        <v>46207</v>
      </c>
      <c r="I137" s="15">
        <v>46210</v>
      </c>
      <c r="J137" s="15" t="s">
        <v>150</v>
      </c>
      <c r="K137" s="16" t="s">
        <v>182</v>
      </c>
      <c r="L137" t="s">
        <v>151</v>
      </c>
      <c r="M137" s="16" t="s">
        <v>152</v>
      </c>
      <c r="N137" s="16" t="s">
        <v>153</v>
      </c>
      <c r="O137" t="s">
        <v>1614</v>
      </c>
      <c r="P137" s="18">
        <v>1160</v>
      </c>
      <c r="Q137" s="21">
        <v>4</v>
      </c>
      <c r="R137" s="21" t="str">
        <f t="shared" si="42"/>
        <v>4-7 days</v>
      </c>
      <c r="S137" s="16" t="s">
        <v>159</v>
      </c>
      <c r="T137" s="16" t="s">
        <v>172</v>
      </c>
      <c r="U137" s="16" t="s">
        <v>164</v>
      </c>
      <c r="V137" t="str">
        <f>IF(U137="","",IFERROR(VLOOKUP(U137,Hotels!A:B,2,FALSE),"Not Found"))</f>
        <v>Marriott</v>
      </c>
      <c r="W137" s="14">
        <v>754.87</v>
      </c>
      <c r="X137" s="14">
        <v>0</v>
      </c>
      <c r="Y137" s="21">
        <v>2</v>
      </c>
      <c r="Z137" s="29">
        <f t="shared" si="43"/>
        <v>161.93</v>
      </c>
      <c r="AA137" s="14">
        <v>323.86</v>
      </c>
      <c r="AB137" s="14">
        <v>51.4</v>
      </c>
      <c r="AC137" s="14">
        <v>1130.1300000000001</v>
      </c>
      <c r="AD137" s="16" t="s">
        <v>147</v>
      </c>
      <c r="AE137" s="16" t="s">
        <v>147</v>
      </c>
      <c r="AF137" s="14">
        <f>SUMIF('Trip Changes'!$B:$B,A137,'Trip Changes'!$E:$E)</f>
        <v>0</v>
      </c>
      <c r="AG137" s="23">
        <f>SUMIF('Trip Cancellations'!$B:$B,A137,'Trip Cancellations'!$E:$E)</f>
        <v>0</v>
      </c>
      <c r="AH137" s="14">
        <f>SUMIF('Trip Cancellations'!$B:$B,A137,'Trip Cancellations'!$F:$F)</f>
        <v>0</v>
      </c>
      <c r="AI137" s="14">
        <f t="shared" si="44"/>
        <v>1130.1300000000001</v>
      </c>
      <c r="AJ137" s="14" t="str">
        <f t="shared" si="45"/>
        <v>Yes</v>
      </c>
      <c r="AK137" s="14" t="str">
        <f>IF(Y137=0,"N/A",
IF(_xlfn.XLOOKUP(U137,Hotels!A:A,Hotels!C:C)=TRUE,"Yes","No"))</f>
        <v>Yes</v>
      </c>
      <c r="AL137" s="14" t="str">
        <f>IF(N137="Rail","N/A",IF(_xlfn.XLOOKUP(T137,Airlines!A:A,Airlines!C:C)=TRUE,"Yes","No"))</f>
        <v>Yes</v>
      </c>
      <c r="AM137" s="14" t="str">
        <f t="shared" si="46"/>
        <v>Yes</v>
      </c>
      <c r="AN137" s="14" t="str">
        <f t="shared" si="47"/>
        <v>Yes</v>
      </c>
      <c r="AO137" s="14" t="str">
        <f t="shared" si="48"/>
        <v>Yes</v>
      </c>
      <c r="AP137" s="16" t="s">
        <v>148</v>
      </c>
      <c r="AQ137" t="str">
        <f t="shared" si="49"/>
        <v>Yes</v>
      </c>
      <c r="AR137" s="21">
        <v>4</v>
      </c>
      <c r="AS137" s="5">
        <v>174</v>
      </c>
      <c r="AT137" s="5" t="str">
        <f>IF(T137="","",_xlfn.XLOOKUP(T137,Airlines!A:A,Airlines!B:B,"Not Found"))</f>
        <v>Lufthansa</v>
      </c>
      <c r="AU137" s="5" t="str">
        <f>IF(U137="","",_xlfn.XLOOKUP(U137,Hotels!A:A,Hotels!B:B,"Not found"))</f>
        <v>Marriott</v>
      </c>
      <c r="AV137" t="s">
        <v>147</v>
      </c>
      <c r="AW137" s="16" t="str">
        <f t="shared" si="50"/>
        <v>OK</v>
      </c>
      <c r="AX137" s="16" t="str">
        <f t="shared" si="51"/>
        <v>OK</v>
      </c>
      <c r="AY137" s="16" t="str">
        <f t="shared" si="52"/>
        <v>OK</v>
      </c>
      <c r="AZ137" s="16" t="str">
        <f t="shared" si="53"/>
        <v>OK</v>
      </c>
      <c r="BA137" s="16" t="str">
        <f t="shared" si="57"/>
        <v>OK</v>
      </c>
      <c r="BB137" s="21">
        <f>COUNTIF('Trip Changes'!B:B,A137)</f>
        <v>0</v>
      </c>
      <c r="BC137" s="16" t="str">
        <f>IF(OR(AND(AD137="Yes",COUNTIF('Trip Changes'!B:B,A137)&gt;0),AND(AD137="No",COUNTIF('Trip Changes'!B:B,A137)=0)),"OK","Check")</f>
        <v>OK</v>
      </c>
      <c r="BD137" t="str">
        <f t="shared" si="58"/>
        <v>OK</v>
      </c>
      <c r="BE137" t="str">
        <f t="shared" si="59"/>
        <v>OK</v>
      </c>
      <c r="BF137" t="str">
        <f t="shared" si="60"/>
        <v>OK</v>
      </c>
      <c r="BG137" t="str">
        <f t="shared" si="61"/>
        <v>OK</v>
      </c>
      <c r="BH137" t="str">
        <f t="shared" si="62"/>
        <v>OK</v>
      </c>
      <c r="BI137" t="str">
        <f t="shared" si="54"/>
        <v>OK</v>
      </c>
      <c r="BJ137" t="str">
        <f t="shared" si="55"/>
        <v>OK</v>
      </c>
      <c r="BK137" t="str">
        <f t="shared" si="56"/>
        <v>OK</v>
      </c>
    </row>
    <row r="138" spans="1:63">
      <c r="A138" s="16" t="s">
        <v>384</v>
      </c>
      <c r="B138" s="16" t="s">
        <v>381</v>
      </c>
      <c r="C138" s="16" t="s">
        <v>182</v>
      </c>
      <c r="D138" s="16" t="s">
        <v>168</v>
      </c>
      <c r="E138" s="16" t="s">
        <v>169</v>
      </c>
      <c r="F138" s="16" t="s">
        <v>162</v>
      </c>
      <c r="G138" s="15">
        <v>46175</v>
      </c>
      <c r="H138" s="15">
        <v>46196</v>
      </c>
      <c r="I138" s="15">
        <v>46199</v>
      </c>
      <c r="J138" s="15" t="s">
        <v>141</v>
      </c>
      <c r="K138" s="16" t="s">
        <v>182</v>
      </c>
      <c r="L138" t="s">
        <v>233</v>
      </c>
      <c r="M138" s="16" t="s">
        <v>152</v>
      </c>
      <c r="N138" s="16" t="s">
        <v>153</v>
      </c>
      <c r="O138" t="s">
        <v>1614</v>
      </c>
      <c r="P138" s="18">
        <v>3062</v>
      </c>
      <c r="Q138" s="21">
        <v>21</v>
      </c>
      <c r="R138" s="21" t="str">
        <f t="shared" si="42"/>
        <v>15-30 days</v>
      </c>
      <c r="S138" s="16" t="s">
        <v>159</v>
      </c>
      <c r="T138" s="16" t="s">
        <v>160</v>
      </c>
      <c r="U138" s="16" t="s">
        <v>164</v>
      </c>
      <c r="V138" t="str">
        <f>IF(U138="","",IFERROR(VLOOKUP(U138,Hotels!A:B,2,FALSE),"Not Found"))</f>
        <v>Marriott</v>
      </c>
      <c r="W138" s="14">
        <v>402.54</v>
      </c>
      <c r="X138" s="14">
        <v>0</v>
      </c>
      <c r="Y138" s="21">
        <v>2</v>
      </c>
      <c r="Z138" s="29">
        <f t="shared" si="43"/>
        <v>210.57</v>
      </c>
      <c r="AA138" s="14">
        <v>421.14</v>
      </c>
      <c r="AB138" s="14">
        <v>78.040000000000006</v>
      </c>
      <c r="AC138" s="14">
        <v>901.72</v>
      </c>
      <c r="AD138" s="16" t="s">
        <v>147</v>
      </c>
      <c r="AE138" s="16" t="s">
        <v>147</v>
      </c>
      <c r="AF138" s="14">
        <f>SUMIF('Trip Changes'!$B:$B,A138,'Trip Changes'!$E:$E)</f>
        <v>0</v>
      </c>
      <c r="AG138" s="23">
        <f>SUMIF('Trip Cancellations'!$B:$B,A138,'Trip Cancellations'!$E:$E)</f>
        <v>0</v>
      </c>
      <c r="AH138" s="14">
        <f>SUMIF('Trip Cancellations'!$B:$B,A138,'Trip Cancellations'!$F:$F)</f>
        <v>0</v>
      </c>
      <c r="AI138" s="14">
        <f t="shared" si="44"/>
        <v>901.72</v>
      </c>
      <c r="AJ138" s="14" t="str">
        <f t="shared" si="45"/>
        <v>No</v>
      </c>
      <c r="AK138" s="14" t="str">
        <f>IF(Y138=0,"N/A",
IF(_xlfn.XLOOKUP(U138,Hotels!A:A,Hotels!C:C)=TRUE,"Yes","No"))</f>
        <v>Yes</v>
      </c>
      <c r="AL138" s="14" t="str">
        <f>IF(N138="Rail","N/A",IF(_xlfn.XLOOKUP(T138,Airlines!A:A,Airlines!C:C)=TRUE,"Yes","No"))</f>
        <v>Yes</v>
      </c>
      <c r="AM138" s="14" t="str">
        <f t="shared" si="46"/>
        <v>Yes</v>
      </c>
      <c r="AN138" s="14" t="str">
        <f t="shared" si="47"/>
        <v>Yes</v>
      </c>
      <c r="AO138" s="14" t="str">
        <f t="shared" si="48"/>
        <v>Yes</v>
      </c>
      <c r="AP138" s="16" t="s">
        <v>148</v>
      </c>
      <c r="AQ138" t="str">
        <f t="shared" si="49"/>
        <v>No</v>
      </c>
      <c r="AR138" s="21">
        <v>5</v>
      </c>
      <c r="AS138" s="5">
        <v>459.3</v>
      </c>
      <c r="AT138" s="5" t="str">
        <f>IF(T138="","",_xlfn.XLOOKUP(T138,Airlines!A:A,Airlines!B:B,"Not Found"))</f>
        <v>Air France</v>
      </c>
      <c r="AU138" s="5" t="str">
        <f>IF(U138="","",_xlfn.XLOOKUP(U138,Hotels!A:A,Hotels!B:B,"Not found"))</f>
        <v>Marriott</v>
      </c>
      <c r="AV138" t="s">
        <v>148</v>
      </c>
      <c r="AW138" s="16" t="str">
        <f t="shared" si="50"/>
        <v>OK</v>
      </c>
      <c r="AX138" s="16" t="str">
        <f t="shared" si="51"/>
        <v>OK</v>
      </c>
      <c r="AY138" s="16" t="str">
        <f t="shared" si="52"/>
        <v>OK</v>
      </c>
      <c r="AZ138" s="16" t="str">
        <f t="shared" si="53"/>
        <v>OK</v>
      </c>
      <c r="BA138" s="16" t="str">
        <f t="shared" si="57"/>
        <v>OK</v>
      </c>
      <c r="BB138" s="21">
        <f>COUNTIF('Trip Changes'!B:B,A138)</f>
        <v>0</v>
      </c>
      <c r="BC138" s="16" t="str">
        <f>IF(OR(AND(AD138="Yes",COUNTIF('Trip Changes'!B:B,A138)&gt;0),AND(AD138="No",COUNTIF('Trip Changes'!B:B,A138)=0)),"OK","Check")</f>
        <v>OK</v>
      </c>
      <c r="BD138" t="str">
        <f t="shared" si="58"/>
        <v>OK</v>
      </c>
      <c r="BE138" t="str">
        <f t="shared" si="59"/>
        <v>OK</v>
      </c>
      <c r="BF138" t="str">
        <f t="shared" si="60"/>
        <v>OK</v>
      </c>
      <c r="BG138" t="str">
        <f t="shared" si="61"/>
        <v>OK</v>
      </c>
      <c r="BH138" t="str">
        <f t="shared" si="62"/>
        <v>OK</v>
      </c>
      <c r="BI138" t="str">
        <f t="shared" si="54"/>
        <v>OK</v>
      </c>
      <c r="BJ138" t="str">
        <f t="shared" si="55"/>
        <v>OK</v>
      </c>
      <c r="BK138" t="str">
        <f t="shared" si="56"/>
        <v>OK</v>
      </c>
    </row>
    <row r="139" spans="1:63">
      <c r="A139" s="16" t="s">
        <v>385</v>
      </c>
      <c r="B139" s="16" t="s">
        <v>386</v>
      </c>
      <c r="C139" s="16" t="s">
        <v>182</v>
      </c>
      <c r="D139" s="16" t="s">
        <v>248</v>
      </c>
      <c r="E139" s="16" t="s">
        <v>169</v>
      </c>
      <c r="F139" s="16" t="s">
        <v>140</v>
      </c>
      <c r="G139" s="15">
        <v>46230</v>
      </c>
      <c r="H139" s="15">
        <v>46234</v>
      </c>
      <c r="I139" s="15">
        <v>46237</v>
      </c>
      <c r="J139" s="15" t="s">
        <v>150</v>
      </c>
      <c r="K139" s="16" t="s">
        <v>182</v>
      </c>
      <c r="L139" t="s">
        <v>142</v>
      </c>
      <c r="M139" s="16" t="s">
        <v>143</v>
      </c>
      <c r="N139" s="16" t="s">
        <v>153</v>
      </c>
      <c r="O139" t="s">
        <v>1614</v>
      </c>
      <c r="P139" s="18">
        <v>1290</v>
      </c>
      <c r="Q139" s="21">
        <v>4</v>
      </c>
      <c r="R139" s="21" t="str">
        <f t="shared" si="42"/>
        <v>4-7 days</v>
      </c>
      <c r="S139" s="16" t="s">
        <v>159</v>
      </c>
      <c r="T139" s="16" t="s">
        <v>176</v>
      </c>
      <c r="U139" s="16" t="s">
        <v>195</v>
      </c>
      <c r="V139" t="str">
        <f>IF(U139="","",IFERROR(VLOOKUP(U139,Hotels!A:B,2,FALSE),"Not Found"))</f>
        <v>Travelodge</v>
      </c>
      <c r="W139" s="14">
        <v>283.86</v>
      </c>
      <c r="X139" s="14">
        <v>0</v>
      </c>
      <c r="Y139" s="21">
        <v>2</v>
      </c>
      <c r="Z139" s="29">
        <f t="shared" si="43"/>
        <v>165.12</v>
      </c>
      <c r="AA139" s="14">
        <v>330.24</v>
      </c>
      <c r="AB139" s="14">
        <v>83.57</v>
      </c>
      <c r="AC139" s="14">
        <v>697.67</v>
      </c>
      <c r="AD139" s="16" t="s">
        <v>147</v>
      </c>
      <c r="AE139" s="16" t="s">
        <v>147</v>
      </c>
      <c r="AF139" s="14">
        <f>SUMIF('Trip Changes'!$B:$B,A139,'Trip Changes'!$E:$E)</f>
        <v>0</v>
      </c>
      <c r="AG139" s="23">
        <f>SUMIF('Trip Cancellations'!$B:$B,A139,'Trip Cancellations'!$E:$E)</f>
        <v>0</v>
      </c>
      <c r="AH139" s="14">
        <f>SUMIF('Trip Cancellations'!$B:$B,A139,'Trip Cancellations'!$F:$F)</f>
        <v>0</v>
      </c>
      <c r="AI139" s="14">
        <f t="shared" si="44"/>
        <v>697.67</v>
      </c>
      <c r="AJ139" s="14" t="str">
        <f t="shared" si="45"/>
        <v>Yes</v>
      </c>
      <c r="AK139" s="14" t="str">
        <f>IF(Y139=0,"N/A",
IF(_xlfn.XLOOKUP(U139,Hotels!A:A,Hotels!C:C)=TRUE,"Yes","No"))</f>
        <v>No</v>
      </c>
      <c r="AL139" s="14" t="str">
        <f>IF(N139="Rail","N/A",IF(_xlfn.XLOOKUP(T139,Airlines!A:A,Airlines!C:C)=TRUE,"Yes","No"))</f>
        <v>Yes</v>
      </c>
      <c r="AM139" s="14" t="str">
        <f t="shared" si="46"/>
        <v>Yes</v>
      </c>
      <c r="AN139" s="14" t="str">
        <f t="shared" si="47"/>
        <v>Yes</v>
      </c>
      <c r="AO139" s="14" t="str">
        <f t="shared" si="48"/>
        <v>No</v>
      </c>
      <c r="AP139" s="16" t="s">
        <v>148</v>
      </c>
      <c r="AQ139" t="str">
        <f t="shared" si="49"/>
        <v>No</v>
      </c>
      <c r="AR139" s="21">
        <v>5</v>
      </c>
      <c r="AS139" s="5">
        <v>193.5</v>
      </c>
      <c r="AT139" s="5" t="str">
        <f>IF(T139="","",_xlfn.XLOOKUP(T139,Airlines!A:A,Airlines!B:B,"Not Found"))</f>
        <v>easyJet</v>
      </c>
      <c r="AU139" s="5" t="str">
        <f>IF(U139="","",_xlfn.XLOOKUP(U139,Hotels!A:A,Hotels!B:B,"Not found"))</f>
        <v>Travelodge</v>
      </c>
      <c r="AV139" t="s">
        <v>148</v>
      </c>
      <c r="AW139" s="16" t="str">
        <f t="shared" si="50"/>
        <v>OK</v>
      </c>
      <c r="AX139" s="16" t="str">
        <f t="shared" si="51"/>
        <v>OK</v>
      </c>
      <c r="AY139" s="16" t="str">
        <f t="shared" si="52"/>
        <v>OK</v>
      </c>
      <c r="AZ139" s="16" t="str">
        <f t="shared" si="53"/>
        <v>OK</v>
      </c>
      <c r="BA139" s="16" t="str">
        <f t="shared" si="57"/>
        <v>OK</v>
      </c>
      <c r="BB139" s="21">
        <f>COUNTIF('Trip Changes'!B:B,A139)</f>
        <v>0</v>
      </c>
      <c r="BC139" s="16" t="str">
        <f>IF(OR(AND(AD139="Yes",COUNTIF('Trip Changes'!B:B,A139)&gt;0),AND(AD139="No",COUNTIF('Trip Changes'!B:B,A139)=0)),"OK","Check")</f>
        <v>OK</v>
      </c>
      <c r="BD139" t="str">
        <f t="shared" si="58"/>
        <v>OK</v>
      </c>
      <c r="BE139" t="str">
        <f t="shared" si="59"/>
        <v>OK</v>
      </c>
      <c r="BF139" t="str">
        <f t="shared" si="60"/>
        <v>OK</v>
      </c>
      <c r="BG139" t="str">
        <f t="shared" si="61"/>
        <v>OK</v>
      </c>
      <c r="BH139" t="str">
        <f t="shared" si="62"/>
        <v>OK</v>
      </c>
      <c r="BI139" t="str">
        <f t="shared" si="54"/>
        <v>OK</v>
      </c>
      <c r="BJ139" t="str">
        <f t="shared" si="55"/>
        <v>OK</v>
      </c>
      <c r="BK139" t="str">
        <f t="shared" si="56"/>
        <v>OK</v>
      </c>
    </row>
    <row r="140" spans="1:63">
      <c r="A140" s="16" t="s">
        <v>387</v>
      </c>
      <c r="B140" s="16" t="s">
        <v>386</v>
      </c>
      <c r="C140" s="16" t="s">
        <v>182</v>
      </c>
      <c r="D140" s="16" t="s">
        <v>248</v>
      </c>
      <c r="E140" s="16" t="s">
        <v>169</v>
      </c>
      <c r="F140" s="16" t="s">
        <v>181</v>
      </c>
      <c r="G140" s="15">
        <v>46206</v>
      </c>
      <c r="H140" s="15">
        <v>46210</v>
      </c>
      <c r="I140" s="15">
        <v>46214</v>
      </c>
      <c r="J140" s="15" t="s">
        <v>150</v>
      </c>
      <c r="K140" s="16" t="s">
        <v>182</v>
      </c>
      <c r="L140" t="s">
        <v>199</v>
      </c>
      <c r="M140" s="16" t="s">
        <v>152</v>
      </c>
      <c r="N140" s="16" t="s">
        <v>153</v>
      </c>
      <c r="O140" t="s">
        <v>1614</v>
      </c>
      <c r="P140" s="18">
        <v>3510</v>
      </c>
      <c r="Q140" s="21">
        <v>4</v>
      </c>
      <c r="R140" s="21" t="str">
        <f t="shared" si="42"/>
        <v>4-7 days</v>
      </c>
      <c r="S140" s="16" t="s">
        <v>145</v>
      </c>
      <c r="T140" s="16" t="s">
        <v>200</v>
      </c>
      <c r="U140" s="16" t="s">
        <v>155</v>
      </c>
      <c r="V140" t="str">
        <f>IF(U140="","",IFERROR(VLOOKUP(U140,Hotels!A:B,2,FALSE),"Not Found"))</f>
        <v>Hilton</v>
      </c>
      <c r="W140" s="14">
        <v>642.78</v>
      </c>
      <c r="X140" s="14">
        <v>0</v>
      </c>
      <c r="Y140" s="21">
        <v>3</v>
      </c>
      <c r="Z140" s="29">
        <f t="shared" si="43"/>
        <v>224.71666666666667</v>
      </c>
      <c r="AA140" s="14">
        <v>674.15</v>
      </c>
      <c r="AB140" s="14">
        <v>56.48</v>
      </c>
      <c r="AC140" s="14">
        <v>1373.41</v>
      </c>
      <c r="AD140" s="16" t="s">
        <v>147</v>
      </c>
      <c r="AE140" s="16" t="s">
        <v>147</v>
      </c>
      <c r="AF140" s="14">
        <f>SUMIF('Trip Changes'!$B:$B,A140,'Trip Changes'!$E:$E)</f>
        <v>0</v>
      </c>
      <c r="AG140" s="23">
        <f>SUMIF('Trip Cancellations'!$B:$B,A140,'Trip Cancellations'!$E:$E)</f>
        <v>0</v>
      </c>
      <c r="AH140" s="14">
        <f>SUMIF('Trip Cancellations'!$B:$B,A140,'Trip Cancellations'!$F:$F)</f>
        <v>0</v>
      </c>
      <c r="AI140" s="14">
        <f t="shared" si="44"/>
        <v>1373.41</v>
      </c>
      <c r="AJ140" s="14" t="str">
        <f t="shared" si="45"/>
        <v>No</v>
      </c>
      <c r="AK140" s="14" t="str">
        <f>IF(Y140=0,"N/A",
IF(_xlfn.XLOOKUP(U140,Hotels!A:A,Hotels!C:C)=TRUE,"Yes","No"))</f>
        <v>Yes</v>
      </c>
      <c r="AL140" s="14" t="str">
        <f>IF(N140="Rail","N/A",IF(_xlfn.XLOOKUP(T140,Airlines!A:A,Airlines!C:C)=TRUE,"Yes","No"))</f>
        <v>Yes</v>
      </c>
      <c r="AM140" s="14" t="str">
        <f t="shared" si="46"/>
        <v>Yes</v>
      </c>
      <c r="AN140" s="14" t="str">
        <f t="shared" si="47"/>
        <v>Yes</v>
      </c>
      <c r="AO140" s="14" t="str">
        <f t="shared" si="48"/>
        <v>Yes</v>
      </c>
      <c r="AP140" s="16" t="s">
        <v>148</v>
      </c>
      <c r="AQ140" t="str">
        <f t="shared" si="49"/>
        <v>No</v>
      </c>
      <c r="AR140" s="21">
        <v>4</v>
      </c>
      <c r="AS140" s="5">
        <v>526.5</v>
      </c>
      <c r="AT140" s="5" t="str">
        <f>IF(T140="","",_xlfn.XLOOKUP(T140,Airlines!A:A,Airlines!B:B,"Not Found"))</f>
        <v>Aer Lingus</v>
      </c>
      <c r="AU140" s="5" t="str">
        <f>IF(U140="","",_xlfn.XLOOKUP(U140,Hotels!A:A,Hotels!B:B,"Not found"))</f>
        <v>Hilton</v>
      </c>
      <c r="AV140" t="s">
        <v>148</v>
      </c>
      <c r="AW140" s="16" t="str">
        <f t="shared" si="50"/>
        <v>OK</v>
      </c>
      <c r="AX140" s="16" t="str">
        <f t="shared" si="51"/>
        <v>OK</v>
      </c>
      <c r="AY140" s="16" t="str">
        <f t="shared" si="52"/>
        <v>OK</v>
      </c>
      <c r="AZ140" s="16" t="str">
        <f t="shared" si="53"/>
        <v>OK</v>
      </c>
      <c r="BA140" s="16" t="str">
        <f t="shared" si="57"/>
        <v>OK</v>
      </c>
      <c r="BB140" s="21">
        <f>COUNTIF('Trip Changes'!B:B,A140)</f>
        <v>0</v>
      </c>
      <c r="BC140" s="16" t="str">
        <f>IF(OR(AND(AD140="Yes",COUNTIF('Trip Changes'!B:B,A140)&gt;0),AND(AD140="No",COUNTIF('Trip Changes'!B:B,A140)=0)),"OK","Check")</f>
        <v>OK</v>
      </c>
      <c r="BD140" t="str">
        <f t="shared" si="58"/>
        <v>OK</v>
      </c>
      <c r="BE140" t="str">
        <f t="shared" si="59"/>
        <v>OK</v>
      </c>
      <c r="BF140" t="str">
        <f t="shared" si="60"/>
        <v>OK</v>
      </c>
      <c r="BG140" t="str">
        <f t="shared" si="61"/>
        <v>OK</v>
      </c>
      <c r="BH140" t="str">
        <f t="shared" si="62"/>
        <v>OK</v>
      </c>
      <c r="BI140" t="str">
        <f t="shared" si="54"/>
        <v>OK</v>
      </c>
      <c r="BJ140" t="str">
        <f t="shared" si="55"/>
        <v>OK</v>
      </c>
      <c r="BK140" t="str">
        <f t="shared" si="56"/>
        <v>OK</v>
      </c>
    </row>
    <row r="141" spans="1:63">
      <c r="A141" s="16" t="s">
        <v>388</v>
      </c>
      <c r="B141" s="16" t="s">
        <v>386</v>
      </c>
      <c r="C141" s="16" t="s">
        <v>182</v>
      </c>
      <c r="D141" s="16" t="s">
        <v>248</v>
      </c>
      <c r="E141" s="16" t="s">
        <v>169</v>
      </c>
      <c r="F141" s="16" t="s">
        <v>162</v>
      </c>
      <c r="G141" s="15">
        <v>46163</v>
      </c>
      <c r="H141" s="15">
        <v>46171</v>
      </c>
      <c r="I141" s="15">
        <v>46174</v>
      </c>
      <c r="J141" s="15" t="s">
        <v>163</v>
      </c>
      <c r="K141" s="16" t="s">
        <v>182</v>
      </c>
      <c r="L141" t="s">
        <v>233</v>
      </c>
      <c r="M141" s="16" t="s">
        <v>152</v>
      </c>
      <c r="N141" s="16" t="s">
        <v>153</v>
      </c>
      <c r="O141" t="s">
        <v>1614</v>
      </c>
      <c r="P141" s="18">
        <v>3506</v>
      </c>
      <c r="Q141" s="21">
        <v>8</v>
      </c>
      <c r="R141" s="21" t="str">
        <f t="shared" si="42"/>
        <v>8-14 days</v>
      </c>
      <c r="S141" s="16" t="s">
        <v>145</v>
      </c>
      <c r="T141" s="16" t="s">
        <v>160</v>
      </c>
      <c r="U141" s="16" t="s">
        <v>187</v>
      </c>
      <c r="V141" t="str">
        <f>IF(U141="","",IFERROR(VLOOKUP(U141,Hotels!A:B,2,FALSE),"Not Found"))</f>
        <v>IHG Hotels &amp; Resorts</v>
      </c>
      <c r="W141" s="14">
        <v>285.7</v>
      </c>
      <c r="X141" s="14">
        <v>0</v>
      </c>
      <c r="Y141" s="21">
        <v>2</v>
      </c>
      <c r="Z141" s="29">
        <f t="shared" si="43"/>
        <v>225.72</v>
      </c>
      <c r="AA141" s="14">
        <v>451.44</v>
      </c>
      <c r="AB141" s="14">
        <v>111.1</v>
      </c>
      <c r="AC141" s="14">
        <v>848.24</v>
      </c>
      <c r="AD141" s="16" t="s">
        <v>147</v>
      </c>
      <c r="AE141" s="16" t="s">
        <v>147</v>
      </c>
      <c r="AF141" s="14">
        <f>SUMIF('Trip Changes'!$B:$B,A141,'Trip Changes'!$E:$E)</f>
        <v>0</v>
      </c>
      <c r="AG141" s="23">
        <f>SUMIF('Trip Cancellations'!$B:$B,A141,'Trip Cancellations'!$E:$E)</f>
        <v>0</v>
      </c>
      <c r="AH141" s="14">
        <f>SUMIF('Trip Cancellations'!$B:$B,A141,'Trip Cancellations'!$F:$F)</f>
        <v>0</v>
      </c>
      <c r="AI141" s="14">
        <f t="shared" si="44"/>
        <v>848.24</v>
      </c>
      <c r="AJ141" s="14" t="str">
        <f t="shared" si="45"/>
        <v>No</v>
      </c>
      <c r="AK141" s="14" t="str">
        <f>IF(Y141=0,"N/A",
IF(_xlfn.XLOOKUP(U141,Hotels!A:A,Hotels!C:C)=TRUE,"Yes","No"))</f>
        <v>Yes</v>
      </c>
      <c r="AL141" s="14" t="str">
        <f>IF(N141="Rail","N/A",IF(_xlfn.XLOOKUP(T141,Airlines!A:A,Airlines!C:C)=TRUE,"Yes","No"))</f>
        <v>Yes</v>
      </c>
      <c r="AM141" s="14" t="str">
        <f t="shared" si="46"/>
        <v>Yes</v>
      </c>
      <c r="AN141" s="14" t="str">
        <f t="shared" si="47"/>
        <v>Yes</v>
      </c>
      <c r="AO141" s="14" t="str">
        <f t="shared" si="48"/>
        <v>Yes</v>
      </c>
      <c r="AP141" s="16" t="s">
        <v>148</v>
      </c>
      <c r="AQ141" t="str">
        <f t="shared" si="49"/>
        <v>No</v>
      </c>
      <c r="AR141" s="21">
        <v>4</v>
      </c>
      <c r="AS141" s="5">
        <v>525.9</v>
      </c>
      <c r="AT141" s="5" t="str">
        <f>IF(T141="","",_xlfn.XLOOKUP(T141,Airlines!A:A,Airlines!B:B,"Not Found"))</f>
        <v>Air France</v>
      </c>
      <c r="AU141" s="5" t="str">
        <f>IF(U141="","",_xlfn.XLOOKUP(U141,Hotels!A:A,Hotels!B:B,"Not found"))</f>
        <v>IHG Hotels &amp; Resorts</v>
      </c>
      <c r="AV141" t="s">
        <v>148</v>
      </c>
      <c r="AW141" s="16" t="str">
        <f t="shared" si="50"/>
        <v>OK</v>
      </c>
      <c r="AX141" s="16" t="str">
        <f t="shared" si="51"/>
        <v>OK</v>
      </c>
      <c r="AY141" s="16" t="str">
        <f t="shared" si="52"/>
        <v>OK</v>
      </c>
      <c r="AZ141" s="16" t="str">
        <f t="shared" si="53"/>
        <v>OK</v>
      </c>
      <c r="BA141" s="16" t="str">
        <f t="shared" si="57"/>
        <v>OK</v>
      </c>
      <c r="BB141" s="21">
        <f>COUNTIF('Trip Changes'!B:B,A141)</f>
        <v>0</v>
      </c>
      <c r="BC141" s="16" t="str">
        <f>IF(OR(AND(AD141="Yes",COUNTIF('Trip Changes'!B:B,A141)&gt;0),AND(AD141="No",COUNTIF('Trip Changes'!B:B,A141)=0)),"OK","Check")</f>
        <v>OK</v>
      </c>
      <c r="BD141" t="str">
        <f t="shared" si="58"/>
        <v>OK</v>
      </c>
      <c r="BE141" t="str">
        <f t="shared" si="59"/>
        <v>OK</v>
      </c>
      <c r="BF141" t="str">
        <f t="shared" si="60"/>
        <v>OK</v>
      </c>
      <c r="BG141" t="str">
        <f t="shared" si="61"/>
        <v>OK</v>
      </c>
      <c r="BH141" t="str">
        <f t="shared" si="62"/>
        <v>OK</v>
      </c>
      <c r="BI141" t="str">
        <f t="shared" si="54"/>
        <v>OK</v>
      </c>
      <c r="BJ141" t="str">
        <f t="shared" si="55"/>
        <v>OK</v>
      </c>
      <c r="BK141" t="str">
        <f t="shared" si="56"/>
        <v>OK</v>
      </c>
    </row>
    <row r="142" spans="1:63">
      <c r="A142" s="16" t="s">
        <v>389</v>
      </c>
      <c r="B142" s="16" t="s">
        <v>386</v>
      </c>
      <c r="C142" s="16" t="s">
        <v>182</v>
      </c>
      <c r="D142" s="16" t="s">
        <v>248</v>
      </c>
      <c r="E142" s="16" t="s">
        <v>169</v>
      </c>
      <c r="F142" s="16" t="s">
        <v>157</v>
      </c>
      <c r="G142" s="15">
        <v>46228</v>
      </c>
      <c r="H142" s="15">
        <v>46234</v>
      </c>
      <c r="I142" s="15">
        <v>46238</v>
      </c>
      <c r="J142" s="15" t="s">
        <v>150</v>
      </c>
      <c r="K142" s="16" t="s">
        <v>182</v>
      </c>
      <c r="L142" t="s">
        <v>151</v>
      </c>
      <c r="M142" s="16" t="s">
        <v>152</v>
      </c>
      <c r="N142" s="16" t="s">
        <v>153</v>
      </c>
      <c r="O142" t="s">
        <v>1614</v>
      </c>
      <c r="P142" s="18">
        <v>2092</v>
      </c>
      <c r="Q142" s="21">
        <v>6</v>
      </c>
      <c r="R142" s="21" t="str">
        <f t="shared" si="42"/>
        <v>4-7 days</v>
      </c>
      <c r="S142" s="16" t="s">
        <v>145</v>
      </c>
      <c r="T142" s="16" t="s">
        <v>154</v>
      </c>
      <c r="U142" s="16" t="s">
        <v>187</v>
      </c>
      <c r="V142" t="str">
        <f>IF(U142="","",IFERROR(VLOOKUP(U142,Hotels!A:B,2,FALSE),"Not Found"))</f>
        <v>IHG Hotels &amp; Resorts</v>
      </c>
      <c r="W142" s="14">
        <v>198.17</v>
      </c>
      <c r="X142" s="14">
        <v>0</v>
      </c>
      <c r="Y142" s="21">
        <v>3</v>
      </c>
      <c r="Z142" s="29">
        <f t="shared" si="43"/>
        <v>131.47</v>
      </c>
      <c r="AA142" s="14">
        <v>394.41</v>
      </c>
      <c r="AB142" s="14">
        <v>113.31</v>
      </c>
      <c r="AC142" s="14">
        <v>705.89</v>
      </c>
      <c r="AD142" s="16" t="s">
        <v>148</v>
      </c>
      <c r="AE142" s="16" t="s">
        <v>147</v>
      </c>
      <c r="AF142" s="14">
        <f>SUMIF('Trip Changes'!$B:$B,A142,'Trip Changes'!$E:$E)</f>
        <v>142.97999999999999</v>
      </c>
      <c r="AG142" s="23">
        <f>SUMIF('Trip Cancellations'!$B:$B,A142,'Trip Cancellations'!$E:$E)</f>
        <v>0</v>
      </c>
      <c r="AH142" s="14">
        <f>SUMIF('Trip Cancellations'!$B:$B,A142,'Trip Cancellations'!$F:$F)</f>
        <v>0</v>
      </c>
      <c r="AI142" s="14">
        <f t="shared" si="44"/>
        <v>848.87</v>
      </c>
      <c r="AJ142" s="14" t="str">
        <f t="shared" si="45"/>
        <v>Yes</v>
      </c>
      <c r="AK142" s="14" t="str">
        <f>IF(Y142=0,"N/A",
IF(_xlfn.XLOOKUP(U142,Hotels!A:A,Hotels!C:C)=TRUE,"Yes","No"))</f>
        <v>Yes</v>
      </c>
      <c r="AL142" s="14" t="str">
        <f>IF(N142="Rail","N/A",IF(_xlfn.XLOOKUP(T142,Airlines!A:A,Airlines!C:C)=TRUE,"Yes","No"))</f>
        <v>Yes</v>
      </c>
      <c r="AM142" s="14" t="str">
        <f t="shared" si="46"/>
        <v>Yes</v>
      </c>
      <c r="AN142" s="14" t="str">
        <f t="shared" si="47"/>
        <v>Yes</v>
      </c>
      <c r="AO142" s="14" t="str">
        <f t="shared" si="48"/>
        <v>Yes</v>
      </c>
      <c r="AP142" s="16" t="s">
        <v>147</v>
      </c>
      <c r="AQ142" t="str">
        <f t="shared" si="49"/>
        <v>Yes</v>
      </c>
      <c r="AR142" s="21">
        <v>5</v>
      </c>
      <c r="AS142" s="5">
        <v>313.8</v>
      </c>
      <c r="AT142" s="5" t="str">
        <f>IF(T142="","",_xlfn.XLOOKUP(T142,Airlines!A:A,Airlines!B:B,"Not Found"))</f>
        <v>British Airways</v>
      </c>
      <c r="AU142" s="5" t="str">
        <f>IF(U142="","",_xlfn.XLOOKUP(U142,Hotels!A:A,Hotels!B:B,"Not found"))</f>
        <v>IHG Hotels &amp; Resorts</v>
      </c>
      <c r="AV142" t="s">
        <v>148</v>
      </c>
      <c r="AW142" s="16" t="str">
        <f t="shared" si="50"/>
        <v>OK</v>
      </c>
      <c r="AX142" s="16" t="str">
        <f t="shared" si="51"/>
        <v>OK</v>
      </c>
      <c r="AY142" s="16" t="str">
        <f t="shared" si="52"/>
        <v>OK</v>
      </c>
      <c r="AZ142" s="16" t="str">
        <f t="shared" si="53"/>
        <v>OK</v>
      </c>
      <c r="BA142" s="16" t="str">
        <f t="shared" si="57"/>
        <v>OK</v>
      </c>
      <c r="BB142" s="21">
        <f>COUNTIF('Trip Changes'!B:B,A142)</f>
        <v>1</v>
      </c>
      <c r="BC142" s="16" t="str">
        <f>IF(OR(AND(AD142="Yes",COUNTIF('Trip Changes'!B:B,A142)&gt;0),AND(AD142="No",COUNTIF('Trip Changes'!B:B,A142)=0)),"OK","Check")</f>
        <v>OK</v>
      </c>
      <c r="BD142" t="str">
        <f t="shared" si="58"/>
        <v>OK</v>
      </c>
      <c r="BE142" t="str">
        <f t="shared" si="59"/>
        <v>OK</v>
      </c>
      <c r="BF142" t="str">
        <f t="shared" si="60"/>
        <v>OK</v>
      </c>
      <c r="BG142" t="str">
        <f t="shared" si="61"/>
        <v>OK</v>
      </c>
      <c r="BH142" t="str">
        <f t="shared" si="62"/>
        <v>OK</v>
      </c>
      <c r="BI142" t="str">
        <f t="shared" si="54"/>
        <v>OK</v>
      </c>
      <c r="BJ142" t="str">
        <f t="shared" si="55"/>
        <v>OK</v>
      </c>
      <c r="BK142" t="str">
        <f t="shared" si="56"/>
        <v>OK</v>
      </c>
    </row>
    <row r="143" spans="1:63">
      <c r="A143" s="16" t="s">
        <v>390</v>
      </c>
      <c r="B143" s="16" t="s">
        <v>386</v>
      </c>
      <c r="C143" s="16" t="s">
        <v>182</v>
      </c>
      <c r="D143" s="16" t="s">
        <v>248</v>
      </c>
      <c r="E143" s="16" t="s">
        <v>169</v>
      </c>
      <c r="F143" s="16" t="s">
        <v>140</v>
      </c>
      <c r="G143" s="15">
        <v>46135</v>
      </c>
      <c r="H143" s="15">
        <v>46149</v>
      </c>
      <c r="I143" s="15">
        <v>46153</v>
      </c>
      <c r="J143" s="15" t="s">
        <v>163</v>
      </c>
      <c r="K143" s="16" t="s">
        <v>182</v>
      </c>
      <c r="L143" t="s">
        <v>227</v>
      </c>
      <c r="M143" s="16" t="s">
        <v>152</v>
      </c>
      <c r="N143" s="16" t="s">
        <v>153</v>
      </c>
      <c r="O143" t="s">
        <v>1614</v>
      </c>
      <c r="P143" s="18">
        <v>1746</v>
      </c>
      <c r="Q143" s="21">
        <v>14</v>
      </c>
      <c r="R143" s="21" t="str">
        <f t="shared" si="42"/>
        <v>8-14 days</v>
      </c>
      <c r="S143" s="16" t="s">
        <v>145</v>
      </c>
      <c r="T143" s="16" t="s">
        <v>236</v>
      </c>
      <c r="U143" s="16" t="s">
        <v>164</v>
      </c>
      <c r="V143" t="str">
        <f>IF(U143="","",IFERROR(VLOOKUP(U143,Hotels!A:B,2,FALSE),"Not Found"))</f>
        <v>Marriott</v>
      </c>
      <c r="W143" s="14">
        <v>480.73</v>
      </c>
      <c r="X143" s="14">
        <v>0</v>
      </c>
      <c r="Y143" s="21">
        <v>3</v>
      </c>
      <c r="Z143" s="29">
        <f t="shared" si="43"/>
        <v>150.36666666666667</v>
      </c>
      <c r="AA143" s="14">
        <v>451.1</v>
      </c>
      <c r="AB143" s="14">
        <v>94.12</v>
      </c>
      <c r="AC143" s="14">
        <v>1025.95</v>
      </c>
      <c r="AD143" s="16" t="s">
        <v>147</v>
      </c>
      <c r="AE143" s="16" t="s">
        <v>147</v>
      </c>
      <c r="AF143" s="14">
        <f>SUMIF('Trip Changes'!$B:$B,A143,'Trip Changes'!$E:$E)</f>
        <v>0</v>
      </c>
      <c r="AG143" s="23">
        <f>SUMIF('Trip Cancellations'!$B:$B,A143,'Trip Cancellations'!$E:$E)</f>
        <v>0</v>
      </c>
      <c r="AH143" s="14">
        <f>SUMIF('Trip Cancellations'!$B:$B,A143,'Trip Cancellations'!$F:$F)</f>
        <v>0</v>
      </c>
      <c r="AI143" s="14">
        <f t="shared" si="44"/>
        <v>1025.95</v>
      </c>
      <c r="AJ143" s="14" t="str">
        <f t="shared" si="45"/>
        <v>Yes</v>
      </c>
      <c r="AK143" s="14" t="str">
        <f>IF(Y143=0,"N/A",
IF(_xlfn.XLOOKUP(U143,Hotels!A:A,Hotels!C:C)=TRUE,"Yes","No"))</f>
        <v>Yes</v>
      </c>
      <c r="AL143" s="14" t="str">
        <f>IF(N143="Rail","N/A",IF(_xlfn.XLOOKUP(T143,Airlines!A:A,Airlines!C:C)=TRUE,"Yes","No"))</f>
        <v>Yes</v>
      </c>
      <c r="AM143" s="14" t="str">
        <f t="shared" si="46"/>
        <v>Yes</v>
      </c>
      <c r="AN143" s="14" t="str">
        <f t="shared" si="47"/>
        <v>Yes</v>
      </c>
      <c r="AO143" s="14" t="str">
        <f t="shared" si="48"/>
        <v>Yes</v>
      </c>
      <c r="AP143" s="16" t="s">
        <v>148</v>
      </c>
      <c r="AQ143" t="str">
        <f t="shared" si="49"/>
        <v>Yes</v>
      </c>
      <c r="AR143" s="21">
        <v>4</v>
      </c>
      <c r="AS143" s="5">
        <v>261.89999999999998</v>
      </c>
      <c r="AT143" s="5" t="str">
        <f>IF(T143="","",_xlfn.XLOOKUP(T143,Airlines!A:A,Airlines!B:B,"Not Found"))</f>
        <v>KLM</v>
      </c>
      <c r="AU143" s="5" t="str">
        <f>IF(U143="","",_xlfn.XLOOKUP(U143,Hotels!A:A,Hotels!B:B,"Not found"))</f>
        <v>Marriott</v>
      </c>
      <c r="AV143" t="s">
        <v>147</v>
      </c>
      <c r="AW143" s="16" t="str">
        <f t="shared" si="50"/>
        <v>OK</v>
      </c>
      <c r="AX143" s="16" t="str">
        <f t="shared" si="51"/>
        <v>OK</v>
      </c>
      <c r="AY143" s="16" t="str">
        <f t="shared" si="52"/>
        <v>OK</v>
      </c>
      <c r="AZ143" s="16" t="str">
        <f t="shared" si="53"/>
        <v>OK</v>
      </c>
      <c r="BA143" s="16" t="str">
        <f t="shared" si="57"/>
        <v>OK</v>
      </c>
      <c r="BB143" s="21">
        <f>COUNTIF('Trip Changes'!B:B,A143)</f>
        <v>0</v>
      </c>
      <c r="BC143" s="16" t="str">
        <f>IF(OR(AND(AD143="Yes",COUNTIF('Trip Changes'!B:B,A143)&gt;0),AND(AD143="No",COUNTIF('Trip Changes'!B:B,A143)=0)),"OK","Check")</f>
        <v>OK</v>
      </c>
      <c r="BD143" t="str">
        <f t="shared" si="58"/>
        <v>OK</v>
      </c>
      <c r="BE143" t="str">
        <f t="shared" si="59"/>
        <v>OK</v>
      </c>
      <c r="BF143" t="str">
        <f t="shared" si="60"/>
        <v>OK</v>
      </c>
      <c r="BG143" t="str">
        <f t="shared" si="61"/>
        <v>OK</v>
      </c>
      <c r="BH143" t="str">
        <f t="shared" si="62"/>
        <v>OK</v>
      </c>
      <c r="BI143" t="str">
        <f t="shared" si="54"/>
        <v>OK</v>
      </c>
      <c r="BJ143" t="str">
        <f t="shared" si="55"/>
        <v>OK</v>
      </c>
      <c r="BK143" t="str">
        <f t="shared" si="56"/>
        <v>OK</v>
      </c>
    </row>
    <row r="144" spans="1:63">
      <c r="A144" s="16" t="s">
        <v>391</v>
      </c>
      <c r="B144" s="16" t="s">
        <v>386</v>
      </c>
      <c r="C144" s="16" t="s">
        <v>182</v>
      </c>
      <c r="D144" s="16" t="s">
        <v>248</v>
      </c>
      <c r="E144" s="16" t="s">
        <v>169</v>
      </c>
      <c r="F144" s="16" t="s">
        <v>178</v>
      </c>
      <c r="G144" s="15">
        <v>46166</v>
      </c>
      <c r="H144" s="15">
        <v>46191</v>
      </c>
      <c r="I144" s="15">
        <v>46195</v>
      </c>
      <c r="J144" s="15" t="s">
        <v>141</v>
      </c>
      <c r="K144" s="16" t="s">
        <v>182</v>
      </c>
      <c r="L144" t="s">
        <v>151</v>
      </c>
      <c r="M144" s="16" t="s">
        <v>152</v>
      </c>
      <c r="N144" s="16" t="s">
        <v>153</v>
      </c>
      <c r="O144" t="s">
        <v>1614</v>
      </c>
      <c r="P144" s="18">
        <v>1564</v>
      </c>
      <c r="Q144" s="21">
        <v>25</v>
      </c>
      <c r="R144" s="21" t="str">
        <f t="shared" si="42"/>
        <v>15-30 days</v>
      </c>
      <c r="S144" s="16" t="s">
        <v>216</v>
      </c>
      <c r="T144" s="16" t="s">
        <v>176</v>
      </c>
      <c r="U144" s="16" t="s">
        <v>155</v>
      </c>
      <c r="V144" t="str">
        <f>IF(U144="","",IFERROR(VLOOKUP(U144,Hotels!A:B,2,FALSE),"Not Found"))</f>
        <v>Hilton</v>
      </c>
      <c r="W144" s="14">
        <v>274.35000000000002</v>
      </c>
      <c r="X144" s="14">
        <v>0</v>
      </c>
      <c r="Y144" s="21">
        <v>3</v>
      </c>
      <c r="Z144" s="29">
        <f t="shared" si="43"/>
        <v>166.68666666666667</v>
      </c>
      <c r="AA144" s="14">
        <v>500.06</v>
      </c>
      <c r="AB144" s="14">
        <v>102.12</v>
      </c>
      <c r="AC144" s="14">
        <v>876.53</v>
      </c>
      <c r="AD144" s="16" t="s">
        <v>147</v>
      </c>
      <c r="AE144" s="16" t="s">
        <v>147</v>
      </c>
      <c r="AF144" s="14">
        <f>SUMIF('Trip Changes'!$B:$B,A144,'Trip Changes'!$E:$E)</f>
        <v>0</v>
      </c>
      <c r="AG144" s="23">
        <f>SUMIF('Trip Cancellations'!$B:$B,A144,'Trip Cancellations'!$E:$E)</f>
        <v>0</v>
      </c>
      <c r="AH144" s="14">
        <f>SUMIF('Trip Cancellations'!$B:$B,A144,'Trip Cancellations'!$F:$F)</f>
        <v>0</v>
      </c>
      <c r="AI144" s="14">
        <f t="shared" si="44"/>
        <v>876.53</v>
      </c>
      <c r="AJ144" s="14" t="str">
        <f t="shared" si="45"/>
        <v>Yes</v>
      </c>
      <c r="AK144" s="14" t="str">
        <f>IF(Y144=0,"N/A",
IF(_xlfn.XLOOKUP(U144,Hotels!A:A,Hotels!C:C)=TRUE,"Yes","No"))</f>
        <v>Yes</v>
      </c>
      <c r="AL144" s="14" t="str">
        <f>IF(N144="Rail","N/A",IF(_xlfn.XLOOKUP(T144,Airlines!A:A,Airlines!C:C)=TRUE,"Yes","No"))</f>
        <v>Yes</v>
      </c>
      <c r="AM144" s="14" t="str">
        <f t="shared" si="46"/>
        <v>Yes</v>
      </c>
      <c r="AN144" s="14" t="str">
        <f t="shared" si="47"/>
        <v>No</v>
      </c>
      <c r="AO144" s="14" t="str">
        <f t="shared" si="48"/>
        <v>Yes</v>
      </c>
      <c r="AP144" s="16" t="s">
        <v>148</v>
      </c>
      <c r="AQ144" t="str">
        <f t="shared" si="49"/>
        <v>No</v>
      </c>
      <c r="AR144" s="21">
        <v>4</v>
      </c>
      <c r="AS144" s="5">
        <v>234.6</v>
      </c>
      <c r="AT144" s="5" t="str">
        <f>IF(T144="","",_xlfn.XLOOKUP(T144,Airlines!A:A,Airlines!B:B,"Not Found"))</f>
        <v>easyJet</v>
      </c>
      <c r="AU144" s="5" t="str">
        <f>IF(U144="","",_xlfn.XLOOKUP(U144,Hotels!A:A,Hotels!B:B,"Not found"))</f>
        <v>Hilton</v>
      </c>
      <c r="AV144" t="s">
        <v>148</v>
      </c>
      <c r="AW144" s="16" t="str">
        <f t="shared" si="50"/>
        <v>OK</v>
      </c>
      <c r="AX144" s="16" t="str">
        <f t="shared" si="51"/>
        <v>OK</v>
      </c>
      <c r="AY144" s="16" t="str">
        <f t="shared" si="52"/>
        <v>OK</v>
      </c>
      <c r="AZ144" s="16" t="str">
        <f t="shared" si="53"/>
        <v>OK</v>
      </c>
      <c r="BA144" s="16" t="str">
        <f t="shared" si="57"/>
        <v>OK</v>
      </c>
      <c r="BB144" s="21">
        <f>COUNTIF('Trip Changes'!B:B,A144)</f>
        <v>0</v>
      </c>
      <c r="BC144" s="16" t="str">
        <f>IF(OR(AND(AD144="Yes",COUNTIF('Trip Changes'!B:B,A144)&gt;0),AND(AD144="No",COUNTIF('Trip Changes'!B:B,A144)=0)),"OK","Check")</f>
        <v>OK</v>
      </c>
      <c r="BD144" t="str">
        <f t="shared" si="58"/>
        <v>OK</v>
      </c>
      <c r="BE144" t="str">
        <f t="shared" si="59"/>
        <v>OK</v>
      </c>
      <c r="BF144" t="str">
        <f t="shared" si="60"/>
        <v>OK</v>
      </c>
      <c r="BG144" t="str">
        <f t="shared" si="61"/>
        <v>OK</v>
      </c>
      <c r="BH144" t="str">
        <f t="shared" si="62"/>
        <v>OK</v>
      </c>
      <c r="BI144" t="str">
        <f t="shared" si="54"/>
        <v>OK</v>
      </c>
      <c r="BJ144" t="str">
        <f t="shared" si="55"/>
        <v>OK</v>
      </c>
      <c r="BK144" t="str">
        <f t="shared" si="56"/>
        <v>OK</v>
      </c>
    </row>
    <row r="145" spans="1:63">
      <c r="A145" s="16" t="s">
        <v>392</v>
      </c>
      <c r="B145" s="16" t="s">
        <v>386</v>
      </c>
      <c r="C145" s="16" t="s">
        <v>182</v>
      </c>
      <c r="D145" s="16" t="s">
        <v>248</v>
      </c>
      <c r="E145" s="16" t="s">
        <v>169</v>
      </c>
      <c r="F145" s="16" t="s">
        <v>140</v>
      </c>
      <c r="G145" s="15">
        <v>46135</v>
      </c>
      <c r="H145" s="15">
        <v>46148</v>
      </c>
      <c r="I145" s="15">
        <v>46151</v>
      </c>
      <c r="J145" s="15" t="s">
        <v>163</v>
      </c>
      <c r="K145" s="16" t="s">
        <v>182</v>
      </c>
      <c r="L145" t="s">
        <v>227</v>
      </c>
      <c r="M145" s="16" t="s">
        <v>152</v>
      </c>
      <c r="N145" s="16" t="s">
        <v>153</v>
      </c>
      <c r="O145" t="s">
        <v>1614</v>
      </c>
      <c r="P145" s="18">
        <v>3492</v>
      </c>
      <c r="Q145" s="21">
        <v>13</v>
      </c>
      <c r="R145" s="21" t="str">
        <f t="shared" si="42"/>
        <v>8-14 days</v>
      </c>
      <c r="S145" s="16" t="s">
        <v>216</v>
      </c>
      <c r="T145" s="16" t="s">
        <v>236</v>
      </c>
      <c r="U145" s="16" t="s">
        <v>164</v>
      </c>
      <c r="V145" t="str">
        <f>IF(U145="","",IFERROR(VLOOKUP(U145,Hotels!A:B,2,FALSE),"Not Found"))</f>
        <v>Marriott</v>
      </c>
      <c r="W145" s="14">
        <v>464.13</v>
      </c>
      <c r="X145" s="14">
        <v>0</v>
      </c>
      <c r="Y145" s="21">
        <v>2</v>
      </c>
      <c r="Z145" s="29">
        <f t="shared" si="43"/>
        <v>98.135000000000005</v>
      </c>
      <c r="AA145" s="14">
        <v>196.27</v>
      </c>
      <c r="AB145" s="14">
        <v>52.44</v>
      </c>
      <c r="AC145" s="14">
        <v>712.84</v>
      </c>
      <c r="AD145" s="16" t="s">
        <v>147</v>
      </c>
      <c r="AE145" s="16" t="s">
        <v>147</v>
      </c>
      <c r="AF145" s="14">
        <f>SUMIF('Trip Changes'!$B:$B,A145,'Trip Changes'!$E:$E)</f>
        <v>0</v>
      </c>
      <c r="AG145" s="23">
        <f>SUMIF('Trip Cancellations'!$B:$B,A145,'Trip Cancellations'!$E:$E)</f>
        <v>0</v>
      </c>
      <c r="AH145" s="14">
        <f>SUMIF('Trip Cancellations'!$B:$B,A145,'Trip Cancellations'!$F:$F)</f>
        <v>0</v>
      </c>
      <c r="AI145" s="14">
        <f t="shared" si="44"/>
        <v>712.84</v>
      </c>
      <c r="AJ145" s="14" t="str">
        <f t="shared" si="45"/>
        <v>Yes</v>
      </c>
      <c r="AK145" s="14" t="str">
        <f>IF(Y145=0,"N/A",
IF(_xlfn.XLOOKUP(U145,Hotels!A:A,Hotels!C:C)=TRUE,"Yes","No"))</f>
        <v>Yes</v>
      </c>
      <c r="AL145" s="14" t="str">
        <f>IF(N145="Rail","N/A",IF(_xlfn.XLOOKUP(T145,Airlines!A:A,Airlines!C:C)=TRUE,"Yes","No"))</f>
        <v>Yes</v>
      </c>
      <c r="AM145" s="14" t="str">
        <f t="shared" si="46"/>
        <v>Yes</v>
      </c>
      <c r="AN145" s="14" t="str">
        <f t="shared" si="47"/>
        <v>No</v>
      </c>
      <c r="AO145" s="14" t="str">
        <f t="shared" si="48"/>
        <v>Yes</v>
      </c>
      <c r="AP145" s="16" t="s">
        <v>148</v>
      </c>
      <c r="AQ145" t="str">
        <f t="shared" si="49"/>
        <v>No</v>
      </c>
      <c r="AR145" s="21">
        <v>4</v>
      </c>
      <c r="AS145" s="5">
        <v>523.79999999999995</v>
      </c>
      <c r="AT145" s="5" t="str">
        <f>IF(T145="","",_xlfn.XLOOKUP(T145,Airlines!A:A,Airlines!B:B,"Not Found"))</f>
        <v>KLM</v>
      </c>
      <c r="AU145" s="5" t="str">
        <f>IF(U145="","",_xlfn.XLOOKUP(U145,Hotels!A:A,Hotels!B:B,"Not found"))</f>
        <v>Marriott</v>
      </c>
      <c r="AV145" t="s">
        <v>147</v>
      </c>
      <c r="AW145" s="16" t="str">
        <f t="shared" si="50"/>
        <v>OK</v>
      </c>
      <c r="AX145" s="16" t="str">
        <f t="shared" si="51"/>
        <v>OK</v>
      </c>
      <c r="AY145" s="16" t="str">
        <f t="shared" si="52"/>
        <v>OK</v>
      </c>
      <c r="AZ145" s="16" t="str">
        <f t="shared" si="53"/>
        <v>OK</v>
      </c>
      <c r="BA145" s="16" t="str">
        <f t="shared" si="57"/>
        <v>OK</v>
      </c>
      <c r="BB145" s="21">
        <f>COUNTIF('Trip Changes'!B:B,A145)</f>
        <v>0</v>
      </c>
      <c r="BC145" s="16" t="str">
        <f>IF(OR(AND(AD145="Yes",COUNTIF('Trip Changes'!B:B,A145)&gt;0),AND(AD145="No",COUNTIF('Trip Changes'!B:B,A145)=0)),"OK","Check")</f>
        <v>OK</v>
      </c>
      <c r="BD145" t="str">
        <f t="shared" si="58"/>
        <v>OK</v>
      </c>
      <c r="BE145" t="str">
        <f t="shared" si="59"/>
        <v>OK</v>
      </c>
      <c r="BF145" t="str">
        <f t="shared" si="60"/>
        <v>OK</v>
      </c>
      <c r="BG145" t="str">
        <f t="shared" si="61"/>
        <v>OK</v>
      </c>
      <c r="BH145" t="str">
        <f t="shared" si="62"/>
        <v>OK</v>
      </c>
      <c r="BI145" t="str">
        <f t="shared" si="54"/>
        <v>OK</v>
      </c>
      <c r="BJ145" t="str">
        <f t="shared" si="55"/>
        <v>OK</v>
      </c>
      <c r="BK145" t="str">
        <f t="shared" si="56"/>
        <v>OK</v>
      </c>
    </row>
    <row r="146" spans="1:63">
      <c r="A146" s="16" t="s">
        <v>393</v>
      </c>
      <c r="B146" s="16" t="s">
        <v>394</v>
      </c>
      <c r="C146" s="16" t="s">
        <v>182</v>
      </c>
      <c r="D146" s="16" t="s">
        <v>168</v>
      </c>
      <c r="E146" s="16" t="s">
        <v>262</v>
      </c>
      <c r="F146" s="16" t="s">
        <v>162</v>
      </c>
      <c r="G146" s="15">
        <v>46119</v>
      </c>
      <c r="H146" s="15">
        <v>46144</v>
      </c>
      <c r="I146" s="15">
        <v>46147</v>
      </c>
      <c r="J146" s="15" t="s">
        <v>163</v>
      </c>
      <c r="K146" s="16" t="s">
        <v>182</v>
      </c>
      <c r="L146" t="s">
        <v>151</v>
      </c>
      <c r="M146" s="16" t="s">
        <v>152</v>
      </c>
      <c r="N146" s="16" t="s">
        <v>153</v>
      </c>
      <c r="O146" t="s">
        <v>1614</v>
      </c>
      <c r="P146" s="18">
        <v>1172</v>
      </c>
      <c r="Q146" s="21">
        <v>25</v>
      </c>
      <c r="R146" s="21" t="str">
        <f t="shared" si="42"/>
        <v>15-30 days</v>
      </c>
      <c r="S146" s="16" t="s">
        <v>145</v>
      </c>
      <c r="T146" s="16" t="s">
        <v>154</v>
      </c>
      <c r="U146" s="16" t="s">
        <v>164</v>
      </c>
      <c r="V146" t="str">
        <f>IF(U146="","",IFERROR(VLOOKUP(U146,Hotels!A:B,2,FALSE),"Not Found"))</f>
        <v>Marriott</v>
      </c>
      <c r="W146" s="14">
        <v>635.59</v>
      </c>
      <c r="X146" s="14">
        <v>0</v>
      </c>
      <c r="Y146" s="21">
        <v>2</v>
      </c>
      <c r="Z146" s="29">
        <f t="shared" si="43"/>
        <v>161.16</v>
      </c>
      <c r="AA146" s="14">
        <v>322.32</v>
      </c>
      <c r="AB146" s="14">
        <v>89.44</v>
      </c>
      <c r="AC146" s="14">
        <v>1047.3499999999999</v>
      </c>
      <c r="AD146" s="16" t="s">
        <v>147</v>
      </c>
      <c r="AE146" s="16" t="s">
        <v>147</v>
      </c>
      <c r="AF146" s="14">
        <f>SUMIF('Trip Changes'!$B:$B,A146,'Trip Changes'!$E:$E)</f>
        <v>0</v>
      </c>
      <c r="AG146" s="23">
        <f>SUMIF('Trip Cancellations'!$B:$B,A146,'Trip Cancellations'!$E:$E)</f>
        <v>0</v>
      </c>
      <c r="AH146" s="14">
        <f>SUMIF('Trip Cancellations'!$B:$B,A146,'Trip Cancellations'!$F:$F)</f>
        <v>0</v>
      </c>
      <c r="AI146" s="14">
        <f t="shared" si="44"/>
        <v>1047.3499999999999</v>
      </c>
      <c r="AJ146" s="14" t="str">
        <f t="shared" si="45"/>
        <v>Yes</v>
      </c>
      <c r="AK146" s="14" t="str">
        <f>IF(Y146=0,"N/A",
IF(_xlfn.XLOOKUP(U146,Hotels!A:A,Hotels!C:C)=TRUE,"Yes","No"))</f>
        <v>Yes</v>
      </c>
      <c r="AL146" s="14" t="str">
        <f>IF(N146="Rail","N/A",IF(_xlfn.XLOOKUP(T146,Airlines!A:A,Airlines!C:C)=TRUE,"Yes","No"))</f>
        <v>Yes</v>
      </c>
      <c r="AM146" s="14" t="str">
        <f t="shared" si="46"/>
        <v>Yes</v>
      </c>
      <c r="AN146" s="14" t="str">
        <f t="shared" si="47"/>
        <v>Yes</v>
      </c>
      <c r="AO146" s="14" t="str">
        <f t="shared" si="48"/>
        <v>Yes</v>
      </c>
      <c r="AP146" s="16" t="s">
        <v>147</v>
      </c>
      <c r="AQ146" t="str">
        <f t="shared" si="49"/>
        <v>Yes</v>
      </c>
      <c r="AR146" s="21">
        <v>4</v>
      </c>
      <c r="AS146" s="5">
        <v>175.8</v>
      </c>
      <c r="AT146" s="5" t="str">
        <f>IF(T146="","",_xlfn.XLOOKUP(T146,Airlines!A:A,Airlines!B:B,"Not Found"))</f>
        <v>British Airways</v>
      </c>
      <c r="AU146" s="5" t="str">
        <f>IF(U146="","",_xlfn.XLOOKUP(U146,Hotels!A:A,Hotels!B:B,"Not found"))</f>
        <v>Marriott</v>
      </c>
      <c r="AV146" t="s">
        <v>148</v>
      </c>
      <c r="AW146" s="16" t="str">
        <f t="shared" si="50"/>
        <v>OK</v>
      </c>
      <c r="AX146" s="16" t="str">
        <f t="shared" si="51"/>
        <v>OK</v>
      </c>
      <c r="AY146" s="16" t="str">
        <f t="shared" si="52"/>
        <v>OK</v>
      </c>
      <c r="AZ146" s="16" t="str">
        <f t="shared" si="53"/>
        <v>OK</v>
      </c>
      <c r="BA146" s="16" t="str">
        <f t="shared" si="57"/>
        <v>OK</v>
      </c>
      <c r="BB146" s="21">
        <f>COUNTIF('Trip Changes'!B:B,A146)</f>
        <v>0</v>
      </c>
      <c r="BC146" s="16" t="str">
        <f>IF(OR(AND(AD146="Yes",COUNTIF('Trip Changes'!B:B,A146)&gt;0),AND(AD146="No",COUNTIF('Trip Changes'!B:B,A146)=0)),"OK","Check")</f>
        <v>OK</v>
      </c>
      <c r="BD146" t="str">
        <f t="shared" si="58"/>
        <v>OK</v>
      </c>
      <c r="BE146" t="str">
        <f t="shared" si="59"/>
        <v>OK</v>
      </c>
      <c r="BF146" t="str">
        <f t="shared" si="60"/>
        <v>OK</v>
      </c>
      <c r="BG146" t="str">
        <f t="shared" si="61"/>
        <v>OK</v>
      </c>
      <c r="BH146" t="str">
        <f t="shared" si="62"/>
        <v>OK</v>
      </c>
      <c r="BI146" t="str">
        <f t="shared" si="54"/>
        <v>OK</v>
      </c>
      <c r="BJ146" t="str">
        <f t="shared" si="55"/>
        <v>OK</v>
      </c>
      <c r="BK146" t="str">
        <f t="shared" si="56"/>
        <v>OK</v>
      </c>
    </row>
    <row r="147" spans="1:63">
      <c r="A147" s="16" t="s">
        <v>395</v>
      </c>
      <c r="B147" s="16" t="s">
        <v>394</v>
      </c>
      <c r="C147" s="16" t="s">
        <v>182</v>
      </c>
      <c r="D147" s="16" t="s">
        <v>168</v>
      </c>
      <c r="E147" s="16" t="s">
        <v>262</v>
      </c>
      <c r="F147" s="16" t="s">
        <v>189</v>
      </c>
      <c r="G147" s="15">
        <v>46161</v>
      </c>
      <c r="H147" s="15">
        <v>46181</v>
      </c>
      <c r="I147" s="15">
        <v>46182</v>
      </c>
      <c r="J147" s="15" t="s">
        <v>141</v>
      </c>
      <c r="K147" s="16" t="s">
        <v>182</v>
      </c>
      <c r="L147" t="s">
        <v>182</v>
      </c>
      <c r="M147" s="16" t="s">
        <v>143</v>
      </c>
      <c r="N147" s="16" t="s">
        <v>144</v>
      </c>
      <c r="O147" t="s">
        <v>1630</v>
      </c>
      <c r="P147" s="18">
        <v>1090</v>
      </c>
      <c r="Q147" s="21">
        <v>20</v>
      </c>
      <c r="R147" s="21" t="str">
        <f t="shared" si="42"/>
        <v>15-30 days</v>
      </c>
      <c r="S147" s="16" t="s">
        <v>145</v>
      </c>
      <c r="V147" t="str">
        <f>IF(U147="","",IFERROR(VLOOKUP(U147,Hotels!A:B,2,FALSE),"Not Found"))</f>
        <v/>
      </c>
      <c r="W147" s="14">
        <v>0</v>
      </c>
      <c r="X147" s="14">
        <v>206.41</v>
      </c>
      <c r="Y147" s="21">
        <v>0</v>
      </c>
      <c r="Z147" s="29">
        <f t="shared" si="43"/>
        <v>0</v>
      </c>
      <c r="AA147" s="14">
        <v>0</v>
      </c>
      <c r="AB147" s="14">
        <v>51.37</v>
      </c>
      <c r="AC147" s="14">
        <v>257.77999999999997</v>
      </c>
      <c r="AD147" s="16" t="s">
        <v>147</v>
      </c>
      <c r="AE147" s="16" t="s">
        <v>147</v>
      </c>
      <c r="AF147" s="14">
        <f>SUMIF('Trip Changes'!$B:$B,A147,'Trip Changes'!$E:$E)</f>
        <v>0</v>
      </c>
      <c r="AG147" s="23">
        <f>SUMIF('Trip Cancellations'!$B:$B,A147,'Trip Cancellations'!$E:$E)</f>
        <v>0</v>
      </c>
      <c r="AH147" s="14">
        <f>SUMIF('Trip Cancellations'!$B:$B,A147,'Trip Cancellations'!$F:$F)</f>
        <v>0</v>
      </c>
      <c r="AI147" s="14">
        <f t="shared" si="44"/>
        <v>257.77999999999997</v>
      </c>
      <c r="AJ147" s="14" t="str">
        <f t="shared" si="45"/>
        <v>N/A</v>
      </c>
      <c r="AK147" s="14" t="str">
        <f>IF(Y147=0,"N/A",
IF(_xlfn.XLOOKUP(U147,Hotels!A:A,Hotels!C:C)=TRUE,"Yes","No"))</f>
        <v>N/A</v>
      </c>
      <c r="AL147" s="14" t="str">
        <f>IF(N147="Rail","N/A",IF(_xlfn.XLOOKUP(T147,Airlines!A:A,Airlines!C:C)=TRUE,"Yes","No"))</f>
        <v>N/A</v>
      </c>
      <c r="AM147" s="14" t="str">
        <f t="shared" si="46"/>
        <v>Yes</v>
      </c>
      <c r="AN147" s="14" t="str">
        <f t="shared" si="47"/>
        <v>Yes</v>
      </c>
      <c r="AO147" s="14" t="str">
        <f t="shared" si="48"/>
        <v>Yes</v>
      </c>
      <c r="AP147" s="16" t="s">
        <v>148</v>
      </c>
      <c r="AQ147" t="str">
        <f t="shared" si="49"/>
        <v>Yes</v>
      </c>
      <c r="AR147" s="21">
        <v>5</v>
      </c>
      <c r="AS147" s="5">
        <v>43.6</v>
      </c>
      <c r="AT147" s="5" t="str">
        <f>IF(T147="","",_xlfn.XLOOKUP(T147,Airlines!A:A,Airlines!B:B,"Not Found"))</f>
        <v/>
      </c>
      <c r="AU147" s="5" t="str">
        <f>IF(U147="","",_xlfn.XLOOKUP(U147,Hotels!A:A,Hotels!B:B,"Not found"))</f>
        <v/>
      </c>
      <c r="AV147" t="s">
        <v>147</v>
      </c>
      <c r="AW147" s="16" t="str">
        <f t="shared" si="50"/>
        <v>OK</v>
      </c>
      <c r="AX147" s="16" t="str">
        <f t="shared" si="51"/>
        <v>OK</v>
      </c>
      <c r="AY147" s="16" t="str">
        <f t="shared" si="52"/>
        <v>OK</v>
      </c>
      <c r="AZ147" s="16" t="str">
        <f t="shared" si="53"/>
        <v>OK</v>
      </c>
      <c r="BA147" s="16" t="str">
        <f t="shared" si="57"/>
        <v>OK</v>
      </c>
      <c r="BB147" s="21">
        <f>COUNTIF('Trip Changes'!B:B,A147)</f>
        <v>0</v>
      </c>
      <c r="BC147" s="16" t="str">
        <f>IF(OR(AND(AD147="Yes",COUNTIF('Trip Changes'!B:B,A147)&gt;0),AND(AD147="No",COUNTIF('Trip Changes'!B:B,A147)=0)),"OK","Check")</f>
        <v>OK</v>
      </c>
      <c r="BD147" t="str">
        <f t="shared" si="58"/>
        <v>OK</v>
      </c>
      <c r="BE147" t="str">
        <f t="shared" si="59"/>
        <v>OK</v>
      </c>
      <c r="BF147" t="str">
        <f t="shared" si="60"/>
        <v>OK</v>
      </c>
      <c r="BG147" t="str">
        <f t="shared" si="61"/>
        <v>OK</v>
      </c>
      <c r="BH147" t="str">
        <f t="shared" si="62"/>
        <v>OK</v>
      </c>
      <c r="BI147" t="str">
        <f t="shared" si="54"/>
        <v>OK</v>
      </c>
      <c r="BJ147" t="str">
        <f t="shared" si="55"/>
        <v>OK</v>
      </c>
      <c r="BK147" t="str">
        <f t="shared" si="56"/>
        <v>OK</v>
      </c>
    </row>
    <row r="148" spans="1:63">
      <c r="A148" s="16" t="s">
        <v>396</v>
      </c>
      <c r="B148" s="16" t="s">
        <v>394</v>
      </c>
      <c r="C148" s="16" t="s">
        <v>182</v>
      </c>
      <c r="D148" s="16" t="s">
        <v>168</v>
      </c>
      <c r="E148" s="16" t="s">
        <v>262</v>
      </c>
      <c r="F148" s="16" t="s">
        <v>181</v>
      </c>
      <c r="G148" s="15">
        <v>46139</v>
      </c>
      <c r="H148" s="15">
        <v>46162</v>
      </c>
      <c r="I148" s="15">
        <v>46164</v>
      </c>
      <c r="J148" s="15" t="s">
        <v>163</v>
      </c>
      <c r="K148" s="16" t="s">
        <v>182</v>
      </c>
      <c r="L148" t="s">
        <v>233</v>
      </c>
      <c r="M148" s="16" t="s">
        <v>152</v>
      </c>
      <c r="N148" s="16" t="s">
        <v>153</v>
      </c>
      <c r="O148" t="s">
        <v>1614</v>
      </c>
      <c r="P148" s="18">
        <v>1860</v>
      </c>
      <c r="Q148" s="21">
        <v>23</v>
      </c>
      <c r="R148" s="21" t="str">
        <f t="shared" si="42"/>
        <v>15-30 days</v>
      </c>
      <c r="S148" s="16" t="s">
        <v>145</v>
      </c>
      <c r="T148" s="16" t="s">
        <v>176</v>
      </c>
      <c r="U148" s="16" t="s">
        <v>164</v>
      </c>
      <c r="V148" t="str">
        <f>IF(U148="","",IFERROR(VLOOKUP(U148,Hotels!A:B,2,FALSE),"Not Found"))</f>
        <v>Marriott</v>
      </c>
      <c r="W148" s="14">
        <v>417.56</v>
      </c>
      <c r="X148" s="14">
        <v>0</v>
      </c>
      <c r="Y148" s="21">
        <v>1</v>
      </c>
      <c r="Z148" s="29">
        <f t="shared" si="43"/>
        <v>139.83000000000001</v>
      </c>
      <c r="AA148" s="14">
        <v>139.83000000000001</v>
      </c>
      <c r="AB148" s="14">
        <v>119.58</v>
      </c>
      <c r="AC148" s="14">
        <v>676.97</v>
      </c>
      <c r="AD148" s="16" t="s">
        <v>147</v>
      </c>
      <c r="AE148" s="16" t="s">
        <v>147</v>
      </c>
      <c r="AF148" s="14">
        <f>SUMIF('Trip Changes'!$B:$B,A148,'Trip Changes'!$E:$E)</f>
        <v>0</v>
      </c>
      <c r="AG148" s="23">
        <f>SUMIF('Trip Cancellations'!$B:$B,A148,'Trip Cancellations'!$E:$E)</f>
        <v>0</v>
      </c>
      <c r="AH148" s="14">
        <f>SUMIF('Trip Cancellations'!$B:$B,A148,'Trip Cancellations'!$F:$F)</f>
        <v>0</v>
      </c>
      <c r="AI148" s="14">
        <f t="shared" si="44"/>
        <v>676.97</v>
      </c>
      <c r="AJ148" s="14" t="str">
        <f t="shared" si="45"/>
        <v>Yes</v>
      </c>
      <c r="AK148" s="14" t="str">
        <f>IF(Y148=0,"N/A",
IF(_xlfn.XLOOKUP(U148,Hotels!A:A,Hotels!C:C)=TRUE,"Yes","No"))</f>
        <v>Yes</v>
      </c>
      <c r="AL148" s="14" t="str">
        <f>IF(N148="Rail","N/A",IF(_xlfn.XLOOKUP(T148,Airlines!A:A,Airlines!C:C)=TRUE,"Yes","No"))</f>
        <v>Yes</v>
      </c>
      <c r="AM148" s="14" t="str">
        <f t="shared" si="46"/>
        <v>Yes</v>
      </c>
      <c r="AN148" s="14" t="str">
        <f t="shared" si="47"/>
        <v>Yes</v>
      </c>
      <c r="AO148" s="14" t="str">
        <f t="shared" si="48"/>
        <v>Yes</v>
      </c>
      <c r="AP148" s="16" t="s">
        <v>148</v>
      </c>
      <c r="AQ148" t="str">
        <f t="shared" si="49"/>
        <v>Yes</v>
      </c>
      <c r="AR148" s="21">
        <v>5</v>
      </c>
      <c r="AS148" s="5">
        <v>279</v>
      </c>
      <c r="AT148" s="5" t="str">
        <f>IF(T148="","",_xlfn.XLOOKUP(T148,Airlines!A:A,Airlines!B:B,"Not Found"))</f>
        <v>easyJet</v>
      </c>
      <c r="AU148" s="5" t="str">
        <f>IF(U148="","",_xlfn.XLOOKUP(U148,Hotels!A:A,Hotels!B:B,"Not found"))</f>
        <v>Marriott</v>
      </c>
      <c r="AV148" t="s">
        <v>147</v>
      </c>
      <c r="AW148" s="16" t="str">
        <f t="shared" si="50"/>
        <v>OK</v>
      </c>
      <c r="AX148" s="16" t="str">
        <f t="shared" si="51"/>
        <v>OK</v>
      </c>
      <c r="AY148" s="16" t="str">
        <f t="shared" si="52"/>
        <v>OK</v>
      </c>
      <c r="AZ148" s="16" t="str">
        <f t="shared" si="53"/>
        <v>OK</v>
      </c>
      <c r="BA148" s="16" t="str">
        <f t="shared" si="57"/>
        <v>OK</v>
      </c>
      <c r="BB148" s="21">
        <f>COUNTIF('Trip Changes'!B:B,A148)</f>
        <v>0</v>
      </c>
      <c r="BC148" s="16" t="str">
        <f>IF(OR(AND(AD148="Yes",COUNTIF('Trip Changes'!B:B,A148)&gt;0),AND(AD148="No",COUNTIF('Trip Changes'!B:B,A148)=0)),"OK","Check")</f>
        <v>OK</v>
      </c>
      <c r="BD148" t="str">
        <f t="shared" si="58"/>
        <v>OK</v>
      </c>
      <c r="BE148" t="str">
        <f t="shared" si="59"/>
        <v>OK</v>
      </c>
      <c r="BF148" t="str">
        <f t="shared" si="60"/>
        <v>OK</v>
      </c>
      <c r="BG148" t="str">
        <f t="shared" si="61"/>
        <v>OK</v>
      </c>
      <c r="BH148" t="str">
        <f t="shared" si="62"/>
        <v>OK</v>
      </c>
      <c r="BI148" t="str">
        <f t="shared" si="54"/>
        <v>OK</v>
      </c>
      <c r="BJ148" t="str">
        <f t="shared" si="55"/>
        <v>OK</v>
      </c>
      <c r="BK148" t="str">
        <f t="shared" si="56"/>
        <v>OK</v>
      </c>
    </row>
    <row r="149" spans="1:63">
      <c r="A149" s="16" t="s">
        <v>397</v>
      </c>
      <c r="B149" s="16" t="s">
        <v>394</v>
      </c>
      <c r="C149" s="16" t="s">
        <v>182</v>
      </c>
      <c r="D149" s="16" t="s">
        <v>168</v>
      </c>
      <c r="E149" s="16" t="s">
        <v>262</v>
      </c>
      <c r="F149" s="16" t="s">
        <v>189</v>
      </c>
      <c r="G149" s="15">
        <v>46229</v>
      </c>
      <c r="H149" s="15">
        <v>46232</v>
      </c>
      <c r="I149" s="15">
        <v>46235</v>
      </c>
      <c r="J149" s="15" t="s">
        <v>150</v>
      </c>
      <c r="K149" s="16" t="s">
        <v>182</v>
      </c>
      <c r="L149" t="s">
        <v>199</v>
      </c>
      <c r="M149" s="16" t="s">
        <v>152</v>
      </c>
      <c r="N149" s="16" t="s">
        <v>153</v>
      </c>
      <c r="O149" t="s">
        <v>1614</v>
      </c>
      <c r="P149" s="18">
        <v>2168</v>
      </c>
      <c r="Q149" s="21">
        <v>3</v>
      </c>
      <c r="R149" s="21" t="str">
        <f t="shared" si="42"/>
        <v>0-3 days</v>
      </c>
      <c r="S149" s="16" t="s">
        <v>216</v>
      </c>
      <c r="T149" s="16" t="s">
        <v>291</v>
      </c>
      <c r="U149" s="16" t="s">
        <v>155</v>
      </c>
      <c r="V149" t="str">
        <f>IF(U149="","",IFERROR(VLOOKUP(U149,Hotels!A:B,2,FALSE),"Not Found"))</f>
        <v>Hilton</v>
      </c>
      <c r="W149" s="14">
        <v>417.67</v>
      </c>
      <c r="X149" s="14">
        <v>0</v>
      </c>
      <c r="Y149" s="21">
        <v>2</v>
      </c>
      <c r="Z149" s="29">
        <f t="shared" si="43"/>
        <v>154.48500000000001</v>
      </c>
      <c r="AA149" s="14">
        <v>308.97000000000003</v>
      </c>
      <c r="AB149" s="14">
        <v>92.84</v>
      </c>
      <c r="AC149" s="14">
        <v>819.48</v>
      </c>
      <c r="AD149" s="16" t="s">
        <v>147</v>
      </c>
      <c r="AE149" s="16" t="s">
        <v>147</v>
      </c>
      <c r="AF149" s="14">
        <f>SUMIF('Trip Changes'!$B:$B,A149,'Trip Changes'!$E:$E)</f>
        <v>0</v>
      </c>
      <c r="AG149" s="23">
        <f>SUMIF('Trip Cancellations'!$B:$B,A149,'Trip Cancellations'!$E:$E)</f>
        <v>0</v>
      </c>
      <c r="AH149" s="14">
        <f>SUMIF('Trip Cancellations'!$B:$B,A149,'Trip Cancellations'!$F:$F)</f>
        <v>0</v>
      </c>
      <c r="AI149" s="14">
        <f t="shared" si="44"/>
        <v>819.48</v>
      </c>
      <c r="AJ149" s="14" t="str">
        <f t="shared" si="45"/>
        <v>Yes</v>
      </c>
      <c r="AK149" s="14" t="str">
        <f>IF(Y149=0,"N/A",
IF(_xlfn.XLOOKUP(U149,Hotels!A:A,Hotels!C:C)=TRUE,"Yes","No"))</f>
        <v>Yes</v>
      </c>
      <c r="AL149" s="14" t="str">
        <f>IF(N149="Rail","N/A",IF(_xlfn.XLOOKUP(T149,Airlines!A:A,Airlines!C:C)=TRUE,"Yes","No"))</f>
        <v>No</v>
      </c>
      <c r="AM149" s="14" t="str">
        <f t="shared" si="46"/>
        <v>Yes</v>
      </c>
      <c r="AN149" s="14" t="str">
        <f t="shared" si="47"/>
        <v>No</v>
      </c>
      <c r="AO149" s="14" t="str">
        <f t="shared" si="48"/>
        <v>No</v>
      </c>
      <c r="AP149" s="16" t="s">
        <v>148</v>
      </c>
      <c r="AQ149" t="str">
        <f t="shared" si="49"/>
        <v>No</v>
      </c>
      <c r="AR149" s="21">
        <v>5</v>
      </c>
      <c r="AS149" s="5">
        <v>325.2</v>
      </c>
      <c r="AT149" s="5" t="str">
        <f>IF(T149="","",_xlfn.XLOOKUP(T149,Airlines!A:A,Airlines!B:B,"Not Found"))</f>
        <v>Ryanair</v>
      </c>
      <c r="AU149" s="5" t="str">
        <f>IF(U149="","",_xlfn.XLOOKUP(U149,Hotels!A:A,Hotels!B:B,"Not found"))</f>
        <v>Hilton</v>
      </c>
      <c r="AV149" t="s">
        <v>147</v>
      </c>
      <c r="AW149" s="16" t="str">
        <f t="shared" si="50"/>
        <v>OK</v>
      </c>
      <c r="AX149" s="16" t="str">
        <f t="shared" si="51"/>
        <v>OK</v>
      </c>
      <c r="AY149" s="16" t="str">
        <f t="shared" si="52"/>
        <v>OK</v>
      </c>
      <c r="AZ149" s="16" t="str">
        <f t="shared" si="53"/>
        <v>OK</v>
      </c>
      <c r="BA149" s="16" t="str">
        <f t="shared" si="57"/>
        <v>OK</v>
      </c>
      <c r="BB149" s="21">
        <f>COUNTIF('Trip Changes'!B:B,A149)</f>
        <v>0</v>
      </c>
      <c r="BC149" s="16" t="str">
        <f>IF(OR(AND(AD149="Yes",COUNTIF('Trip Changes'!B:B,A149)&gt;0),AND(AD149="No",COUNTIF('Trip Changes'!B:B,A149)=0)),"OK","Check")</f>
        <v>OK</v>
      </c>
      <c r="BD149" t="str">
        <f t="shared" si="58"/>
        <v>OK</v>
      </c>
      <c r="BE149" t="str">
        <f t="shared" si="59"/>
        <v>OK</v>
      </c>
      <c r="BF149" t="str">
        <f t="shared" si="60"/>
        <v>OK</v>
      </c>
      <c r="BG149" t="str">
        <f t="shared" si="61"/>
        <v>OK</v>
      </c>
      <c r="BH149" t="str">
        <f t="shared" si="62"/>
        <v>OK</v>
      </c>
      <c r="BI149" t="str">
        <f t="shared" si="54"/>
        <v>OK</v>
      </c>
      <c r="BJ149" t="str">
        <f t="shared" si="55"/>
        <v>OK</v>
      </c>
      <c r="BK149" t="str">
        <f t="shared" si="56"/>
        <v>OK</v>
      </c>
    </row>
    <row r="150" spans="1:63">
      <c r="A150" s="16" t="s">
        <v>398</v>
      </c>
      <c r="B150" s="16" t="s">
        <v>399</v>
      </c>
      <c r="C150" s="16" t="s">
        <v>193</v>
      </c>
      <c r="D150" s="16" t="s">
        <v>168</v>
      </c>
      <c r="E150" s="16" t="s">
        <v>262</v>
      </c>
      <c r="F150" s="16" t="s">
        <v>157</v>
      </c>
      <c r="G150" s="15">
        <v>46196</v>
      </c>
      <c r="H150" s="15">
        <v>46207</v>
      </c>
      <c r="I150" s="15">
        <v>46210</v>
      </c>
      <c r="J150" s="15" t="s">
        <v>150</v>
      </c>
      <c r="K150" s="16" t="s">
        <v>193</v>
      </c>
      <c r="L150" t="s">
        <v>199</v>
      </c>
      <c r="M150" s="16" t="s">
        <v>152</v>
      </c>
      <c r="N150" s="16" t="s">
        <v>153</v>
      </c>
      <c r="O150" t="s">
        <v>1632</v>
      </c>
      <c r="P150" s="18">
        <v>2456</v>
      </c>
      <c r="Q150" s="21">
        <v>11</v>
      </c>
      <c r="R150" s="21" t="str">
        <f t="shared" si="42"/>
        <v>8-14 days</v>
      </c>
      <c r="S150" s="16" t="s">
        <v>216</v>
      </c>
      <c r="T150" s="16" t="s">
        <v>291</v>
      </c>
      <c r="U150" s="16" t="s">
        <v>187</v>
      </c>
      <c r="V150" t="str">
        <f>IF(U150="","",IFERROR(VLOOKUP(U150,Hotels!A:B,2,FALSE),"Not Found"))</f>
        <v>IHG Hotels &amp; Resorts</v>
      </c>
      <c r="W150" s="14">
        <v>565.6</v>
      </c>
      <c r="X150" s="14">
        <v>0</v>
      </c>
      <c r="Y150" s="21">
        <v>2</v>
      </c>
      <c r="Z150" s="29">
        <f t="shared" si="43"/>
        <v>198.465</v>
      </c>
      <c r="AA150" s="14">
        <v>396.93</v>
      </c>
      <c r="AB150" s="14">
        <v>39.25</v>
      </c>
      <c r="AC150" s="14">
        <v>1001.78</v>
      </c>
      <c r="AD150" s="16" t="s">
        <v>147</v>
      </c>
      <c r="AE150" s="16" t="s">
        <v>147</v>
      </c>
      <c r="AF150" s="14">
        <f>SUMIF('Trip Changes'!$B:$B,A150,'Trip Changes'!$E:$E)</f>
        <v>0</v>
      </c>
      <c r="AG150" s="23">
        <f>SUMIF('Trip Cancellations'!$B:$B,A150,'Trip Cancellations'!$E:$E)</f>
        <v>0</v>
      </c>
      <c r="AH150" s="14">
        <f>SUMIF('Trip Cancellations'!$B:$B,A150,'Trip Cancellations'!$F:$F)</f>
        <v>0</v>
      </c>
      <c r="AI150" s="14">
        <f t="shared" si="44"/>
        <v>1001.78</v>
      </c>
      <c r="AJ150" s="14" t="str">
        <f t="shared" si="45"/>
        <v>No</v>
      </c>
      <c r="AK150" s="14" t="str">
        <f>IF(Y150=0,"N/A",
IF(_xlfn.XLOOKUP(U150,Hotels!A:A,Hotels!C:C)=TRUE,"Yes","No"))</f>
        <v>Yes</v>
      </c>
      <c r="AL150" s="14" t="str">
        <f>IF(N150="Rail","N/A",IF(_xlfn.XLOOKUP(T150,Airlines!A:A,Airlines!C:C)=TRUE,"Yes","No"))</f>
        <v>No</v>
      </c>
      <c r="AM150" s="14" t="str">
        <f t="shared" si="46"/>
        <v>No</v>
      </c>
      <c r="AN150" s="14" t="str">
        <f t="shared" si="47"/>
        <v>No</v>
      </c>
      <c r="AO150" s="14" t="str">
        <f t="shared" si="48"/>
        <v>No</v>
      </c>
      <c r="AP150" s="16" t="s">
        <v>148</v>
      </c>
      <c r="AQ150" t="str">
        <f t="shared" si="49"/>
        <v>No</v>
      </c>
      <c r="AR150" s="21">
        <v>5</v>
      </c>
      <c r="AS150" s="5">
        <v>368.4</v>
      </c>
      <c r="AT150" s="5" t="str">
        <f>IF(T150="","",_xlfn.XLOOKUP(T150,Airlines!A:A,Airlines!B:B,"Not Found"))</f>
        <v>Ryanair</v>
      </c>
      <c r="AU150" s="5" t="str">
        <f>IF(U150="","",_xlfn.XLOOKUP(U150,Hotels!A:A,Hotels!B:B,"Not found"))</f>
        <v>IHG Hotels &amp; Resorts</v>
      </c>
      <c r="AV150" t="s">
        <v>147</v>
      </c>
      <c r="AW150" s="16" t="str">
        <f t="shared" si="50"/>
        <v>OK</v>
      </c>
      <c r="AX150" s="16" t="str">
        <f t="shared" si="51"/>
        <v>OK</v>
      </c>
      <c r="AY150" s="16" t="str">
        <f t="shared" si="52"/>
        <v>OK</v>
      </c>
      <c r="AZ150" s="16" t="str">
        <f t="shared" si="53"/>
        <v>OK</v>
      </c>
      <c r="BA150" s="16" t="str">
        <f t="shared" si="57"/>
        <v>OK</v>
      </c>
      <c r="BB150" s="21">
        <f>COUNTIF('Trip Changes'!B:B,A150)</f>
        <v>0</v>
      </c>
      <c r="BC150" s="16" t="str">
        <f>IF(OR(AND(AD150="Yes",COUNTIF('Trip Changes'!B:B,A150)&gt;0),AND(AD150="No",COUNTIF('Trip Changes'!B:B,A150)=0)),"OK","Check")</f>
        <v>OK</v>
      </c>
      <c r="BD150" t="str">
        <f t="shared" si="58"/>
        <v>OK</v>
      </c>
      <c r="BE150" t="str">
        <f t="shared" si="59"/>
        <v>OK</v>
      </c>
      <c r="BF150" t="str">
        <f t="shared" si="60"/>
        <v>OK</v>
      </c>
      <c r="BG150" t="str">
        <f t="shared" si="61"/>
        <v>OK</v>
      </c>
      <c r="BH150" t="str">
        <f t="shared" si="62"/>
        <v>OK</v>
      </c>
      <c r="BI150" t="str">
        <f t="shared" si="54"/>
        <v>OK</v>
      </c>
      <c r="BJ150" t="str">
        <f t="shared" si="55"/>
        <v>OK</v>
      </c>
      <c r="BK150" t="str">
        <f t="shared" si="56"/>
        <v>OK</v>
      </c>
    </row>
    <row r="151" spans="1:63">
      <c r="A151" s="16" t="s">
        <v>400</v>
      </c>
      <c r="B151" s="16" t="s">
        <v>399</v>
      </c>
      <c r="C151" s="16" t="s">
        <v>193</v>
      </c>
      <c r="D151" s="16" t="s">
        <v>168</v>
      </c>
      <c r="E151" s="16" t="s">
        <v>262</v>
      </c>
      <c r="F151" s="16" t="s">
        <v>140</v>
      </c>
      <c r="G151" s="15">
        <v>46219</v>
      </c>
      <c r="H151" s="15">
        <v>46231</v>
      </c>
      <c r="I151" s="15">
        <v>46235</v>
      </c>
      <c r="J151" s="15" t="s">
        <v>150</v>
      </c>
      <c r="K151" s="16" t="s">
        <v>193</v>
      </c>
      <c r="L151" t="s">
        <v>171</v>
      </c>
      <c r="M151" s="16" t="s">
        <v>152</v>
      </c>
      <c r="N151" s="16" t="s">
        <v>153</v>
      </c>
      <c r="O151" t="s">
        <v>1614</v>
      </c>
      <c r="P151" s="18">
        <v>2620</v>
      </c>
      <c r="Q151" s="21">
        <v>12</v>
      </c>
      <c r="R151" s="21" t="str">
        <f t="shared" si="42"/>
        <v>8-14 days</v>
      </c>
      <c r="S151" s="16" t="s">
        <v>159</v>
      </c>
      <c r="T151" s="16" t="s">
        <v>176</v>
      </c>
      <c r="U151" s="16" t="s">
        <v>173</v>
      </c>
      <c r="V151" t="str">
        <f>IF(U151="","",IFERROR(VLOOKUP(U151,Hotels!A:B,2,FALSE),"Not Found"))</f>
        <v>Accor</v>
      </c>
      <c r="W151" s="14">
        <v>429.41</v>
      </c>
      <c r="X151" s="14">
        <v>0</v>
      </c>
      <c r="Y151" s="21">
        <v>3</v>
      </c>
      <c r="Z151" s="29">
        <f t="shared" si="43"/>
        <v>197.65333333333334</v>
      </c>
      <c r="AA151" s="14">
        <v>592.96</v>
      </c>
      <c r="AB151" s="14">
        <v>97.98</v>
      </c>
      <c r="AC151" s="14">
        <v>1120.3499999999999</v>
      </c>
      <c r="AD151" s="16" t="s">
        <v>148</v>
      </c>
      <c r="AE151" s="16" t="s">
        <v>147</v>
      </c>
      <c r="AF151" s="14">
        <f>SUMIF('Trip Changes'!$B:$B,A151,'Trip Changes'!$E:$E)</f>
        <v>36.72</v>
      </c>
      <c r="AG151" s="23">
        <f>SUMIF('Trip Cancellations'!$B:$B,A151,'Trip Cancellations'!$E:$E)</f>
        <v>0</v>
      </c>
      <c r="AH151" s="14">
        <f>SUMIF('Trip Cancellations'!$B:$B,A151,'Trip Cancellations'!$F:$F)</f>
        <v>0</v>
      </c>
      <c r="AI151" s="14">
        <f t="shared" si="44"/>
        <v>1157.07</v>
      </c>
      <c r="AJ151" s="14" t="str">
        <f t="shared" si="45"/>
        <v>No</v>
      </c>
      <c r="AK151" s="14" t="str">
        <f>IF(Y151=0,"N/A",
IF(_xlfn.XLOOKUP(U151,Hotels!A:A,Hotels!C:C)=TRUE,"Yes","No"))</f>
        <v>Yes</v>
      </c>
      <c r="AL151" s="14" t="str">
        <f>IF(N151="Rail","N/A",IF(_xlfn.XLOOKUP(T151,Airlines!A:A,Airlines!C:C)=TRUE,"Yes","No"))</f>
        <v>Yes</v>
      </c>
      <c r="AM151" s="14" t="str">
        <f t="shared" si="46"/>
        <v>Yes</v>
      </c>
      <c r="AN151" s="14" t="str">
        <f t="shared" si="47"/>
        <v>Yes</v>
      </c>
      <c r="AO151" s="14" t="str">
        <f t="shared" si="48"/>
        <v>Yes</v>
      </c>
      <c r="AP151" s="16" t="s">
        <v>148</v>
      </c>
      <c r="AQ151" t="str">
        <f t="shared" si="49"/>
        <v>No</v>
      </c>
      <c r="AR151" s="21">
        <v>4</v>
      </c>
      <c r="AS151" s="5">
        <v>393</v>
      </c>
      <c r="AT151" s="5" t="str">
        <f>IF(T151="","",_xlfn.XLOOKUP(T151,Airlines!A:A,Airlines!B:B,"Not Found"))</f>
        <v>easyJet</v>
      </c>
      <c r="AU151" s="5" t="str">
        <f>IF(U151="","",_xlfn.XLOOKUP(U151,Hotels!A:A,Hotels!B:B,"Not found"))</f>
        <v>Accor</v>
      </c>
      <c r="AV151" t="s">
        <v>148</v>
      </c>
      <c r="AW151" s="16" t="str">
        <f t="shared" si="50"/>
        <v>OK</v>
      </c>
      <c r="AX151" s="16" t="str">
        <f t="shared" si="51"/>
        <v>OK</v>
      </c>
      <c r="AY151" s="16" t="str">
        <f t="shared" si="52"/>
        <v>OK</v>
      </c>
      <c r="AZ151" s="16" t="str">
        <f t="shared" si="53"/>
        <v>OK</v>
      </c>
      <c r="BA151" s="16" t="str">
        <f t="shared" si="57"/>
        <v>OK</v>
      </c>
      <c r="BB151" s="21">
        <f>COUNTIF('Trip Changes'!B:B,A151)</f>
        <v>1</v>
      </c>
      <c r="BC151" s="16" t="str">
        <f>IF(OR(AND(AD151="Yes",COUNTIF('Trip Changes'!B:B,A151)&gt;0),AND(AD151="No",COUNTIF('Trip Changes'!B:B,A151)=0)),"OK","Check")</f>
        <v>OK</v>
      </c>
      <c r="BD151" t="str">
        <f t="shared" si="58"/>
        <v>OK</v>
      </c>
      <c r="BE151" t="str">
        <f t="shared" si="59"/>
        <v>OK</v>
      </c>
      <c r="BF151" t="str">
        <f t="shared" si="60"/>
        <v>OK</v>
      </c>
      <c r="BG151" t="str">
        <f t="shared" si="61"/>
        <v>OK</v>
      </c>
      <c r="BH151" t="str">
        <f t="shared" si="62"/>
        <v>OK</v>
      </c>
      <c r="BI151" t="str">
        <f t="shared" si="54"/>
        <v>OK</v>
      </c>
      <c r="BJ151" t="str">
        <f t="shared" si="55"/>
        <v>OK</v>
      </c>
      <c r="BK151" t="str">
        <f t="shared" si="56"/>
        <v>OK</v>
      </c>
    </row>
    <row r="152" spans="1:63">
      <c r="A152" s="16" t="s">
        <v>401</v>
      </c>
      <c r="B152" s="16" t="s">
        <v>399</v>
      </c>
      <c r="C152" s="16" t="s">
        <v>193</v>
      </c>
      <c r="D152" s="16" t="s">
        <v>168</v>
      </c>
      <c r="E152" s="16" t="s">
        <v>262</v>
      </c>
      <c r="F152" s="16" t="s">
        <v>181</v>
      </c>
      <c r="G152" s="15">
        <v>46209</v>
      </c>
      <c r="H152" s="15">
        <v>46232</v>
      </c>
      <c r="I152" s="15">
        <v>46233</v>
      </c>
      <c r="J152" s="15" t="s">
        <v>150</v>
      </c>
      <c r="K152" s="16" t="s">
        <v>193</v>
      </c>
      <c r="L152" t="s">
        <v>203</v>
      </c>
      <c r="M152" s="16" t="s">
        <v>143</v>
      </c>
      <c r="N152" s="16" t="s">
        <v>144</v>
      </c>
      <c r="O152" t="s">
        <v>1630</v>
      </c>
      <c r="P152" s="18">
        <v>1004</v>
      </c>
      <c r="Q152" s="21">
        <v>23</v>
      </c>
      <c r="R152" s="21" t="str">
        <f t="shared" si="42"/>
        <v>15-30 days</v>
      </c>
      <c r="S152" s="16" t="s">
        <v>145</v>
      </c>
      <c r="V152" t="str">
        <f>IF(U152="","",IFERROR(VLOOKUP(U152,Hotels!A:B,2,FALSE),"Not Found"))</f>
        <v/>
      </c>
      <c r="W152" s="14">
        <v>0</v>
      </c>
      <c r="X152" s="14">
        <v>154.63</v>
      </c>
      <c r="Y152" s="21">
        <v>0</v>
      </c>
      <c r="Z152" s="29">
        <f t="shared" si="43"/>
        <v>0</v>
      </c>
      <c r="AA152" s="14">
        <v>0</v>
      </c>
      <c r="AB152" s="14">
        <v>32.770000000000003</v>
      </c>
      <c r="AC152" s="14">
        <v>187.4</v>
      </c>
      <c r="AD152" s="16" t="s">
        <v>147</v>
      </c>
      <c r="AE152" s="16" t="s">
        <v>147</v>
      </c>
      <c r="AF152" s="14">
        <f>SUMIF('Trip Changes'!$B:$B,A152,'Trip Changes'!$E:$E)</f>
        <v>0</v>
      </c>
      <c r="AG152" s="23">
        <f>SUMIF('Trip Cancellations'!$B:$B,A152,'Trip Cancellations'!$E:$E)</f>
        <v>0</v>
      </c>
      <c r="AH152" s="14">
        <f>SUMIF('Trip Cancellations'!$B:$B,A152,'Trip Cancellations'!$F:$F)</f>
        <v>0</v>
      </c>
      <c r="AI152" s="14">
        <f t="shared" si="44"/>
        <v>187.4</v>
      </c>
      <c r="AJ152" s="14" t="str">
        <f t="shared" si="45"/>
        <v>N/A</v>
      </c>
      <c r="AK152" s="14" t="str">
        <f>IF(Y152=0,"N/A",
IF(_xlfn.XLOOKUP(U152,Hotels!A:A,Hotels!C:C)=TRUE,"Yes","No"))</f>
        <v>N/A</v>
      </c>
      <c r="AL152" s="14" t="str">
        <f>IF(N152="Rail","N/A",IF(_xlfn.XLOOKUP(T152,Airlines!A:A,Airlines!C:C)=TRUE,"Yes","No"))</f>
        <v>N/A</v>
      </c>
      <c r="AM152" s="14" t="str">
        <f t="shared" si="46"/>
        <v>Yes</v>
      </c>
      <c r="AN152" s="14" t="str">
        <f t="shared" si="47"/>
        <v>Yes</v>
      </c>
      <c r="AO152" s="14" t="str">
        <f t="shared" si="48"/>
        <v>Yes</v>
      </c>
      <c r="AP152" s="16" t="s">
        <v>148</v>
      </c>
      <c r="AQ152" t="str">
        <f t="shared" si="49"/>
        <v>Yes</v>
      </c>
      <c r="AR152" s="21">
        <v>4</v>
      </c>
      <c r="AS152" s="5">
        <v>40.200000000000003</v>
      </c>
      <c r="AT152" s="5" t="str">
        <f>IF(T152="","",_xlfn.XLOOKUP(T152,Airlines!A:A,Airlines!B:B,"Not Found"))</f>
        <v/>
      </c>
      <c r="AU152" s="5" t="str">
        <f>IF(U152="","",_xlfn.XLOOKUP(U152,Hotels!A:A,Hotels!B:B,"Not found"))</f>
        <v/>
      </c>
      <c r="AV152" t="s">
        <v>147</v>
      </c>
      <c r="AW152" s="16" t="str">
        <f t="shared" si="50"/>
        <v>OK</v>
      </c>
      <c r="AX152" s="16" t="str">
        <f t="shared" si="51"/>
        <v>OK</v>
      </c>
      <c r="AY152" s="16" t="str">
        <f t="shared" si="52"/>
        <v>OK</v>
      </c>
      <c r="AZ152" s="16" t="str">
        <f t="shared" si="53"/>
        <v>OK</v>
      </c>
      <c r="BA152" s="16" t="str">
        <f t="shared" si="57"/>
        <v>OK</v>
      </c>
      <c r="BB152" s="21">
        <f>COUNTIF('Trip Changes'!B:B,A152)</f>
        <v>0</v>
      </c>
      <c r="BC152" s="16" t="str">
        <f>IF(OR(AND(AD152="Yes",COUNTIF('Trip Changes'!B:B,A152)&gt;0),AND(AD152="No",COUNTIF('Trip Changes'!B:B,A152)=0)),"OK","Check")</f>
        <v>OK</v>
      </c>
      <c r="BD152" t="str">
        <f t="shared" si="58"/>
        <v>OK</v>
      </c>
      <c r="BE152" t="str">
        <f t="shared" si="59"/>
        <v>OK</v>
      </c>
      <c r="BF152" t="str">
        <f t="shared" si="60"/>
        <v>OK</v>
      </c>
      <c r="BG152" t="str">
        <f t="shared" si="61"/>
        <v>OK</v>
      </c>
      <c r="BH152" t="str">
        <f t="shared" si="62"/>
        <v>OK</v>
      </c>
      <c r="BI152" t="str">
        <f t="shared" si="54"/>
        <v>OK</v>
      </c>
      <c r="BJ152" t="str">
        <f t="shared" si="55"/>
        <v>OK</v>
      </c>
      <c r="BK152" t="str">
        <f t="shared" si="56"/>
        <v>OK</v>
      </c>
    </row>
    <row r="153" spans="1:63">
      <c r="A153" s="16" t="s">
        <v>402</v>
      </c>
      <c r="B153" s="16" t="s">
        <v>403</v>
      </c>
      <c r="C153" s="16" t="s">
        <v>193</v>
      </c>
      <c r="D153" s="16" t="s">
        <v>248</v>
      </c>
      <c r="E153" s="16" t="s">
        <v>139</v>
      </c>
      <c r="F153" s="16" t="s">
        <v>189</v>
      </c>
      <c r="G153" s="15">
        <v>46226</v>
      </c>
      <c r="H153" s="15">
        <v>46227</v>
      </c>
      <c r="I153" s="15">
        <v>46229</v>
      </c>
      <c r="J153" s="15" t="s">
        <v>150</v>
      </c>
      <c r="K153" s="16" t="s">
        <v>193</v>
      </c>
      <c r="L153" t="s">
        <v>182</v>
      </c>
      <c r="M153" s="16" t="s">
        <v>143</v>
      </c>
      <c r="N153" s="16" t="s">
        <v>144</v>
      </c>
      <c r="O153" t="s">
        <v>1630</v>
      </c>
      <c r="P153" s="18">
        <v>638</v>
      </c>
      <c r="Q153" s="21">
        <v>1</v>
      </c>
      <c r="R153" s="21" t="str">
        <f t="shared" si="42"/>
        <v>0-3 days</v>
      </c>
      <c r="S153" s="16" t="s">
        <v>145</v>
      </c>
      <c r="U153" s="16" t="s">
        <v>195</v>
      </c>
      <c r="V153" t="str">
        <f>IF(U153="","",IFERROR(VLOOKUP(U153,Hotels!A:B,2,FALSE),"Not Found"))</f>
        <v>Travelodge</v>
      </c>
      <c r="W153" s="14">
        <v>0</v>
      </c>
      <c r="X153" s="14">
        <v>175.22</v>
      </c>
      <c r="Y153" s="21">
        <v>1</v>
      </c>
      <c r="Z153" s="29">
        <f t="shared" si="43"/>
        <v>186.12</v>
      </c>
      <c r="AA153" s="14">
        <v>186.12</v>
      </c>
      <c r="AB153" s="14">
        <v>85.01</v>
      </c>
      <c r="AC153" s="14">
        <v>446.35</v>
      </c>
      <c r="AD153" s="16" t="s">
        <v>147</v>
      </c>
      <c r="AE153" s="16" t="s">
        <v>147</v>
      </c>
      <c r="AF153" s="14">
        <f>SUMIF('Trip Changes'!$B:$B,A153,'Trip Changes'!$E:$E)</f>
        <v>0</v>
      </c>
      <c r="AG153" s="23">
        <f>SUMIF('Trip Cancellations'!$B:$B,A153,'Trip Cancellations'!$E:$E)</f>
        <v>0</v>
      </c>
      <c r="AH153" s="14">
        <f>SUMIF('Trip Cancellations'!$B:$B,A153,'Trip Cancellations'!$F:$F)</f>
        <v>0</v>
      </c>
      <c r="AI153" s="14">
        <f t="shared" si="44"/>
        <v>446.35</v>
      </c>
      <c r="AJ153" s="14" t="str">
        <f t="shared" si="45"/>
        <v>Yes</v>
      </c>
      <c r="AK153" s="14" t="str">
        <f>IF(Y153=0,"N/A",
IF(_xlfn.XLOOKUP(U153,Hotels!A:A,Hotels!C:C)=TRUE,"Yes","No"))</f>
        <v>No</v>
      </c>
      <c r="AL153" s="14" t="str">
        <f>IF(N153="Rail","N/A",IF(_xlfn.XLOOKUP(T153,Airlines!A:A,Airlines!C:C)=TRUE,"Yes","No"))</f>
        <v>N/A</v>
      </c>
      <c r="AM153" s="14" t="str">
        <f t="shared" si="46"/>
        <v>Yes</v>
      </c>
      <c r="AN153" s="14" t="str">
        <f t="shared" si="47"/>
        <v>Yes</v>
      </c>
      <c r="AO153" s="14" t="str">
        <f t="shared" si="48"/>
        <v>No</v>
      </c>
      <c r="AP153" s="16" t="s">
        <v>147</v>
      </c>
      <c r="AQ153" t="str">
        <f t="shared" si="49"/>
        <v>No</v>
      </c>
      <c r="AR153" s="21">
        <v>4</v>
      </c>
      <c r="AS153" s="5">
        <v>25.5</v>
      </c>
      <c r="AT153" s="5" t="str">
        <f>IF(T153="","",_xlfn.XLOOKUP(T153,Airlines!A:A,Airlines!B:B,"Not Found"))</f>
        <v/>
      </c>
      <c r="AU153" s="5" t="str">
        <f>IF(U153="","",_xlfn.XLOOKUP(U153,Hotels!A:A,Hotels!B:B,"Not found"))</f>
        <v>Travelodge</v>
      </c>
      <c r="AV153" t="s">
        <v>147</v>
      </c>
      <c r="AW153" s="16" t="str">
        <f t="shared" si="50"/>
        <v>OK</v>
      </c>
      <c r="AX153" s="16" t="str">
        <f t="shared" si="51"/>
        <v>OK</v>
      </c>
      <c r="AY153" s="16" t="str">
        <f t="shared" si="52"/>
        <v>OK</v>
      </c>
      <c r="AZ153" s="16" t="str">
        <f t="shared" si="53"/>
        <v>OK</v>
      </c>
      <c r="BA153" s="16" t="str">
        <f t="shared" si="57"/>
        <v>OK</v>
      </c>
      <c r="BB153" s="21">
        <f>COUNTIF('Trip Changes'!B:B,A153)</f>
        <v>0</v>
      </c>
      <c r="BC153" s="16" t="str">
        <f>IF(OR(AND(AD153="Yes",COUNTIF('Trip Changes'!B:B,A153)&gt;0),AND(AD153="No",COUNTIF('Trip Changes'!B:B,A153)=0)),"OK","Check")</f>
        <v>OK</v>
      </c>
      <c r="BD153" t="str">
        <f t="shared" si="58"/>
        <v>OK</v>
      </c>
      <c r="BE153" t="str">
        <f t="shared" si="59"/>
        <v>OK</v>
      </c>
      <c r="BF153" t="str">
        <f t="shared" si="60"/>
        <v>OK</v>
      </c>
      <c r="BG153" t="str">
        <f t="shared" si="61"/>
        <v>OK</v>
      </c>
      <c r="BH153" t="str">
        <f t="shared" si="62"/>
        <v>OK</v>
      </c>
      <c r="BI153" t="str">
        <f t="shared" si="54"/>
        <v>OK</v>
      </c>
      <c r="BJ153" t="str">
        <f t="shared" si="55"/>
        <v>OK</v>
      </c>
      <c r="BK153" t="str">
        <f t="shared" si="56"/>
        <v>OK</v>
      </c>
    </row>
    <row r="154" spans="1:63">
      <c r="A154" s="16" t="s">
        <v>404</v>
      </c>
      <c r="B154" s="16" t="s">
        <v>403</v>
      </c>
      <c r="C154" s="16" t="s">
        <v>193</v>
      </c>
      <c r="D154" s="16" t="s">
        <v>248</v>
      </c>
      <c r="E154" s="16" t="s">
        <v>139</v>
      </c>
      <c r="F154" s="16" t="s">
        <v>189</v>
      </c>
      <c r="G154" s="15">
        <v>46181</v>
      </c>
      <c r="H154" s="15">
        <v>46201</v>
      </c>
      <c r="I154" s="15">
        <v>46203</v>
      </c>
      <c r="J154" s="15" t="s">
        <v>141</v>
      </c>
      <c r="K154" s="16" t="s">
        <v>193</v>
      </c>
      <c r="L154" t="s">
        <v>199</v>
      </c>
      <c r="M154" s="16" t="s">
        <v>152</v>
      </c>
      <c r="N154" s="16" t="s">
        <v>153</v>
      </c>
      <c r="O154" t="s">
        <v>1614</v>
      </c>
      <c r="P154" s="18">
        <v>1846</v>
      </c>
      <c r="Q154" s="21">
        <v>20</v>
      </c>
      <c r="R154" s="21" t="str">
        <f t="shared" si="42"/>
        <v>15-30 days</v>
      </c>
      <c r="S154" s="16" t="s">
        <v>216</v>
      </c>
      <c r="T154" s="16" t="s">
        <v>200</v>
      </c>
      <c r="U154" s="16" t="s">
        <v>190</v>
      </c>
      <c r="V154" t="str">
        <f>IF(U154="","",IFERROR(VLOOKUP(U154,Hotels!A:B,2,FALSE),"Not Found"))</f>
        <v>Radisson Hotel Group</v>
      </c>
      <c r="W154" s="14">
        <v>363.61</v>
      </c>
      <c r="X154" s="14">
        <v>0</v>
      </c>
      <c r="Y154" s="21">
        <v>1</v>
      </c>
      <c r="Z154" s="29">
        <f t="shared" si="43"/>
        <v>75.14</v>
      </c>
      <c r="AA154" s="14">
        <v>75.14</v>
      </c>
      <c r="AB154" s="14">
        <v>43.17</v>
      </c>
      <c r="AC154" s="14">
        <v>481.92</v>
      </c>
      <c r="AD154" s="16" t="s">
        <v>147</v>
      </c>
      <c r="AE154" s="16" t="s">
        <v>147</v>
      </c>
      <c r="AF154" s="14">
        <f>SUMIF('Trip Changes'!$B:$B,A154,'Trip Changes'!$E:$E)</f>
        <v>0</v>
      </c>
      <c r="AG154" s="23">
        <f>SUMIF('Trip Cancellations'!$B:$B,A154,'Trip Cancellations'!$E:$E)</f>
        <v>0</v>
      </c>
      <c r="AH154" s="14">
        <f>SUMIF('Trip Cancellations'!$B:$B,A154,'Trip Cancellations'!$F:$F)</f>
        <v>0</v>
      </c>
      <c r="AI154" s="14">
        <f t="shared" si="44"/>
        <v>481.92</v>
      </c>
      <c r="AJ154" s="14" t="str">
        <f t="shared" si="45"/>
        <v>Yes</v>
      </c>
      <c r="AK154" s="14" t="str">
        <f>IF(Y154=0,"N/A",
IF(_xlfn.XLOOKUP(U154,Hotels!A:A,Hotels!C:C)=TRUE,"Yes","No"))</f>
        <v>No</v>
      </c>
      <c r="AL154" s="14" t="str">
        <f>IF(N154="Rail","N/A",IF(_xlfn.XLOOKUP(T154,Airlines!A:A,Airlines!C:C)=TRUE,"Yes","No"))</f>
        <v>Yes</v>
      </c>
      <c r="AM154" s="14" t="str">
        <f t="shared" si="46"/>
        <v>Yes</v>
      </c>
      <c r="AN154" s="14" t="str">
        <f t="shared" si="47"/>
        <v>No</v>
      </c>
      <c r="AO154" s="14" t="str">
        <f t="shared" si="48"/>
        <v>No</v>
      </c>
      <c r="AP154" s="16" t="s">
        <v>147</v>
      </c>
      <c r="AQ154" t="str">
        <f t="shared" si="49"/>
        <v>No</v>
      </c>
      <c r="AR154" s="21">
        <v>4</v>
      </c>
      <c r="AS154" s="5">
        <v>276.89999999999998</v>
      </c>
      <c r="AT154" s="5" t="str">
        <f>IF(T154="","",_xlfn.XLOOKUP(T154,Airlines!A:A,Airlines!B:B,"Not Found"))</f>
        <v>Aer Lingus</v>
      </c>
      <c r="AU154" s="5" t="str">
        <f>IF(U154="","",_xlfn.XLOOKUP(U154,Hotels!A:A,Hotels!B:B,"Not found"))</f>
        <v>Radisson Hotel Group</v>
      </c>
      <c r="AV154" t="s">
        <v>148</v>
      </c>
      <c r="AW154" s="16" t="str">
        <f t="shared" si="50"/>
        <v>OK</v>
      </c>
      <c r="AX154" s="16" t="str">
        <f t="shared" si="51"/>
        <v>OK</v>
      </c>
      <c r="AY154" s="16" t="str">
        <f t="shared" si="52"/>
        <v>OK</v>
      </c>
      <c r="AZ154" s="16" t="str">
        <f t="shared" si="53"/>
        <v>OK</v>
      </c>
      <c r="BA154" s="16" t="str">
        <f t="shared" si="57"/>
        <v>OK</v>
      </c>
      <c r="BB154" s="21">
        <f>COUNTIF('Trip Changes'!B:B,A154)</f>
        <v>0</v>
      </c>
      <c r="BC154" s="16" t="str">
        <f>IF(OR(AND(AD154="Yes",COUNTIF('Trip Changes'!B:B,A154)&gt;0),AND(AD154="No",COUNTIF('Trip Changes'!B:B,A154)=0)),"OK","Check")</f>
        <v>OK</v>
      </c>
      <c r="BD154" t="str">
        <f t="shared" si="58"/>
        <v>OK</v>
      </c>
      <c r="BE154" t="str">
        <f t="shared" si="59"/>
        <v>OK</v>
      </c>
      <c r="BF154" t="str">
        <f t="shared" si="60"/>
        <v>OK</v>
      </c>
      <c r="BG154" t="str">
        <f t="shared" si="61"/>
        <v>OK</v>
      </c>
      <c r="BH154" t="str">
        <f t="shared" si="62"/>
        <v>OK</v>
      </c>
      <c r="BI154" t="str">
        <f t="shared" si="54"/>
        <v>OK</v>
      </c>
      <c r="BJ154" t="str">
        <f t="shared" si="55"/>
        <v>OK</v>
      </c>
      <c r="BK154" t="str">
        <f t="shared" si="56"/>
        <v>OK</v>
      </c>
    </row>
    <row r="155" spans="1:63">
      <c r="A155" s="16" t="s">
        <v>405</v>
      </c>
      <c r="B155" s="16" t="s">
        <v>403</v>
      </c>
      <c r="C155" s="16" t="s">
        <v>193</v>
      </c>
      <c r="D155" s="16" t="s">
        <v>248</v>
      </c>
      <c r="E155" s="16" t="s">
        <v>139</v>
      </c>
      <c r="F155" s="16" t="s">
        <v>140</v>
      </c>
      <c r="G155" s="15">
        <v>46140</v>
      </c>
      <c r="H155" s="15">
        <v>46158</v>
      </c>
      <c r="I155" s="15">
        <v>46163</v>
      </c>
      <c r="J155" s="15" t="s">
        <v>163</v>
      </c>
      <c r="K155" s="16" t="s">
        <v>193</v>
      </c>
      <c r="L155" t="s">
        <v>199</v>
      </c>
      <c r="M155" s="16" t="s">
        <v>152</v>
      </c>
      <c r="N155" s="16" t="s">
        <v>153</v>
      </c>
      <c r="O155" t="s">
        <v>1614</v>
      </c>
      <c r="P155" s="18">
        <v>2492</v>
      </c>
      <c r="Q155" s="21">
        <v>18</v>
      </c>
      <c r="R155" s="21" t="str">
        <f t="shared" si="42"/>
        <v>15-30 days</v>
      </c>
      <c r="S155" s="16" t="s">
        <v>145</v>
      </c>
      <c r="T155" s="16" t="s">
        <v>200</v>
      </c>
      <c r="U155" s="16" t="s">
        <v>164</v>
      </c>
      <c r="V155" t="str">
        <f>IF(U155="","",IFERROR(VLOOKUP(U155,Hotels!A:B,2,FALSE),"Not Found"))</f>
        <v>Marriott</v>
      </c>
      <c r="W155" s="14">
        <v>453.72</v>
      </c>
      <c r="X155" s="14">
        <v>0</v>
      </c>
      <c r="Y155" s="21">
        <v>4</v>
      </c>
      <c r="Z155" s="29">
        <f t="shared" si="43"/>
        <v>133.86000000000001</v>
      </c>
      <c r="AA155" s="14">
        <v>535.44000000000005</v>
      </c>
      <c r="AB155" s="14">
        <v>71.19</v>
      </c>
      <c r="AC155" s="14">
        <v>1060.3499999999999</v>
      </c>
      <c r="AD155" s="16" t="s">
        <v>147</v>
      </c>
      <c r="AE155" s="16" t="s">
        <v>147</v>
      </c>
      <c r="AF155" s="14">
        <f>SUMIF('Trip Changes'!$B:$B,A155,'Trip Changes'!$E:$E)</f>
        <v>0</v>
      </c>
      <c r="AG155" s="23">
        <f>SUMIF('Trip Cancellations'!$B:$B,A155,'Trip Cancellations'!$E:$E)</f>
        <v>0</v>
      </c>
      <c r="AH155" s="14">
        <f>SUMIF('Trip Cancellations'!$B:$B,A155,'Trip Cancellations'!$F:$F)</f>
        <v>0</v>
      </c>
      <c r="AI155" s="14">
        <f t="shared" si="44"/>
        <v>1060.3499999999999</v>
      </c>
      <c r="AJ155" s="14" t="str">
        <f t="shared" si="45"/>
        <v>Yes</v>
      </c>
      <c r="AK155" s="14" t="str">
        <f>IF(Y155=0,"N/A",
IF(_xlfn.XLOOKUP(U155,Hotels!A:A,Hotels!C:C)=TRUE,"Yes","No"))</f>
        <v>Yes</v>
      </c>
      <c r="AL155" s="14" t="str">
        <f>IF(N155="Rail","N/A",IF(_xlfn.XLOOKUP(T155,Airlines!A:A,Airlines!C:C)=TRUE,"Yes","No"))</f>
        <v>Yes</v>
      </c>
      <c r="AM155" s="14" t="str">
        <f t="shared" si="46"/>
        <v>Yes</v>
      </c>
      <c r="AN155" s="14" t="str">
        <f t="shared" si="47"/>
        <v>Yes</v>
      </c>
      <c r="AO155" s="14" t="str">
        <f t="shared" si="48"/>
        <v>Yes</v>
      </c>
      <c r="AP155" s="16" t="s">
        <v>148</v>
      </c>
      <c r="AQ155" t="str">
        <f t="shared" si="49"/>
        <v>Yes</v>
      </c>
      <c r="AR155" s="21">
        <v>4</v>
      </c>
      <c r="AS155" s="5">
        <v>373.8</v>
      </c>
      <c r="AT155" s="5" t="str">
        <f>IF(T155="","",_xlfn.XLOOKUP(T155,Airlines!A:A,Airlines!B:B,"Not Found"))</f>
        <v>Aer Lingus</v>
      </c>
      <c r="AU155" s="5" t="str">
        <f>IF(U155="","",_xlfn.XLOOKUP(U155,Hotels!A:A,Hotels!B:B,"Not found"))</f>
        <v>Marriott</v>
      </c>
      <c r="AV155" t="s">
        <v>148</v>
      </c>
      <c r="AW155" s="16" t="str">
        <f t="shared" si="50"/>
        <v>OK</v>
      </c>
      <c r="AX155" s="16" t="str">
        <f t="shared" si="51"/>
        <v>OK</v>
      </c>
      <c r="AY155" s="16" t="str">
        <f t="shared" si="52"/>
        <v>OK</v>
      </c>
      <c r="AZ155" s="16" t="str">
        <f t="shared" si="53"/>
        <v>OK</v>
      </c>
      <c r="BA155" s="16" t="str">
        <f t="shared" si="57"/>
        <v>OK</v>
      </c>
      <c r="BB155" s="21">
        <f>COUNTIF('Trip Changes'!B:B,A155)</f>
        <v>0</v>
      </c>
      <c r="BC155" s="16" t="str">
        <f>IF(OR(AND(AD155="Yes",COUNTIF('Trip Changes'!B:B,A155)&gt;0),AND(AD155="No",COUNTIF('Trip Changes'!B:B,A155)=0)),"OK","Check")</f>
        <v>OK</v>
      </c>
      <c r="BD155" t="str">
        <f t="shared" si="58"/>
        <v>OK</v>
      </c>
      <c r="BE155" t="str">
        <f t="shared" si="59"/>
        <v>OK</v>
      </c>
      <c r="BF155" t="str">
        <f t="shared" si="60"/>
        <v>OK</v>
      </c>
      <c r="BG155" t="str">
        <f t="shared" si="61"/>
        <v>OK</v>
      </c>
      <c r="BH155" t="str">
        <f t="shared" si="62"/>
        <v>OK</v>
      </c>
      <c r="BI155" t="str">
        <f t="shared" si="54"/>
        <v>OK</v>
      </c>
      <c r="BJ155" t="str">
        <f t="shared" si="55"/>
        <v>OK</v>
      </c>
      <c r="BK155" t="str">
        <f t="shared" si="56"/>
        <v>OK</v>
      </c>
    </row>
    <row r="156" spans="1:63">
      <c r="A156" s="16" t="s">
        <v>406</v>
      </c>
      <c r="B156" s="16" t="s">
        <v>403</v>
      </c>
      <c r="C156" s="16" t="s">
        <v>193</v>
      </c>
      <c r="D156" s="16" t="s">
        <v>248</v>
      </c>
      <c r="E156" s="16" t="s">
        <v>139</v>
      </c>
      <c r="F156" s="16" t="s">
        <v>207</v>
      </c>
      <c r="G156" s="15">
        <v>46188</v>
      </c>
      <c r="H156" s="15">
        <v>46214</v>
      </c>
      <c r="I156" s="15">
        <v>46219</v>
      </c>
      <c r="J156" s="15" t="s">
        <v>150</v>
      </c>
      <c r="K156" s="16" t="s">
        <v>193</v>
      </c>
      <c r="L156" t="s">
        <v>158</v>
      </c>
      <c r="M156" s="16" t="s">
        <v>152</v>
      </c>
      <c r="N156" s="16" t="s">
        <v>153</v>
      </c>
      <c r="O156" t="s">
        <v>1614</v>
      </c>
      <c r="P156" s="18">
        <v>3140</v>
      </c>
      <c r="Q156" s="21">
        <v>26</v>
      </c>
      <c r="R156" s="21" t="str">
        <f t="shared" si="42"/>
        <v>15-30 days</v>
      </c>
      <c r="S156" s="16" t="s">
        <v>216</v>
      </c>
      <c r="T156" s="16" t="s">
        <v>154</v>
      </c>
      <c r="U156" s="16" t="s">
        <v>164</v>
      </c>
      <c r="V156" t="str">
        <f>IF(U156="","",IFERROR(VLOOKUP(U156,Hotels!A:B,2,FALSE),"Not Found"))</f>
        <v>Marriott</v>
      </c>
      <c r="W156" s="14">
        <v>524.4</v>
      </c>
      <c r="X156" s="14">
        <v>0</v>
      </c>
      <c r="Y156" s="21">
        <v>4</v>
      </c>
      <c r="Z156" s="29">
        <f t="shared" si="43"/>
        <v>192.3075</v>
      </c>
      <c r="AA156" s="14">
        <v>769.23</v>
      </c>
      <c r="AB156" s="14">
        <v>47</v>
      </c>
      <c r="AC156" s="14">
        <v>1340.63</v>
      </c>
      <c r="AD156" s="16" t="s">
        <v>147</v>
      </c>
      <c r="AE156" s="16" t="s">
        <v>147</v>
      </c>
      <c r="AF156" s="14">
        <f>SUMIF('Trip Changes'!$B:$B,A156,'Trip Changes'!$E:$E)</f>
        <v>0</v>
      </c>
      <c r="AG156" s="23">
        <f>SUMIF('Trip Cancellations'!$B:$B,A156,'Trip Cancellations'!$E:$E)</f>
        <v>0</v>
      </c>
      <c r="AH156" s="14">
        <f>SUMIF('Trip Cancellations'!$B:$B,A156,'Trip Cancellations'!$F:$F)</f>
        <v>0</v>
      </c>
      <c r="AI156" s="14">
        <f t="shared" si="44"/>
        <v>1340.63</v>
      </c>
      <c r="AJ156" s="14" t="str">
        <f t="shared" si="45"/>
        <v>No</v>
      </c>
      <c r="AK156" s="14" t="str">
        <f>IF(Y156=0,"N/A",
IF(_xlfn.XLOOKUP(U156,Hotels!A:A,Hotels!C:C)=TRUE,"Yes","No"))</f>
        <v>Yes</v>
      </c>
      <c r="AL156" s="14" t="str">
        <f>IF(N156="Rail","N/A",IF(_xlfn.XLOOKUP(T156,Airlines!A:A,Airlines!C:C)=TRUE,"Yes","No"))</f>
        <v>Yes</v>
      </c>
      <c r="AM156" s="14" t="str">
        <f t="shared" si="46"/>
        <v>Yes</v>
      </c>
      <c r="AN156" s="14" t="str">
        <f t="shared" si="47"/>
        <v>No</v>
      </c>
      <c r="AO156" s="14" t="str">
        <f t="shared" si="48"/>
        <v>Yes</v>
      </c>
      <c r="AP156" s="16" t="s">
        <v>147</v>
      </c>
      <c r="AQ156" t="str">
        <f t="shared" si="49"/>
        <v>No</v>
      </c>
      <c r="AR156" s="21">
        <v>4</v>
      </c>
      <c r="AS156" s="5">
        <v>471</v>
      </c>
      <c r="AT156" s="5" t="str">
        <f>IF(T156="","",_xlfn.XLOOKUP(T156,Airlines!A:A,Airlines!B:B,"Not Found"))</f>
        <v>British Airways</v>
      </c>
      <c r="AU156" s="5" t="str">
        <f>IF(U156="","",_xlfn.XLOOKUP(U156,Hotels!A:A,Hotels!B:B,"Not found"))</f>
        <v>Marriott</v>
      </c>
      <c r="AV156" t="s">
        <v>147</v>
      </c>
      <c r="AW156" s="16" t="str">
        <f t="shared" si="50"/>
        <v>OK</v>
      </c>
      <c r="AX156" s="16" t="str">
        <f t="shared" si="51"/>
        <v>OK</v>
      </c>
      <c r="AY156" s="16" t="str">
        <f t="shared" si="52"/>
        <v>OK</v>
      </c>
      <c r="AZ156" s="16" t="str">
        <f t="shared" si="53"/>
        <v>OK</v>
      </c>
      <c r="BA156" s="16" t="str">
        <f t="shared" si="57"/>
        <v>OK</v>
      </c>
      <c r="BB156" s="21">
        <f>COUNTIF('Trip Changes'!B:B,A156)</f>
        <v>0</v>
      </c>
      <c r="BC156" s="16" t="str">
        <f>IF(OR(AND(AD156="Yes",COUNTIF('Trip Changes'!B:B,A156)&gt;0),AND(AD156="No",COUNTIF('Trip Changes'!B:B,A156)=0)),"OK","Check")</f>
        <v>OK</v>
      </c>
      <c r="BD156" t="str">
        <f t="shared" si="58"/>
        <v>OK</v>
      </c>
      <c r="BE156" t="str">
        <f t="shared" si="59"/>
        <v>OK</v>
      </c>
      <c r="BF156" t="str">
        <f t="shared" si="60"/>
        <v>OK</v>
      </c>
      <c r="BG156" t="str">
        <f t="shared" si="61"/>
        <v>OK</v>
      </c>
      <c r="BH156" t="str">
        <f t="shared" si="62"/>
        <v>OK</v>
      </c>
      <c r="BI156" t="str">
        <f t="shared" si="54"/>
        <v>OK</v>
      </c>
      <c r="BJ156" t="str">
        <f t="shared" si="55"/>
        <v>OK</v>
      </c>
      <c r="BK156" t="str">
        <f t="shared" si="56"/>
        <v>OK</v>
      </c>
    </row>
    <row r="157" spans="1:63">
      <c r="A157" s="16" t="s">
        <v>407</v>
      </c>
      <c r="B157" s="16" t="s">
        <v>403</v>
      </c>
      <c r="C157" s="16" t="s">
        <v>193</v>
      </c>
      <c r="D157" s="16" t="s">
        <v>248</v>
      </c>
      <c r="E157" s="16" t="s">
        <v>139</v>
      </c>
      <c r="F157" s="16" t="s">
        <v>189</v>
      </c>
      <c r="G157" s="15">
        <v>46136</v>
      </c>
      <c r="H157" s="15">
        <v>46148</v>
      </c>
      <c r="I157" s="15">
        <v>46153</v>
      </c>
      <c r="J157" s="15" t="s">
        <v>163</v>
      </c>
      <c r="K157" s="16" t="s">
        <v>193</v>
      </c>
      <c r="L157" t="s">
        <v>185</v>
      </c>
      <c r="M157" s="16" t="s">
        <v>152</v>
      </c>
      <c r="N157" s="16" t="s">
        <v>153</v>
      </c>
      <c r="O157" t="s">
        <v>1614</v>
      </c>
      <c r="P157" s="18">
        <v>10582</v>
      </c>
      <c r="Q157" s="21">
        <v>12</v>
      </c>
      <c r="R157" s="21" t="str">
        <f t="shared" si="42"/>
        <v>8-14 days</v>
      </c>
      <c r="S157" s="16" t="s">
        <v>216</v>
      </c>
      <c r="T157" s="16" t="s">
        <v>186</v>
      </c>
      <c r="U157" s="16" t="s">
        <v>164</v>
      </c>
      <c r="V157" t="str">
        <f>IF(U157="","",IFERROR(VLOOKUP(U157,Hotels!A:B,2,FALSE),"Not Found"))</f>
        <v>Marriott</v>
      </c>
      <c r="W157" s="14">
        <v>1130.92</v>
      </c>
      <c r="X157" s="14">
        <v>0</v>
      </c>
      <c r="Y157" s="21">
        <v>4</v>
      </c>
      <c r="Z157" s="29">
        <f t="shared" si="43"/>
        <v>147.4325</v>
      </c>
      <c r="AA157" s="14">
        <v>589.73</v>
      </c>
      <c r="AB157" s="14">
        <v>66.19</v>
      </c>
      <c r="AC157" s="14">
        <v>1786.84</v>
      </c>
      <c r="AD157" s="16" t="s">
        <v>148</v>
      </c>
      <c r="AE157" s="16" t="s">
        <v>148</v>
      </c>
      <c r="AF157" s="14">
        <f>SUMIF('Trip Changes'!$B:$B,A157,'Trip Changes'!$E:$E)</f>
        <v>58.23</v>
      </c>
      <c r="AG157" s="23">
        <f>SUMIF('Trip Cancellations'!$B:$B,A157,'Trip Cancellations'!$E:$E)</f>
        <v>81.45</v>
      </c>
      <c r="AH157" s="14">
        <f>SUMIF('Trip Cancellations'!$B:$B,A157,'Trip Cancellations'!$F:$F)</f>
        <v>1290.49</v>
      </c>
      <c r="AI157" s="14">
        <f t="shared" si="44"/>
        <v>636.03</v>
      </c>
      <c r="AJ157" s="14" t="str">
        <f t="shared" si="45"/>
        <v>Yes</v>
      </c>
      <c r="AK157" s="14" t="str">
        <f>IF(Y157=0,"N/A",
IF(_xlfn.XLOOKUP(U157,Hotels!A:A,Hotels!C:C)=TRUE,"Yes","No"))</f>
        <v>Yes</v>
      </c>
      <c r="AL157" s="14" t="str">
        <f>IF(N157="Rail","N/A",IF(_xlfn.XLOOKUP(T157,Airlines!A:A,Airlines!C:C)=TRUE,"Yes","No"))</f>
        <v>Yes</v>
      </c>
      <c r="AM157" s="14" t="str">
        <f t="shared" si="46"/>
        <v>Yes</v>
      </c>
      <c r="AN157" s="14" t="str">
        <f t="shared" si="47"/>
        <v>No</v>
      </c>
      <c r="AO157" s="14" t="str">
        <f t="shared" si="48"/>
        <v>Yes</v>
      </c>
      <c r="AP157" s="16" t="s">
        <v>148</v>
      </c>
      <c r="AQ157" t="str">
        <f t="shared" si="49"/>
        <v>No</v>
      </c>
      <c r="AR157" s="21">
        <v>3</v>
      </c>
      <c r="AS157" s="5">
        <v>1587.3</v>
      </c>
      <c r="AT157" s="5" t="str">
        <f>IF(T157="","",_xlfn.XLOOKUP(T157,Airlines!A:A,Airlines!B:B,"Not Found"))</f>
        <v>Virgin Atlantic</v>
      </c>
      <c r="AU157" s="5" t="str">
        <f>IF(U157="","",_xlfn.XLOOKUP(U157,Hotels!A:A,Hotels!B:B,"Not found"))</f>
        <v>Marriott</v>
      </c>
      <c r="AV157" t="s">
        <v>148</v>
      </c>
      <c r="AW157" s="16" t="str">
        <f t="shared" si="50"/>
        <v>OK</v>
      </c>
      <c r="AX157" s="16" t="str">
        <f t="shared" si="51"/>
        <v>OK</v>
      </c>
      <c r="AY157" s="16" t="str">
        <f t="shared" si="52"/>
        <v>OK</v>
      </c>
      <c r="AZ157" s="16" t="str">
        <f t="shared" si="53"/>
        <v>OK</v>
      </c>
      <c r="BA157" s="16" t="str">
        <f t="shared" si="57"/>
        <v>OK</v>
      </c>
      <c r="BB157" s="21">
        <f>COUNTIF('Trip Changes'!B:B,A157)</f>
        <v>1</v>
      </c>
      <c r="BC157" s="16" t="str">
        <f>IF(OR(AND(AD157="Yes",COUNTIF('Trip Changes'!B:B,A157)&gt;0),AND(AD157="No",COUNTIF('Trip Changes'!B:B,A157)=0)),"OK","Check")</f>
        <v>OK</v>
      </c>
      <c r="BD157" t="str">
        <f t="shared" si="58"/>
        <v>OK</v>
      </c>
      <c r="BE157" t="str">
        <f t="shared" si="59"/>
        <v>OK</v>
      </c>
      <c r="BF157" t="str">
        <f t="shared" si="60"/>
        <v>OK</v>
      </c>
      <c r="BG157" t="str">
        <f t="shared" si="61"/>
        <v>OK</v>
      </c>
      <c r="BH157" t="str">
        <f t="shared" si="62"/>
        <v>OK</v>
      </c>
      <c r="BI157" t="str">
        <f t="shared" si="54"/>
        <v>OK</v>
      </c>
      <c r="BJ157" t="str">
        <f t="shared" si="55"/>
        <v>OK</v>
      </c>
      <c r="BK157" t="str">
        <f t="shared" si="56"/>
        <v>OK</v>
      </c>
    </row>
    <row r="158" spans="1:63">
      <c r="A158" s="16" t="s">
        <v>408</v>
      </c>
      <c r="B158" s="16" t="s">
        <v>409</v>
      </c>
      <c r="C158" s="16" t="s">
        <v>307</v>
      </c>
      <c r="D158" s="16" t="s">
        <v>248</v>
      </c>
      <c r="E158" s="16" t="s">
        <v>268</v>
      </c>
      <c r="F158" s="16" t="s">
        <v>140</v>
      </c>
      <c r="G158" s="15">
        <v>46180</v>
      </c>
      <c r="H158" s="15">
        <v>46181</v>
      </c>
      <c r="I158" s="15">
        <v>46184</v>
      </c>
      <c r="J158" s="15" t="s">
        <v>141</v>
      </c>
      <c r="K158" s="16" t="s">
        <v>307</v>
      </c>
      <c r="L158" t="s">
        <v>142</v>
      </c>
      <c r="M158" s="16" t="s">
        <v>143</v>
      </c>
      <c r="N158" s="16" t="s">
        <v>144</v>
      </c>
      <c r="O158" t="s">
        <v>1630</v>
      </c>
      <c r="P158" s="18">
        <v>918</v>
      </c>
      <c r="Q158" s="21">
        <v>1</v>
      </c>
      <c r="R158" s="21" t="str">
        <f t="shared" si="42"/>
        <v>0-3 days</v>
      </c>
      <c r="S158" s="16" t="s">
        <v>159</v>
      </c>
      <c r="U158" s="16" t="s">
        <v>164</v>
      </c>
      <c r="V158" t="str">
        <f>IF(U158="","",IFERROR(VLOOKUP(U158,Hotels!A:B,2,FALSE),"Not Found"))</f>
        <v>Marriott</v>
      </c>
      <c r="W158" s="14">
        <v>0</v>
      </c>
      <c r="X158" s="14">
        <v>99</v>
      </c>
      <c r="Y158" s="21">
        <v>2</v>
      </c>
      <c r="Z158" s="29">
        <f t="shared" si="43"/>
        <v>190.53</v>
      </c>
      <c r="AA158" s="14">
        <v>381.06</v>
      </c>
      <c r="AB158" s="14">
        <v>53.52</v>
      </c>
      <c r="AC158" s="14">
        <v>533.58000000000004</v>
      </c>
      <c r="AD158" s="16" t="s">
        <v>148</v>
      </c>
      <c r="AE158" s="16" t="s">
        <v>147</v>
      </c>
      <c r="AF158" s="14">
        <f>SUMIF('Trip Changes'!$B:$B,A158,'Trip Changes'!$E:$E)</f>
        <v>148.11000000000001</v>
      </c>
      <c r="AG158" s="23">
        <f>SUMIF('Trip Cancellations'!$B:$B,A158,'Trip Cancellations'!$E:$E)</f>
        <v>0</v>
      </c>
      <c r="AH158" s="14">
        <f>SUMIF('Trip Cancellations'!$B:$B,A158,'Trip Cancellations'!$F:$F)</f>
        <v>0</v>
      </c>
      <c r="AI158" s="14">
        <f t="shared" si="44"/>
        <v>681.69</v>
      </c>
      <c r="AJ158" s="14" t="str">
        <f t="shared" si="45"/>
        <v>Yes</v>
      </c>
      <c r="AK158" s="14" t="str">
        <f>IF(Y158=0,"N/A",
IF(_xlfn.XLOOKUP(U158,Hotels!A:A,Hotels!C:C)=TRUE,"Yes","No"))</f>
        <v>Yes</v>
      </c>
      <c r="AL158" s="14" t="str">
        <f>IF(N158="Rail","N/A",IF(_xlfn.XLOOKUP(T158,Airlines!A:A,Airlines!C:C)=TRUE,"Yes","No"))</f>
        <v>N/A</v>
      </c>
      <c r="AM158" s="14" t="str">
        <f t="shared" si="46"/>
        <v>Yes</v>
      </c>
      <c r="AN158" s="14" t="str">
        <f t="shared" si="47"/>
        <v>Yes</v>
      </c>
      <c r="AO158" s="14" t="str">
        <f t="shared" si="48"/>
        <v>Yes</v>
      </c>
      <c r="AP158" s="16" t="s">
        <v>148</v>
      </c>
      <c r="AQ158" t="str">
        <f t="shared" si="49"/>
        <v>Yes</v>
      </c>
      <c r="AR158" s="21">
        <v>3</v>
      </c>
      <c r="AS158" s="5">
        <v>36.700000000000003</v>
      </c>
      <c r="AT158" s="5" t="str">
        <f>IF(T158="","",_xlfn.XLOOKUP(T158,Airlines!A:A,Airlines!B:B,"Not Found"))</f>
        <v/>
      </c>
      <c r="AU158" s="5" t="str">
        <f>IF(U158="","",_xlfn.XLOOKUP(U158,Hotels!A:A,Hotels!B:B,"Not found"))</f>
        <v>Marriott</v>
      </c>
      <c r="AV158" t="s">
        <v>147</v>
      </c>
      <c r="AW158" s="16" t="str">
        <f t="shared" si="50"/>
        <v>OK</v>
      </c>
      <c r="AX158" s="16" t="str">
        <f t="shared" si="51"/>
        <v>OK</v>
      </c>
      <c r="AY158" s="16" t="str">
        <f t="shared" si="52"/>
        <v>OK</v>
      </c>
      <c r="AZ158" s="16" t="str">
        <f t="shared" si="53"/>
        <v>OK</v>
      </c>
      <c r="BA158" s="16" t="str">
        <f t="shared" si="57"/>
        <v>OK</v>
      </c>
      <c r="BB158" s="21">
        <f>COUNTIF('Trip Changes'!B:B,A158)</f>
        <v>1</v>
      </c>
      <c r="BC158" s="16" t="str">
        <f>IF(OR(AND(AD158="Yes",COUNTIF('Trip Changes'!B:B,A158)&gt;0),AND(AD158="No",COUNTIF('Trip Changes'!B:B,A158)=0)),"OK","Check")</f>
        <v>OK</v>
      </c>
      <c r="BD158" t="str">
        <f t="shared" si="58"/>
        <v>OK</v>
      </c>
      <c r="BE158" t="str">
        <f t="shared" si="59"/>
        <v>OK</v>
      </c>
      <c r="BF158" t="str">
        <f t="shared" si="60"/>
        <v>OK</v>
      </c>
      <c r="BG158" t="str">
        <f t="shared" si="61"/>
        <v>OK</v>
      </c>
      <c r="BH158" t="str">
        <f t="shared" si="62"/>
        <v>OK</v>
      </c>
      <c r="BI158" t="str">
        <f t="shared" si="54"/>
        <v>OK</v>
      </c>
      <c r="BJ158" t="str">
        <f t="shared" si="55"/>
        <v>OK</v>
      </c>
      <c r="BK158" t="str">
        <f t="shared" si="56"/>
        <v>OK</v>
      </c>
    </row>
    <row r="159" spans="1:63">
      <c r="A159" s="16" t="s">
        <v>410</v>
      </c>
      <c r="B159" s="16" t="s">
        <v>409</v>
      </c>
      <c r="C159" s="16" t="s">
        <v>307</v>
      </c>
      <c r="D159" s="16" t="s">
        <v>248</v>
      </c>
      <c r="E159" s="16" t="s">
        <v>268</v>
      </c>
      <c r="F159" s="16" t="s">
        <v>170</v>
      </c>
      <c r="G159" s="15">
        <v>46209</v>
      </c>
      <c r="H159" s="15">
        <v>46230</v>
      </c>
      <c r="I159" s="15">
        <v>46233</v>
      </c>
      <c r="J159" s="15" t="s">
        <v>150</v>
      </c>
      <c r="K159" s="16" t="s">
        <v>307</v>
      </c>
      <c r="L159" t="s">
        <v>142</v>
      </c>
      <c r="M159" s="16" t="s">
        <v>143</v>
      </c>
      <c r="N159" s="16" t="s">
        <v>144</v>
      </c>
      <c r="O159" t="s">
        <v>1630</v>
      </c>
      <c r="P159" s="18">
        <v>794</v>
      </c>
      <c r="Q159" s="21">
        <v>21</v>
      </c>
      <c r="R159" s="21" t="str">
        <f t="shared" si="42"/>
        <v>15-30 days</v>
      </c>
      <c r="S159" s="16" t="s">
        <v>159</v>
      </c>
      <c r="U159" s="16" t="s">
        <v>155</v>
      </c>
      <c r="V159" t="str">
        <f>IF(U159="","",IFERROR(VLOOKUP(U159,Hotels!A:B,2,FALSE),"Not Found"))</f>
        <v>Hilton</v>
      </c>
      <c r="W159" s="14">
        <v>0</v>
      </c>
      <c r="X159" s="14">
        <v>259.08</v>
      </c>
      <c r="Y159" s="21">
        <v>2</v>
      </c>
      <c r="Z159" s="29">
        <f t="shared" si="43"/>
        <v>124.16</v>
      </c>
      <c r="AA159" s="14">
        <v>248.32</v>
      </c>
      <c r="AB159" s="14">
        <v>62.66</v>
      </c>
      <c r="AC159" s="14">
        <v>570.05999999999995</v>
      </c>
      <c r="AD159" s="16" t="s">
        <v>147</v>
      </c>
      <c r="AE159" s="16" t="s">
        <v>147</v>
      </c>
      <c r="AF159" s="14">
        <f>SUMIF('Trip Changes'!$B:$B,A159,'Trip Changes'!$E:$E)</f>
        <v>0</v>
      </c>
      <c r="AG159" s="23">
        <f>SUMIF('Trip Cancellations'!$B:$B,A159,'Trip Cancellations'!$E:$E)</f>
        <v>0</v>
      </c>
      <c r="AH159" s="14">
        <f>SUMIF('Trip Cancellations'!$B:$B,A159,'Trip Cancellations'!$F:$F)</f>
        <v>0</v>
      </c>
      <c r="AI159" s="14">
        <f t="shared" si="44"/>
        <v>570.05999999999995</v>
      </c>
      <c r="AJ159" s="14" t="str">
        <f t="shared" si="45"/>
        <v>Yes</v>
      </c>
      <c r="AK159" s="14" t="str">
        <f>IF(Y159=0,"N/A",
IF(_xlfn.XLOOKUP(U159,Hotels!A:A,Hotels!C:C)=TRUE,"Yes","No"))</f>
        <v>Yes</v>
      </c>
      <c r="AL159" s="14" t="str">
        <f>IF(N159="Rail","N/A",IF(_xlfn.XLOOKUP(T159,Airlines!A:A,Airlines!C:C)=TRUE,"Yes","No"))</f>
        <v>N/A</v>
      </c>
      <c r="AM159" s="14" t="str">
        <f t="shared" si="46"/>
        <v>Yes</v>
      </c>
      <c r="AN159" s="14" t="str">
        <f t="shared" si="47"/>
        <v>Yes</v>
      </c>
      <c r="AO159" s="14" t="str">
        <f t="shared" si="48"/>
        <v>Yes</v>
      </c>
      <c r="AP159" s="16" t="s">
        <v>148</v>
      </c>
      <c r="AQ159" t="str">
        <f t="shared" si="49"/>
        <v>Yes</v>
      </c>
      <c r="AR159" s="21">
        <v>4</v>
      </c>
      <c r="AS159" s="5">
        <v>31.8</v>
      </c>
      <c r="AT159" s="5" t="str">
        <f>IF(T159="","",_xlfn.XLOOKUP(T159,Airlines!A:A,Airlines!B:B,"Not Found"))</f>
        <v/>
      </c>
      <c r="AU159" s="5" t="str">
        <f>IF(U159="","",_xlfn.XLOOKUP(U159,Hotels!A:A,Hotels!B:B,"Not found"))</f>
        <v>Hilton</v>
      </c>
      <c r="AV159" t="s">
        <v>148</v>
      </c>
      <c r="AW159" s="16" t="str">
        <f t="shared" si="50"/>
        <v>OK</v>
      </c>
      <c r="AX159" s="16" t="str">
        <f t="shared" si="51"/>
        <v>OK</v>
      </c>
      <c r="AY159" s="16" t="str">
        <f t="shared" si="52"/>
        <v>OK</v>
      </c>
      <c r="AZ159" s="16" t="str">
        <f t="shared" si="53"/>
        <v>OK</v>
      </c>
      <c r="BA159" s="16" t="str">
        <f t="shared" si="57"/>
        <v>OK</v>
      </c>
      <c r="BB159" s="21">
        <f>COUNTIF('Trip Changes'!B:B,A159)</f>
        <v>0</v>
      </c>
      <c r="BC159" s="16" t="str">
        <f>IF(OR(AND(AD159="Yes",COUNTIF('Trip Changes'!B:B,A159)&gt;0),AND(AD159="No",COUNTIF('Trip Changes'!B:B,A159)=0)),"OK","Check")</f>
        <v>OK</v>
      </c>
      <c r="BD159" t="str">
        <f t="shared" si="58"/>
        <v>OK</v>
      </c>
      <c r="BE159" t="str">
        <f t="shared" si="59"/>
        <v>OK</v>
      </c>
      <c r="BF159" t="str">
        <f t="shared" si="60"/>
        <v>OK</v>
      </c>
      <c r="BG159" t="str">
        <f t="shared" si="61"/>
        <v>OK</v>
      </c>
      <c r="BH159" t="str">
        <f t="shared" si="62"/>
        <v>OK</v>
      </c>
      <c r="BI159" t="str">
        <f t="shared" si="54"/>
        <v>OK</v>
      </c>
      <c r="BJ159" t="str">
        <f t="shared" si="55"/>
        <v>OK</v>
      </c>
      <c r="BK159" t="str">
        <f t="shared" si="56"/>
        <v>OK</v>
      </c>
    </row>
    <row r="160" spans="1:63">
      <c r="A160" s="16" t="s">
        <v>411</v>
      </c>
      <c r="B160" s="16" t="s">
        <v>409</v>
      </c>
      <c r="C160" s="16" t="s">
        <v>307</v>
      </c>
      <c r="D160" s="16" t="s">
        <v>248</v>
      </c>
      <c r="E160" s="16" t="s">
        <v>268</v>
      </c>
      <c r="F160" s="16" t="s">
        <v>157</v>
      </c>
      <c r="G160" s="15">
        <v>46127</v>
      </c>
      <c r="H160" s="15">
        <v>46157</v>
      </c>
      <c r="I160" s="15">
        <v>46160</v>
      </c>
      <c r="J160" s="15" t="s">
        <v>163</v>
      </c>
      <c r="K160" s="16" t="s">
        <v>307</v>
      </c>
      <c r="L160" t="s">
        <v>225</v>
      </c>
      <c r="M160" s="16" t="s">
        <v>152</v>
      </c>
      <c r="N160" s="16" t="s">
        <v>153</v>
      </c>
      <c r="O160" t="s">
        <v>1614</v>
      </c>
      <c r="P160" s="18">
        <v>1134</v>
      </c>
      <c r="Q160" s="21">
        <v>30</v>
      </c>
      <c r="R160" s="21" t="str">
        <f t="shared" si="42"/>
        <v>15-30 days</v>
      </c>
      <c r="S160" s="16" t="s">
        <v>145</v>
      </c>
      <c r="T160" s="16" t="s">
        <v>236</v>
      </c>
      <c r="U160" s="16" t="s">
        <v>164</v>
      </c>
      <c r="V160" t="str">
        <f>IF(U160="","",IFERROR(VLOOKUP(U160,Hotels!A:B,2,FALSE),"Not Found"))</f>
        <v>Marriott</v>
      </c>
      <c r="W160" s="14">
        <v>308.76</v>
      </c>
      <c r="X160" s="14">
        <v>0</v>
      </c>
      <c r="Y160" s="21">
        <v>2</v>
      </c>
      <c r="Z160" s="29">
        <f t="shared" si="43"/>
        <v>213.3</v>
      </c>
      <c r="AA160" s="14">
        <v>426.6</v>
      </c>
      <c r="AB160" s="14">
        <v>101.08</v>
      </c>
      <c r="AC160" s="14">
        <v>836.44</v>
      </c>
      <c r="AD160" s="16" t="s">
        <v>147</v>
      </c>
      <c r="AE160" s="16" t="s">
        <v>147</v>
      </c>
      <c r="AF160" s="14">
        <f>SUMIF('Trip Changes'!$B:$B,A160,'Trip Changes'!$E:$E)</f>
        <v>0</v>
      </c>
      <c r="AG160" s="23">
        <f>SUMIF('Trip Cancellations'!$B:$B,A160,'Trip Cancellations'!$E:$E)</f>
        <v>0</v>
      </c>
      <c r="AH160" s="14">
        <f>SUMIF('Trip Cancellations'!$B:$B,A160,'Trip Cancellations'!$F:$F)</f>
        <v>0</v>
      </c>
      <c r="AI160" s="14">
        <f t="shared" si="44"/>
        <v>836.44</v>
      </c>
      <c r="AJ160" s="14" t="str">
        <f t="shared" si="45"/>
        <v>No</v>
      </c>
      <c r="AK160" s="14" t="str">
        <f>IF(Y160=0,"N/A",
IF(_xlfn.XLOOKUP(U160,Hotels!A:A,Hotels!C:C)=TRUE,"Yes","No"))</f>
        <v>Yes</v>
      </c>
      <c r="AL160" s="14" t="str">
        <f>IF(N160="Rail","N/A",IF(_xlfn.XLOOKUP(T160,Airlines!A:A,Airlines!C:C)=TRUE,"Yes","No"))</f>
        <v>Yes</v>
      </c>
      <c r="AM160" s="14" t="str">
        <f t="shared" si="46"/>
        <v>Yes</v>
      </c>
      <c r="AN160" s="14" t="str">
        <f t="shared" si="47"/>
        <v>Yes</v>
      </c>
      <c r="AO160" s="14" t="str">
        <f t="shared" si="48"/>
        <v>Yes</v>
      </c>
      <c r="AP160" s="16" t="s">
        <v>148</v>
      </c>
      <c r="AQ160" t="str">
        <f t="shared" si="49"/>
        <v>No</v>
      </c>
      <c r="AR160" s="21">
        <v>5</v>
      </c>
      <c r="AS160" s="5">
        <v>170.1</v>
      </c>
      <c r="AT160" s="5" t="str">
        <f>IF(T160="","",_xlfn.XLOOKUP(T160,Airlines!A:A,Airlines!B:B,"Not Found"))</f>
        <v>KLM</v>
      </c>
      <c r="AU160" s="5" t="str">
        <f>IF(U160="","",_xlfn.XLOOKUP(U160,Hotels!A:A,Hotels!B:B,"Not found"))</f>
        <v>Marriott</v>
      </c>
      <c r="AV160" t="s">
        <v>148</v>
      </c>
      <c r="AW160" s="16" t="str">
        <f t="shared" si="50"/>
        <v>OK</v>
      </c>
      <c r="AX160" s="16" t="str">
        <f t="shared" si="51"/>
        <v>OK</v>
      </c>
      <c r="AY160" s="16" t="str">
        <f t="shared" si="52"/>
        <v>OK</v>
      </c>
      <c r="AZ160" s="16" t="str">
        <f t="shared" si="53"/>
        <v>OK</v>
      </c>
      <c r="BA160" s="16" t="str">
        <f t="shared" si="57"/>
        <v>OK</v>
      </c>
      <c r="BB160" s="21">
        <f>COUNTIF('Trip Changes'!B:B,A160)</f>
        <v>0</v>
      </c>
      <c r="BC160" s="16" t="str">
        <f>IF(OR(AND(AD160="Yes",COUNTIF('Trip Changes'!B:B,A160)&gt;0),AND(AD160="No",COUNTIF('Trip Changes'!B:B,A160)=0)),"OK","Check")</f>
        <v>OK</v>
      </c>
      <c r="BD160" t="str">
        <f t="shared" si="58"/>
        <v>OK</v>
      </c>
      <c r="BE160" t="str">
        <f t="shared" si="59"/>
        <v>OK</v>
      </c>
      <c r="BF160" t="str">
        <f t="shared" si="60"/>
        <v>OK</v>
      </c>
      <c r="BG160" t="str">
        <f t="shared" si="61"/>
        <v>OK</v>
      </c>
      <c r="BH160" t="str">
        <f t="shared" si="62"/>
        <v>OK</v>
      </c>
      <c r="BI160" t="str">
        <f t="shared" si="54"/>
        <v>OK</v>
      </c>
      <c r="BJ160" t="str">
        <f t="shared" si="55"/>
        <v>OK</v>
      </c>
      <c r="BK160" t="str">
        <f t="shared" si="56"/>
        <v>OK</v>
      </c>
    </row>
    <row r="161" spans="1:63">
      <c r="A161" s="16" t="s">
        <v>412</v>
      </c>
      <c r="B161" s="16" t="s">
        <v>413</v>
      </c>
      <c r="C161" s="16" t="s">
        <v>167</v>
      </c>
      <c r="D161" s="16" t="s">
        <v>204</v>
      </c>
      <c r="E161" s="16" t="s">
        <v>139</v>
      </c>
      <c r="F161" s="16" t="s">
        <v>140</v>
      </c>
      <c r="G161" s="15">
        <v>46146</v>
      </c>
      <c r="H161" s="15">
        <v>46161</v>
      </c>
      <c r="I161" s="15">
        <v>46163</v>
      </c>
      <c r="J161" s="15" t="s">
        <v>163</v>
      </c>
      <c r="K161" s="16" t="s">
        <v>167</v>
      </c>
      <c r="L161" t="s">
        <v>182</v>
      </c>
      <c r="M161" s="16" t="s">
        <v>143</v>
      </c>
      <c r="N161" s="16" t="s">
        <v>153</v>
      </c>
      <c r="O161" t="s">
        <v>1614</v>
      </c>
      <c r="P161" s="18">
        <v>366</v>
      </c>
      <c r="Q161" s="21">
        <v>15</v>
      </c>
      <c r="R161" s="21" t="str">
        <f t="shared" si="42"/>
        <v>15-30 days</v>
      </c>
      <c r="S161" s="16" t="s">
        <v>159</v>
      </c>
      <c r="T161" s="16" t="s">
        <v>176</v>
      </c>
      <c r="U161" s="16" t="s">
        <v>195</v>
      </c>
      <c r="V161" t="str">
        <f>IF(U161="","",IFERROR(VLOOKUP(U161,Hotels!A:B,2,FALSE),"Not Found"))</f>
        <v>Travelodge</v>
      </c>
      <c r="W161" s="14">
        <v>243.38</v>
      </c>
      <c r="X161" s="14">
        <v>0</v>
      </c>
      <c r="Y161" s="21">
        <v>1</v>
      </c>
      <c r="Z161" s="29">
        <f t="shared" si="43"/>
        <v>71.3</v>
      </c>
      <c r="AA161" s="14">
        <v>71.3</v>
      </c>
      <c r="AB161" s="14">
        <v>87.01</v>
      </c>
      <c r="AC161" s="14">
        <v>401.69</v>
      </c>
      <c r="AD161" s="16" t="s">
        <v>147</v>
      </c>
      <c r="AE161" s="16" t="s">
        <v>147</v>
      </c>
      <c r="AF161" s="14">
        <f>SUMIF('Trip Changes'!$B:$B,A161,'Trip Changes'!$E:$E)</f>
        <v>0</v>
      </c>
      <c r="AG161" s="23">
        <f>SUMIF('Trip Cancellations'!$B:$B,A161,'Trip Cancellations'!$E:$E)</f>
        <v>0</v>
      </c>
      <c r="AH161" s="14">
        <f>SUMIF('Trip Cancellations'!$B:$B,A161,'Trip Cancellations'!$F:$F)</f>
        <v>0</v>
      </c>
      <c r="AI161" s="14">
        <f t="shared" si="44"/>
        <v>401.69</v>
      </c>
      <c r="AJ161" s="14" t="str">
        <f t="shared" si="45"/>
        <v>Yes</v>
      </c>
      <c r="AK161" s="14" t="str">
        <f>IF(Y161=0,"N/A",
IF(_xlfn.XLOOKUP(U161,Hotels!A:A,Hotels!C:C)=TRUE,"Yes","No"))</f>
        <v>No</v>
      </c>
      <c r="AL161" s="14" t="str">
        <f>IF(N161="Rail","N/A",IF(_xlfn.XLOOKUP(T161,Airlines!A:A,Airlines!C:C)=TRUE,"Yes","No"))</f>
        <v>Yes</v>
      </c>
      <c r="AM161" s="14" t="str">
        <f t="shared" si="46"/>
        <v>Yes</v>
      </c>
      <c r="AN161" s="14" t="str">
        <f t="shared" si="47"/>
        <v>Yes</v>
      </c>
      <c r="AO161" s="14" t="str">
        <f t="shared" si="48"/>
        <v>No</v>
      </c>
      <c r="AP161" s="16" t="s">
        <v>148</v>
      </c>
      <c r="AQ161" t="str">
        <f t="shared" si="49"/>
        <v>No</v>
      </c>
      <c r="AR161" s="21">
        <v>5</v>
      </c>
      <c r="AS161" s="5">
        <v>54.9</v>
      </c>
      <c r="AT161" s="5" t="str">
        <f>IF(T161="","",_xlfn.XLOOKUP(T161,Airlines!A:A,Airlines!B:B,"Not Found"))</f>
        <v>easyJet</v>
      </c>
      <c r="AU161" s="5" t="str">
        <f>IF(U161="","",_xlfn.XLOOKUP(U161,Hotels!A:A,Hotels!B:B,"Not found"))</f>
        <v>Travelodge</v>
      </c>
      <c r="AV161" t="s">
        <v>147</v>
      </c>
      <c r="AW161" s="16" t="str">
        <f t="shared" si="50"/>
        <v>OK</v>
      </c>
      <c r="AX161" s="16" t="str">
        <f t="shared" si="51"/>
        <v>OK</v>
      </c>
      <c r="AY161" s="16" t="str">
        <f t="shared" si="52"/>
        <v>OK</v>
      </c>
      <c r="AZ161" s="16" t="str">
        <f t="shared" si="53"/>
        <v>OK</v>
      </c>
      <c r="BA161" s="16" t="str">
        <f t="shared" si="57"/>
        <v>OK</v>
      </c>
      <c r="BB161" s="21">
        <f>COUNTIF('Trip Changes'!B:B,A161)</f>
        <v>0</v>
      </c>
      <c r="BC161" s="16" t="str">
        <f>IF(OR(AND(AD161="Yes",COUNTIF('Trip Changes'!B:B,A161)&gt;0),AND(AD161="No",COUNTIF('Trip Changes'!B:B,A161)=0)),"OK","Check")</f>
        <v>OK</v>
      </c>
      <c r="BD161" t="str">
        <f t="shared" si="58"/>
        <v>OK</v>
      </c>
      <c r="BE161" t="str">
        <f t="shared" si="59"/>
        <v>OK</v>
      </c>
      <c r="BF161" t="str">
        <f t="shared" si="60"/>
        <v>OK</v>
      </c>
      <c r="BG161" t="str">
        <f t="shared" si="61"/>
        <v>OK</v>
      </c>
      <c r="BH161" t="str">
        <f t="shared" si="62"/>
        <v>OK</v>
      </c>
      <c r="BI161" t="str">
        <f t="shared" si="54"/>
        <v>OK</v>
      </c>
      <c r="BJ161" t="str">
        <f t="shared" si="55"/>
        <v>OK</v>
      </c>
      <c r="BK161" t="str">
        <f t="shared" si="56"/>
        <v>OK</v>
      </c>
    </row>
    <row r="162" spans="1:63">
      <c r="A162" s="16" t="s">
        <v>414</v>
      </c>
      <c r="B162" s="16" t="s">
        <v>413</v>
      </c>
      <c r="C162" s="16" t="s">
        <v>167</v>
      </c>
      <c r="D162" s="16" t="s">
        <v>204</v>
      </c>
      <c r="E162" s="16" t="s">
        <v>139</v>
      </c>
      <c r="F162" s="16" t="s">
        <v>140</v>
      </c>
      <c r="G162" s="15">
        <v>46204</v>
      </c>
      <c r="H162" s="15">
        <v>46228</v>
      </c>
      <c r="I162" s="15">
        <v>46232</v>
      </c>
      <c r="J162" s="15" t="s">
        <v>150</v>
      </c>
      <c r="K162" s="16" t="s">
        <v>167</v>
      </c>
      <c r="L162" t="s">
        <v>175</v>
      </c>
      <c r="M162" s="16" t="s">
        <v>152</v>
      </c>
      <c r="N162" s="16" t="s">
        <v>153</v>
      </c>
      <c r="O162" t="s">
        <v>1614</v>
      </c>
      <c r="P162" s="18">
        <v>1120</v>
      </c>
      <c r="Q162" s="21">
        <v>24</v>
      </c>
      <c r="R162" s="21" t="str">
        <f t="shared" si="42"/>
        <v>15-30 days</v>
      </c>
      <c r="S162" s="16" t="s">
        <v>207</v>
      </c>
      <c r="T162" s="16" t="s">
        <v>176</v>
      </c>
      <c r="U162" s="16" t="s">
        <v>164</v>
      </c>
      <c r="V162" t="str">
        <f>IF(U162="","",IFERROR(VLOOKUP(U162,Hotels!A:B,2,FALSE),"Not Found"))</f>
        <v>Marriott</v>
      </c>
      <c r="W162" s="14">
        <v>388.77</v>
      </c>
      <c r="X162" s="14">
        <v>0</v>
      </c>
      <c r="Y162" s="21">
        <v>3</v>
      </c>
      <c r="Z162" s="29">
        <f t="shared" si="43"/>
        <v>170.47</v>
      </c>
      <c r="AA162" s="14">
        <v>511.41</v>
      </c>
      <c r="AB162" s="14">
        <v>55.63</v>
      </c>
      <c r="AC162" s="14">
        <v>955.81</v>
      </c>
      <c r="AD162" s="16" t="s">
        <v>147</v>
      </c>
      <c r="AE162" s="16" t="s">
        <v>147</v>
      </c>
      <c r="AF162" s="14">
        <f>SUMIF('Trip Changes'!$B:$B,A162,'Trip Changes'!$E:$E)</f>
        <v>0</v>
      </c>
      <c r="AG162" s="23">
        <f>SUMIF('Trip Cancellations'!$B:$B,A162,'Trip Cancellations'!$E:$E)</f>
        <v>0</v>
      </c>
      <c r="AH162" s="14">
        <f>SUMIF('Trip Cancellations'!$B:$B,A162,'Trip Cancellations'!$F:$F)</f>
        <v>0</v>
      </c>
      <c r="AI162" s="14">
        <f t="shared" si="44"/>
        <v>955.81</v>
      </c>
      <c r="AJ162" s="14" t="str">
        <f t="shared" si="45"/>
        <v>Yes</v>
      </c>
      <c r="AK162" s="14" t="str">
        <f>IF(Y162=0,"N/A",
IF(_xlfn.XLOOKUP(U162,Hotels!A:A,Hotels!C:C)=TRUE,"Yes","No"))</f>
        <v>Yes</v>
      </c>
      <c r="AL162" s="14" t="str">
        <f>IF(N162="Rail","N/A",IF(_xlfn.XLOOKUP(T162,Airlines!A:A,Airlines!C:C)=TRUE,"Yes","No"))</f>
        <v>Yes</v>
      </c>
      <c r="AM162" s="14" t="str">
        <f t="shared" si="46"/>
        <v>Yes</v>
      </c>
      <c r="AN162" s="14" t="str">
        <f t="shared" si="47"/>
        <v>No</v>
      </c>
      <c r="AO162" s="14" t="str">
        <f t="shared" si="48"/>
        <v>Yes</v>
      </c>
      <c r="AP162" s="16" t="s">
        <v>147</v>
      </c>
      <c r="AQ162" t="str">
        <f t="shared" si="49"/>
        <v>No</v>
      </c>
      <c r="AR162" s="21">
        <v>4</v>
      </c>
      <c r="AS162" s="5">
        <v>168</v>
      </c>
      <c r="AT162" s="5" t="str">
        <f>IF(T162="","",_xlfn.XLOOKUP(T162,Airlines!A:A,Airlines!B:B,"Not Found"))</f>
        <v>easyJet</v>
      </c>
      <c r="AU162" s="5" t="str">
        <f>IF(U162="","",_xlfn.XLOOKUP(U162,Hotels!A:A,Hotels!B:B,"Not found"))</f>
        <v>Marriott</v>
      </c>
      <c r="AV162" t="s">
        <v>147</v>
      </c>
      <c r="AW162" s="16" t="str">
        <f t="shared" si="50"/>
        <v>OK</v>
      </c>
      <c r="AX162" s="16" t="str">
        <f t="shared" si="51"/>
        <v>OK</v>
      </c>
      <c r="AY162" s="16" t="str">
        <f t="shared" si="52"/>
        <v>OK</v>
      </c>
      <c r="AZ162" s="16" t="str">
        <f t="shared" si="53"/>
        <v>OK</v>
      </c>
      <c r="BA162" s="16" t="str">
        <f t="shared" si="57"/>
        <v>OK</v>
      </c>
      <c r="BB162" s="21">
        <f>COUNTIF('Trip Changes'!B:B,A162)</f>
        <v>0</v>
      </c>
      <c r="BC162" s="16" t="str">
        <f>IF(OR(AND(AD162="Yes",COUNTIF('Trip Changes'!B:B,A162)&gt;0),AND(AD162="No",COUNTIF('Trip Changes'!B:B,A162)=0)),"OK","Check")</f>
        <v>OK</v>
      </c>
      <c r="BD162" t="str">
        <f t="shared" si="58"/>
        <v>OK</v>
      </c>
      <c r="BE162" t="str">
        <f t="shared" si="59"/>
        <v>OK</v>
      </c>
      <c r="BF162" t="str">
        <f t="shared" si="60"/>
        <v>OK</v>
      </c>
      <c r="BG162" t="str">
        <f t="shared" si="61"/>
        <v>OK</v>
      </c>
      <c r="BH162" t="str">
        <f t="shared" si="62"/>
        <v>OK</v>
      </c>
      <c r="BI162" t="str">
        <f t="shared" si="54"/>
        <v>OK</v>
      </c>
      <c r="BJ162" t="str">
        <f t="shared" si="55"/>
        <v>OK</v>
      </c>
      <c r="BK162" t="str">
        <f t="shared" si="56"/>
        <v>OK</v>
      </c>
    </row>
    <row r="163" spans="1:63">
      <c r="A163" s="16" t="s">
        <v>415</v>
      </c>
      <c r="B163" s="16" t="s">
        <v>413</v>
      </c>
      <c r="C163" s="16" t="s">
        <v>167</v>
      </c>
      <c r="D163" s="16" t="s">
        <v>204</v>
      </c>
      <c r="E163" s="16" t="s">
        <v>139</v>
      </c>
      <c r="F163" s="16" t="s">
        <v>162</v>
      </c>
      <c r="G163" s="15">
        <v>46169</v>
      </c>
      <c r="H163" s="15">
        <v>46192</v>
      </c>
      <c r="I163" s="15">
        <v>46197</v>
      </c>
      <c r="J163" s="15" t="s">
        <v>141</v>
      </c>
      <c r="K163" s="16" t="s">
        <v>167</v>
      </c>
      <c r="L163" t="s">
        <v>199</v>
      </c>
      <c r="M163" s="16" t="s">
        <v>152</v>
      </c>
      <c r="N163" s="16" t="s">
        <v>153</v>
      </c>
      <c r="O163" t="s">
        <v>1614</v>
      </c>
      <c r="P163" s="18">
        <v>2976</v>
      </c>
      <c r="Q163" s="21">
        <v>23</v>
      </c>
      <c r="R163" s="21" t="str">
        <f t="shared" si="42"/>
        <v>15-30 days</v>
      </c>
      <c r="S163" s="16" t="s">
        <v>145</v>
      </c>
      <c r="T163" s="16" t="s">
        <v>200</v>
      </c>
      <c r="U163" s="16" t="s">
        <v>155</v>
      </c>
      <c r="V163" t="str">
        <f>IF(U163="","",IFERROR(VLOOKUP(U163,Hotels!A:B,2,FALSE),"Not Found"))</f>
        <v>Hilton</v>
      </c>
      <c r="W163" s="14">
        <v>414.5</v>
      </c>
      <c r="X163" s="14">
        <v>0</v>
      </c>
      <c r="Y163" s="21">
        <v>4</v>
      </c>
      <c r="Z163" s="29">
        <f t="shared" si="43"/>
        <v>137.23750000000001</v>
      </c>
      <c r="AA163" s="14">
        <v>548.95000000000005</v>
      </c>
      <c r="AB163" s="14">
        <v>75.62</v>
      </c>
      <c r="AC163" s="14">
        <v>1039.07</v>
      </c>
      <c r="AD163" s="16" t="s">
        <v>147</v>
      </c>
      <c r="AE163" s="16" t="s">
        <v>147</v>
      </c>
      <c r="AF163" s="14">
        <f>SUMIF('Trip Changes'!$B:$B,A163,'Trip Changes'!$E:$E)</f>
        <v>0</v>
      </c>
      <c r="AG163" s="23">
        <f>SUMIF('Trip Cancellations'!$B:$B,A163,'Trip Cancellations'!$E:$E)</f>
        <v>0</v>
      </c>
      <c r="AH163" s="14">
        <f>SUMIF('Trip Cancellations'!$B:$B,A163,'Trip Cancellations'!$F:$F)</f>
        <v>0</v>
      </c>
      <c r="AI163" s="14">
        <f t="shared" si="44"/>
        <v>1039.07</v>
      </c>
      <c r="AJ163" s="14" t="str">
        <f t="shared" si="45"/>
        <v>Yes</v>
      </c>
      <c r="AK163" s="14" t="str">
        <f>IF(Y163=0,"N/A",
IF(_xlfn.XLOOKUP(U163,Hotels!A:A,Hotels!C:C)=TRUE,"Yes","No"))</f>
        <v>Yes</v>
      </c>
      <c r="AL163" s="14" t="str">
        <f>IF(N163="Rail","N/A",IF(_xlfn.XLOOKUP(T163,Airlines!A:A,Airlines!C:C)=TRUE,"Yes","No"))</f>
        <v>Yes</v>
      </c>
      <c r="AM163" s="14" t="str">
        <f t="shared" si="46"/>
        <v>Yes</v>
      </c>
      <c r="AN163" s="14" t="str">
        <f t="shared" si="47"/>
        <v>Yes</v>
      </c>
      <c r="AO163" s="14" t="str">
        <f t="shared" si="48"/>
        <v>Yes</v>
      </c>
      <c r="AP163" s="16" t="s">
        <v>148</v>
      </c>
      <c r="AQ163" t="str">
        <f t="shared" si="49"/>
        <v>Yes</v>
      </c>
      <c r="AR163" s="21">
        <v>4</v>
      </c>
      <c r="AS163" s="5">
        <v>446.4</v>
      </c>
      <c r="AT163" s="5" t="str">
        <f>IF(T163="","",_xlfn.XLOOKUP(T163,Airlines!A:A,Airlines!B:B,"Not Found"))</f>
        <v>Aer Lingus</v>
      </c>
      <c r="AU163" s="5" t="str">
        <f>IF(U163="","",_xlfn.XLOOKUP(U163,Hotels!A:A,Hotels!B:B,"Not found"))</f>
        <v>Hilton</v>
      </c>
      <c r="AV163" t="s">
        <v>147</v>
      </c>
      <c r="AW163" s="16" t="str">
        <f t="shared" si="50"/>
        <v>OK</v>
      </c>
      <c r="AX163" s="16" t="str">
        <f t="shared" si="51"/>
        <v>OK</v>
      </c>
      <c r="AY163" s="16" t="str">
        <f t="shared" si="52"/>
        <v>OK</v>
      </c>
      <c r="AZ163" s="16" t="str">
        <f t="shared" si="53"/>
        <v>OK</v>
      </c>
      <c r="BA163" s="16" t="str">
        <f t="shared" si="57"/>
        <v>OK</v>
      </c>
      <c r="BB163" s="21">
        <f>COUNTIF('Trip Changes'!B:B,A163)</f>
        <v>0</v>
      </c>
      <c r="BC163" s="16" t="str">
        <f>IF(OR(AND(AD163="Yes",COUNTIF('Trip Changes'!B:B,A163)&gt;0),AND(AD163="No",COUNTIF('Trip Changes'!B:B,A163)=0)),"OK","Check")</f>
        <v>OK</v>
      </c>
      <c r="BD163" t="str">
        <f t="shared" si="58"/>
        <v>OK</v>
      </c>
      <c r="BE163" t="str">
        <f t="shared" si="59"/>
        <v>OK</v>
      </c>
      <c r="BF163" t="str">
        <f t="shared" si="60"/>
        <v>OK</v>
      </c>
      <c r="BG163" t="str">
        <f t="shared" si="61"/>
        <v>OK</v>
      </c>
      <c r="BH163" t="str">
        <f t="shared" si="62"/>
        <v>OK</v>
      </c>
      <c r="BI163" t="str">
        <f t="shared" si="54"/>
        <v>OK</v>
      </c>
      <c r="BJ163" t="str">
        <f t="shared" si="55"/>
        <v>OK</v>
      </c>
      <c r="BK163" t="str">
        <f t="shared" si="56"/>
        <v>OK</v>
      </c>
    </row>
    <row r="164" spans="1:63">
      <c r="A164" s="16" t="s">
        <v>416</v>
      </c>
      <c r="B164" s="16" t="s">
        <v>417</v>
      </c>
      <c r="C164" s="16" t="s">
        <v>307</v>
      </c>
      <c r="D164" s="16" t="s">
        <v>168</v>
      </c>
      <c r="E164" s="16" t="s">
        <v>268</v>
      </c>
      <c r="F164" s="16" t="s">
        <v>140</v>
      </c>
      <c r="G164" s="15">
        <v>46180</v>
      </c>
      <c r="H164" s="15">
        <v>46209</v>
      </c>
      <c r="I164" s="15">
        <v>46214</v>
      </c>
      <c r="J164" s="15" t="s">
        <v>150</v>
      </c>
      <c r="K164" s="16" t="s">
        <v>307</v>
      </c>
      <c r="L164" t="s">
        <v>305</v>
      </c>
      <c r="M164" s="16" t="s">
        <v>152</v>
      </c>
      <c r="N164" s="16" t="s">
        <v>153</v>
      </c>
      <c r="O164" t="s">
        <v>1614</v>
      </c>
      <c r="P164" s="18">
        <v>11884</v>
      </c>
      <c r="Q164" s="21">
        <v>29</v>
      </c>
      <c r="R164" s="21" t="str">
        <f t="shared" si="42"/>
        <v>15-30 days</v>
      </c>
      <c r="S164" s="16" t="s">
        <v>159</v>
      </c>
      <c r="T164" s="16" t="s">
        <v>154</v>
      </c>
      <c r="U164" s="16" t="s">
        <v>155</v>
      </c>
      <c r="V164" t="str">
        <f>IF(U164="","",IFERROR(VLOOKUP(U164,Hotels!A:B,2,FALSE),"Not Found"))</f>
        <v>Hilton</v>
      </c>
      <c r="W164" s="14">
        <v>1260.0899999999999</v>
      </c>
      <c r="X164" s="14">
        <v>0</v>
      </c>
      <c r="Y164" s="21">
        <v>4</v>
      </c>
      <c r="Z164" s="29">
        <f t="shared" si="43"/>
        <v>210.54249999999999</v>
      </c>
      <c r="AA164" s="14">
        <v>842.17</v>
      </c>
      <c r="AB164" s="14">
        <v>84.08</v>
      </c>
      <c r="AC164" s="14">
        <v>2186.34</v>
      </c>
      <c r="AD164" s="16" t="s">
        <v>147</v>
      </c>
      <c r="AE164" s="16" t="s">
        <v>147</v>
      </c>
      <c r="AF164" s="14">
        <f>SUMIF('Trip Changes'!$B:$B,A164,'Trip Changes'!$E:$E)</f>
        <v>0</v>
      </c>
      <c r="AG164" s="23">
        <f>SUMIF('Trip Cancellations'!$B:$B,A164,'Trip Cancellations'!$E:$E)</f>
        <v>0</v>
      </c>
      <c r="AH164" s="14">
        <f>SUMIF('Trip Cancellations'!$B:$B,A164,'Trip Cancellations'!$F:$F)</f>
        <v>0</v>
      </c>
      <c r="AI164" s="14">
        <f t="shared" si="44"/>
        <v>2186.34</v>
      </c>
      <c r="AJ164" s="14" t="str">
        <f t="shared" si="45"/>
        <v>No</v>
      </c>
      <c r="AK164" s="14" t="str">
        <f>IF(Y164=0,"N/A",
IF(_xlfn.XLOOKUP(U164,Hotels!A:A,Hotels!C:C)=TRUE,"Yes","No"))</f>
        <v>Yes</v>
      </c>
      <c r="AL164" s="14" t="str">
        <f>IF(N164="Rail","N/A",IF(_xlfn.XLOOKUP(T164,Airlines!A:A,Airlines!C:C)=TRUE,"Yes","No"))</f>
        <v>Yes</v>
      </c>
      <c r="AM164" s="14" t="str">
        <f t="shared" si="46"/>
        <v>Yes</v>
      </c>
      <c r="AN164" s="14" t="str">
        <f t="shared" si="47"/>
        <v>Yes</v>
      </c>
      <c r="AO164" s="14" t="str">
        <f t="shared" si="48"/>
        <v>Yes</v>
      </c>
      <c r="AP164" s="16" t="s">
        <v>148</v>
      </c>
      <c r="AQ164" t="str">
        <f t="shared" si="49"/>
        <v>No</v>
      </c>
      <c r="AR164" s="21">
        <v>5</v>
      </c>
      <c r="AS164" s="5">
        <v>1782.6</v>
      </c>
      <c r="AT164" s="5" t="str">
        <f>IF(T164="","",_xlfn.XLOOKUP(T164,Airlines!A:A,Airlines!B:B,"Not Found"))</f>
        <v>British Airways</v>
      </c>
      <c r="AU164" s="5" t="str">
        <f>IF(U164="","",_xlfn.XLOOKUP(U164,Hotels!A:A,Hotels!B:B,"Not found"))</f>
        <v>Hilton</v>
      </c>
      <c r="AV164" t="s">
        <v>147</v>
      </c>
      <c r="AW164" s="16" t="str">
        <f t="shared" si="50"/>
        <v>OK</v>
      </c>
      <c r="AX164" s="16" t="str">
        <f t="shared" si="51"/>
        <v>OK</v>
      </c>
      <c r="AY164" s="16" t="str">
        <f t="shared" si="52"/>
        <v>OK</v>
      </c>
      <c r="AZ164" s="16" t="str">
        <f t="shared" si="53"/>
        <v>OK</v>
      </c>
      <c r="BA164" s="16" t="str">
        <f t="shared" si="57"/>
        <v>OK</v>
      </c>
      <c r="BB164" s="21">
        <f>COUNTIF('Trip Changes'!B:B,A164)</f>
        <v>0</v>
      </c>
      <c r="BC164" s="16" t="str">
        <f>IF(OR(AND(AD164="Yes",COUNTIF('Trip Changes'!B:B,A164)&gt;0),AND(AD164="No",COUNTIF('Trip Changes'!B:B,A164)=0)),"OK","Check")</f>
        <v>OK</v>
      </c>
      <c r="BD164" t="str">
        <f t="shared" si="58"/>
        <v>OK</v>
      </c>
      <c r="BE164" t="str">
        <f t="shared" si="59"/>
        <v>OK</v>
      </c>
      <c r="BF164" t="str">
        <f t="shared" si="60"/>
        <v>OK</v>
      </c>
      <c r="BG164" t="str">
        <f t="shared" si="61"/>
        <v>OK</v>
      </c>
      <c r="BH164" t="str">
        <f t="shared" si="62"/>
        <v>OK</v>
      </c>
      <c r="BI164" t="str">
        <f t="shared" si="54"/>
        <v>OK</v>
      </c>
      <c r="BJ164" t="str">
        <f t="shared" si="55"/>
        <v>OK</v>
      </c>
      <c r="BK164" t="str">
        <f t="shared" si="56"/>
        <v>OK</v>
      </c>
    </row>
    <row r="165" spans="1:63">
      <c r="A165" s="16" t="s">
        <v>418</v>
      </c>
      <c r="B165" s="16" t="s">
        <v>417</v>
      </c>
      <c r="C165" s="16" t="s">
        <v>307</v>
      </c>
      <c r="D165" s="16" t="s">
        <v>168</v>
      </c>
      <c r="E165" s="16" t="s">
        <v>268</v>
      </c>
      <c r="F165" s="16" t="s">
        <v>178</v>
      </c>
      <c r="G165" s="15">
        <v>46163</v>
      </c>
      <c r="H165" s="15">
        <v>46167</v>
      </c>
      <c r="I165" s="15">
        <v>46170</v>
      </c>
      <c r="J165" s="15" t="s">
        <v>163</v>
      </c>
      <c r="K165" s="16" t="s">
        <v>307</v>
      </c>
      <c r="L165" t="s">
        <v>225</v>
      </c>
      <c r="M165" s="16" t="s">
        <v>152</v>
      </c>
      <c r="N165" s="16" t="s">
        <v>153</v>
      </c>
      <c r="O165" t="s">
        <v>1614</v>
      </c>
      <c r="P165" s="18">
        <v>3290</v>
      </c>
      <c r="Q165" s="21">
        <v>4</v>
      </c>
      <c r="R165" s="21" t="str">
        <f t="shared" si="42"/>
        <v>4-7 days</v>
      </c>
      <c r="S165" s="16" t="s">
        <v>145</v>
      </c>
      <c r="T165" s="16" t="s">
        <v>236</v>
      </c>
      <c r="U165" s="16" t="s">
        <v>190</v>
      </c>
      <c r="V165" t="str">
        <f>IF(U165="","",IFERROR(VLOOKUP(U165,Hotels!A:B,2,FALSE),"Not Found"))</f>
        <v>Radisson Hotel Group</v>
      </c>
      <c r="W165" s="14">
        <v>614.39</v>
      </c>
      <c r="X165" s="14">
        <v>0</v>
      </c>
      <c r="Y165" s="21">
        <v>2</v>
      </c>
      <c r="Z165" s="29">
        <f t="shared" si="43"/>
        <v>152.63999999999999</v>
      </c>
      <c r="AA165" s="14">
        <v>305.27999999999997</v>
      </c>
      <c r="AB165" s="14">
        <v>69.89</v>
      </c>
      <c r="AC165" s="14">
        <v>989.56</v>
      </c>
      <c r="AD165" s="16" t="s">
        <v>147</v>
      </c>
      <c r="AE165" s="16" t="s">
        <v>147</v>
      </c>
      <c r="AF165" s="14">
        <f>SUMIF('Trip Changes'!$B:$B,A165,'Trip Changes'!$E:$E)</f>
        <v>0</v>
      </c>
      <c r="AG165" s="23">
        <f>SUMIF('Trip Cancellations'!$B:$B,A165,'Trip Cancellations'!$E:$E)</f>
        <v>0</v>
      </c>
      <c r="AH165" s="14">
        <f>SUMIF('Trip Cancellations'!$B:$B,A165,'Trip Cancellations'!$F:$F)</f>
        <v>0</v>
      </c>
      <c r="AI165" s="14">
        <f t="shared" si="44"/>
        <v>989.56</v>
      </c>
      <c r="AJ165" s="14" t="str">
        <f t="shared" si="45"/>
        <v>Yes</v>
      </c>
      <c r="AK165" s="14" t="str">
        <f>IF(Y165=0,"N/A",
IF(_xlfn.XLOOKUP(U165,Hotels!A:A,Hotels!C:C)=TRUE,"Yes","No"))</f>
        <v>No</v>
      </c>
      <c r="AL165" s="14" t="str">
        <f>IF(N165="Rail","N/A",IF(_xlfn.XLOOKUP(T165,Airlines!A:A,Airlines!C:C)=TRUE,"Yes","No"))</f>
        <v>Yes</v>
      </c>
      <c r="AM165" s="14" t="str">
        <f t="shared" si="46"/>
        <v>Yes</v>
      </c>
      <c r="AN165" s="14" t="str">
        <f t="shared" si="47"/>
        <v>Yes</v>
      </c>
      <c r="AO165" s="14" t="str">
        <f t="shared" si="48"/>
        <v>No</v>
      </c>
      <c r="AP165" s="16" t="s">
        <v>148</v>
      </c>
      <c r="AQ165" t="str">
        <f t="shared" si="49"/>
        <v>No</v>
      </c>
      <c r="AR165" s="21">
        <v>3</v>
      </c>
      <c r="AS165" s="5">
        <v>493.5</v>
      </c>
      <c r="AT165" s="5" t="str">
        <f>IF(T165="","",_xlfn.XLOOKUP(T165,Airlines!A:A,Airlines!B:B,"Not Found"))</f>
        <v>KLM</v>
      </c>
      <c r="AU165" s="5" t="str">
        <f>IF(U165="","",_xlfn.XLOOKUP(U165,Hotels!A:A,Hotels!B:B,"Not found"))</f>
        <v>Radisson Hotel Group</v>
      </c>
      <c r="AV165" t="s">
        <v>147</v>
      </c>
      <c r="AW165" s="16" t="str">
        <f t="shared" si="50"/>
        <v>OK</v>
      </c>
      <c r="AX165" s="16" t="str">
        <f t="shared" si="51"/>
        <v>OK</v>
      </c>
      <c r="AY165" s="16" t="str">
        <f t="shared" si="52"/>
        <v>OK</v>
      </c>
      <c r="AZ165" s="16" t="str">
        <f t="shared" si="53"/>
        <v>OK</v>
      </c>
      <c r="BA165" s="16" t="str">
        <f t="shared" si="57"/>
        <v>OK</v>
      </c>
      <c r="BB165" s="21">
        <f>COUNTIF('Trip Changes'!B:B,A165)</f>
        <v>0</v>
      </c>
      <c r="BC165" s="16" t="str">
        <f>IF(OR(AND(AD165="Yes",COUNTIF('Trip Changes'!B:B,A165)&gt;0),AND(AD165="No",COUNTIF('Trip Changes'!B:B,A165)=0)),"OK","Check")</f>
        <v>OK</v>
      </c>
      <c r="BD165" t="str">
        <f t="shared" si="58"/>
        <v>OK</v>
      </c>
      <c r="BE165" t="str">
        <f t="shared" si="59"/>
        <v>OK</v>
      </c>
      <c r="BF165" t="str">
        <f t="shared" si="60"/>
        <v>OK</v>
      </c>
      <c r="BG165" t="str">
        <f t="shared" si="61"/>
        <v>OK</v>
      </c>
      <c r="BH165" t="str">
        <f t="shared" si="62"/>
        <v>OK</v>
      </c>
      <c r="BI165" t="str">
        <f t="shared" si="54"/>
        <v>OK</v>
      </c>
      <c r="BJ165" t="str">
        <f t="shared" si="55"/>
        <v>OK</v>
      </c>
      <c r="BK165" t="str">
        <f t="shared" si="56"/>
        <v>OK</v>
      </c>
    </row>
    <row r="166" spans="1:63">
      <c r="A166" s="16" t="s">
        <v>419</v>
      </c>
      <c r="B166" s="16" t="s">
        <v>417</v>
      </c>
      <c r="C166" s="16" t="s">
        <v>307</v>
      </c>
      <c r="D166" s="16" t="s">
        <v>168</v>
      </c>
      <c r="E166" s="16" t="s">
        <v>268</v>
      </c>
      <c r="F166" s="16" t="s">
        <v>178</v>
      </c>
      <c r="G166" s="15">
        <v>46202</v>
      </c>
      <c r="H166" s="15">
        <v>46231</v>
      </c>
      <c r="I166" s="15">
        <v>46235</v>
      </c>
      <c r="J166" s="15" t="s">
        <v>150</v>
      </c>
      <c r="K166" s="16" t="s">
        <v>307</v>
      </c>
      <c r="L166" t="s">
        <v>158</v>
      </c>
      <c r="M166" s="16" t="s">
        <v>152</v>
      </c>
      <c r="N166" s="16" t="s">
        <v>153</v>
      </c>
      <c r="O166" t="s">
        <v>1631</v>
      </c>
      <c r="P166" s="18">
        <v>2672</v>
      </c>
      <c r="Q166" s="21">
        <v>29</v>
      </c>
      <c r="R166" s="21" t="str">
        <f t="shared" si="42"/>
        <v>15-30 days</v>
      </c>
      <c r="S166" s="16" t="s">
        <v>159</v>
      </c>
      <c r="T166" s="16" t="s">
        <v>160</v>
      </c>
      <c r="U166" s="16" t="s">
        <v>155</v>
      </c>
      <c r="V166" t="str">
        <f>IF(U166="","",IFERROR(VLOOKUP(U166,Hotels!A:B,2,FALSE),"Not Found"))</f>
        <v>Hilton</v>
      </c>
      <c r="W166" s="14">
        <v>286.83999999999997</v>
      </c>
      <c r="X166" s="14">
        <v>0</v>
      </c>
      <c r="Y166" s="21">
        <v>3</v>
      </c>
      <c r="Z166" s="29">
        <f t="shared" si="43"/>
        <v>210.96</v>
      </c>
      <c r="AA166" s="14">
        <v>632.88</v>
      </c>
      <c r="AB166" s="14">
        <v>54.81</v>
      </c>
      <c r="AC166" s="14">
        <v>974.53</v>
      </c>
      <c r="AD166" s="16" t="s">
        <v>147</v>
      </c>
      <c r="AE166" s="16" t="s">
        <v>147</v>
      </c>
      <c r="AF166" s="14">
        <f>SUMIF('Trip Changes'!$B:$B,A166,'Trip Changes'!$E:$E)</f>
        <v>0</v>
      </c>
      <c r="AG166" s="23">
        <f>SUMIF('Trip Cancellations'!$B:$B,A166,'Trip Cancellations'!$E:$E)</f>
        <v>0</v>
      </c>
      <c r="AH166" s="14">
        <f>SUMIF('Trip Cancellations'!$B:$B,A166,'Trip Cancellations'!$F:$F)</f>
        <v>0</v>
      </c>
      <c r="AI166" s="14">
        <f t="shared" si="44"/>
        <v>974.53</v>
      </c>
      <c r="AJ166" s="14" t="str">
        <f t="shared" si="45"/>
        <v>No</v>
      </c>
      <c r="AK166" s="14" t="str">
        <f>IF(Y166=0,"N/A",
IF(_xlfn.XLOOKUP(U166,Hotels!A:A,Hotels!C:C)=TRUE,"Yes","No"))</f>
        <v>Yes</v>
      </c>
      <c r="AL166" s="14" t="str">
        <f>IF(N166="Rail","N/A",IF(_xlfn.XLOOKUP(T166,Airlines!A:A,Airlines!C:C)=TRUE,"Yes","No"))</f>
        <v>Yes</v>
      </c>
      <c r="AM166" s="14" t="str">
        <f t="shared" si="46"/>
        <v>No</v>
      </c>
      <c r="AN166" s="14" t="str">
        <f t="shared" si="47"/>
        <v>Yes</v>
      </c>
      <c r="AO166" s="14" t="str">
        <f t="shared" si="48"/>
        <v>Yes</v>
      </c>
      <c r="AP166" s="16" t="s">
        <v>148</v>
      </c>
      <c r="AQ166" t="str">
        <f t="shared" si="49"/>
        <v>No</v>
      </c>
      <c r="AR166" s="21">
        <v>4</v>
      </c>
      <c r="AS166" s="5">
        <v>400.8</v>
      </c>
      <c r="AT166" s="5" t="str">
        <f>IF(T166="","",_xlfn.XLOOKUP(T166,Airlines!A:A,Airlines!B:B,"Not Found"))</f>
        <v>Air France</v>
      </c>
      <c r="AU166" s="5" t="str">
        <f>IF(U166="","",_xlfn.XLOOKUP(U166,Hotels!A:A,Hotels!B:B,"Not found"))</f>
        <v>Hilton</v>
      </c>
      <c r="AV166" t="s">
        <v>147</v>
      </c>
      <c r="AW166" s="16" t="str">
        <f t="shared" si="50"/>
        <v>OK</v>
      </c>
      <c r="AX166" s="16" t="str">
        <f t="shared" si="51"/>
        <v>OK</v>
      </c>
      <c r="AY166" s="16" t="str">
        <f t="shared" si="52"/>
        <v>OK</v>
      </c>
      <c r="AZ166" s="16" t="str">
        <f t="shared" si="53"/>
        <v>OK</v>
      </c>
      <c r="BA166" s="16" t="str">
        <f t="shared" si="57"/>
        <v>OK</v>
      </c>
      <c r="BB166" s="21">
        <f>COUNTIF('Trip Changes'!B:B,A166)</f>
        <v>0</v>
      </c>
      <c r="BC166" s="16" t="str">
        <f>IF(OR(AND(AD166="Yes",COUNTIF('Trip Changes'!B:B,A166)&gt;0),AND(AD166="No",COUNTIF('Trip Changes'!B:B,A166)=0)),"OK","Check")</f>
        <v>OK</v>
      </c>
      <c r="BD166" t="str">
        <f t="shared" si="58"/>
        <v>OK</v>
      </c>
      <c r="BE166" t="str">
        <f t="shared" si="59"/>
        <v>OK</v>
      </c>
      <c r="BF166" t="str">
        <f t="shared" si="60"/>
        <v>OK</v>
      </c>
      <c r="BG166" t="str">
        <f t="shared" si="61"/>
        <v>OK</v>
      </c>
      <c r="BH166" t="str">
        <f t="shared" si="62"/>
        <v>OK</v>
      </c>
      <c r="BI166" t="str">
        <f t="shared" si="54"/>
        <v>OK</v>
      </c>
      <c r="BJ166" t="str">
        <f t="shared" si="55"/>
        <v>OK</v>
      </c>
      <c r="BK166" t="str">
        <f t="shared" si="56"/>
        <v>OK</v>
      </c>
    </row>
    <row r="167" spans="1:63">
      <c r="A167" s="16" t="s">
        <v>420</v>
      </c>
      <c r="B167" s="16" t="s">
        <v>417</v>
      </c>
      <c r="C167" s="16" t="s">
        <v>307</v>
      </c>
      <c r="D167" s="16" t="s">
        <v>168</v>
      </c>
      <c r="E167" s="16" t="s">
        <v>268</v>
      </c>
      <c r="F167" s="16" t="s">
        <v>162</v>
      </c>
      <c r="G167" s="15">
        <v>46185</v>
      </c>
      <c r="H167" s="15">
        <v>46194</v>
      </c>
      <c r="I167" s="15">
        <v>46197</v>
      </c>
      <c r="J167" s="15" t="s">
        <v>141</v>
      </c>
      <c r="K167" s="16" t="s">
        <v>307</v>
      </c>
      <c r="L167" t="s">
        <v>142</v>
      </c>
      <c r="M167" s="16" t="s">
        <v>143</v>
      </c>
      <c r="N167" s="16" t="s">
        <v>144</v>
      </c>
      <c r="O167" t="s">
        <v>1630</v>
      </c>
      <c r="P167" s="18">
        <v>970</v>
      </c>
      <c r="Q167" s="21">
        <v>9</v>
      </c>
      <c r="R167" s="21" t="str">
        <f t="shared" si="42"/>
        <v>8-14 days</v>
      </c>
      <c r="S167" s="16" t="s">
        <v>145</v>
      </c>
      <c r="U167" s="16" t="s">
        <v>146</v>
      </c>
      <c r="V167" t="str">
        <f>IF(U167="","",IFERROR(VLOOKUP(U167,Hotels!A:B,2,FALSE),"Not Found"))</f>
        <v>Premier Inn</v>
      </c>
      <c r="W167" s="14">
        <v>0</v>
      </c>
      <c r="X167" s="14">
        <v>177.3</v>
      </c>
      <c r="Y167" s="21">
        <v>2</v>
      </c>
      <c r="Z167" s="29">
        <f t="shared" si="43"/>
        <v>95.23</v>
      </c>
      <c r="AA167" s="14">
        <v>190.46</v>
      </c>
      <c r="AB167" s="14">
        <v>56.52</v>
      </c>
      <c r="AC167" s="14">
        <v>424.28</v>
      </c>
      <c r="AD167" s="16" t="s">
        <v>147</v>
      </c>
      <c r="AE167" s="16" t="s">
        <v>147</v>
      </c>
      <c r="AF167" s="14">
        <f>SUMIF('Trip Changes'!$B:$B,A167,'Trip Changes'!$E:$E)</f>
        <v>0</v>
      </c>
      <c r="AG167" s="23">
        <f>SUMIF('Trip Cancellations'!$B:$B,A167,'Trip Cancellations'!$E:$E)</f>
        <v>0</v>
      </c>
      <c r="AH167" s="14">
        <f>SUMIF('Trip Cancellations'!$B:$B,A167,'Trip Cancellations'!$F:$F)</f>
        <v>0</v>
      </c>
      <c r="AI167" s="14">
        <f t="shared" si="44"/>
        <v>424.28</v>
      </c>
      <c r="AJ167" s="14" t="str">
        <f t="shared" si="45"/>
        <v>Yes</v>
      </c>
      <c r="AK167" s="14" t="str">
        <f>IF(Y167=0,"N/A",
IF(_xlfn.XLOOKUP(U167,Hotels!A:A,Hotels!C:C)=TRUE,"Yes","No"))</f>
        <v>Yes</v>
      </c>
      <c r="AL167" s="14" t="str">
        <f>IF(N167="Rail","N/A",IF(_xlfn.XLOOKUP(T167,Airlines!A:A,Airlines!C:C)=TRUE,"Yes","No"))</f>
        <v>N/A</v>
      </c>
      <c r="AM167" s="14" t="str">
        <f t="shared" si="46"/>
        <v>Yes</v>
      </c>
      <c r="AN167" s="14" t="str">
        <f t="shared" si="47"/>
        <v>Yes</v>
      </c>
      <c r="AO167" s="14" t="str">
        <f t="shared" si="48"/>
        <v>Yes</v>
      </c>
      <c r="AP167" s="16" t="s">
        <v>148</v>
      </c>
      <c r="AQ167" t="str">
        <f t="shared" si="49"/>
        <v>Yes</v>
      </c>
      <c r="AR167" s="21">
        <v>5</v>
      </c>
      <c r="AS167" s="5">
        <v>38.799999999999997</v>
      </c>
      <c r="AT167" s="5" t="str">
        <f>IF(T167="","",_xlfn.XLOOKUP(T167,Airlines!A:A,Airlines!B:B,"Not Found"))</f>
        <v/>
      </c>
      <c r="AU167" s="5" t="str">
        <f>IF(U167="","",_xlfn.XLOOKUP(U167,Hotels!A:A,Hotels!B:B,"Not found"))</f>
        <v>Premier Inn</v>
      </c>
      <c r="AV167" t="s">
        <v>148</v>
      </c>
      <c r="AW167" s="16" t="str">
        <f t="shared" si="50"/>
        <v>OK</v>
      </c>
      <c r="AX167" s="16" t="str">
        <f t="shared" si="51"/>
        <v>OK</v>
      </c>
      <c r="AY167" s="16" t="str">
        <f t="shared" si="52"/>
        <v>OK</v>
      </c>
      <c r="AZ167" s="16" t="str">
        <f t="shared" si="53"/>
        <v>OK</v>
      </c>
      <c r="BA167" s="16" t="str">
        <f t="shared" si="57"/>
        <v>OK</v>
      </c>
      <c r="BB167" s="21">
        <f>COUNTIF('Trip Changes'!B:B,A167)</f>
        <v>0</v>
      </c>
      <c r="BC167" s="16" t="str">
        <f>IF(OR(AND(AD167="Yes",COUNTIF('Trip Changes'!B:B,A167)&gt;0),AND(AD167="No",COUNTIF('Trip Changes'!B:B,A167)=0)),"OK","Check")</f>
        <v>OK</v>
      </c>
      <c r="BD167" t="str">
        <f t="shared" si="58"/>
        <v>OK</v>
      </c>
      <c r="BE167" t="str">
        <f t="shared" si="59"/>
        <v>OK</v>
      </c>
      <c r="BF167" t="str">
        <f t="shared" si="60"/>
        <v>OK</v>
      </c>
      <c r="BG167" t="str">
        <f t="shared" si="61"/>
        <v>OK</v>
      </c>
      <c r="BH167" t="str">
        <f t="shared" si="62"/>
        <v>OK</v>
      </c>
      <c r="BI167" t="str">
        <f t="shared" si="54"/>
        <v>OK</v>
      </c>
      <c r="BJ167" t="str">
        <f t="shared" si="55"/>
        <v>OK</v>
      </c>
      <c r="BK167" t="str">
        <f t="shared" si="56"/>
        <v>OK</v>
      </c>
    </row>
    <row r="168" spans="1:63">
      <c r="A168" s="16" t="s">
        <v>421</v>
      </c>
      <c r="B168" s="16" t="s">
        <v>417</v>
      </c>
      <c r="C168" s="16" t="s">
        <v>307</v>
      </c>
      <c r="D168" s="16" t="s">
        <v>168</v>
      </c>
      <c r="E168" s="16" t="s">
        <v>268</v>
      </c>
      <c r="F168" s="16" t="s">
        <v>140</v>
      </c>
      <c r="G168" s="15">
        <v>46226</v>
      </c>
      <c r="H168" s="15">
        <v>46234</v>
      </c>
      <c r="I168" s="15">
        <v>46237</v>
      </c>
      <c r="J168" s="15" t="s">
        <v>150</v>
      </c>
      <c r="K168" s="16" t="s">
        <v>307</v>
      </c>
      <c r="L168" t="s">
        <v>182</v>
      </c>
      <c r="M168" s="16" t="s">
        <v>143</v>
      </c>
      <c r="N168" s="16" t="s">
        <v>144</v>
      </c>
      <c r="O168" t="s">
        <v>1630</v>
      </c>
      <c r="P168" s="18">
        <v>710</v>
      </c>
      <c r="Q168" s="21">
        <v>8</v>
      </c>
      <c r="R168" s="21" t="str">
        <f t="shared" si="42"/>
        <v>8-14 days</v>
      </c>
      <c r="S168" s="16" t="s">
        <v>145</v>
      </c>
      <c r="U168" s="16" t="s">
        <v>155</v>
      </c>
      <c r="V168" t="str">
        <f>IF(U168="","",IFERROR(VLOOKUP(U168,Hotels!A:B,2,FALSE),"Not Found"))</f>
        <v>Hilton</v>
      </c>
      <c r="W168" s="14">
        <v>0</v>
      </c>
      <c r="X168" s="14">
        <v>179.33</v>
      </c>
      <c r="Y168" s="21">
        <v>2</v>
      </c>
      <c r="Z168" s="29">
        <f t="shared" si="43"/>
        <v>172.56</v>
      </c>
      <c r="AA168" s="14">
        <v>345.12</v>
      </c>
      <c r="AB168" s="14">
        <v>20</v>
      </c>
      <c r="AC168" s="14">
        <v>544.45000000000005</v>
      </c>
      <c r="AD168" s="16" t="s">
        <v>148</v>
      </c>
      <c r="AE168" s="16" t="s">
        <v>147</v>
      </c>
      <c r="AF168" s="14">
        <f>SUMIF('Trip Changes'!$B:$B,A168,'Trip Changes'!$E:$E)</f>
        <v>113.53</v>
      </c>
      <c r="AG168" s="23">
        <f>SUMIF('Trip Cancellations'!$B:$B,A168,'Trip Cancellations'!$E:$E)</f>
        <v>0</v>
      </c>
      <c r="AH168" s="14">
        <f>SUMIF('Trip Cancellations'!$B:$B,A168,'Trip Cancellations'!$F:$F)</f>
        <v>0</v>
      </c>
      <c r="AI168" s="14">
        <f t="shared" si="44"/>
        <v>657.98</v>
      </c>
      <c r="AJ168" s="14" t="str">
        <f t="shared" si="45"/>
        <v>Yes</v>
      </c>
      <c r="AK168" s="14" t="str">
        <f>IF(Y168=0,"N/A",
IF(_xlfn.XLOOKUP(U168,Hotels!A:A,Hotels!C:C)=TRUE,"Yes","No"))</f>
        <v>Yes</v>
      </c>
      <c r="AL168" s="14" t="str">
        <f>IF(N168="Rail","N/A",IF(_xlfn.XLOOKUP(T168,Airlines!A:A,Airlines!C:C)=TRUE,"Yes","No"))</f>
        <v>N/A</v>
      </c>
      <c r="AM168" s="14" t="str">
        <f t="shared" si="46"/>
        <v>Yes</v>
      </c>
      <c r="AN168" s="14" t="str">
        <f t="shared" si="47"/>
        <v>Yes</v>
      </c>
      <c r="AO168" s="14" t="str">
        <f t="shared" si="48"/>
        <v>Yes</v>
      </c>
      <c r="AP168" s="16" t="s">
        <v>148</v>
      </c>
      <c r="AQ168" t="str">
        <f t="shared" si="49"/>
        <v>Yes</v>
      </c>
      <c r="AR168" s="21">
        <v>3</v>
      </c>
      <c r="AS168" s="5">
        <v>28.4</v>
      </c>
      <c r="AT168" s="5" t="str">
        <f>IF(T168="","",_xlfn.XLOOKUP(T168,Airlines!A:A,Airlines!B:B,"Not Found"))</f>
        <v/>
      </c>
      <c r="AU168" s="5" t="str">
        <f>IF(U168="","",_xlfn.XLOOKUP(U168,Hotels!A:A,Hotels!B:B,"Not found"))</f>
        <v>Hilton</v>
      </c>
      <c r="AV168" t="s">
        <v>148</v>
      </c>
      <c r="AW168" s="16" t="str">
        <f t="shared" si="50"/>
        <v>OK</v>
      </c>
      <c r="AX168" s="16" t="str">
        <f t="shared" si="51"/>
        <v>OK</v>
      </c>
      <c r="AY168" s="16" t="str">
        <f t="shared" si="52"/>
        <v>OK</v>
      </c>
      <c r="AZ168" s="16" t="str">
        <f t="shared" si="53"/>
        <v>OK</v>
      </c>
      <c r="BA168" s="16" t="str">
        <f t="shared" si="57"/>
        <v>OK</v>
      </c>
      <c r="BB168" s="21">
        <f>COUNTIF('Trip Changes'!B:B,A168)</f>
        <v>1</v>
      </c>
      <c r="BC168" s="16" t="str">
        <f>IF(OR(AND(AD168="Yes",COUNTIF('Trip Changes'!B:B,A168)&gt;0),AND(AD168="No",COUNTIF('Trip Changes'!B:B,A168)=0)),"OK","Check")</f>
        <v>OK</v>
      </c>
      <c r="BD168" t="str">
        <f t="shared" si="58"/>
        <v>OK</v>
      </c>
      <c r="BE168" t="str">
        <f t="shared" si="59"/>
        <v>OK</v>
      </c>
      <c r="BF168" t="str">
        <f t="shared" si="60"/>
        <v>OK</v>
      </c>
      <c r="BG168" t="str">
        <f t="shared" si="61"/>
        <v>OK</v>
      </c>
      <c r="BH168" t="str">
        <f t="shared" si="62"/>
        <v>OK</v>
      </c>
      <c r="BI168" t="str">
        <f t="shared" si="54"/>
        <v>OK</v>
      </c>
      <c r="BJ168" t="str">
        <f t="shared" si="55"/>
        <v>OK</v>
      </c>
      <c r="BK168" t="str">
        <f t="shared" si="56"/>
        <v>OK</v>
      </c>
    </row>
    <row r="169" spans="1:63">
      <c r="A169" s="16" t="s">
        <v>422</v>
      </c>
      <c r="B169" s="16" t="s">
        <v>417</v>
      </c>
      <c r="C169" s="16" t="s">
        <v>307</v>
      </c>
      <c r="D169" s="16" t="s">
        <v>168</v>
      </c>
      <c r="E169" s="16" t="s">
        <v>268</v>
      </c>
      <c r="F169" s="16" t="s">
        <v>140</v>
      </c>
      <c r="G169" s="15">
        <v>46124</v>
      </c>
      <c r="H169" s="15">
        <v>46148</v>
      </c>
      <c r="I169" s="15">
        <v>46149</v>
      </c>
      <c r="J169" s="15" t="s">
        <v>163</v>
      </c>
      <c r="K169" s="16" t="s">
        <v>307</v>
      </c>
      <c r="L169" t="s">
        <v>182</v>
      </c>
      <c r="M169" s="16" t="s">
        <v>143</v>
      </c>
      <c r="N169" s="16" t="s">
        <v>144</v>
      </c>
      <c r="O169" t="s">
        <v>1630</v>
      </c>
      <c r="P169" s="18">
        <v>788</v>
      </c>
      <c r="Q169" s="21">
        <v>24</v>
      </c>
      <c r="R169" s="21" t="str">
        <f t="shared" si="42"/>
        <v>15-30 days</v>
      </c>
      <c r="S169" s="16" t="s">
        <v>207</v>
      </c>
      <c r="V169" t="str">
        <f>IF(U169="","",IFERROR(VLOOKUP(U169,Hotels!A:B,2,FALSE),"Not Found"))</f>
        <v/>
      </c>
      <c r="W169" s="14">
        <v>0</v>
      </c>
      <c r="X169" s="14">
        <v>243.64</v>
      </c>
      <c r="Y169" s="21">
        <v>0</v>
      </c>
      <c r="Z169" s="29">
        <f t="shared" si="43"/>
        <v>0</v>
      </c>
      <c r="AA169" s="14">
        <v>0</v>
      </c>
      <c r="AB169" s="14">
        <v>78.38</v>
      </c>
      <c r="AC169" s="14">
        <v>322.02</v>
      </c>
      <c r="AD169" s="16" t="s">
        <v>147</v>
      </c>
      <c r="AE169" s="16" t="s">
        <v>147</v>
      </c>
      <c r="AF169" s="14">
        <f>SUMIF('Trip Changes'!$B:$B,A169,'Trip Changes'!$E:$E)</f>
        <v>0</v>
      </c>
      <c r="AG169" s="23">
        <f>SUMIF('Trip Cancellations'!$B:$B,A169,'Trip Cancellations'!$E:$E)</f>
        <v>0</v>
      </c>
      <c r="AH169" s="14">
        <f>SUMIF('Trip Cancellations'!$B:$B,A169,'Trip Cancellations'!$F:$F)</f>
        <v>0</v>
      </c>
      <c r="AI169" s="14">
        <f t="shared" si="44"/>
        <v>322.02</v>
      </c>
      <c r="AJ169" s="14" t="str">
        <f t="shared" si="45"/>
        <v>N/A</v>
      </c>
      <c r="AK169" s="14" t="str">
        <f>IF(Y169=0,"N/A",
IF(_xlfn.XLOOKUP(U169,Hotels!A:A,Hotels!C:C)=TRUE,"Yes","No"))</f>
        <v>N/A</v>
      </c>
      <c r="AL169" s="14" t="str">
        <f>IF(N169="Rail","N/A",IF(_xlfn.XLOOKUP(T169,Airlines!A:A,Airlines!C:C)=TRUE,"Yes","No"))</f>
        <v>N/A</v>
      </c>
      <c r="AM169" s="14" t="str">
        <f t="shared" si="46"/>
        <v>Yes</v>
      </c>
      <c r="AN169" s="14" t="str">
        <f t="shared" si="47"/>
        <v>No</v>
      </c>
      <c r="AO169" s="14" t="str">
        <f t="shared" si="48"/>
        <v>Yes</v>
      </c>
      <c r="AP169" s="16" t="s">
        <v>148</v>
      </c>
      <c r="AQ169" t="str">
        <f t="shared" si="49"/>
        <v>No</v>
      </c>
      <c r="AR169" s="21">
        <v>3</v>
      </c>
      <c r="AS169" s="5">
        <v>31.5</v>
      </c>
      <c r="AT169" s="5" t="str">
        <f>IF(T169="","",_xlfn.XLOOKUP(T169,Airlines!A:A,Airlines!B:B,"Not Found"))</f>
        <v/>
      </c>
      <c r="AU169" s="5" t="str">
        <f>IF(U169="","",_xlfn.XLOOKUP(U169,Hotels!A:A,Hotels!B:B,"Not found"))</f>
        <v/>
      </c>
      <c r="AV169" t="s">
        <v>147</v>
      </c>
      <c r="AW169" s="16" t="str">
        <f t="shared" si="50"/>
        <v>OK</v>
      </c>
      <c r="AX169" s="16" t="str">
        <f t="shared" si="51"/>
        <v>OK</v>
      </c>
      <c r="AY169" s="16" t="str">
        <f t="shared" si="52"/>
        <v>OK</v>
      </c>
      <c r="AZ169" s="16" t="str">
        <f t="shared" si="53"/>
        <v>OK</v>
      </c>
      <c r="BA169" s="16" t="str">
        <f t="shared" si="57"/>
        <v>OK</v>
      </c>
      <c r="BB169" s="21">
        <f>COUNTIF('Trip Changes'!B:B,A169)</f>
        <v>0</v>
      </c>
      <c r="BC169" s="16" t="str">
        <f>IF(OR(AND(AD169="Yes",COUNTIF('Trip Changes'!B:B,A169)&gt;0),AND(AD169="No",COUNTIF('Trip Changes'!B:B,A169)=0)),"OK","Check")</f>
        <v>OK</v>
      </c>
      <c r="BD169" t="str">
        <f t="shared" si="58"/>
        <v>OK</v>
      </c>
      <c r="BE169" t="str">
        <f t="shared" si="59"/>
        <v>OK</v>
      </c>
      <c r="BF169" t="str">
        <f t="shared" si="60"/>
        <v>OK</v>
      </c>
      <c r="BG169" t="str">
        <f t="shared" si="61"/>
        <v>OK</v>
      </c>
      <c r="BH169" t="str">
        <f t="shared" si="62"/>
        <v>OK</v>
      </c>
      <c r="BI169" t="str">
        <f t="shared" si="54"/>
        <v>OK</v>
      </c>
      <c r="BJ169" t="str">
        <f t="shared" si="55"/>
        <v>OK</v>
      </c>
      <c r="BK169" t="str">
        <f t="shared" si="56"/>
        <v>OK</v>
      </c>
    </row>
    <row r="170" spans="1:63">
      <c r="A170" s="16" t="s">
        <v>423</v>
      </c>
      <c r="B170" s="16" t="s">
        <v>424</v>
      </c>
      <c r="C170" s="16" t="s">
        <v>257</v>
      </c>
      <c r="D170" s="16" t="s">
        <v>248</v>
      </c>
      <c r="E170" s="16" t="s">
        <v>249</v>
      </c>
      <c r="F170" s="16" t="s">
        <v>162</v>
      </c>
      <c r="G170" s="15">
        <v>46140</v>
      </c>
      <c r="H170" s="15">
        <v>46146</v>
      </c>
      <c r="I170" s="15">
        <v>46150</v>
      </c>
      <c r="J170" s="15" t="s">
        <v>163</v>
      </c>
      <c r="K170" s="16" t="s">
        <v>257</v>
      </c>
      <c r="L170" t="s">
        <v>209</v>
      </c>
      <c r="M170" s="16" t="s">
        <v>152</v>
      </c>
      <c r="N170" s="16" t="s">
        <v>153</v>
      </c>
      <c r="O170" t="s">
        <v>1614</v>
      </c>
      <c r="P170" s="18">
        <v>3578</v>
      </c>
      <c r="Q170" s="21">
        <v>6</v>
      </c>
      <c r="R170" s="21" t="str">
        <f t="shared" si="42"/>
        <v>4-7 days</v>
      </c>
      <c r="S170" s="16" t="s">
        <v>145</v>
      </c>
      <c r="T170" s="16" t="s">
        <v>176</v>
      </c>
      <c r="U170" s="16" t="s">
        <v>187</v>
      </c>
      <c r="V170" t="str">
        <f>IF(U170="","",IFERROR(VLOOKUP(U170,Hotels!A:B,2,FALSE),"Not Found"))</f>
        <v>IHG Hotels &amp; Resorts</v>
      </c>
      <c r="W170" s="14">
        <v>509.02</v>
      </c>
      <c r="X170" s="14">
        <v>0</v>
      </c>
      <c r="Y170" s="21">
        <v>3</v>
      </c>
      <c r="Z170" s="29">
        <f t="shared" si="43"/>
        <v>188.12666666666667</v>
      </c>
      <c r="AA170" s="14">
        <v>564.38</v>
      </c>
      <c r="AB170" s="14">
        <v>80.010000000000005</v>
      </c>
      <c r="AC170" s="14">
        <v>1153.4100000000001</v>
      </c>
      <c r="AD170" s="16" t="s">
        <v>147</v>
      </c>
      <c r="AE170" s="16" t="s">
        <v>147</v>
      </c>
      <c r="AF170" s="14">
        <f>SUMIF('Trip Changes'!$B:$B,A170,'Trip Changes'!$E:$E)</f>
        <v>0</v>
      </c>
      <c r="AG170" s="23">
        <f>SUMIF('Trip Cancellations'!$B:$B,A170,'Trip Cancellations'!$E:$E)</f>
        <v>0</v>
      </c>
      <c r="AH170" s="14">
        <f>SUMIF('Trip Cancellations'!$B:$B,A170,'Trip Cancellations'!$F:$F)</f>
        <v>0</v>
      </c>
      <c r="AI170" s="14">
        <f t="shared" si="44"/>
        <v>1153.4100000000001</v>
      </c>
      <c r="AJ170" s="14" t="str">
        <f t="shared" si="45"/>
        <v>No</v>
      </c>
      <c r="AK170" s="14" t="str">
        <f>IF(Y170=0,"N/A",
IF(_xlfn.XLOOKUP(U170,Hotels!A:A,Hotels!C:C)=TRUE,"Yes","No"))</f>
        <v>Yes</v>
      </c>
      <c r="AL170" s="14" t="str">
        <f>IF(N170="Rail","N/A",IF(_xlfn.XLOOKUP(T170,Airlines!A:A,Airlines!C:C)=TRUE,"Yes","No"))</f>
        <v>Yes</v>
      </c>
      <c r="AM170" s="14" t="str">
        <f t="shared" si="46"/>
        <v>Yes</v>
      </c>
      <c r="AN170" s="14" t="str">
        <f t="shared" si="47"/>
        <v>Yes</v>
      </c>
      <c r="AO170" s="14" t="str">
        <f t="shared" si="48"/>
        <v>Yes</v>
      </c>
      <c r="AP170" s="16" t="s">
        <v>148</v>
      </c>
      <c r="AQ170" t="str">
        <f t="shared" si="49"/>
        <v>No</v>
      </c>
      <c r="AR170" s="21">
        <v>4</v>
      </c>
      <c r="AS170" s="5">
        <v>536.70000000000005</v>
      </c>
      <c r="AT170" s="5" t="str">
        <f>IF(T170="","",_xlfn.XLOOKUP(T170,Airlines!A:A,Airlines!B:B,"Not Found"))</f>
        <v>easyJet</v>
      </c>
      <c r="AU170" s="5" t="str">
        <f>IF(U170="","",_xlfn.XLOOKUP(U170,Hotels!A:A,Hotels!B:B,"Not found"))</f>
        <v>IHG Hotels &amp; Resorts</v>
      </c>
      <c r="AV170" t="s">
        <v>148</v>
      </c>
      <c r="AW170" s="16" t="str">
        <f t="shared" si="50"/>
        <v>OK</v>
      </c>
      <c r="AX170" s="16" t="str">
        <f t="shared" si="51"/>
        <v>OK</v>
      </c>
      <c r="AY170" s="16" t="str">
        <f t="shared" si="52"/>
        <v>OK</v>
      </c>
      <c r="AZ170" s="16" t="str">
        <f t="shared" si="53"/>
        <v>OK</v>
      </c>
      <c r="BA170" s="16" t="str">
        <f t="shared" si="57"/>
        <v>OK</v>
      </c>
      <c r="BB170" s="21">
        <f>COUNTIF('Trip Changes'!B:B,A170)</f>
        <v>0</v>
      </c>
      <c r="BC170" s="16" t="str">
        <f>IF(OR(AND(AD170="Yes",COUNTIF('Trip Changes'!B:B,A170)&gt;0),AND(AD170="No",COUNTIF('Trip Changes'!B:B,A170)=0)),"OK","Check")</f>
        <v>OK</v>
      </c>
      <c r="BD170" t="str">
        <f t="shared" si="58"/>
        <v>OK</v>
      </c>
      <c r="BE170" t="str">
        <f t="shared" si="59"/>
        <v>OK</v>
      </c>
      <c r="BF170" t="str">
        <f t="shared" si="60"/>
        <v>OK</v>
      </c>
      <c r="BG170" t="str">
        <f t="shared" si="61"/>
        <v>OK</v>
      </c>
      <c r="BH170" t="str">
        <f t="shared" si="62"/>
        <v>OK</v>
      </c>
      <c r="BI170" t="str">
        <f t="shared" si="54"/>
        <v>OK</v>
      </c>
      <c r="BJ170" t="str">
        <f t="shared" si="55"/>
        <v>OK</v>
      </c>
      <c r="BK170" t="str">
        <f t="shared" si="56"/>
        <v>OK</v>
      </c>
    </row>
    <row r="171" spans="1:63">
      <c r="A171" s="16" t="s">
        <v>425</v>
      </c>
      <c r="B171" s="16" t="s">
        <v>424</v>
      </c>
      <c r="C171" s="16" t="s">
        <v>257</v>
      </c>
      <c r="D171" s="16" t="s">
        <v>248</v>
      </c>
      <c r="E171" s="16" t="s">
        <v>249</v>
      </c>
      <c r="F171" s="16" t="s">
        <v>178</v>
      </c>
      <c r="G171" s="15">
        <v>46146</v>
      </c>
      <c r="H171" s="15">
        <v>46177</v>
      </c>
      <c r="I171" s="15">
        <v>46181</v>
      </c>
      <c r="J171" s="15" t="s">
        <v>141</v>
      </c>
      <c r="K171" s="16" t="s">
        <v>257</v>
      </c>
      <c r="L171" t="s">
        <v>199</v>
      </c>
      <c r="M171" s="16" t="s">
        <v>152</v>
      </c>
      <c r="N171" s="16" t="s">
        <v>153</v>
      </c>
      <c r="O171" t="s">
        <v>1614</v>
      </c>
      <c r="P171" s="18">
        <v>2302</v>
      </c>
      <c r="Q171" s="21">
        <v>31</v>
      </c>
      <c r="R171" s="21" t="str">
        <f t="shared" si="42"/>
        <v>31+ days</v>
      </c>
      <c r="S171" s="16" t="s">
        <v>145</v>
      </c>
      <c r="T171" s="16" t="s">
        <v>200</v>
      </c>
      <c r="U171" s="16" t="s">
        <v>155</v>
      </c>
      <c r="V171" t="str">
        <f>IF(U171="","",IFERROR(VLOOKUP(U171,Hotels!A:B,2,FALSE),"Not Found"))</f>
        <v>Hilton</v>
      </c>
      <c r="W171" s="14">
        <v>433.76</v>
      </c>
      <c r="X171" s="14">
        <v>0</v>
      </c>
      <c r="Y171" s="21">
        <v>3</v>
      </c>
      <c r="Z171" s="29">
        <f t="shared" si="43"/>
        <v>199.99</v>
      </c>
      <c r="AA171" s="14">
        <v>599.97</v>
      </c>
      <c r="AB171" s="14">
        <v>59.63</v>
      </c>
      <c r="AC171" s="14">
        <v>1093.3599999999999</v>
      </c>
      <c r="AD171" s="16" t="s">
        <v>147</v>
      </c>
      <c r="AE171" s="16" t="s">
        <v>147</v>
      </c>
      <c r="AF171" s="14">
        <f>SUMIF('Trip Changes'!$B:$B,A171,'Trip Changes'!$E:$E)</f>
        <v>0</v>
      </c>
      <c r="AG171" s="23">
        <f>SUMIF('Trip Cancellations'!$B:$B,A171,'Trip Cancellations'!$E:$E)</f>
        <v>0</v>
      </c>
      <c r="AH171" s="14">
        <f>SUMIF('Trip Cancellations'!$B:$B,A171,'Trip Cancellations'!$F:$F)</f>
        <v>0</v>
      </c>
      <c r="AI171" s="14">
        <f t="shared" si="44"/>
        <v>1093.3599999999999</v>
      </c>
      <c r="AJ171" s="14" t="str">
        <f t="shared" si="45"/>
        <v>No</v>
      </c>
      <c r="AK171" s="14" t="str">
        <f>IF(Y171=0,"N/A",
IF(_xlfn.XLOOKUP(U171,Hotels!A:A,Hotels!C:C)=TRUE,"Yes","No"))</f>
        <v>Yes</v>
      </c>
      <c r="AL171" s="14" t="str">
        <f>IF(N171="Rail","N/A",IF(_xlfn.XLOOKUP(T171,Airlines!A:A,Airlines!C:C)=TRUE,"Yes","No"))</f>
        <v>Yes</v>
      </c>
      <c r="AM171" s="14" t="str">
        <f t="shared" si="46"/>
        <v>Yes</v>
      </c>
      <c r="AN171" s="14" t="str">
        <f t="shared" si="47"/>
        <v>Yes</v>
      </c>
      <c r="AO171" s="14" t="str">
        <f t="shared" si="48"/>
        <v>Yes</v>
      </c>
      <c r="AP171" s="16" t="s">
        <v>148</v>
      </c>
      <c r="AQ171" t="str">
        <f t="shared" si="49"/>
        <v>No</v>
      </c>
      <c r="AR171" s="21">
        <v>5</v>
      </c>
      <c r="AS171" s="5">
        <v>345.3</v>
      </c>
      <c r="AT171" s="5" t="str">
        <f>IF(T171="","",_xlfn.XLOOKUP(T171,Airlines!A:A,Airlines!B:B,"Not Found"))</f>
        <v>Aer Lingus</v>
      </c>
      <c r="AU171" s="5" t="str">
        <f>IF(U171="","",_xlfn.XLOOKUP(U171,Hotels!A:A,Hotels!B:B,"Not found"))</f>
        <v>Hilton</v>
      </c>
      <c r="AV171" t="s">
        <v>148</v>
      </c>
      <c r="AW171" s="16" t="str">
        <f t="shared" si="50"/>
        <v>OK</v>
      </c>
      <c r="AX171" s="16" t="str">
        <f t="shared" si="51"/>
        <v>OK</v>
      </c>
      <c r="AY171" s="16" t="str">
        <f t="shared" si="52"/>
        <v>OK</v>
      </c>
      <c r="AZ171" s="16" t="str">
        <f t="shared" si="53"/>
        <v>OK</v>
      </c>
      <c r="BA171" s="16" t="str">
        <f t="shared" si="57"/>
        <v>OK</v>
      </c>
      <c r="BB171" s="21">
        <f>COUNTIF('Trip Changes'!B:B,A171)</f>
        <v>0</v>
      </c>
      <c r="BC171" s="16" t="str">
        <f>IF(OR(AND(AD171="Yes",COUNTIF('Trip Changes'!B:B,A171)&gt;0),AND(AD171="No",COUNTIF('Trip Changes'!B:B,A171)=0)),"OK","Check")</f>
        <v>OK</v>
      </c>
      <c r="BD171" t="str">
        <f t="shared" si="58"/>
        <v>OK</v>
      </c>
      <c r="BE171" t="str">
        <f t="shared" si="59"/>
        <v>OK</v>
      </c>
      <c r="BF171" t="str">
        <f t="shared" si="60"/>
        <v>OK</v>
      </c>
      <c r="BG171" t="str">
        <f t="shared" si="61"/>
        <v>OK</v>
      </c>
      <c r="BH171" t="str">
        <f t="shared" si="62"/>
        <v>OK</v>
      </c>
      <c r="BI171" t="str">
        <f t="shared" si="54"/>
        <v>OK</v>
      </c>
      <c r="BJ171" t="str">
        <f t="shared" si="55"/>
        <v>OK</v>
      </c>
      <c r="BK171" t="str">
        <f t="shared" si="56"/>
        <v>OK</v>
      </c>
    </row>
    <row r="172" spans="1:63">
      <c r="A172" s="16" t="s">
        <v>426</v>
      </c>
      <c r="B172" s="16" t="s">
        <v>424</v>
      </c>
      <c r="C172" s="16" t="s">
        <v>257</v>
      </c>
      <c r="D172" s="16" t="s">
        <v>248</v>
      </c>
      <c r="E172" s="16" t="s">
        <v>249</v>
      </c>
      <c r="F172" s="16" t="s">
        <v>140</v>
      </c>
      <c r="G172" s="15">
        <v>46145</v>
      </c>
      <c r="H172" s="15">
        <v>46160</v>
      </c>
      <c r="I172" s="15">
        <v>46164</v>
      </c>
      <c r="J172" s="15" t="s">
        <v>163</v>
      </c>
      <c r="K172" s="16" t="s">
        <v>257</v>
      </c>
      <c r="L172" t="s">
        <v>179</v>
      </c>
      <c r="M172" s="16" t="s">
        <v>152</v>
      </c>
      <c r="N172" s="16" t="s">
        <v>153</v>
      </c>
      <c r="O172" t="s">
        <v>1614</v>
      </c>
      <c r="P172" s="18">
        <v>14486</v>
      </c>
      <c r="Q172" s="21">
        <v>15</v>
      </c>
      <c r="R172" s="21" t="str">
        <f t="shared" si="42"/>
        <v>15-30 days</v>
      </c>
      <c r="S172" s="16" t="s">
        <v>207</v>
      </c>
      <c r="T172" s="16" t="s">
        <v>154</v>
      </c>
      <c r="U172" s="16" t="s">
        <v>173</v>
      </c>
      <c r="V172" t="str">
        <f>IF(U172="","",IFERROR(VLOOKUP(U172,Hotels!A:B,2,FALSE),"Not Found"))</f>
        <v>Accor</v>
      </c>
      <c r="W172" s="14">
        <v>967.42</v>
      </c>
      <c r="X172" s="14">
        <v>0</v>
      </c>
      <c r="Y172" s="21">
        <v>3</v>
      </c>
      <c r="Z172" s="29">
        <f t="shared" si="43"/>
        <v>184.57333333333335</v>
      </c>
      <c r="AA172" s="14">
        <v>553.72</v>
      </c>
      <c r="AB172" s="14">
        <v>99.51</v>
      </c>
      <c r="AC172" s="14">
        <v>1620.65</v>
      </c>
      <c r="AD172" s="16" t="s">
        <v>147</v>
      </c>
      <c r="AE172" s="16" t="s">
        <v>147</v>
      </c>
      <c r="AF172" s="14">
        <f>SUMIF('Trip Changes'!$B:$B,A172,'Trip Changes'!$E:$E)</f>
        <v>0</v>
      </c>
      <c r="AG172" s="23">
        <f>SUMIF('Trip Cancellations'!$B:$B,A172,'Trip Cancellations'!$E:$E)</f>
        <v>0</v>
      </c>
      <c r="AH172" s="14">
        <f>SUMIF('Trip Cancellations'!$B:$B,A172,'Trip Cancellations'!$F:$F)</f>
        <v>0</v>
      </c>
      <c r="AI172" s="14">
        <f t="shared" si="44"/>
        <v>1620.65</v>
      </c>
      <c r="AJ172" s="14" t="str">
        <f t="shared" si="45"/>
        <v>Yes</v>
      </c>
      <c r="AK172" s="14" t="str">
        <f>IF(Y172=0,"N/A",
IF(_xlfn.XLOOKUP(U172,Hotels!A:A,Hotels!C:C)=TRUE,"Yes","No"))</f>
        <v>Yes</v>
      </c>
      <c r="AL172" s="14" t="str">
        <f>IF(N172="Rail","N/A",IF(_xlfn.XLOOKUP(T172,Airlines!A:A,Airlines!C:C)=TRUE,"Yes","No"))</f>
        <v>Yes</v>
      </c>
      <c r="AM172" s="14" t="str">
        <f t="shared" si="46"/>
        <v>Yes</v>
      </c>
      <c r="AN172" s="14" t="str">
        <f t="shared" si="47"/>
        <v>No</v>
      </c>
      <c r="AO172" s="14" t="str">
        <f t="shared" si="48"/>
        <v>Yes</v>
      </c>
      <c r="AP172" s="16" t="s">
        <v>148</v>
      </c>
      <c r="AQ172" t="str">
        <f t="shared" si="49"/>
        <v>No</v>
      </c>
      <c r="AR172" s="21">
        <v>4</v>
      </c>
      <c r="AS172" s="5">
        <v>2172.9</v>
      </c>
      <c r="AT172" s="5" t="str">
        <f>IF(T172="","",_xlfn.XLOOKUP(T172,Airlines!A:A,Airlines!B:B,"Not Found"))</f>
        <v>British Airways</v>
      </c>
      <c r="AU172" s="5" t="str">
        <f>IF(U172="","",_xlfn.XLOOKUP(U172,Hotels!A:A,Hotels!B:B,"Not found"))</f>
        <v>Accor</v>
      </c>
      <c r="AV172" t="s">
        <v>148</v>
      </c>
      <c r="AW172" s="16" t="str">
        <f t="shared" si="50"/>
        <v>OK</v>
      </c>
      <c r="AX172" s="16" t="str">
        <f t="shared" si="51"/>
        <v>OK</v>
      </c>
      <c r="AY172" s="16" t="str">
        <f t="shared" si="52"/>
        <v>OK</v>
      </c>
      <c r="AZ172" s="16" t="str">
        <f t="shared" si="53"/>
        <v>OK</v>
      </c>
      <c r="BA172" s="16" t="str">
        <f t="shared" si="57"/>
        <v>OK</v>
      </c>
      <c r="BB172" s="21">
        <f>COUNTIF('Trip Changes'!B:B,A172)</f>
        <v>0</v>
      </c>
      <c r="BC172" s="16" t="str">
        <f>IF(OR(AND(AD172="Yes",COUNTIF('Trip Changes'!B:B,A172)&gt;0),AND(AD172="No",COUNTIF('Trip Changes'!B:B,A172)=0)),"OK","Check")</f>
        <v>OK</v>
      </c>
      <c r="BD172" t="str">
        <f t="shared" si="58"/>
        <v>OK</v>
      </c>
      <c r="BE172" t="str">
        <f t="shared" si="59"/>
        <v>OK</v>
      </c>
      <c r="BF172" t="str">
        <f t="shared" si="60"/>
        <v>OK</v>
      </c>
      <c r="BG172" t="str">
        <f t="shared" si="61"/>
        <v>OK</v>
      </c>
      <c r="BH172" t="str">
        <f t="shared" si="62"/>
        <v>OK</v>
      </c>
      <c r="BI172" t="str">
        <f t="shared" si="54"/>
        <v>OK</v>
      </c>
      <c r="BJ172" t="str">
        <f t="shared" si="55"/>
        <v>OK</v>
      </c>
      <c r="BK172" t="str">
        <f t="shared" si="56"/>
        <v>OK</v>
      </c>
    </row>
    <row r="173" spans="1:63">
      <c r="A173" s="16" t="s">
        <v>427</v>
      </c>
      <c r="B173" s="16" t="s">
        <v>424</v>
      </c>
      <c r="C173" s="16" t="s">
        <v>257</v>
      </c>
      <c r="D173" s="16" t="s">
        <v>248</v>
      </c>
      <c r="E173" s="16" t="s">
        <v>249</v>
      </c>
      <c r="F173" s="16" t="s">
        <v>140</v>
      </c>
      <c r="G173" s="15">
        <v>46148</v>
      </c>
      <c r="H173" s="15">
        <v>46149</v>
      </c>
      <c r="I173" s="15">
        <v>46156</v>
      </c>
      <c r="J173" s="15" t="s">
        <v>163</v>
      </c>
      <c r="K173" s="16" t="s">
        <v>257</v>
      </c>
      <c r="L173" t="s">
        <v>283</v>
      </c>
      <c r="M173" s="16" t="s">
        <v>152</v>
      </c>
      <c r="N173" s="16" t="s">
        <v>153</v>
      </c>
      <c r="O173" t="s">
        <v>1614</v>
      </c>
      <c r="P173" s="18">
        <v>10852</v>
      </c>
      <c r="Q173" s="21">
        <v>1</v>
      </c>
      <c r="R173" s="21" t="str">
        <f t="shared" si="42"/>
        <v>0-3 days</v>
      </c>
      <c r="S173" s="16" t="s">
        <v>159</v>
      </c>
      <c r="T173" s="16" t="s">
        <v>186</v>
      </c>
      <c r="U173" s="16" t="s">
        <v>164</v>
      </c>
      <c r="V173" t="str">
        <f>IF(U173="","",IFERROR(VLOOKUP(U173,Hotels!A:B,2,FALSE),"Not Found"))</f>
        <v>Marriott</v>
      </c>
      <c r="W173" s="14">
        <v>883.83</v>
      </c>
      <c r="X173" s="14">
        <v>0</v>
      </c>
      <c r="Y173" s="21">
        <v>6</v>
      </c>
      <c r="Z173" s="29">
        <f t="shared" si="43"/>
        <v>242.47833333333332</v>
      </c>
      <c r="AA173" s="14">
        <v>1454.87</v>
      </c>
      <c r="AB173" s="14">
        <v>97.1</v>
      </c>
      <c r="AC173" s="14">
        <v>2435.8000000000002</v>
      </c>
      <c r="AD173" s="16" t="s">
        <v>147</v>
      </c>
      <c r="AE173" s="16" t="s">
        <v>148</v>
      </c>
      <c r="AF173" s="14">
        <f>SUMIF('Trip Changes'!$B:$B,A173,'Trip Changes'!$E:$E)</f>
        <v>0</v>
      </c>
      <c r="AG173" s="23">
        <f>SUMIF('Trip Cancellations'!$B:$B,A173,'Trip Cancellations'!$E:$E)</f>
        <v>146</v>
      </c>
      <c r="AH173" s="14">
        <f>SUMIF('Trip Cancellations'!$B:$B,A173,'Trip Cancellations'!$F:$F)</f>
        <v>2104.83</v>
      </c>
      <c r="AI173" s="14">
        <f t="shared" si="44"/>
        <v>476.97000000000025</v>
      </c>
      <c r="AJ173" s="14" t="str">
        <f t="shared" si="45"/>
        <v>No</v>
      </c>
      <c r="AK173" s="14" t="str">
        <f>IF(Y173=0,"N/A",
IF(_xlfn.XLOOKUP(U173,Hotels!A:A,Hotels!C:C)=TRUE,"Yes","No"))</f>
        <v>Yes</v>
      </c>
      <c r="AL173" s="14" t="str">
        <f>IF(N173="Rail","N/A",IF(_xlfn.XLOOKUP(T173,Airlines!A:A,Airlines!C:C)=TRUE,"Yes","No"))</f>
        <v>Yes</v>
      </c>
      <c r="AM173" s="14" t="str">
        <f t="shared" si="46"/>
        <v>Yes</v>
      </c>
      <c r="AN173" s="14" t="str">
        <f t="shared" si="47"/>
        <v>Yes</v>
      </c>
      <c r="AO173" s="14" t="str">
        <f t="shared" si="48"/>
        <v>Yes</v>
      </c>
      <c r="AP173" s="16" t="s">
        <v>148</v>
      </c>
      <c r="AQ173" t="str">
        <f t="shared" si="49"/>
        <v>No</v>
      </c>
      <c r="AR173" s="21">
        <v>4</v>
      </c>
      <c r="AS173" s="5">
        <v>1627.8</v>
      </c>
      <c r="AT173" s="5" t="str">
        <f>IF(T173="","",_xlfn.XLOOKUP(T173,Airlines!A:A,Airlines!B:B,"Not Found"))</f>
        <v>Virgin Atlantic</v>
      </c>
      <c r="AU173" s="5" t="str">
        <f>IF(U173="","",_xlfn.XLOOKUP(U173,Hotels!A:A,Hotels!B:B,"Not found"))</f>
        <v>Marriott</v>
      </c>
      <c r="AV173" t="s">
        <v>148</v>
      </c>
      <c r="AW173" s="16" t="str">
        <f t="shared" si="50"/>
        <v>OK</v>
      </c>
      <c r="AX173" s="16" t="str">
        <f t="shared" si="51"/>
        <v>OK</v>
      </c>
      <c r="AY173" s="16" t="str">
        <f t="shared" si="52"/>
        <v>OK</v>
      </c>
      <c r="AZ173" s="16" t="str">
        <f t="shared" si="53"/>
        <v>OK</v>
      </c>
      <c r="BA173" s="16" t="str">
        <f t="shared" si="57"/>
        <v>OK</v>
      </c>
      <c r="BB173" s="21">
        <f>COUNTIF('Trip Changes'!B:B,A173)</f>
        <v>0</v>
      </c>
      <c r="BC173" s="16" t="str">
        <f>IF(OR(AND(AD173="Yes",COUNTIF('Trip Changes'!B:B,A173)&gt;0),AND(AD173="No",COUNTIF('Trip Changes'!B:B,A173)=0)),"OK","Check")</f>
        <v>OK</v>
      </c>
      <c r="BD173" t="str">
        <f t="shared" si="58"/>
        <v>OK</v>
      </c>
      <c r="BE173" t="str">
        <f t="shared" si="59"/>
        <v>OK</v>
      </c>
      <c r="BF173" t="str">
        <f t="shared" si="60"/>
        <v>OK</v>
      </c>
      <c r="BG173" t="str">
        <f t="shared" si="61"/>
        <v>OK</v>
      </c>
      <c r="BH173" t="str">
        <f t="shared" si="62"/>
        <v>OK</v>
      </c>
      <c r="BI173" t="str">
        <f t="shared" si="54"/>
        <v>OK</v>
      </c>
      <c r="BJ173" t="str">
        <f t="shared" si="55"/>
        <v>OK</v>
      </c>
      <c r="BK173" t="str">
        <f t="shared" si="56"/>
        <v>OK</v>
      </c>
    </row>
    <row r="174" spans="1:63">
      <c r="A174" s="16" t="s">
        <v>428</v>
      </c>
      <c r="B174" s="16" t="s">
        <v>429</v>
      </c>
      <c r="C174" s="16" t="s">
        <v>182</v>
      </c>
      <c r="D174" s="16" t="s">
        <v>204</v>
      </c>
      <c r="E174" s="16" t="s">
        <v>139</v>
      </c>
      <c r="F174" s="16" t="s">
        <v>178</v>
      </c>
      <c r="G174" s="15">
        <v>46204</v>
      </c>
      <c r="H174" s="15">
        <v>46213</v>
      </c>
      <c r="I174" s="15">
        <v>46217</v>
      </c>
      <c r="J174" s="15" t="s">
        <v>150</v>
      </c>
      <c r="K174" s="16" t="s">
        <v>182</v>
      </c>
      <c r="L174" t="s">
        <v>240</v>
      </c>
      <c r="M174" s="16" t="s">
        <v>152</v>
      </c>
      <c r="N174" s="16" t="s">
        <v>153</v>
      </c>
      <c r="O174" t="s">
        <v>1614</v>
      </c>
      <c r="P174" s="18">
        <v>16564</v>
      </c>
      <c r="Q174" s="21">
        <v>9</v>
      </c>
      <c r="R174" s="21" t="str">
        <f t="shared" si="42"/>
        <v>8-14 days</v>
      </c>
      <c r="S174" s="16" t="s">
        <v>145</v>
      </c>
      <c r="T174" s="16" t="s">
        <v>154</v>
      </c>
      <c r="U174" s="16" t="s">
        <v>164</v>
      </c>
      <c r="V174" t="str">
        <f>IF(U174="","",IFERROR(VLOOKUP(U174,Hotels!A:B,2,FALSE),"Not Found"))</f>
        <v>Marriott</v>
      </c>
      <c r="W174" s="14">
        <v>1676.71</v>
      </c>
      <c r="X174" s="14">
        <v>0</v>
      </c>
      <c r="Y174" s="21">
        <v>3</v>
      </c>
      <c r="Z174" s="29">
        <f t="shared" si="43"/>
        <v>184.63</v>
      </c>
      <c r="AA174" s="14">
        <v>553.89</v>
      </c>
      <c r="AB174" s="14">
        <v>85.32</v>
      </c>
      <c r="AC174" s="14">
        <v>2315.92</v>
      </c>
      <c r="AD174" s="16" t="s">
        <v>147</v>
      </c>
      <c r="AE174" s="16" t="s">
        <v>147</v>
      </c>
      <c r="AF174" s="14">
        <f>SUMIF('Trip Changes'!$B:$B,A174,'Trip Changes'!$E:$E)</f>
        <v>0</v>
      </c>
      <c r="AG174" s="23">
        <f>SUMIF('Trip Cancellations'!$B:$B,A174,'Trip Cancellations'!$E:$E)</f>
        <v>0</v>
      </c>
      <c r="AH174" s="14">
        <f>SUMIF('Trip Cancellations'!$B:$B,A174,'Trip Cancellations'!$F:$F)</f>
        <v>0</v>
      </c>
      <c r="AI174" s="14">
        <f t="shared" si="44"/>
        <v>2315.92</v>
      </c>
      <c r="AJ174" s="14" t="str">
        <f t="shared" si="45"/>
        <v>Yes</v>
      </c>
      <c r="AK174" s="14" t="str">
        <f>IF(Y174=0,"N/A",
IF(_xlfn.XLOOKUP(U174,Hotels!A:A,Hotels!C:C)=TRUE,"Yes","No"))</f>
        <v>Yes</v>
      </c>
      <c r="AL174" s="14" t="str">
        <f>IF(N174="Rail","N/A",IF(_xlfn.XLOOKUP(T174,Airlines!A:A,Airlines!C:C)=TRUE,"Yes","No"))</f>
        <v>Yes</v>
      </c>
      <c r="AM174" s="14" t="str">
        <f t="shared" si="46"/>
        <v>Yes</v>
      </c>
      <c r="AN174" s="14" t="str">
        <f t="shared" si="47"/>
        <v>Yes</v>
      </c>
      <c r="AO174" s="14" t="str">
        <f t="shared" si="48"/>
        <v>Yes</v>
      </c>
      <c r="AP174" s="16" t="s">
        <v>148</v>
      </c>
      <c r="AQ174" t="str">
        <f t="shared" si="49"/>
        <v>Yes</v>
      </c>
      <c r="AR174" s="21">
        <v>4</v>
      </c>
      <c r="AS174" s="5">
        <v>2484.6</v>
      </c>
      <c r="AT174" s="5" t="str">
        <f>IF(T174="","",_xlfn.XLOOKUP(T174,Airlines!A:A,Airlines!B:B,"Not Found"))</f>
        <v>British Airways</v>
      </c>
      <c r="AU174" s="5" t="str">
        <f>IF(U174="","",_xlfn.XLOOKUP(U174,Hotels!A:A,Hotels!B:B,"Not found"))</f>
        <v>Marriott</v>
      </c>
      <c r="AV174" t="s">
        <v>147</v>
      </c>
      <c r="AW174" s="16" t="str">
        <f t="shared" si="50"/>
        <v>OK</v>
      </c>
      <c r="AX174" s="16" t="str">
        <f t="shared" si="51"/>
        <v>OK</v>
      </c>
      <c r="AY174" s="16" t="str">
        <f t="shared" si="52"/>
        <v>OK</v>
      </c>
      <c r="AZ174" s="16" t="str">
        <f t="shared" si="53"/>
        <v>OK</v>
      </c>
      <c r="BA174" s="16" t="str">
        <f t="shared" si="57"/>
        <v>OK</v>
      </c>
      <c r="BB174" s="21">
        <f>COUNTIF('Trip Changes'!B:B,A174)</f>
        <v>0</v>
      </c>
      <c r="BC174" s="16" t="str">
        <f>IF(OR(AND(AD174="Yes",COUNTIF('Trip Changes'!B:B,A174)&gt;0),AND(AD174="No",COUNTIF('Trip Changes'!B:B,A174)=0)),"OK","Check")</f>
        <v>OK</v>
      </c>
      <c r="BD174" t="str">
        <f t="shared" si="58"/>
        <v>OK</v>
      </c>
      <c r="BE174" t="str">
        <f t="shared" si="59"/>
        <v>OK</v>
      </c>
      <c r="BF174" t="str">
        <f t="shared" si="60"/>
        <v>OK</v>
      </c>
      <c r="BG174" t="str">
        <f t="shared" si="61"/>
        <v>OK</v>
      </c>
      <c r="BH174" t="str">
        <f t="shared" si="62"/>
        <v>OK</v>
      </c>
      <c r="BI174" t="str">
        <f t="shared" si="54"/>
        <v>OK</v>
      </c>
      <c r="BJ174" t="str">
        <f t="shared" si="55"/>
        <v>OK</v>
      </c>
      <c r="BK174" t="str">
        <f t="shared" si="56"/>
        <v>OK</v>
      </c>
    </row>
    <row r="175" spans="1:63">
      <c r="A175" s="16" t="s">
        <v>430</v>
      </c>
      <c r="B175" s="16" t="s">
        <v>429</v>
      </c>
      <c r="C175" s="16" t="s">
        <v>182</v>
      </c>
      <c r="D175" s="16" t="s">
        <v>204</v>
      </c>
      <c r="E175" s="16" t="s">
        <v>139</v>
      </c>
      <c r="F175" s="16" t="s">
        <v>140</v>
      </c>
      <c r="G175" s="15">
        <v>46211</v>
      </c>
      <c r="H175" s="15">
        <v>46212</v>
      </c>
      <c r="I175" s="15">
        <v>46215</v>
      </c>
      <c r="J175" s="15" t="s">
        <v>150</v>
      </c>
      <c r="K175" s="16" t="s">
        <v>182</v>
      </c>
      <c r="L175" t="s">
        <v>199</v>
      </c>
      <c r="M175" s="16" t="s">
        <v>152</v>
      </c>
      <c r="N175" s="16" t="s">
        <v>153</v>
      </c>
      <c r="O175" t="s">
        <v>1614</v>
      </c>
      <c r="P175" s="18">
        <v>1906</v>
      </c>
      <c r="Q175" s="21">
        <v>1</v>
      </c>
      <c r="R175" s="21" t="str">
        <f t="shared" si="42"/>
        <v>0-3 days</v>
      </c>
      <c r="S175" s="16" t="s">
        <v>145</v>
      </c>
      <c r="T175" s="16" t="s">
        <v>200</v>
      </c>
      <c r="U175" s="16" t="s">
        <v>164</v>
      </c>
      <c r="V175" t="str">
        <f>IF(U175="","",IFERROR(VLOOKUP(U175,Hotels!A:B,2,FALSE),"Not Found"))</f>
        <v>Marriott</v>
      </c>
      <c r="W175" s="14">
        <v>405.71</v>
      </c>
      <c r="X175" s="14">
        <v>0</v>
      </c>
      <c r="Y175" s="21">
        <v>2</v>
      </c>
      <c r="Z175" s="29">
        <f t="shared" si="43"/>
        <v>149.76499999999999</v>
      </c>
      <c r="AA175" s="14">
        <v>299.52999999999997</v>
      </c>
      <c r="AB175" s="14">
        <v>76.34</v>
      </c>
      <c r="AC175" s="14">
        <v>781.58</v>
      </c>
      <c r="AD175" s="16" t="s">
        <v>148</v>
      </c>
      <c r="AE175" s="16" t="s">
        <v>147</v>
      </c>
      <c r="AF175" s="14">
        <f>SUMIF('Trip Changes'!$B:$B,A175,'Trip Changes'!$E:$E)</f>
        <v>126.62</v>
      </c>
      <c r="AG175" s="23">
        <f>SUMIF('Trip Cancellations'!$B:$B,A175,'Trip Cancellations'!$E:$E)</f>
        <v>0</v>
      </c>
      <c r="AH175" s="14">
        <f>SUMIF('Trip Cancellations'!$B:$B,A175,'Trip Cancellations'!$F:$F)</f>
        <v>0</v>
      </c>
      <c r="AI175" s="14">
        <f t="shared" si="44"/>
        <v>908.2</v>
      </c>
      <c r="AJ175" s="14" t="str">
        <f t="shared" si="45"/>
        <v>Yes</v>
      </c>
      <c r="AK175" s="14" t="str">
        <f>IF(Y175=0,"N/A",
IF(_xlfn.XLOOKUP(U175,Hotels!A:A,Hotels!C:C)=TRUE,"Yes","No"))</f>
        <v>Yes</v>
      </c>
      <c r="AL175" s="14" t="str">
        <f>IF(N175="Rail","N/A",IF(_xlfn.XLOOKUP(T175,Airlines!A:A,Airlines!C:C)=TRUE,"Yes","No"))</f>
        <v>Yes</v>
      </c>
      <c r="AM175" s="14" t="str">
        <f t="shared" si="46"/>
        <v>Yes</v>
      </c>
      <c r="AN175" s="14" t="str">
        <f t="shared" si="47"/>
        <v>Yes</v>
      </c>
      <c r="AO175" s="14" t="str">
        <f t="shared" si="48"/>
        <v>Yes</v>
      </c>
      <c r="AP175" s="16" t="s">
        <v>148</v>
      </c>
      <c r="AQ175" t="str">
        <f t="shared" si="49"/>
        <v>Yes</v>
      </c>
      <c r="AR175" s="21">
        <v>5</v>
      </c>
      <c r="AS175" s="5">
        <v>285.89999999999998</v>
      </c>
      <c r="AT175" s="5" t="str">
        <f>IF(T175="","",_xlfn.XLOOKUP(T175,Airlines!A:A,Airlines!B:B,"Not Found"))</f>
        <v>Aer Lingus</v>
      </c>
      <c r="AU175" s="5" t="str">
        <f>IF(U175="","",_xlfn.XLOOKUP(U175,Hotels!A:A,Hotels!B:B,"Not found"))</f>
        <v>Marriott</v>
      </c>
      <c r="AV175" t="s">
        <v>148</v>
      </c>
      <c r="AW175" s="16" t="str">
        <f t="shared" si="50"/>
        <v>OK</v>
      </c>
      <c r="AX175" s="16" t="str">
        <f t="shared" si="51"/>
        <v>OK</v>
      </c>
      <c r="AY175" s="16" t="str">
        <f t="shared" si="52"/>
        <v>OK</v>
      </c>
      <c r="AZ175" s="16" t="str">
        <f t="shared" si="53"/>
        <v>OK</v>
      </c>
      <c r="BA175" s="16" t="str">
        <f t="shared" si="57"/>
        <v>OK</v>
      </c>
      <c r="BB175" s="21">
        <f>COUNTIF('Trip Changes'!B:B,A175)</f>
        <v>1</v>
      </c>
      <c r="BC175" s="16" t="str">
        <f>IF(OR(AND(AD175="Yes",COUNTIF('Trip Changes'!B:B,A175)&gt;0),AND(AD175="No",COUNTIF('Trip Changes'!B:B,A175)=0)),"OK","Check")</f>
        <v>OK</v>
      </c>
      <c r="BD175" t="str">
        <f t="shared" si="58"/>
        <v>OK</v>
      </c>
      <c r="BE175" t="str">
        <f t="shared" si="59"/>
        <v>OK</v>
      </c>
      <c r="BF175" t="str">
        <f t="shared" si="60"/>
        <v>OK</v>
      </c>
      <c r="BG175" t="str">
        <f t="shared" si="61"/>
        <v>OK</v>
      </c>
      <c r="BH175" t="str">
        <f t="shared" si="62"/>
        <v>OK</v>
      </c>
      <c r="BI175" t="str">
        <f t="shared" si="54"/>
        <v>OK</v>
      </c>
      <c r="BJ175" t="str">
        <f t="shared" si="55"/>
        <v>OK</v>
      </c>
      <c r="BK175" t="str">
        <f t="shared" si="56"/>
        <v>OK</v>
      </c>
    </row>
    <row r="176" spans="1:63">
      <c r="A176" s="16" t="s">
        <v>431</v>
      </c>
      <c r="B176" s="16" t="s">
        <v>429</v>
      </c>
      <c r="C176" s="16" t="s">
        <v>182</v>
      </c>
      <c r="D176" s="16" t="s">
        <v>204</v>
      </c>
      <c r="E176" s="16" t="s">
        <v>139</v>
      </c>
      <c r="F176" s="16" t="s">
        <v>162</v>
      </c>
      <c r="G176" s="15">
        <v>46159</v>
      </c>
      <c r="H176" s="15">
        <v>46163</v>
      </c>
      <c r="I176" s="15">
        <v>46166</v>
      </c>
      <c r="J176" s="15" t="s">
        <v>163</v>
      </c>
      <c r="K176" s="16" t="s">
        <v>182</v>
      </c>
      <c r="L176" t="s">
        <v>182</v>
      </c>
      <c r="M176" s="16" t="s">
        <v>143</v>
      </c>
      <c r="N176" s="16" t="s">
        <v>144</v>
      </c>
      <c r="O176" t="s">
        <v>1630</v>
      </c>
      <c r="P176" s="18">
        <v>692</v>
      </c>
      <c r="Q176" s="21">
        <v>4</v>
      </c>
      <c r="R176" s="21" t="str">
        <f t="shared" si="42"/>
        <v>4-7 days</v>
      </c>
      <c r="S176" s="16" t="s">
        <v>159</v>
      </c>
      <c r="U176" s="16" t="s">
        <v>195</v>
      </c>
      <c r="V176" t="str">
        <f>IF(U176="","",IFERROR(VLOOKUP(U176,Hotels!A:B,2,FALSE),"Not Found"))</f>
        <v>Travelodge</v>
      </c>
      <c r="W176" s="14">
        <v>0</v>
      </c>
      <c r="X176" s="14">
        <v>143.02000000000001</v>
      </c>
      <c r="Y176" s="21">
        <v>2</v>
      </c>
      <c r="Z176" s="29">
        <f t="shared" si="43"/>
        <v>103.065</v>
      </c>
      <c r="AA176" s="14">
        <v>206.13</v>
      </c>
      <c r="AB176" s="14">
        <v>78.34</v>
      </c>
      <c r="AC176" s="14">
        <v>427.49</v>
      </c>
      <c r="AD176" s="16" t="s">
        <v>147</v>
      </c>
      <c r="AE176" s="16" t="s">
        <v>147</v>
      </c>
      <c r="AF176" s="14">
        <f>SUMIF('Trip Changes'!$B:$B,A176,'Trip Changes'!$E:$E)</f>
        <v>0</v>
      </c>
      <c r="AG176" s="23">
        <f>SUMIF('Trip Cancellations'!$B:$B,A176,'Trip Cancellations'!$E:$E)</f>
        <v>0</v>
      </c>
      <c r="AH176" s="14">
        <f>SUMIF('Trip Cancellations'!$B:$B,A176,'Trip Cancellations'!$F:$F)</f>
        <v>0</v>
      </c>
      <c r="AI176" s="14">
        <f t="shared" si="44"/>
        <v>427.49</v>
      </c>
      <c r="AJ176" s="14" t="str">
        <f t="shared" si="45"/>
        <v>Yes</v>
      </c>
      <c r="AK176" s="14" t="str">
        <f>IF(Y176=0,"N/A",
IF(_xlfn.XLOOKUP(U176,Hotels!A:A,Hotels!C:C)=TRUE,"Yes","No"))</f>
        <v>No</v>
      </c>
      <c r="AL176" s="14" t="str">
        <f>IF(N176="Rail","N/A",IF(_xlfn.XLOOKUP(T176,Airlines!A:A,Airlines!C:C)=TRUE,"Yes","No"))</f>
        <v>N/A</v>
      </c>
      <c r="AM176" s="14" t="str">
        <f t="shared" si="46"/>
        <v>Yes</v>
      </c>
      <c r="AN176" s="14" t="str">
        <f t="shared" si="47"/>
        <v>Yes</v>
      </c>
      <c r="AO176" s="14" t="str">
        <f t="shared" si="48"/>
        <v>No</v>
      </c>
      <c r="AP176" s="16" t="s">
        <v>148</v>
      </c>
      <c r="AQ176" t="str">
        <f t="shared" si="49"/>
        <v>No</v>
      </c>
      <c r="AR176" s="21">
        <v>5</v>
      </c>
      <c r="AS176" s="5">
        <v>27.7</v>
      </c>
      <c r="AT176" s="5" t="str">
        <f>IF(T176="","",_xlfn.XLOOKUP(T176,Airlines!A:A,Airlines!B:B,"Not Found"))</f>
        <v/>
      </c>
      <c r="AU176" s="5" t="str">
        <f>IF(U176="","",_xlfn.XLOOKUP(U176,Hotels!A:A,Hotels!B:B,"Not found"))</f>
        <v>Travelodge</v>
      </c>
      <c r="AV176" t="s">
        <v>148</v>
      </c>
      <c r="AW176" s="16" t="str">
        <f t="shared" si="50"/>
        <v>OK</v>
      </c>
      <c r="AX176" s="16" t="str">
        <f t="shared" si="51"/>
        <v>OK</v>
      </c>
      <c r="AY176" s="16" t="str">
        <f t="shared" si="52"/>
        <v>OK</v>
      </c>
      <c r="AZ176" s="16" t="str">
        <f t="shared" si="53"/>
        <v>OK</v>
      </c>
      <c r="BA176" s="16" t="str">
        <f t="shared" si="57"/>
        <v>OK</v>
      </c>
      <c r="BB176" s="21">
        <f>COUNTIF('Trip Changes'!B:B,A176)</f>
        <v>0</v>
      </c>
      <c r="BC176" s="16" t="str">
        <f>IF(OR(AND(AD176="Yes",COUNTIF('Trip Changes'!B:B,A176)&gt;0),AND(AD176="No",COUNTIF('Trip Changes'!B:B,A176)=0)),"OK","Check")</f>
        <v>OK</v>
      </c>
      <c r="BD176" t="str">
        <f t="shared" si="58"/>
        <v>OK</v>
      </c>
      <c r="BE176" t="str">
        <f t="shared" si="59"/>
        <v>OK</v>
      </c>
      <c r="BF176" t="str">
        <f t="shared" si="60"/>
        <v>OK</v>
      </c>
      <c r="BG176" t="str">
        <f t="shared" si="61"/>
        <v>OK</v>
      </c>
      <c r="BH176" t="str">
        <f t="shared" si="62"/>
        <v>OK</v>
      </c>
      <c r="BI176" t="str">
        <f t="shared" si="54"/>
        <v>OK</v>
      </c>
      <c r="BJ176" t="str">
        <f t="shared" si="55"/>
        <v>OK</v>
      </c>
      <c r="BK176" t="str">
        <f t="shared" si="56"/>
        <v>OK</v>
      </c>
    </row>
    <row r="177" spans="1:63">
      <c r="A177" s="16" t="s">
        <v>432</v>
      </c>
      <c r="B177" s="16" t="s">
        <v>429</v>
      </c>
      <c r="C177" s="16" t="s">
        <v>182</v>
      </c>
      <c r="D177" s="16" t="s">
        <v>204</v>
      </c>
      <c r="E177" s="16" t="s">
        <v>139</v>
      </c>
      <c r="F177" s="16" t="s">
        <v>140</v>
      </c>
      <c r="G177" s="15">
        <v>46196</v>
      </c>
      <c r="H177" s="15">
        <v>46228</v>
      </c>
      <c r="I177" s="15">
        <v>46231</v>
      </c>
      <c r="J177" s="15" t="s">
        <v>150</v>
      </c>
      <c r="K177" s="16" t="s">
        <v>182</v>
      </c>
      <c r="L177" t="s">
        <v>233</v>
      </c>
      <c r="M177" s="16" t="s">
        <v>152</v>
      </c>
      <c r="N177" s="16" t="s">
        <v>153</v>
      </c>
      <c r="O177" t="s">
        <v>1614</v>
      </c>
      <c r="P177" s="18">
        <v>2004</v>
      </c>
      <c r="Q177" s="21">
        <v>32</v>
      </c>
      <c r="R177" s="21" t="str">
        <f t="shared" si="42"/>
        <v>31+ days</v>
      </c>
      <c r="S177" s="16" t="s">
        <v>145</v>
      </c>
      <c r="T177" s="16" t="s">
        <v>154</v>
      </c>
      <c r="U177" s="16" t="s">
        <v>155</v>
      </c>
      <c r="V177" t="str">
        <f>IF(U177="","",IFERROR(VLOOKUP(U177,Hotels!A:B,2,FALSE),"Not Found"))</f>
        <v>Hilton</v>
      </c>
      <c r="W177" s="14">
        <v>336.11</v>
      </c>
      <c r="X177" s="14">
        <v>0</v>
      </c>
      <c r="Y177" s="21">
        <v>2</v>
      </c>
      <c r="Z177" s="29">
        <f t="shared" si="43"/>
        <v>146.44999999999999</v>
      </c>
      <c r="AA177" s="14">
        <v>292.89999999999998</v>
      </c>
      <c r="AB177" s="14">
        <v>69.91</v>
      </c>
      <c r="AC177" s="14">
        <v>698.92</v>
      </c>
      <c r="AD177" s="16" t="s">
        <v>147</v>
      </c>
      <c r="AE177" s="16" t="s">
        <v>147</v>
      </c>
      <c r="AF177" s="14">
        <f>SUMIF('Trip Changes'!$B:$B,A177,'Trip Changes'!$E:$E)</f>
        <v>0</v>
      </c>
      <c r="AG177" s="23">
        <f>SUMIF('Trip Cancellations'!$B:$B,A177,'Trip Cancellations'!$E:$E)</f>
        <v>0</v>
      </c>
      <c r="AH177" s="14">
        <f>SUMIF('Trip Cancellations'!$B:$B,A177,'Trip Cancellations'!$F:$F)</f>
        <v>0</v>
      </c>
      <c r="AI177" s="14">
        <f t="shared" si="44"/>
        <v>698.92</v>
      </c>
      <c r="AJ177" s="14" t="str">
        <f t="shared" si="45"/>
        <v>Yes</v>
      </c>
      <c r="AK177" s="14" t="str">
        <f>IF(Y177=0,"N/A",
IF(_xlfn.XLOOKUP(U177,Hotels!A:A,Hotels!C:C)=TRUE,"Yes","No"))</f>
        <v>Yes</v>
      </c>
      <c r="AL177" s="14" t="str">
        <f>IF(N177="Rail","N/A",IF(_xlfn.XLOOKUP(T177,Airlines!A:A,Airlines!C:C)=TRUE,"Yes","No"))</f>
        <v>Yes</v>
      </c>
      <c r="AM177" s="14" t="str">
        <f t="shared" si="46"/>
        <v>Yes</v>
      </c>
      <c r="AN177" s="14" t="str">
        <f t="shared" si="47"/>
        <v>Yes</v>
      </c>
      <c r="AO177" s="14" t="str">
        <f t="shared" si="48"/>
        <v>Yes</v>
      </c>
      <c r="AP177" s="16" t="s">
        <v>148</v>
      </c>
      <c r="AQ177" t="str">
        <f t="shared" si="49"/>
        <v>Yes</v>
      </c>
      <c r="AR177" s="21">
        <v>5</v>
      </c>
      <c r="AS177" s="5">
        <v>300.60000000000002</v>
      </c>
      <c r="AT177" s="5" t="str">
        <f>IF(T177="","",_xlfn.XLOOKUP(T177,Airlines!A:A,Airlines!B:B,"Not Found"))</f>
        <v>British Airways</v>
      </c>
      <c r="AU177" s="5" t="str">
        <f>IF(U177="","",_xlfn.XLOOKUP(U177,Hotels!A:A,Hotels!B:B,"Not found"))</f>
        <v>Hilton</v>
      </c>
      <c r="AV177" t="s">
        <v>148</v>
      </c>
      <c r="AW177" s="16" t="str">
        <f t="shared" si="50"/>
        <v>OK</v>
      </c>
      <c r="AX177" s="16" t="str">
        <f t="shared" si="51"/>
        <v>OK</v>
      </c>
      <c r="AY177" s="16" t="str">
        <f t="shared" si="52"/>
        <v>OK</v>
      </c>
      <c r="AZ177" s="16" t="str">
        <f t="shared" si="53"/>
        <v>OK</v>
      </c>
      <c r="BA177" s="16" t="str">
        <f t="shared" si="57"/>
        <v>OK</v>
      </c>
      <c r="BB177" s="21">
        <f>COUNTIF('Trip Changes'!B:B,A177)</f>
        <v>0</v>
      </c>
      <c r="BC177" s="16" t="str">
        <f>IF(OR(AND(AD177="Yes",COUNTIF('Trip Changes'!B:B,A177)&gt;0),AND(AD177="No",COUNTIF('Trip Changes'!B:B,A177)=0)),"OK","Check")</f>
        <v>OK</v>
      </c>
      <c r="BD177" t="str">
        <f t="shared" si="58"/>
        <v>OK</v>
      </c>
      <c r="BE177" t="str">
        <f t="shared" si="59"/>
        <v>OK</v>
      </c>
      <c r="BF177" t="str">
        <f t="shared" si="60"/>
        <v>OK</v>
      </c>
      <c r="BG177" t="str">
        <f t="shared" si="61"/>
        <v>OK</v>
      </c>
      <c r="BH177" t="str">
        <f t="shared" si="62"/>
        <v>OK</v>
      </c>
      <c r="BI177" t="str">
        <f t="shared" si="54"/>
        <v>OK</v>
      </c>
      <c r="BJ177" t="str">
        <f t="shared" si="55"/>
        <v>OK</v>
      </c>
      <c r="BK177" t="str">
        <f t="shared" si="56"/>
        <v>OK</v>
      </c>
    </row>
    <row r="178" spans="1:63">
      <c r="A178" s="16" t="s">
        <v>433</v>
      </c>
      <c r="B178" s="16" t="s">
        <v>429</v>
      </c>
      <c r="C178" s="16" t="s">
        <v>182</v>
      </c>
      <c r="D178" s="16" t="s">
        <v>204</v>
      </c>
      <c r="E178" s="16" t="s">
        <v>139</v>
      </c>
      <c r="F178" s="16" t="s">
        <v>157</v>
      </c>
      <c r="G178" s="15">
        <v>46207</v>
      </c>
      <c r="H178" s="15">
        <v>46220</v>
      </c>
      <c r="I178" s="15">
        <v>46222</v>
      </c>
      <c r="J178" s="15" t="s">
        <v>150</v>
      </c>
      <c r="K178" s="16" t="s">
        <v>182</v>
      </c>
      <c r="L178" t="s">
        <v>151</v>
      </c>
      <c r="M178" s="16" t="s">
        <v>152</v>
      </c>
      <c r="N178" s="16" t="s">
        <v>153</v>
      </c>
      <c r="O178" t="s">
        <v>1614</v>
      </c>
      <c r="P178" s="18">
        <v>1904</v>
      </c>
      <c r="Q178" s="21">
        <v>13</v>
      </c>
      <c r="R178" s="21" t="str">
        <f t="shared" si="42"/>
        <v>8-14 days</v>
      </c>
      <c r="S178" s="16" t="s">
        <v>159</v>
      </c>
      <c r="T178" s="16" t="s">
        <v>172</v>
      </c>
      <c r="U178" s="16" t="s">
        <v>155</v>
      </c>
      <c r="V178" t="str">
        <f>IF(U178="","",IFERROR(VLOOKUP(U178,Hotels!A:B,2,FALSE),"Not Found"))</f>
        <v>Hilton</v>
      </c>
      <c r="W178" s="14">
        <v>206.2</v>
      </c>
      <c r="X178" s="14">
        <v>0</v>
      </c>
      <c r="Y178" s="21">
        <v>1</v>
      </c>
      <c r="Z178" s="29">
        <f t="shared" si="43"/>
        <v>188.08</v>
      </c>
      <c r="AA178" s="14">
        <v>188.08</v>
      </c>
      <c r="AB178" s="14">
        <v>54.43</v>
      </c>
      <c r="AC178" s="14">
        <v>448.71</v>
      </c>
      <c r="AD178" s="16" t="s">
        <v>147</v>
      </c>
      <c r="AE178" s="16" t="s">
        <v>147</v>
      </c>
      <c r="AF178" s="14">
        <f>SUMIF('Trip Changes'!$B:$B,A178,'Trip Changes'!$E:$E)</f>
        <v>0</v>
      </c>
      <c r="AG178" s="23">
        <f>SUMIF('Trip Cancellations'!$B:$B,A178,'Trip Cancellations'!$E:$E)</f>
        <v>0</v>
      </c>
      <c r="AH178" s="14">
        <f>SUMIF('Trip Cancellations'!$B:$B,A178,'Trip Cancellations'!$F:$F)</f>
        <v>0</v>
      </c>
      <c r="AI178" s="14">
        <f t="shared" si="44"/>
        <v>448.71</v>
      </c>
      <c r="AJ178" s="14" t="str">
        <f t="shared" si="45"/>
        <v>No</v>
      </c>
      <c r="AK178" s="14" t="str">
        <f>IF(Y178=0,"N/A",
IF(_xlfn.XLOOKUP(U178,Hotels!A:A,Hotels!C:C)=TRUE,"Yes","No"))</f>
        <v>Yes</v>
      </c>
      <c r="AL178" s="14" t="str">
        <f>IF(N178="Rail","N/A",IF(_xlfn.XLOOKUP(T178,Airlines!A:A,Airlines!C:C)=TRUE,"Yes","No"))</f>
        <v>Yes</v>
      </c>
      <c r="AM178" s="14" t="str">
        <f t="shared" si="46"/>
        <v>Yes</v>
      </c>
      <c r="AN178" s="14" t="str">
        <f t="shared" si="47"/>
        <v>Yes</v>
      </c>
      <c r="AO178" s="14" t="str">
        <f t="shared" si="48"/>
        <v>Yes</v>
      </c>
      <c r="AP178" s="16" t="s">
        <v>148</v>
      </c>
      <c r="AQ178" t="str">
        <f t="shared" si="49"/>
        <v>No</v>
      </c>
      <c r="AR178" s="21">
        <v>4</v>
      </c>
      <c r="AS178" s="5">
        <v>285.60000000000002</v>
      </c>
      <c r="AT178" s="5" t="str">
        <f>IF(T178="","",_xlfn.XLOOKUP(T178,Airlines!A:A,Airlines!B:B,"Not Found"))</f>
        <v>Lufthansa</v>
      </c>
      <c r="AU178" s="5" t="str">
        <f>IF(U178="","",_xlfn.XLOOKUP(U178,Hotels!A:A,Hotels!B:B,"Not found"))</f>
        <v>Hilton</v>
      </c>
      <c r="AV178" t="s">
        <v>148</v>
      </c>
      <c r="AW178" s="16" t="str">
        <f t="shared" si="50"/>
        <v>OK</v>
      </c>
      <c r="AX178" s="16" t="str">
        <f t="shared" si="51"/>
        <v>OK</v>
      </c>
      <c r="AY178" s="16" t="str">
        <f t="shared" si="52"/>
        <v>OK</v>
      </c>
      <c r="AZ178" s="16" t="str">
        <f t="shared" si="53"/>
        <v>OK</v>
      </c>
      <c r="BA178" s="16" t="str">
        <f t="shared" si="57"/>
        <v>OK</v>
      </c>
      <c r="BB178" s="21">
        <f>COUNTIF('Trip Changes'!B:B,A178)</f>
        <v>0</v>
      </c>
      <c r="BC178" s="16" t="str">
        <f>IF(OR(AND(AD178="Yes",COUNTIF('Trip Changes'!B:B,A178)&gt;0),AND(AD178="No",COUNTIF('Trip Changes'!B:B,A178)=0)),"OK","Check")</f>
        <v>OK</v>
      </c>
      <c r="BD178" t="str">
        <f t="shared" si="58"/>
        <v>OK</v>
      </c>
      <c r="BE178" t="str">
        <f t="shared" si="59"/>
        <v>OK</v>
      </c>
      <c r="BF178" t="str">
        <f t="shared" si="60"/>
        <v>OK</v>
      </c>
      <c r="BG178" t="str">
        <f t="shared" si="61"/>
        <v>OK</v>
      </c>
      <c r="BH178" t="str">
        <f t="shared" si="62"/>
        <v>OK</v>
      </c>
      <c r="BI178" t="str">
        <f t="shared" si="54"/>
        <v>OK</v>
      </c>
      <c r="BJ178" t="str">
        <f t="shared" si="55"/>
        <v>OK</v>
      </c>
      <c r="BK178" t="str">
        <f t="shared" si="56"/>
        <v>OK</v>
      </c>
    </row>
    <row r="179" spans="1:63">
      <c r="A179" s="16" t="s">
        <v>434</v>
      </c>
      <c r="B179" s="16" t="s">
        <v>435</v>
      </c>
      <c r="C179" s="16" t="s">
        <v>182</v>
      </c>
      <c r="D179" s="16" t="s">
        <v>230</v>
      </c>
      <c r="E179" s="16" t="s">
        <v>139</v>
      </c>
      <c r="F179" s="16" t="s">
        <v>189</v>
      </c>
      <c r="G179" s="15">
        <v>46144</v>
      </c>
      <c r="H179" s="15">
        <v>46160</v>
      </c>
      <c r="I179" s="15">
        <v>46165</v>
      </c>
      <c r="J179" s="15" t="s">
        <v>163</v>
      </c>
      <c r="K179" s="16" t="s">
        <v>182</v>
      </c>
      <c r="L179" t="s">
        <v>227</v>
      </c>
      <c r="M179" s="16" t="s">
        <v>152</v>
      </c>
      <c r="N179" s="16" t="s">
        <v>153</v>
      </c>
      <c r="O179" t="s">
        <v>1614</v>
      </c>
      <c r="P179" s="18">
        <v>2782</v>
      </c>
      <c r="Q179" s="21">
        <v>16</v>
      </c>
      <c r="R179" s="21" t="str">
        <f t="shared" si="42"/>
        <v>15-30 days</v>
      </c>
      <c r="S179" s="16" t="s">
        <v>145</v>
      </c>
      <c r="T179" s="16" t="s">
        <v>172</v>
      </c>
      <c r="U179" s="16" t="s">
        <v>155</v>
      </c>
      <c r="V179" t="str">
        <f>IF(U179="","",IFERROR(VLOOKUP(U179,Hotels!A:B,2,FALSE),"Not Found"))</f>
        <v>Hilton</v>
      </c>
      <c r="W179" s="14">
        <v>330.18</v>
      </c>
      <c r="X179" s="14">
        <v>0</v>
      </c>
      <c r="Y179" s="21">
        <v>4</v>
      </c>
      <c r="Z179" s="29">
        <f t="shared" si="43"/>
        <v>211.83250000000001</v>
      </c>
      <c r="AA179" s="14">
        <v>847.33</v>
      </c>
      <c r="AB179" s="14">
        <v>83.53</v>
      </c>
      <c r="AC179" s="14">
        <v>1261.04</v>
      </c>
      <c r="AD179" s="16" t="s">
        <v>147</v>
      </c>
      <c r="AE179" s="16" t="s">
        <v>147</v>
      </c>
      <c r="AF179" s="14">
        <f>SUMIF('Trip Changes'!$B:$B,A179,'Trip Changes'!$E:$E)</f>
        <v>0</v>
      </c>
      <c r="AG179" s="23">
        <f>SUMIF('Trip Cancellations'!$B:$B,A179,'Trip Cancellations'!$E:$E)</f>
        <v>0</v>
      </c>
      <c r="AH179" s="14">
        <f>SUMIF('Trip Cancellations'!$B:$B,A179,'Trip Cancellations'!$F:$F)</f>
        <v>0</v>
      </c>
      <c r="AI179" s="14">
        <f t="shared" si="44"/>
        <v>1261.04</v>
      </c>
      <c r="AJ179" s="14" t="str">
        <f t="shared" si="45"/>
        <v>No</v>
      </c>
      <c r="AK179" s="14" t="str">
        <f>IF(Y179=0,"N/A",
IF(_xlfn.XLOOKUP(U179,Hotels!A:A,Hotels!C:C)=TRUE,"Yes","No"))</f>
        <v>Yes</v>
      </c>
      <c r="AL179" s="14" t="str">
        <f>IF(N179="Rail","N/A",IF(_xlfn.XLOOKUP(T179,Airlines!A:A,Airlines!C:C)=TRUE,"Yes","No"))</f>
        <v>Yes</v>
      </c>
      <c r="AM179" s="14" t="str">
        <f t="shared" si="46"/>
        <v>Yes</v>
      </c>
      <c r="AN179" s="14" t="str">
        <f t="shared" si="47"/>
        <v>Yes</v>
      </c>
      <c r="AO179" s="14" t="str">
        <f t="shared" si="48"/>
        <v>Yes</v>
      </c>
      <c r="AP179" s="16" t="s">
        <v>148</v>
      </c>
      <c r="AQ179" t="str">
        <f t="shared" si="49"/>
        <v>No</v>
      </c>
      <c r="AR179" s="21">
        <v>4</v>
      </c>
      <c r="AS179" s="5">
        <v>417.3</v>
      </c>
      <c r="AT179" s="5" t="str">
        <f>IF(T179="","",_xlfn.XLOOKUP(T179,Airlines!A:A,Airlines!B:B,"Not Found"))</f>
        <v>Lufthansa</v>
      </c>
      <c r="AU179" s="5" t="str">
        <f>IF(U179="","",_xlfn.XLOOKUP(U179,Hotels!A:A,Hotels!B:B,"Not found"))</f>
        <v>Hilton</v>
      </c>
      <c r="AV179" t="s">
        <v>147</v>
      </c>
      <c r="AW179" s="16" t="str">
        <f t="shared" si="50"/>
        <v>OK</v>
      </c>
      <c r="AX179" s="16" t="str">
        <f t="shared" si="51"/>
        <v>OK</v>
      </c>
      <c r="AY179" s="16" t="str">
        <f t="shared" si="52"/>
        <v>OK</v>
      </c>
      <c r="AZ179" s="16" t="str">
        <f t="shared" si="53"/>
        <v>OK</v>
      </c>
      <c r="BA179" s="16" t="str">
        <f t="shared" si="57"/>
        <v>OK</v>
      </c>
      <c r="BB179" s="21">
        <f>COUNTIF('Trip Changes'!B:B,A179)</f>
        <v>0</v>
      </c>
      <c r="BC179" s="16" t="str">
        <f>IF(OR(AND(AD179="Yes",COUNTIF('Trip Changes'!B:B,A179)&gt;0),AND(AD179="No",COUNTIF('Trip Changes'!B:B,A179)=0)),"OK","Check")</f>
        <v>OK</v>
      </c>
      <c r="BD179" t="str">
        <f t="shared" si="58"/>
        <v>OK</v>
      </c>
      <c r="BE179" t="str">
        <f t="shared" si="59"/>
        <v>OK</v>
      </c>
      <c r="BF179" t="str">
        <f t="shared" si="60"/>
        <v>OK</v>
      </c>
      <c r="BG179" t="str">
        <f t="shared" si="61"/>
        <v>OK</v>
      </c>
      <c r="BH179" t="str">
        <f t="shared" si="62"/>
        <v>OK</v>
      </c>
      <c r="BI179" t="str">
        <f t="shared" si="54"/>
        <v>OK</v>
      </c>
      <c r="BJ179" t="str">
        <f t="shared" si="55"/>
        <v>OK</v>
      </c>
      <c r="BK179" t="str">
        <f t="shared" si="56"/>
        <v>OK</v>
      </c>
    </row>
    <row r="180" spans="1:63">
      <c r="A180" s="16" t="s">
        <v>436</v>
      </c>
      <c r="B180" s="16" t="s">
        <v>435</v>
      </c>
      <c r="C180" s="16" t="s">
        <v>182</v>
      </c>
      <c r="D180" s="16" t="s">
        <v>230</v>
      </c>
      <c r="E180" s="16" t="s">
        <v>139</v>
      </c>
      <c r="F180" s="16" t="s">
        <v>162</v>
      </c>
      <c r="G180" s="15">
        <v>46233</v>
      </c>
      <c r="H180" s="15">
        <v>46234</v>
      </c>
      <c r="I180" s="15">
        <v>46239</v>
      </c>
      <c r="J180" s="15" t="s">
        <v>150</v>
      </c>
      <c r="K180" s="16" t="s">
        <v>182</v>
      </c>
      <c r="L180" t="s">
        <v>185</v>
      </c>
      <c r="M180" s="16" t="s">
        <v>152</v>
      </c>
      <c r="N180" s="16" t="s">
        <v>153</v>
      </c>
      <c r="O180" t="s">
        <v>1614</v>
      </c>
      <c r="P180" s="18">
        <v>11632</v>
      </c>
      <c r="Q180" s="21">
        <v>1</v>
      </c>
      <c r="R180" s="21" t="str">
        <f t="shared" si="42"/>
        <v>0-3 days</v>
      </c>
      <c r="S180" s="16" t="s">
        <v>159</v>
      </c>
      <c r="T180" s="16" t="s">
        <v>154</v>
      </c>
      <c r="U180" s="16" t="s">
        <v>164</v>
      </c>
      <c r="V180" t="str">
        <f>IF(U180="","",IFERROR(VLOOKUP(U180,Hotels!A:B,2,FALSE),"Not Found"))</f>
        <v>Marriott</v>
      </c>
      <c r="W180" s="14">
        <v>1114.52</v>
      </c>
      <c r="X180" s="14">
        <v>0</v>
      </c>
      <c r="Y180" s="21">
        <v>4</v>
      </c>
      <c r="Z180" s="29">
        <f t="shared" si="43"/>
        <v>128.82</v>
      </c>
      <c r="AA180" s="14">
        <v>515.28</v>
      </c>
      <c r="AB180" s="14">
        <v>88.33</v>
      </c>
      <c r="AC180" s="14">
        <v>1718.13</v>
      </c>
      <c r="AD180" s="16" t="s">
        <v>147</v>
      </c>
      <c r="AE180" s="16" t="s">
        <v>147</v>
      </c>
      <c r="AF180" s="14">
        <f>SUMIF('Trip Changes'!$B:$B,A180,'Trip Changes'!$E:$E)</f>
        <v>0</v>
      </c>
      <c r="AG180" s="23">
        <f>SUMIF('Trip Cancellations'!$B:$B,A180,'Trip Cancellations'!$E:$E)</f>
        <v>0</v>
      </c>
      <c r="AH180" s="14">
        <f>SUMIF('Trip Cancellations'!$B:$B,A180,'Trip Cancellations'!$F:$F)</f>
        <v>0</v>
      </c>
      <c r="AI180" s="14">
        <f t="shared" si="44"/>
        <v>1718.13</v>
      </c>
      <c r="AJ180" s="14" t="str">
        <f t="shared" si="45"/>
        <v>Yes</v>
      </c>
      <c r="AK180" s="14" t="str">
        <f>IF(Y180=0,"N/A",
IF(_xlfn.XLOOKUP(U180,Hotels!A:A,Hotels!C:C)=TRUE,"Yes","No"))</f>
        <v>Yes</v>
      </c>
      <c r="AL180" s="14" t="str">
        <f>IF(N180="Rail","N/A",IF(_xlfn.XLOOKUP(T180,Airlines!A:A,Airlines!C:C)=TRUE,"Yes","No"))</f>
        <v>Yes</v>
      </c>
      <c r="AM180" s="14" t="str">
        <f t="shared" si="46"/>
        <v>Yes</v>
      </c>
      <c r="AN180" s="14" t="str">
        <f t="shared" si="47"/>
        <v>Yes</v>
      </c>
      <c r="AO180" s="14" t="str">
        <f t="shared" si="48"/>
        <v>Yes</v>
      </c>
      <c r="AP180" s="16" t="s">
        <v>148</v>
      </c>
      <c r="AQ180" t="str">
        <f t="shared" si="49"/>
        <v>Yes</v>
      </c>
      <c r="AR180" s="21">
        <v>4</v>
      </c>
      <c r="AS180" s="5">
        <v>1744.8</v>
      </c>
      <c r="AT180" s="5" t="str">
        <f>IF(T180="","",_xlfn.XLOOKUP(T180,Airlines!A:A,Airlines!B:B,"Not Found"))</f>
        <v>British Airways</v>
      </c>
      <c r="AU180" s="5" t="str">
        <f>IF(U180="","",_xlfn.XLOOKUP(U180,Hotels!A:A,Hotels!B:B,"Not found"))</f>
        <v>Marriott</v>
      </c>
      <c r="AV180" t="s">
        <v>148</v>
      </c>
      <c r="AW180" s="16" t="str">
        <f t="shared" si="50"/>
        <v>OK</v>
      </c>
      <c r="AX180" s="16" t="str">
        <f t="shared" si="51"/>
        <v>OK</v>
      </c>
      <c r="AY180" s="16" t="str">
        <f t="shared" si="52"/>
        <v>OK</v>
      </c>
      <c r="AZ180" s="16" t="str">
        <f t="shared" si="53"/>
        <v>OK</v>
      </c>
      <c r="BA180" s="16" t="str">
        <f t="shared" si="57"/>
        <v>OK</v>
      </c>
      <c r="BB180" s="21">
        <f>COUNTIF('Trip Changes'!B:B,A180)</f>
        <v>0</v>
      </c>
      <c r="BC180" s="16" t="str">
        <f>IF(OR(AND(AD180="Yes",COUNTIF('Trip Changes'!B:B,A180)&gt;0),AND(AD180="No",COUNTIF('Trip Changes'!B:B,A180)=0)),"OK","Check")</f>
        <v>OK</v>
      </c>
      <c r="BD180" t="str">
        <f t="shared" si="58"/>
        <v>OK</v>
      </c>
      <c r="BE180" t="str">
        <f t="shared" si="59"/>
        <v>OK</v>
      </c>
      <c r="BF180" t="str">
        <f t="shared" si="60"/>
        <v>OK</v>
      </c>
      <c r="BG180" t="str">
        <f t="shared" si="61"/>
        <v>OK</v>
      </c>
      <c r="BH180" t="str">
        <f t="shared" si="62"/>
        <v>OK</v>
      </c>
      <c r="BI180" t="str">
        <f t="shared" si="54"/>
        <v>OK</v>
      </c>
      <c r="BJ180" t="str">
        <f t="shared" si="55"/>
        <v>OK</v>
      </c>
      <c r="BK180" t="str">
        <f t="shared" si="56"/>
        <v>OK</v>
      </c>
    </row>
    <row r="181" spans="1:63">
      <c r="A181" s="16" t="s">
        <v>437</v>
      </c>
      <c r="B181" s="16" t="s">
        <v>435</v>
      </c>
      <c r="C181" s="16" t="s">
        <v>182</v>
      </c>
      <c r="D181" s="16" t="s">
        <v>230</v>
      </c>
      <c r="E181" s="16" t="s">
        <v>139</v>
      </c>
      <c r="F181" s="16" t="s">
        <v>189</v>
      </c>
      <c r="G181" s="15">
        <v>46189</v>
      </c>
      <c r="H181" s="15">
        <v>46212</v>
      </c>
      <c r="I181" s="15">
        <v>46216</v>
      </c>
      <c r="J181" s="15" t="s">
        <v>150</v>
      </c>
      <c r="K181" s="16" t="s">
        <v>182</v>
      </c>
      <c r="L181" t="s">
        <v>225</v>
      </c>
      <c r="M181" s="16" t="s">
        <v>152</v>
      </c>
      <c r="N181" s="16" t="s">
        <v>153</v>
      </c>
      <c r="O181" t="s">
        <v>1614</v>
      </c>
      <c r="P181" s="18">
        <v>2786</v>
      </c>
      <c r="Q181" s="21">
        <v>23</v>
      </c>
      <c r="R181" s="21" t="str">
        <f t="shared" si="42"/>
        <v>15-30 days</v>
      </c>
      <c r="S181" s="16" t="s">
        <v>145</v>
      </c>
      <c r="T181" s="16" t="s">
        <v>154</v>
      </c>
      <c r="U181" s="16" t="s">
        <v>164</v>
      </c>
      <c r="V181" t="str">
        <f>IF(U181="","",IFERROR(VLOOKUP(U181,Hotels!A:B,2,FALSE),"Not Found"))</f>
        <v>Marriott</v>
      </c>
      <c r="W181" s="14">
        <v>381.66</v>
      </c>
      <c r="X181" s="14">
        <v>0</v>
      </c>
      <c r="Y181" s="21">
        <v>3</v>
      </c>
      <c r="Z181" s="29">
        <f t="shared" si="43"/>
        <v>147.88</v>
      </c>
      <c r="AA181" s="14">
        <v>443.64</v>
      </c>
      <c r="AB181" s="14">
        <v>120.7</v>
      </c>
      <c r="AC181" s="14">
        <v>946</v>
      </c>
      <c r="AD181" s="16" t="s">
        <v>147</v>
      </c>
      <c r="AE181" s="16" t="s">
        <v>147</v>
      </c>
      <c r="AF181" s="14">
        <f>SUMIF('Trip Changes'!$B:$B,A181,'Trip Changes'!$E:$E)</f>
        <v>0</v>
      </c>
      <c r="AG181" s="23">
        <f>SUMIF('Trip Cancellations'!$B:$B,A181,'Trip Cancellations'!$E:$E)</f>
        <v>0</v>
      </c>
      <c r="AH181" s="14">
        <f>SUMIF('Trip Cancellations'!$B:$B,A181,'Trip Cancellations'!$F:$F)</f>
        <v>0</v>
      </c>
      <c r="AI181" s="14">
        <f t="shared" si="44"/>
        <v>946</v>
      </c>
      <c r="AJ181" s="14" t="str">
        <f t="shared" si="45"/>
        <v>Yes</v>
      </c>
      <c r="AK181" s="14" t="str">
        <f>IF(Y181=0,"N/A",
IF(_xlfn.XLOOKUP(U181,Hotels!A:A,Hotels!C:C)=TRUE,"Yes","No"))</f>
        <v>Yes</v>
      </c>
      <c r="AL181" s="14" t="str">
        <f>IF(N181="Rail","N/A",IF(_xlfn.XLOOKUP(T181,Airlines!A:A,Airlines!C:C)=TRUE,"Yes","No"))</f>
        <v>Yes</v>
      </c>
      <c r="AM181" s="14" t="str">
        <f t="shared" si="46"/>
        <v>Yes</v>
      </c>
      <c r="AN181" s="14" t="str">
        <f t="shared" si="47"/>
        <v>Yes</v>
      </c>
      <c r="AO181" s="14" t="str">
        <f t="shared" si="48"/>
        <v>Yes</v>
      </c>
      <c r="AP181" s="16" t="s">
        <v>148</v>
      </c>
      <c r="AQ181" t="str">
        <f t="shared" si="49"/>
        <v>Yes</v>
      </c>
      <c r="AR181" s="21">
        <v>5</v>
      </c>
      <c r="AS181" s="5">
        <v>417.9</v>
      </c>
      <c r="AT181" s="5" t="str">
        <f>IF(T181="","",_xlfn.XLOOKUP(T181,Airlines!A:A,Airlines!B:B,"Not Found"))</f>
        <v>British Airways</v>
      </c>
      <c r="AU181" s="5" t="str">
        <f>IF(U181="","",_xlfn.XLOOKUP(U181,Hotels!A:A,Hotels!B:B,"Not found"))</f>
        <v>Marriott</v>
      </c>
      <c r="AV181" t="s">
        <v>148</v>
      </c>
      <c r="AW181" s="16" t="str">
        <f t="shared" si="50"/>
        <v>OK</v>
      </c>
      <c r="AX181" s="16" t="str">
        <f t="shared" si="51"/>
        <v>OK</v>
      </c>
      <c r="AY181" s="16" t="str">
        <f t="shared" si="52"/>
        <v>OK</v>
      </c>
      <c r="AZ181" s="16" t="str">
        <f t="shared" si="53"/>
        <v>OK</v>
      </c>
      <c r="BA181" s="16" t="str">
        <f t="shared" si="57"/>
        <v>OK</v>
      </c>
      <c r="BB181" s="21">
        <f>COUNTIF('Trip Changes'!B:B,A181)</f>
        <v>0</v>
      </c>
      <c r="BC181" s="16" t="str">
        <f>IF(OR(AND(AD181="Yes",COUNTIF('Trip Changes'!B:B,A181)&gt;0),AND(AD181="No",COUNTIF('Trip Changes'!B:B,A181)=0)),"OK","Check")</f>
        <v>OK</v>
      </c>
      <c r="BD181" t="str">
        <f t="shared" si="58"/>
        <v>OK</v>
      </c>
      <c r="BE181" t="str">
        <f t="shared" si="59"/>
        <v>OK</v>
      </c>
      <c r="BF181" t="str">
        <f t="shared" si="60"/>
        <v>OK</v>
      </c>
      <c r="BG181" t="str">
        <f t="shared" si="61"/>
        <v>OK</v>
      </c>
      <c r="BH181" t="str">
        <f t="shared" si="62"/>
        <v>OK</v>
      </c>
      <c r="BI181" t="str">
        <f t="shared" si="54"/>
        <v>OK</v>
      </c>
      <c r="BJ181" t="str">
        <f t="shared" si="55"/>
        <v>OK</v>
      </c>
      <c r="BK181" t="str">
        <f t="shared" si="56"/>
        <v>OK</v>
      </c>
    </row>
    <row r="182" spans="1:63">
      <c r="A182" s="16" t="s">
        <v>438</v>
      </c>
      <c r="B182" s="16" t="s">
        <v>435</v>
      </c>
      <c r="C182" s="16" t="s">
        <v>182</v>
      </c>
      <c r="D182" s="16" t="s">
        <v>230</v>
      </c>
      <c r="E182" s="16" t="s">
        <v>139</v>
      </c>
      <c r="F182" s="16" t="s">
        <v>181</v>
      </c>
      <c r="G182" s="15">
        <v>46163</v>
      </c>
      <c r="H182" s="15">
        <v>46192</v>
      </c>
      <c r="I182" s="15">
        <v>46196</v>
      </c>
      <c r="J182" s="15" t="s">
        <v>141</v>
      </c>
      <c r="K182" s="16" t="s">
        <v>182</v>
      </c>
      <c r="L182" t="s">
        <v>227</v>
      </c>
      <c r="M182" s="16" t="s">
        <v>152</v>
      </c>
      <c r="N182" s="16" t="s">
        <v>153</v>
      </c>
      <c r="O182" t="s">
        <v>1631</v>
      </c>
      <c r="P182" s="18">
        <v>1072</v>
      </c>
      <c r="Q182" s="21">
        <v>29</v>
      </c>
      <c r="R182" s="21" t="str">
        <f t="shared" si="42"/>
        <v>15-30 days</v>
      </c>
      <c r="S182" s="16" t="s">
        <v>159</v>
      </c>
      <c r="T182" s="16" t="s">
        <v>154</v>
      </c>
      <c r="U182" s="16" t="s">
        <v>173</v>
      </c>
      <c r="V182" t="str">
        <f>IF(U182="","",IFERROR(VLOOKUP(U182,Hotels!A:B,2,FALSE),"Not Found"))</f>
        <v>Accor</v>
      </c>
      <c r="W182" s="14">
        <v>547.16</v>
      </c>
      <c r="X182" s="14">
        <v>0</v>
      </c>
      <c r="Y182" s="21">
        <v>3</v>
      </c>
      <c r="Z182" s="29">
        <f t="shared" si="43"/>
        <v>212.75</v>
      </c>
      <c r="AA182" s="14">
        <v>638.25</v>
      </c>
      <c r="AB182" s="14">
        <v>89.36</v>
      </c>
      <c r="AC182" s="14">
        <v>1274.77</v>
      </c>
      <c r="AD182" s="16" t="s">
        <v>147</v>
      </c>
      <c r="AE182" s="16" t="s">
        <v>147</v>
      </c>
      <c r="AF182" s="14">
        <f>SUMIF('Trip Changes'!$B:$B,A182,'Trip Changes'!$E:$E)</f>
        <v>0</v>
      </c>
      <c r="AG182" s="23">
        <f>SUMIF('Trip Cancellations'!$B:$B,A182,'Trip Cancellations'!$E:$E)</f>
        <v>0</v>
      </c>
      <c r="AH182" s="14">
        <f>SUMIF('Trip Cancellations'!$B:$B,A182,'Trip Cancellations'!$F:$F)</f>
        <v>0</v>
      </c>
      <c r="AI182" s="14">
        <f t="shared" si="44"/>
        <v>1274.77</v>
      </c>
      <c r="AJ182" s="14" t="str">
        <f t="shared" si="45"/>
        <v>No</v>
      </c>
      <c r="AK182" s="14" t="str">
        <f>IF(Y182=0,"N/A",
IF(_xlfn.XLOOKUP(U182,Hotels!A:A,Hotels!C:C)=TRUE,"Yes","No"))</f>
        <v>Yes</v>
      </c>
      <c r="AL182" s="14" t="str">
        <f>IF(N182="Rail","N/A",IF(_xlfn.XLOOKUP(T182,Airlines!A:A,Airlines!C:C)=TRUE,"Yes","No"))</f>
        <v>Yes</v>
      </c>
      <c r="AM182" s="14" t="str">
        <f t="shared" si="46"/>
        <v>No</v>
      </c>
      <c r="AN182" s="14" t="str">
        <f t="shared" si="47"/>
        <v>Yes</v>
      </c>
      <c r="AO182" s="14" t="str">
        <f t="shared" si="48"/>
        <v>Yes</v>
      </c>
      <c r="AP182" s="16" t="s">
        <v>148</v>
      </c>
      <c r="AQ182" t="str">
        <f t="shared" si="49"/>
        <v>No</v>
      </c>
      <c r="AR182" s="21">
        <v>4</v>
      </c>
      <c r="AS182" s="5">
        <v>160.80000000000001</v>
      </c>
      <c r="AT182" s="5" t="str">
        <f>IF(T182="","",_xlfn.XLOOKUP(T182,Airlines!A:A,Airlines!B:B,"Not Found"))</f>
        <v>British Airways</v>
      </c>
      <c r="AU182" s="5" t="str">
        <f>IF(U182="","",_xlfn.XLOOKUP(U182,Hotels!A:A,Hotels!B:B,"Not found"))</f>
        <v>Accor</v>
      </c>
      <c r="AV182" t="s">
        <v>148</v>
      </c>
      <c r="AW182" s="16" t="str">
        <f t="shared" si="50"/>
        <v>OK</v>
      </c>
      <c r="AX182" s="16" t="str">
        <f t="shared" si="51"/>
        <v>OK</v>
      </c>
      <c r="AY182" s="16" t="str">
        <f t="shared" si="52"/>
        <v>OK</v>
      </c>
      <c r="AZ182" s="16" t="str">
        <f t="shared" si="53"/>
        <v>OK</v>
      </c>
      <c r="BA182" s="16" t="str">
        <f t="shared" si="57"/>
        <v>OK</v>
      </c>
      <c r="BB182" s="21">
        <f>COUNTIF('Trip Changes'!B:B,A182)</f>
        <v>0</v>
      </c>
      <c r="BC182" s="16" t="str">
        <f>IF(OR(AND(AD182="Yes",COUNTIF('Trip Changes'!B:B,A182)&gt;0),AND(AD182="No",COUNTIF('Trip Changes'!B:B,A182)=0)),"OK","Check")</f>
        <v>OK</v>
      </c>
      <c r="BD182" t="str">
        <f t="shared" si="58"/>
        <v>OK</v>
      </c>
      <c r="BE182" t="str">
        <f t="shared" si="59"/>
        <v>OK</v>
      </c>
      <c r="BF182" t="str">
        <f t="shared" si="60"/>
        <v>OK</v>
      </c>
      <c r="BG182" t="str">
        <f t="shared" si="61"/>
        <v>OK</v>
      </c>
      <c r="BH182" t="str">
        <f t="shared" si="62"/>
        <v>OK</v>
      </c>
      <c r="BI182" t="str">
        <f t="shared" si="54"/>
        <v>OK</v>
      </c>
      <c r="BJ182" t="str">
        <f t="shared" si="55"/>
        <v>OK</v>
      </c>
      <c r="BK182" t="str">
        <f t="shared" si="56"/>
        <v>OK</v>
      </c>
    </row>
    <row r="183" spans="1:63">
      <c r="A183" s="16" t="s">
        <v>439</v>
      </c>
      <c r="B183" s="16" t="s">
        <v>440</v>
      </c>
      <c r="C183" s="16" t="s">
        <v>182</v>
      </c>
      <c r="D183" s="16" t="s">
        <v>204</v>
      </c>
      <c r="E183" s="16" t="s">
        <v>262</v>
      </c>
      <c r="F183" s="16" t="s">
        <v>162</v>
      </c>
      <c r="G183" s="15">
        <v>46166</v>
      </c>
      <c r="H183" s="15">
        <v>46182</v>
      </c>
      <c r="I183" s="15">
        <v>46189</v>
      </c>
      <c r="J183" s="15" t="s">
        <v>141</v>
      </c>
      <c r="K183" s="16" t="s">
        <v>182</v>
      </c>
      <c r="L183" t="s">
        <v>179</v>
      </c>
      <c r="M183" s="16" t="s">
        <v>152</v>
      </c>
      <c r="N183" s="16" t="s">
        <v>153</v>
      </c>
      <c r="O183" t="s">
        <v>1614</v>
      </c>
      <c r="P183" s="18">
        <v>17048</v>
      </c>
      <c r="Q183" s="21">
        <v>16</v>
      </c>
      <c r="R183" s="21" t="str">
        <f t="shared" si="42"/>
        <v>15-30 days</v>
      </c>
      <c r="S183" s="16" t="s">
        <v>159</v>
      </c>
      <c r="T183" s="16" t="s">
        <v>441</v>
      </c>
      <c r="U183" s="16" t="s">
        <v>187</v>
      </c>
      <c r="V183" t="str">
        <f>IF(U183="","",IFERROR(VLOOKUP(U183,Hotels!A:B,2,FALSE),"Not Found"))</f>
        <v>IHG Hotels &amp; Resorts</v>
      </c>
      <c r="W183" s="14">
        <v>1329.15</v>
      </c>
      <c r="X183" s="14">
        <v>0</v>
      </c>
      <c r="Y183" s="21">
        <v>6</v>
      </c>
      <c r="Z183" s="29">
        <f t="shared" si="43"/>
        <v>152.68833333333333</v>
      </c>
      <c r="AA183" s="14">
        <v>916.13</v>
      </c>
      <c r="AB183" s="14">
        <v>60.64</v>
      </c>
      <c r="AC183" s="14">
        <v>2305.92</v>
      </c>
      <c r="AD183" s="16" t="s">
        <v>147</v>
      </c>
      <c r="AE183" s="16" t="s">
        <v>147</v>
      </c>
      <c r="AF183" s="14">
        <f>SUMIF('Trip Changes'!$B:$B,A183,'Trip Changes'!$E:$E)</f>
        <v>0</v>
      </c>
      <c r="AG183" s="23">
        <f>SUMIF('Trip Cancellations'!$B:$B,A183,'Trip Cancellations'!$E:$E)</f>
        <v>0</v>
      </c>
      <c r="AH183" s="14">
        <f>SUMIF('Trip Cancellations'!$B:$B,A183,'Trip Cancellations'!$F:$F)</f>
        <v>0</v>
      </c>
      <c r="AI183" s="14">
        <f t="shared" si="44"/>
        <v>2305.92</v>
      </c>
      <c r="AJ183" s="14" t="str">
        <f t="shared" si="45"/>
        <v>Yes</v>
      </c>
      <c r="AK183" s="14" t="str">
        <f>IF(Y183=0,"N/A",
IF(_xlfn.XLOOKUP(U183,Hotels!A:A,Hotels!C:C)=TRUE,"Yes","No"))</f>
        <v>Yes</v>
      </c>
      <c r="AL183" s="14" t="str">
        <f>IF(N183="Rail","N/A",IF(_xlfn.XLOOKUP(T183,Airlines!A:A,Airlines!C:C)=TRUE,"Yes","No"))</f>
        <v>Yes</v>
      </c>
      <c r="AM183" s="14" t="str">
        <f t="shared" si="46"/>
        <v>Yes</v>
      </c>
      <c r="AN183" s="14" t="str">
        <f t="shared" si="47"/>
        <v>Yes</v>
      </c>
      <c r="AO183" s="14" t="str">
        <f t="shared" si="48"/>
        <v>Yes</v>
      </c>
      <c r="AP183" s="16" t="s">
        <v>148</v>
      </c>
      <c r="AQ183" t="str">
        <f t="shared" si="49"/>
        <v>Yes</v>
      </c>
      <c r="AR183" s="21">
        <v>4</v>
      </c>
      <c r="AS183" s="5">
        <v>2557.1999999999998</v>
      </c>
      <c r="AT183" s="5" t="str">
        <f>IF(T183="","",_xlfn.XLOOKUP(T183,Airlines!A:A,Airlines!B:B,"Not Found"))</f>
        <v>Emirates</v>
      </c>
      <c r="AU183" s="5" t="str">
        <f>IF(U183="","",_xlfn.XLOOKUP(U183,Hotels!A:A,Hotels!B:B,"Not found"))</f>
        <v>IHG Hotels &amp; Resorts</v>
      </c>
      <c r="AV183" t="s">
        <v>148</v>
      </c>
      <c r="AW183" s="16" t="str">
        <f t="shared" si="50"/>
        <v>OK</v>
      </c>
      <c r="AX183" s="16" t="str">
        <f t="shared" si="51"/>
        <v>OK</v>
      </c>
      <c r="AY183" s="16" t="str">
        <f t="shared" si="52"/>
        <v>OK</v>
      </c>
      <c r="AZ183" s="16" t="str">
        <f t="shared" si="53"/>
        <v>OK</v>
      </c>
      <c r="BA183" s="16" t="str">
        <f t="shared" si="57"/>
        <v>OK</v>
      </c>
      <c r="BB183" s="21">
        <f>COUNTIF('Trip Changes'!B:B,A183)</f>
        <v>0</v>
      </c>
      <c r="BC183" s="16" t="str">
        <f>IF(OR(AND(AD183="Yes",COUNTIF('Trip Changes'!B:B,A183)&gt;0),AND(AD183="No",COUNTIF('Trip Changes'!B:B,A183)=0)),"OK","Check")</f>
        <v>OK</v>
      </c>
      <c r="BD183" t="str">
        <f t="shared" si="58"/>
        <v>OK</v>
      </c>
      <c r="BE183" t="str">
        <f t="shared" si="59"/>
        <v>OK</v>
      </c>
      <c r="BF183" t="str">
        <f t="shared" si="60"/>
        <v>OK</v>
      </c>
      <c r="BG183" t="str">
        <f t="shared" si="61"/>
        <v>OK</v>
      </c>
      <c r="BH183" t="str">
        <f t="shared" si="62"/>
        <v>OK</v>
      </c>
      <c r="BI183" t="str">
        <f t="shared" si="54"/>
        <v>OK</v>
      </c>
      <c r="BJ183" t="str">
        <f t="shared" si="55"/>
        <v>OK</v>
      </c>
      <c r="BK183" t="str">
        <f t="shared" si="56"/>
        <v>OK</v>
      </c>
    </row>
    <row r="184" spans="1:63">
      <c r="A184" s="16" t="s">
        <v>442</v>
      </c>
      <c r="B184" s="16" t="s">
        <v>440</v>
      </c>
      <c r="C184" s="16" t="s">
        <v>182</v>
      </c>
      <c r="D184" s="16" t="s">
        <v>204</v>
      </c>
      <c r="E184" s="16" t="s">
        <v>262</v>
      </c>
      <c r="F184" s="16" t="s">
        <v>140</v>
      </c>
      <c r="G184" s="15">
        <v>46194</v>
      </c>
      <c r="H184" s="15">
        <v>46195</v>
      </c>
      <c r="I184" s="15">
        <v>46197</v>
      </c>
      <c r="J184" s="15" t="s">
        <v>141</v>
      </c>
      <c r="K184" s="16" t="s">
        <v>182</v>
      </c>
      <c r="L184" t="s">
        <v>175</v>
      </c>
      <c r="M184" s="16" t="s">
        <v>152</v>
      </c>
      <c r="N184" s="16" t="s">
        <v>153</v>
      </c>
      <c r="O184" t="s">
        <v>1614</v>
      </c>
      <c r="P184" s="18">
        <v>2664</v>
      </c>
      <c r="Q184" s="21">
        <v>1</v>
      </c>
      <c r="R184" s="21" t="str">
        <f t="shared" si="42"/>
        <v>0-3 days</v>
      </c>
      <c r="S184" s="16" t="s">
        <v>145</v>
      </c>
      <c r="T184" s="16" t="s">
        <v>154</v>
      </c>
      <c r="U184" s="16" t="s">
        <v>164</v>
      </c>
      <c r="V184" t="str">
        <f>IF(U184="","",IFERROR(VLOOKUP(U184,Hotels!A:B,2,FALSE),"Not Found"))</f>
        <v>Marriott</v>
      </c>
      <c r="W184" s="14">
        <v>551.66999999999996</v>
      </c>
      <c r="X184" s="14">
        <v>0</v>
      </c>
      <c r="Y184" s="21">
        <v>1</v>
      </c>
      <c r="Z184" s="29">
        <f t="shared" si="43"/>
        <v>109.59</v>
      </c>
      <c r="AA184" s="14">
        <v>109.59</v>
      </c>
      <c r="AB184" s="14">
        <v>34.659999999999997</v>
      </c>
      <c r="AC184" s="14">
        <v>695.92</v>
      </c>
      <c r="AD184" s="16" t="s">
        <v>147</v>
      </c>
      <c r="AE184" s="16" t="s">
        <v>147</v>
      </c>
      <c r="AF184" s="14">
        <f>SUMIF('Trip Changes'!$B:$B,A184,'Trip Changes'!$E:$E)</f>
        <v>0</v>
      </c>
      <c r="AG184" s="23">
        <f>SUMIF('Trip Cancellations'!$B:$B,A184,'Trip Cancellations'!$E:$E)</f>
        <v>0</v>
      </c>
      <c r="AH184" s="14">
        <f>SUMIF('Trip Cancellations'!$B:$B,A184,'Trip Cancellations'!$F:$F)</f>
        <v>0</v>
      </c>
      <c r="AI184" s="14">
        <f t="shared" si="44"/>
        <v>695.92</v>
      </c>
      <c r="AJ184" s="14" t="str">
        <f t="shared" si="45"/>
        <v>Yes</v>
      </c>
      <c r="AK184" s="14" t="str">
        <f>IF(Y184=0,"N/A",
IF(_xlfn.XLOOKUP(U184,Hotels!A:A,Hotels!C:C)=TRUE,"Yes","No"))</f>
        <v>Yes</v>
      </c>
      <c r="AL184" s="14" t="str">
        <f>IF(N184="Rail","N/A",IF(_xlfn.XLOOKUP(T184,Airlines!A:A,Airlines!C:C)=TRUE,"Yes","No"))</f>
        <v>Yes</v>
      </c>
      <c r="AM184" s="14" t="str">
        <f t="shared" si="46"/>
        <v>Yes</v>
      </c>
      <c r="AN184" s="14" t="str">
        <f t="shared" si="47"/>
        <v>Yes</v>
      </c>
      <c r="AO184" s="14" t="str">
        <f t="shared" si="48"/>
        <v>Yes</v>
      </c>
      <c r="AP184" s="16" t="s">
        <v>148</v>
      </c>
      <c r="AQ184" t="str">
        <f t="shared" si="49"/>
        <v>Yes</v>
      </c>
      <c r="AR184" s="21">
        <v>4</v>
      </c>
      <c r="AS184" s="5">
        <v>399.6</v>
      </c>
      <c r="AT184" s="5" t="str">
        <f>IF(T184="","",_xlfn.XLOOKUP(T184,Airlines!A:A,Airlines!B:B,"Not Found"))</f>
        <v>British Airways</v>
      </c>
      <c r="AU184" s="5" t="str">
        <f>IF(U184="","",_xlfn.XLOOKUP(U184,Hotels!A:A,Hotels!B:B,"Not found"))</f>
        <v>Marriott</v>
      </c>
      <c r="AV184" t="s">
        <v>147</v>
      </c>
      <c r="AW184" s="16" t="str">
        <f t="shared" si="50"/>
        <v>OK</v>
      </c>
      <c r="AX184" s="16" t="str">
        <f t="shared" si="51"/>
        <v>OK</v>
      </c>
      <c r="AY184" s="16" t="str">
        <f t="shared" si="52"/>
        <v>OK</v>
      </c>
      <c r="AZ184" s="16" t="str">
        <f t="shared" si="53"/>
        <v>OK</v>
      </c>
      <c r="BA184" s="16" t="str">
        <f t="shared" si="57"/>
        <v>OK</v>
      </c>
      <c r="BB184" s="21">
        <f>COUNTIF('Trip Changes'!B:B,A184)</f>
        <v>0</v>
      </c>
      <c r="BC184" s="16" t="str">
        <f>IF(OR(AND(AD184="Yes",COUNTIF('Trip Changes'!B:B,A184)&gt;0),AND(AD184="No",COUNTIF('Trip Changes'!B:B,A184)=0)),"OK","Check")</f>
        <v>OK</v>
      </c>
      <c r="BD184" t="str">
        <f t="shared" si="58"/>
        <v>OK</v>
      </c>
      <c r="BE184" t="str">
        <f t="shared" si="59"/>
        <v>OK</v>
      </c>
      <c r="BF184" t="str">
        <f t="shared" si="60"/>
        <v>OK</v>
      </c>
      <c r="BG184" t="str">
        <f t="shared" si="61"/>
        <v>OK</v>
      </c>
      <c r="BH184" t="str">
        <f t="shared" si="62"/>
        <v>OK</v>
      </c>
      <c r="BI184" t="str">
        <f t="shared" si="54"/>
        <v>OK</v>
      </c>
      <c r="BJ184" t="str">
        <f t="shared" si="55"/>
        <v>OK</v>
      </c>
      <c r="BK184" t="str">
        <f t="shared" si="56"/>
        <v>OK</v>
      </c>
    </row>
    <row r="185" spans="1:63">
      <c r="A185" s="16" t="s">
        <v>443</v>
      </c>
      <c r="B185" s="16" t="s">
        <v>444</v>
      </c>
      <c r="C185" s="16" t="s">
        <v>193</v>
      </c>
      <c r="D185" s="16" t="s">
        <v>248</v>
      </c>
      <c r="E185" s="16" t="s">
        <v>169</v>
      </c>
      <c r="F185" s="16" t="s">
        <v>170</v>
      </c>
      <c r="G185" s="15">
        <v>46170</v>
      </c>
      <c r="H185" s="15">
        <v>46196</v>
      </c>
      <c r="I185" s="15">
        <v>46198</v>
      </c>
      <c r="J185" s="15" t="s">
        <v>141</v>
      </c>
      <c r="K185" s="16" t="s">
        <v>193</v>
      </c>
      <c r="L185" t="s">
        <v>171</v>
      </c>
      <c r="M185" s="16" t="s">
        <v>152</v>
      </c>
      <c r="N185" s="16" t="s">
        <v>153</v>
      </c>
      <c r="O185" t="s">
        <v>1614</v>
      </c>
      <c r="P185" s="18">
        <v>1730</v>
      </c>
      <c r="Q185" s="21">
        <v>26</v>
      </c>
      <c r="R185" s="21" t="str">
        <f t="shared" si="42"/>
        <v>15-30 days</v>
      </c>
      <c r="S185" s="16" t="s">
        <v>145</v>
      </c>
      <c r="T185" s="16" t="s">
        <v>176</v>
      </c>
      <c r="U185" s="16" t="s">
        <v>187</v>
      </c>
      <c r="V185" t="str">
        <f>IF(U185="","",IFERROR(VLOOKUP(U185,Hotels!A:B,2,FALSE),"Not Found"))</f>
        <v>IHG Hotels &amp; Resorts</v>
      </c>
      <c r="W185" s="14">
        <v>375.89</v>
      </c>
      <c r="X185" s="14">
        <v>0</v>
      </c>
      <c r="Y185" s="21">
        <v>1</v>
      </c>
      <c r="Z185" s="29">
        <f t="shared" si="43"/>
        <v>167.16</v>
      </c>
      <c r="AA185" s="14">
        <v>167.16</v>
      </c>
      <c r="AB185" s="14">
        <v>97.08</v>
      </c>
      <c r="AC185" s="14">
        <v>640.13</v>
      </c>
      <c r="AD185" s="16" t="s">
        <v>147</v>
      </c>
      <c r="AE185" s="16" t="s">
        <v>147</v>
      </c>
      <c r="AF185" s="14">
        <f>SUMIF('Trip Changes'!$B:$B,A185,'Trip Changes'!$E:$E)</f>
        <v>0</v>
      </c>
      <c r="AG185" s="23">
        <f>SUMIF('Trip Cancellations'!$B:$B,A185,'Trip Cancellations'!$E:$E)</f>
        <v>0</v>
      </c>
      <c r="AH185" s="14">
        <f>SUMIF('Trip Cancellations'!$B:$B,A185,'Trip Cancellations'!$F:$F)</f>
        <v>0</v>
      </c>
      <c r="AI185" s="14">
        <f t="shared" si="44"/>
        <v>640.13</v>
      </c>
      <c r="AJ185" s="14" t="str">
        <f t="shared" si="45"/>
        <v>Yes</v>
      </c>
      <c r="AK185" s="14" t="str">
        <f>IF(Y185=0,"N/A",
IF(_xlfn.XLOOKUP(U185,Hotels!A:A,Hotels!C:C)=TRUE,"Yes","No"))</f>
        <v>Yes</v>
      </c>
      <c r="AL185" s="14" t="str">
        <f>IF(N185="Rail","N/A",IF(_xlfn.XLOOKUP(T185,Airlines!A:A,Airlines!C:C)=TRUE,"Yes","No"))</f>
        <v>Yes</v>
      </c>
      <c r="AM185" s="14" t="str">
        <f t="shared" si="46"/>
        <v>Yes</v>
      </c>
      <c r="AN185" s="14" t="str">
        <f t="shared" si="47"/>
        <v>Yes</v>
      </c>
      <c r="AO185" s="14" t="str">
        <f t="shared" si="48"/>
        <v>Yes</v>
      </c>
      <c r="AP185" s="16" t="s">
        <v>148</v>
      </c>
      <c r="AQ185" t="str">
        <f t="shared" si="49"/>
        <v>Yes</v>
      </c>
      <c r="AR185" s="21">
        <v>4</v>
      </c>
      <c r="AS185" s="5">
        <v>259.5</v>
      </c>
      <c r="AT185" s="5" t="str">
        <f>IF(T185="","",_xlfn.XLOOKUP(T185,Airlines!A:A,Airlines!B:B,"Not Found"))</f>
        <v>easyJet</v>
      </c>
      <c r="AU185" s="5" t="str">
        <f>IF(U185="","",_xlfn.XLOOKUP(U185,Hotels!A:A,Hotels!B:B,"Not found"))</f>
        <v>IHG Hotels &amp; Resorts</v>
      </c>
      <c r="AV185" t="s">
        <v>148</v>
      </c>
      <c r="AW185" s="16" t="str">
        <f t="shared" si="50"/>
        <v>OK</v>
      </c>
      <c r="AX185" s="16" t="str">
        <f t="shared" si="51"/>
        <v>OK</v>
      </c>
      <c r="AY185" s="16" t="str">
        <f t="shared" si="52"/>
        <v>OK</v>
      </c>
      <c r="AZ185" s="16" t="str">
        <f t="shared" si="53"/>
        <v>OK</v>
      </c>
      <c r="BA185" s="16" t="str">
        <f t="shared" si="57"/>
        <v>OK</v>
      </c>
      <c r="BB185" s="21">
        <f>COUNTIF('Trip Changes'!B:B,A185)</f>
        <v>0</v>
      </c>
      <c r="BC185" s="16" t="str">
        <f>IF(OR(AND(AD185="Yes",COUNTIF('Trip Changes'!B:B,A185)&gt;0),AND(AD185="No",COUNTIF('Trip Changes'!B:B,A185)=0)),"OK","Check")</f>
        <v>OK</v>
      </c>
      <c r="BD185" t="str">
        <f t="shared" si="58"/>
        <v>OK</v>
      </c>
      <c r="BE185" t="str">
        <f t="shared" si="59"/>
        <v>OK</v>
      </c>
      <c r="BF185" t="str">
        <f t="shared" si="60"/>
        <v>OK</v>
      </c>
      <c r="BG185" t="str">
        <f t="shared" si="61"/>
        <v>OK</v>
      </c>
      <c r="BH185" t="str">
        <f t="shared" si="62"/>
        <v>OK</v>
      </c>
      <c r="BI185" t="str">
        <f t="shared" si="54"/>
        <v>OK</v>
      </c>
      <c r="BJ185" t="str">
        <f t="shared" si="55"/>
        <v>OK</v>
      </c>
      <c r="BK185" t="str">
        <f t="shared" si="56"/>
        <v>OK</v>
      </c>
    </row>
    <row r="186" spans="1:63">
      <c r="A186" s="16" t="s">
        <v>445</v>
      </c>
      <c r="B186" s="16" t="s">
        <v>444</v>
      </c>
      <c r="C186" s="16" t="s">
        <v>193</v>
      </c>
      <c r="D186" s="16" t="s">
        <v>248</v>
      </c>
      <c r="E186" s="16" t="s">
        <v>169</v>
      </c>
      <c r="F186" s="16" t="s">
        <v>162</v>
      </c>
      <c r="G186" s="15">
        <v>46152</v>
      </c>
      <c r="H186" s="15">
        <v>46169</v>
      </c>
      <c r="I186" s="15">
        <v>46172</v>
      </c>
      <c r="J186" s="15" t="s">
        <v>163</v>
      </c>
      <c r="K186" s="16" t="s">
        <v>193</v>
      </c>
      <c r="L186" t="s">
        <v>225</v>
      </c>
      <c r="M186" s="16" t="s">
        <v>152</v>
      </c>
      <c r="N186" s="16" t="s">
        <v>153</v>
      </c>
      <c r="O186" t="s">
        <v>1614</v>
      </c>
      <c r="P186" s="18">
        <v>1438</v>
      </c>
      <c r="Q186" s="21">
        <v>17</v>
      </c>
      <c r="R186" s="21" t="str">
        <f t="shared" si="42"/>
        <v>15-30 days</v>
      </c>
      <c r="S186" s="16" t="s">
        <v>145</v>
      </c>
      <c r="T186" s="16" t="s">
        <v>236</v>
      </c>
      <c r="U186" s="16" t="s">
        <v>155</v>
      </c>
      <c r="V186" t="str">
        <f>IF(U186="","",IFERROR(VLOOKUP(U186,Hotels!A:B,2,FALSE),"Not Found"))</f>
        <v>Hilton</v>
      </c>
      <c r="W186" s="14">
        <v>291.06</v>
      </c>
      <c r="X186" s="14">
        <v>0</v>
      </c>
      <c r="Y186" s="21">
        <v>2</v>
      </c>
      <c r="Z186" s="29">
        <f t="shared" si="43"/>
        <v>194.35499999999999</v>
      </c>
      <c r="AA186" s="14">
        <v>388.71</v>
      </c>
      <c r="AB186" s="14">
        <v>83.25</v>
      </c>
      <c r="AC186" s="14">
        <v>763.02</v>
      </c>
      <c r="AD186" s="16" t="s">
        <v>147</v>
      </c>
      <c r="AE186" s="16" t="s">
        <v>147</v>
      </c>
      <c r="AF186" s="14">
        <f>SUMIF('Trip Changes'!$B:$B,A186,'Trip Changes'!$E:$E)</f>
        <v>0</v>
      </c>
      <c r="AG186" s="23">
        <f>SUMIF('Trip Cancellations'!$B:$B,A186,'Trip Cancellations'!$E:$E)</f>
        <v>0</v>
      </c>
      <c r="AH186" s="14">
        <f>SUMIF('Trip Cancellations'!$B:$B,A186,'Trip Cancellations'!$F:$F)</f>
        <v>0</v>
      </c>
      <c r="AI186" s="14">
        <f t="shared" si="44"/>
        <v>763.02</v>
      </c>
      <c r="AJ186" s="14" t="str">
        <f t="shared" si="45"/>
        <v>No</v>
      </c>
      <c r="AK186" s="14" t="str">
        <f>IF(Y186=0,"N/A",
IF(_xlfn.XLOOKUP(U186,Hotels!A:A,Hotels!C:C)=TRUE,"Yes","No"))</f>
        <v>Yes</v>
      </c>
      <c r="AL186" s="14" t="str">
        <f>IF(N186="Rail","N/A",IF(_xlfn.XLOOKUP(T186,Airlines!A:A,Airlines!C:C)=TRUE,"Yes","No"))</f>
        <v>Yes</v>
      </c>
      <c r="AM186" s="14" t="str">
        <f t="shared" si="46"/>
        <v>Yes</v>
      </c>
      <c r="AN186" s="14" t="str">
        <f t="shared" si="47"/>
        <v>Yes</v>
      </c>
      <c r="AO186" s="14" t="str">
        <f t="shared" si="48"/>
        <v>Yes</v>
      </c>
      <c r="AP186" s="16" t="s">
        <v>148</v>
      </c>
      <c r="AQ186" t="str">
        <f t="shared" si="49"/>
        <v>No</v>
      </c>
      <c r="AR186" s="21">
        <v>5</v>
      </c>
      <c r="AS186" s="5">
        <v>215.7</v>
      </c>
      <c r="AT186" s="5" t="str">
        <f>IF(T186="","",_xlfn.XLOOKUP(T186,Airlines!A:A,Airlines!B:B,"Not Found"))</f>
        <v>KLM</v>
      </c>
      <c r="AU186" s="5" t="str">
        <f>IF(U186="","",_xlfn.XLOOKUP(U186,Hotels!A:A,Hotels!B:B,"Not found"))</f>
        <v>Hilton</v>
      </c>
      <c r="AV186" t="s">
        <v>147</v>
      </c>
      <c r="AW186" s="16" t="str">
        <f t="shared" si="50"/>
        <v>OK</v>
      </c>
      <c r="AX186" s="16" t="str">
        <f t="shared" si="51"/>
        <v>OK</v>
      </c>
      <c r="AY186" s="16" t="str">
        <f t="shared" si="52"/>
        <v>OK</v>
      </c>
      <c r="AZ186" s="16" t="str">
        <f t="shared" si="53"/>
        <v>OK</v>
      </c>
      <c r="BA186" s="16" t="str">
        <f t="shared" si="57"/>
        <v>OK</v>
      </c>
      <c r="BB186" s="21">
        <f>COUNTIF('Trip Changes'!B:B,A186)</f>
        <v>0</v>
      </c>
      <c r="BC186" s="16" t="str">
        <f>IF(OR(AND(AD186="Yes",COUNTIF('Trip Changes'!B:B,A186)&gt;0),AND(AD186="No",COUNTIF('Trip Changes'!B:B,A186)=0)),"OK","Check")</f>
        <v>OK</v>
      </c>
      <c r="BD186" t="str">
        <f t="shared" si="58"/>
        <v>OK</v>
      </c>
      <c r="BE186" t="str">
        <f t="shared" si="59"/>
        <v>OK</v>
      </c>
      <c r="BF186" t="str">
        <f t="shared" si="60"/>
        <v>OK</v>
      </c>
      <c r="BG186" t="str">
        <f t="shared" si="61"/>
        <v>OK</v>
      </c>
      <c r="BH186" t="str">
        <f t="shared" si="62"/>
        <v>OK</v>
      </c>
      <c r="BI186" t="str">
        <f t="shared" si="54"/>
        <v>OK</v>
      </c>
      <c r="BJ186" t="str">
        <f t="shared" si="55"/>
        <v>OK</v>
      </c>
      <c r="BK186" t="str">
        <f t="shared" si="56"/>
        <v>OK</v>
      </c>
    </row>
    <row r="187" spans="1:63">
      <c r="A187" s="16" t="s">
        <v>446</v>
      </c>
      <c r="B187" s="16" t="s">
        <v>444</v>
      </c>
      <c r="C187" s="16" t="s">
        <v>193</v>
      </c>
      <c r="D187" s="16" t="s">
        <v>248</v>
      </c>
      <c r="E187" s="16" t="s">
        <v>169</v>
      </c>
      <c r="F187" s="16" t="s">
        <v>162</v>
      </c>
      <c r="G187" s="15">
        <v>46128</v>
      </c>
      <c r="H187" s="15">
        <v>46151</v>
      </c>
      <c r="I187" s="15">
        <v>46157</v>
      </c>
      <c r="J187" s="15" t="s">
        <v>163</v>
      </c>
      <c r="K187" s="16" t="s">
        <v>193</v>
      </c>
      <c r="L187" t="s">
        <v>223</v>
      </c>
      <c r="M187" s="16" t="s">
        <v>152</v>
      </c>
      <c r="N187" s="16" t="s">
        <v>153</v>
      </c>
      <c r="O187" t="s">
        <v>1614</v>
      </c>
      <c r="P187" s="18">
        <v>18902</v>
      </c>
      <c r="Q187" s="21">
        <v>23</v>
      </c>
      <c r="R187" s="21" t="str">
        <f t="shared" si="42"/>
        <v>15-30 days</v>
      </c>
      <c r="S187" s="16" t="s">
        <v>145</v>
      </c>
      <c r="T187" s="16" t="s">
        <v>154</v>
      </c>
      <c r="U187" s="16" t="s">
        <v>173</v>
      </c>
      <c r="V187" t="str">
        <f>IF(U187="","",IFERROR(VLOOKUP(U187,Hotels!A:B,2,FALSE),"Not Found"))</f>
        <v>Accor</v>
      </c>
      <c r="W187" s="14">
        <v>1304.3499999999999</v>
      </c>
      <c r="X187" s="14">
        <v>0</v>
      </c>
      <c r="Y187" s="21">
        <v>5</v>
      </c>
      <c r="Z187" s="29">
        <f t="shared" si="43"/>
        <v>154.70599999999999</v>
      </c>
      <c r="AA187" s="14">
        <v>773.53</v>
      </c>
      <c r="AB187" s="14">
        <v>117.72</v>
      </c>
      <c r="AC187" s="14">
        <v>2195.6</v>
      </c>
      <c r="AD187" s="16" t="s">
        <v>147</v>
      </c>
      <c r="AE187" s="16" t="s">
        <v>147</v>
      </c>
      <c r="AF187" s="14">
        <f>SUMIF('Trip Changes'!$B:$B,A187,'Trip Changes'!$E:$E)</f>
        <v>0</v>
      </c>
      <c r="AG187" s="23">
        <f>SUMIF('Trip Cancellations'!$B:$B,A187,'Trip Cancellations'!$E:$E)</f>
        <v>0</v>
      </c>
      <c r="AH187" s="14">
        <f>SUMIF('Trip Cancellations'!$B:$B,A187,'Trip Cancellations'!$F:$F)</f>
        <v>0</v>
      </c>
      <c r="AI187" s="14">
        <f t="shared" si="44"/>
        <v>2195.6</v>
      </c>
      <c r="AJ187" s="14" t="str">
        <f t="shared" si="45"/>
        <v>Yes</v>
      </c>
      <c r="AK187" s="14" t="str">
        <f>IF(Y187=0,"N/A",
IF(_xlfn.XLOOKUP(U187,Hotels!A:A,Hotels!C:C)=TRUE,"Yes","No"))</f>
        <v>Yes</v>
      </c>
      <c r="AL187" s="14" t="str">
        <f>IF(N187="Rail","N/A",IF(_xlfn.XLOOKUP(T187,Airlines!A:A,Airlines!C:C)=TRUE,"Yes","No"))</f>
        <v>Yes</v>
      </c>
      <c r="AM187" s="14" t="str">
        <f t="shared" si="46"/>
        <v>Yes</v>
      </c>
      <c r="AN187" s="14" t="str">
        <f t="shared" si="47"/>
        <v>Yes</v>
      </c>
      <c r="AO187" s="14" t="str">
        <f t="shared" si="48"/>
        <v>Yes</v>
      </c>
      <c r="AP187" s="16" t="s">
        <v>148</v>
      </c>
      <c r="AQ187" t="str">
        <f t="shared" si="49"/>
        <v>Yes</v>
      </c>
      <c r="AR187" s="21">
        <v>5</v>
      </c>
      <c r="AS187" s="5">
        <v>2835.3</v>
      </c>
      <c r="AT187" s="5" t="str">
        <f>IF(T187="","",_xlfn.XLOOKUP(T187,Airlines!A:A,Airlines!B:B,"Not Found"))</f>
        <v>British Airways</v>
      </c>
      <c r="AU187" s="5" t="str">
        <f>IF(U187="","",_xlfn.XLOOKUP(U187,Hotels!A:A,Hotels!B:B,"Not found"))</f>
        <v>Accor</v>
      </c>
      <c r="AV187" t="s">
        <v>147</v>
      </c>
      <c r="AW187" s="16" t="str">
        <f t="shared" si="50"/>
        <v>OK</v>
      </c>
      <c r="AX187" s="16" t="str">
        <f t="shared" si="51"/>
        <v>OK</v>
      </c>
      <c r="AY187" s="16" t="str">
        <f t="shared" si="52"/>
        <v>OK</v>
      </c>
      <c r="AZ187" s="16" t="str">
        <f t="shared" si="53"/>
        <v>OK</v>
      </c>
      <c r="BA187" s="16" t="str">
        <f t="shared" si="57"/>
        <v>OK</v>
      </c>
      <c r="BB187" s="21">
        <f>COUNTIF('Trip Changes'!B:B,A187)</f>
        <v>0</v>
      </c>
      <c r="BC187" s="16" t="str">
        <f>IF(OR(AND(AD187="Yes",COUNTIF('Trip Changes'!B:B,A187)&gt;0),AND(AD187="No",COUNTIF('Trip Changes'!B:B,A187)=0)),"OK","Check")</f>
        <v>OK</v>
      </c>
      <c r="BD187" t="str">
        <f t="shared" si="58"/>
        <v>OK</v>
      </c>
      <c r="BE187" t="str">
        <f t="shared" si="59"/>
        <v>OK</v>
      </c>
      <c r="BF187" t="str">
        <f t="shared" si="60"/>
        <v>OK</v>
      </c>
      <c r="BG187" t="str">
        <f t="shared" si="61"/>
        <v>OK</v>
      </c>
      <c r="BH187" t="str">
        <f t="shared" si="62"/>
        <v>OK</v>
      </c>
      <c r="BI187" t="str">
        <f t="shared" si="54"/>
        <v>OK</v>
      </c>
      <c r="BJ187" t="str">
        <f t="shared" si="55"/>
        <v>OK</v>
      </c>
      <c r="BK187" t="str">
        <f t="shared" si="56"/>
        <v>OK</v>
      </c>
    </row>
    <row r="188" spans="1:63">
      <c r="A188" s="16" t="s">
        <v>447</v>
      </c>
      <c r="B188" s="16" t="s">
        <v>448</v>
      </c>
      <c r="C188" s="16" t="s">
        <v>257</v>
      </c>
      <c r="D188" s="16" t="s">
        <v>168</v>
      </c>
      <c r="E188" s="16" t="s">
        <v>268</v>
      </c>
      <c r="F188" s="16" t="s">
        <v>140</v>
      </c>
      <c r="G188" s="15">
        <v>46219</v>
      </c>
      <c r="H188" s="15">
        <v>46220</v>
      </c>
      <c r="I188" s="15">
        <v>46224</v>
      </c>
      <c r="J188" s="15" t="s">
        <v>150</v>
      </c>
      <c r="K188" s="16" t="s">
        <v>257</v>
      </c>
      <c r="L188" t="s">
        <v>225</v>
      </c>
      <c r="M188" s="16" t="s">
        <v>152</v>
      </c>
      <c r="N188" s="16" t="s">
        <v>153</v>
      </c>
      <c r="O188" t="s">
        <v>1614</v>
      </c>
      <c r="P188" s="18">
        <v>1814</v>
      </c>
      <c r="Q188" s="21">
        <v>1</v>
      </c>
      <c r="R188" s="21" t="str">
        <f t="shared" si="42"/>
        <v>0-3 days</v>
      </c>
      <c r="S188" s="16" t="s">
        <v>145</v>
      </c>
      <c r="T188" s="16" t="s">
        <v>236</v>
      </c>
      <c r="U188" s="16" t="s">
        <v>155</v>
      </c>
      <c r="V188" t="str">
        <f>IF(U188="","",IFERROR(VLOOKUP(U188,Hotels!A:B,2,FALSE),"Not Found"))</f>
        <v>Hilton</v>
      </c>
      <c r="W188" s="14">
        <v>385.31</v>
      </c>
      <c r="X188" s="14">
        <v>0</v>
      </c>
      <c r="Y188" s="21">
        <v>3</v>
      </c>
      <c r="Z188" s="29">
        <f t="shared" si="43"/>
        <v>109.51333333333334</v>
      </c>
      <c r="AA188" s="14">
        <v>328.54</v>
      </c>
      <c r="AB188" s="14">
        <v>84.63</v>
      </c>
      <c r="AC188" s="14">
        <v>798.48</v>
      </c>
      <c r="AD188" s="16" t="s">
        <v>147</v>
      </c>
      <c r="AE188" s="16" t="s">
        <v>147</v>
      </c>
      <c r="AF188" s="14">
        <f>SUMIF('Trip Changes'!$B:$B,A188,'Trip Changes'!$E:$E)</f>
        <v>0</v>
      </c>
      <c r="AG188" s="23">
        <f>SUMIF('Trip Cancellations'!$B:$B,A188,'Trip Cancellations'!$E:$E)</f>
        <v>0</v>
      </c>
      <c r="AH188" s="14">
        <f>SUMIF('Trip Cancellations'!$B:$B,A188,'Trip Cancellations'!$F:$F)</f>
        <v>0</v>
      </c>
      <c r="AI188" s="14">
        <f t="shared" si="44"/>
        <v>798.48</v>
      </c>
      <c r="AJ188" s="14" t="str">
        <f t="shared" si="45"/>
        <v>Yes</v>
      </c>
      <c r="AK188" s="14" t="str">
        <f>IF(Y188=0,"N/A",
IF(_xlfn.XLOOKUP(U188,Hotels!A:A,Hotels!C:C)=TRUE,"Yes","No"))</f>
        <v>Yes</v>
      </c>
      <c r="AL188" s="14" t="str">
        <f>IF(N188="Rail","N/A",IF(_xlfn.XLOOKUP(T188,Airlines!A:A,Airlines!C:C)=TRUE,"Yes","No"))</f>
        <v>Yes</v>
      </c>
      <c r="AM188" s="14" t="str">
        <f t="shared" si="46"/>
        <v>Yes</v>
      </c>
      <c r="AN188" s="14" t="str">
        <f t="shared" si="47"/>
        <v>Yes</v>
      </c>
      <c r="AO188" s="14" t="str">
        <f t="shared" si="48"/>
        <v>Yes</v>
      </c>
      <c r="AP188" s="16" t="s">
        <v>148</v>
      </c>
      <c r="AQ188" t="str">
        <f t="shared" si="49"/>
        <v>Yes</v>
      </c>
      <c r="AR188" s="21">
        <v>4</v>
      </c>
      <c r="AS188" s="5">
        <v>272.10000000000002</v>
      </c>
      <c r="AT188" s="5" t="str">
        <f>IF(T188="","",_xlfn.XLOOKUP(T188,Airlines!A:A,Airlines!B:B,"Not Found"))</f>
        <v>KLM</v>
      </c>
      <c r="AU188" s="5" t="str">
        <f>IF(U188="","",_xlfn.XLOOKUP(U188,Hotels!A:A,Hotels!B:B,"Not found"))</f>
        <v>Hilton</v>
      </c>
      <c r="AV188" t="s">
        <v>148</v>
      </c>
      <c r="AW188" s="16" t="str">
        <f t="shared" si="50"/>
        <v>OK</v>
      </c>
      <c r="AX188" s="16" t="str">
        <f t="shared" si="51"/>
        <v>OK</v>
      </c>
      <c r="AY188" s="16" t="str">
        <f t="shared" si="52"/>
        <v>OK</v>
      </c>
      <c r="AZ188" s="16" t="str">
        <f t="shared" si="53"/>
        <v>OK</v>
      </c>
      <c r="BA188" s="16" t="str">
        <f t="shared" si="57"/>
        <v>OK</v>
      </c>
      <c r="BB188" s="21">
        <f>COUNTIF('Trip Changes'!B:B,A188)</f>
        <v>0</v>
      </c>
      <c r="BC188" s="16" t="str">
        <f>IF(OR(AND(AD188="Yes",COUNTIF('Trip Changes'!B:B,A188)&gt;0),AND(AD188="No",COUNTIF('Trip Changes'!B:B,A188)=0)),"OK","Check")</f>
        <v>OK</v>
      </c>
      <c r="BD188" t="str">
        <f t="shared" si="58"/>
        <v>OK</v>
      </c>
      <c r="BE188" t="str">
        <f t="shared" si="59"/>
        <v>OK</v>
      </c>
      <c r="BF188" t="str">
        <f t="shared" si="60"/>
        <v>OK</v>
      </c>
      <c r="BG188" t="str">
        <f t="shared" si="61"/>
        <v>OK</v>
      </c>
      <c r="BH188" t="str">
        <f t="shared" si="62"/>
        <v>OK</v>
      </c>
      <c r="BI188" t="str">
        <f t="shared" si="54"/>
        <v>OK</v>
      </c>
      <c r="BJ188" t="str">
        <f t="shared" si="55"/>
        <v>OK</v>
      </c>
      <c r="BK188" t="str">
        <f t="shared" si="56"/>
        <v>OK</v>
      </c>
    </row>
    <row r="189" spans="1:63">
      <c r="A189" s="16" t="s">
        <v>449</v>
      </c>
      <c r="B189" s="16" t="s">
        <v>448</v>
      </c>
      <c r="C189" s="16" t="s">
        <v>257</v>
      </c>
      <c r="D189" s="16" t="s">
        <v>168</v>
      </c>
      <c r="E189" s="16" t="s">
        <v>268</v>
      </c>
      <c r="F189" s="16" t="s">
        <v>140</v>
      </c>
      <c r="G189" s="15">
        <v>46214</v>
      </c>
      <c r="H189" s="15">
        <v>46233</v>
      </c>
      <c r="I189" s="15">
        <v>46238</v>
      </c>
      <c r="J189" s="15" t="s">
        <v>150</v>
      </c>
      <c r="K189" s="16" t="s">
        <v>257</v>
      </c>
      <c r="L189" t="s">
        <v>209</v>
      </c>
      <c r="M189" s="16" t="s">
        <v>152</v>
      </c>
      <c r="N189" s="16" t="s">
        <v>153</v>
      </c>
      <c r="O189" t="s">
        <v>1614</v>
      </c>
      <c r="P189" s="18">
        <v>3160</v>
      </c>
      <c r="Q189" s="21">
        <v>19</v>
      </c>
      <c r="R189" s="21" t="str">
        <f t="shared" si="42"/>
        <v>15-30 days</v>
      </c>
      <c r="S189" s="16" t="s">
        <v>145</v>
      </c>
      <c r="T189" s="16" t="s">
        <v>154</v>
      </c>
      <c r="U189" s="16" t="s">
        <v>164</v>
      </c>
      <c r="V189" t="str">
        <f>IF(U189="","",IFERROR(VLOOKUP(U189,Hotels!A:B,2,FALSE),"Not Found"))</f>
        <v>Marriott</v>
      </c>
      <c r="W189" s="14">
        <v>327.85</v>
      </c>
      <c r="X189" s="14">
        <v>0</v>
      </c>
      <c r="Y189" s="21">
        <v>4</v>
      </c>
      <c r="Z189" s="29">
        <f t="shared" si="43"/>
        <v>231.85249999999999</v>
      </c>
      <c r="AA189" s="14">
        <v>927.41</v>
      </c>
      <c r="AB189" s="14">
        <v>87.04</v>
      </c>
      <c r="AC189" s="14">
        <v>1342.3</v>
      </c>
      <c r="AD189" s="16" t="s">
        <v>147</v>
      </c>
      <c r="AE189" s="16" t="s">
        <v>147</v>
      </c>
      <c r="AF189" s="14">
        <f>SUMIF('Trip Changes'!$B:$B,A189,'Trip Changes'!$E:$E)</f>
        <v>0</v>
      </c>
      <c r="AG189" s="23">
        <f>SUMIF('Trip Cancellations'!$B:$B,A189,'Trip Cancellations'!$E:$E)</f>
        <v>0</v>
      </c>
      <c r="AH189" s="14">
        <f>SUMIF('Trip Cancellations'!$B:$B,A189,'Trip Cancellations'!$F:$F)</f>
        <v>0</v>
      </c>
      <c r="AI189" s="14">
        <f t="shared" si="44"/>
        <v>1342.3</v>
      </c>
      <c r="AJ189" s="14" t="str">
        <f t="shared" si="45"/>
        <v>No</v>
      </c>
      <c r="AK189" s="14" t="str">
        <f>IF(Y189=0,"N/A",
IF(_xlfn.XLOOKUP(U189,Hotels!A:A,Hotels!C:C)=TRUE,"Yes","No"))</f>
        <v>Yes</v>
      </c>
      <c r="AL189" s="14" t="str">
        <f>IF(N189="Rail","N/A",IF(_xlfn.XLOOKUP(T189,Airlines!A:A,Airlines!C:C)=TRUE,"Yes","No"))</f>
        <v>Yes</v>
      </c>
      <c r="AM189" s="14" t="str">
        <f t="shared" si="46"/>
        <v>Yes</v>
      </c>
      <c r="AN189" s="14" t="str">
        <f t="shared" si="47"/>
        <v>Yes</v>
      </c>
      <c r="AO189" s="14" t="str">
        <f t="shared" si="48"/>
        <v>Yes</v>
      </c>
      <c r="AP189" s="16" t="s">
        <v>148</v>
      </c>
      <c r="AQ189" t="str">
        <f t="shared" si="49"/>
        <v>No</v>
      </c>
      <c r="AR189" s="21">
        <v>5</v>
      </c>
      <c r="AS189" s="5">
        <v>474</v>
      </c>
      <c r="AT189" s="5" t="str">
        <f>IF(T189="","",_xlfn.XLOOKUP(T189,Airlines!A:A,Airlines!B:B,"Not Found"))</f>
        <v>British Airways</v>
      </c>
      <c r="AU189" s="5" t="str">
        <f>IF(U189="","",_xlfn.XLOOKUP(U189,Hotels!A:A,Hotels!B:B,"Not found"))</f>
        <v>Marriott</v>
      </c>
      <c r="AV189" t="s">
        <v>147</v>
      </c>
      <c r="AW189" s="16" t="str">
        <f t="shared" si="50"/>
        <v>OK</v>
      </c>
      <c r="AX189" s="16" t="str">
        <f t="shared" si="51"/>
        <v>OK</v>
      </c>
      <c r="AY189" s="16" t="str">
        <f t="shared" si="52"/>
        <v>OK</v>
      </c>
      <c r="AZ189" s="16" t="str">
        <f t="shared" si="53"/>
        <v>OK</v>
      </c>
      <c r="BA189" s="16" t="str">
        <f t="shared" si="57"/>
        <v>OK</v>
      </c>
      <c r="BB189" s="21">
        <f>COUNTIF('Trip Changes'!B:B,A189)</f>
        <v>0</v>
      </c>
      <c r="BC189" s="16" t="str">
        <f>IF(OR(AND(AD189="Yes",COUNTIF('Trip Changes'!B:B,A189)&gt;0),AND(AD189="No",COUNTIF('Trip Changes'!B:B,A189)=0)),"OK","Check")</f>
        <v>OK</v>
      </c>
      <c r="BD189" t="str">
        <f t="shared" si="58"/>
        <v>OK</v>
      </c>
      <c r="BE189" t="str">
        <f t="shared" si="59"/>
        <v>OK</v>
      </c>
      <c r="BF189" t="str">
        <f t="shared" si="60"/>
        <v>OK</v>
      </c>
      <c r="BG189" t="str">
        <f t="shared" si="61"/>
        <v>OK</v>
      </c>
      <c r="BH189" t="str">
        <f t="shared" si="62"/>
        <v>OK</v>
      </c>
      <c r="BI189" t="str">
        <f t="shared" si="54"/>
        <v>OK</v>
      </c>
      <c r="BJ189" t="str">
        <f t="shared" si="55"/>
        <v>OK</v>
      </c>
      <c r="BK189" t="str">
        <f t="shared" si="56"/>
        <v>OK</v>
      </c>
    </row>
    <row r="190" spans="1:63">
      <c r="A190" s="16" t="s">
        <v>450</v>
      </c>
      <c r="B190" s="16" t="s">
        <v>448</v>
      </c>
      <c r="C190" s="16" t="s">
        <v>257</v>
      </c>
      <c r="D190" s="16" t="s">
        <v>168</v>
      </c>
      <c r="E190" s="16" t="s">
        <v>268</v>
      </c>
      <c r="F190" s="16" t="s">
        <v>181</v>
      </c>
      <c r="G190" s="15">
        <v>46189</v>
      </c>
      <c r="H190" s="15">
        <v>46205</v>
      </c>
      <c r="I190" s="15">
        <v>46207</v>
      </c>
      <c r="J190" s="15" t="s">
        <v>150</v>
      </c>
      <c r="K190" s="16" t="s">
        <v>257</v>
      </c>
      <c r="L190" t="s">
        <v>182</v>
      </c>
      <c r="M190" s="16" t="s">
        <v>143</v>
      </c>
      <c r="N190" s="16" t="s">
        <v>144</v>
      </c>
      <c r="O190" t="s">
        <v>1630</v>
      </c>
      <c r="P190" s="18">
        <v>532</v>
      </c>
      <c r="Q190" s="21">
        <v>16</v>
      </c>
      <c r="R190" s="21" t="str">
        <f t="shared" si="42"/>
        <v>15-30 days</v>
      </c>
      <c r="S190" s="16" t="s">
        <v>159</v>
      </c>
      <c r="U190" s="16" t="s">
        <v>155</v>
      </c>
      <c r="V190" t="str">
        <f>IF(U190="","",IFERROR(VLOOKUP(U190,Hotels!A:B,2,FALSE),"Not Found"))</f>
        <v>Hilton</v>
      </c>
      <c r="W190" s="14">
        <v>0</v>
      </c>
      <c r="X190" s="14">
        <v>223.08</v>
      </c>
      <c r="Y190" s="21">
        <v>1</v>
      </c>
      <c r="Z190" s="29">
        <f t="shared" si="43"/>
        <v>135.41999999999999</v>
      </c>
      <c r="AA190" s="14">
        <v>135.41999999999999</v>
      </c>
      <c r="AB190" s="14">
        <v>53.64</v>
      </c>
      <c r="AC190" s="14">
        <v>412.14</v>
      </c>
      <c r="AD190" s="16" t="s">
        <v>147</v>
      </c>
      <c r="AE190" s="16" t="s">
        <v>147</v>
      </c>
      <c r="AF190" s="14">
        <f>SUMIF('Trip Changes'!$B:$B,A190,'Trip Changes'!$E:$E)</f>
        <v>0</v>
      </c>
      <c r="AG190" s="23">
        <f>SUMIF('Trip Cancellations'!$B:$B,A190,'Trip Cancellations'!$E:$E)</f>
        <v>0</v>
      </c>
      <c r="AH190" s="14">
        <f>SUMIF('Trip Cancellations'!$B:$B,A190,'Trip Cancellations'!$F:$F)</f>
        <v>0</v>
      </c>
      <c r="AI190" s="14">
        <f t="shared" si="44"/>
        <v>412.14</v>
      </c>
      <c r="AJ190" s="14" t="str">
        <f t="shared" si="45"/>
        <v>Yes</v>
      </c>
      <c r="AK190" s="14" t="str">
        <f>IF(Y190=0,"N/A",
IF(_xlfn.XLOOKUP(U190,Hotels!A:A,Hotels!C:C)=TRUE,"Yes","No"))</f>
        <v>Yes</v>
      </c>
      <c r="AL190" s="14" t="str">
        <f>IF(N190="Rail","N/A",IF(_xlfn.XLOOKUP(T190,Airlines!A:A,Airlines!C:C)=TRUE,"Yes","No"))</f>
        <v>N/A</v>
      </c>
      <c r="AM190" s="14" t="str">
        <f t="shared" si="46"/>
        <v>Yes</v>
      </c>
      <c r="AN190" s="14" t="str">
        <f t="shared" si="47"/>
        <v>Yes</v>
      </c>
      <c r="AO190" s="14" t="str">
        <f t="shared" si="48"/>
        <v>Yes</v>
      </c>
      <c r="AP190" s="16" t="s">
        <v>148</v>
      </c>
      <c r="AQ190" t="str">
        <f t="shared" si="49"/>
        <v>Yes</v>
      </c>
      <c r="AR190" s="21">
        <v>4</v>
      </c>
      <c r="AS190" s="5">
        <v>21.3</v>
      </c>
      <c r="AT190" s="5" t="str">
        <f>IF(T190="","",_xlfn.XLOOKUP(T190,Airlines!A:A,Airlines!B:B,"Not Found"))</f>
        <v/>
      </c>
      <c r="AU190" s="5" t="str">
        <f>IF(U190="","",_xlfn.XLOOKUP(U190,Hotels!A:A,Hotels!B:B,"Not found"))</f>
        <v>Hilton</v>
      </c>
      <c r="AV190" t="s">
        <v>148</v>
      </c>
      <c r="AW190" s="16" t="str">
        <f t="shared" si="50"/>
        <v>OK</v>
      </c>
      <c r="AX190" s="16" t="str">
        <f t="shared" si="51"/>
        <v>OK</v>
      </c>
      <c r="AY190" s="16" t="str">
        <f t="shared" si="52"/>
        <v>OK</v>
      </c>
      <c r="AZ190" s="16" t="str">
        <f t="shared" si="53"/>
        <v>OK</v>
      </c>
      <c r="BA190" s="16" t="str">
        <f t="shared" si="57"/>
        <v>OK</v>
      </c>
      <c r="BB190" s="21">
        <f>COUNTIF('Trip Changes'!B:B,A190)</f>
        <v>0</v>
      </c>
      <c r="BC190" s="16" t="str">
        <f>IF(OR(AND(AD190="Yes",COUNTIF('Trip Changes'!B:B,A190)&gt;0),AND(AD190="No",COUNTIF('Trip Changes'!B:B,A190)=0)),"OK","Check")</f>
        <v>OK</v>
      </c>
      <c r="BD190" t="str">
        <f t="shared" si="58"/>
        <v>OK</v>
      </c>
      <c r="BE190" t="str">
        <f t="shared" si="59"/>
        <v>OK</v>
      </c>
      <c r="BF190" t="str">
        <f t="shared" si="60"/>
        <v>OK</v>
      </c>
      <c r="BG190" t="str">
        <f t="shared" si="61"/>
        <v>OK</v>
      </c>
      <c r="BH190" t="str">
        <f t="shared" si="62"/>
        <v>OK</v>
      </c>
      <c r="BI190" t="str">
        <f t="shared" si="54"/>
        <v>OK</v>
      </c>
      <c r="BJ190" t="str">
        <f t="shared" si="55"/>
        <v>OK</v>
      </c>
      <c r="BK190" t="str">
        <f t="shared" si="56"/>
        <v>OK</v>
      </c>
    </row>
    <row r="191" spans="1:63">
      <c r="A191" s="16" t="s">
        <v>451</v>
      </c>
      <c r="B191" s="16" t="s">
        <v>452</v>
      </c>
      <c r="C191" s="16" t="s">
        <v>182</v>
      </c>
      <c r="D191" s="16" t="s">
        <v>168</v>
      </c>
      <c r="E191" s="16" t="s">
        <v>169</v>
      </c>
      <c r="F191" s="16" t="s">
        <v>140</v>
      </c>
      <c r="G191" s="15">
        <v>46150</v>
      </c>
      <c r="H191" s="15">
        <v>46168</v>
      </c>
      <c r="I191" s="15">
        <v>46171</v>
      </c>
      <c r="J191" s="15" t="s">
        <v>163</v>
      </c>
      <c r="K191" s="16" t="s">
        <v>182</v>
      </c>
      <c r="L191" t="s">
        <v>151</v>
      </c>
      <c r="M191" s="16" t="s">
        <v>152</v>
      </c>
      <c r="N191" s="16" t="s">
        <v>153</v>
      </c>
      <c r="O191" t="s">
        <v>1614</v>
      </c>
      <c r="P191" s="18">
        <v>3514</v>
      </c>
      <c r="Q191" s="21">
        <v>18</v>
      </c>
      <c r="R191" s="21" t="str">
        <f t="shared" si="42"/>
        <v>15-30 days</v>
      </c>
      <c r="S191" s="16" t="s">
        <v>145</v>
      </c>
      <c r="T191" s="16" t="s">
        <v>154</v>
      </c>
      <c r="U191" s="16" t="s">
        <v>187</v>
      </c>
      <c r="V191" t="str">
        <f>IF(U191="","",IFERROR(VLOOKUP(U191,Hotels!A:B,2,FALSE),"Not Found"))</f>
        <v>IHG Hotels &amp; Resorts</v>
      </c>
      <c r="W191" s="14">
        <v>359.65</v>
      </c>
      <c r="X191" s="14">
        <v>0</v>
      </c>
      <c r="Y191" s="21">
        <v>2</v>
      </c>
      <c r="Z191" s="29">
        <f t="shared" si="43"/>
        <v>191.27500000000001</v>
      </c>
      <c r="AA191" s="14">
        <v>382.55</v>
      </c>
      <c r="AB191" s="14">
        <v>100.93</v>
      </c>
      <c r="AC191" s="14">
        <v>843.13</v>
      </c>
      <c r="AD191" s="16" t="s">
        <v>147</v>
      </c>
      <c r="AE191" s="16" t="s">
        <v>147</v>
      </c>
      <c r="AF191" s="14">
        <f>SUMIF('Trip Changes'!$B:$B,A191,'Trip Changes'!$E:$E)</f>
        <v>0</v>
      </c>
      <c r="AG191" s="23">
        <f>SUMIF('Trip Cancellations'!$B:$B,A191,'Trip Cancellations'!$E:$E)</f>
        <v>0</v>
      </c>
      <c r="AH191" s="14">
        <f>SUMIF('Trip Cancellations'!$B:$B,A191,'Trip Cancellations'!$F:$F)</f>
        <v>0</v>
      </c>
      <c r="AI191" s="14">
        <f t="shared" si="44"/>
        <v>843.13</v>
      </c>
      <c r="AJ191" s="14" t="str">
        <f t="shared" si="45"/>
        <v>No</v>
      </c>
      <c r="AK191" s="14" t="str">
        <f>IF(Y191=0,"N/A",
IF(_xlfn.XLOOKUP(U191,Hotels!A:A,Hotels!C:C)=TRUE,"Yes","No"))</f>
        <v>Yes</v>
      </c>
      <c r="AL191" s="14" t="str">
        <f>IF(N191="Rail","N/A",IF(_xlfn.XLOOKUP(T191,Airlines!A:A,Airlines!C:C)=TRUE,"Yes","No"))</f>
        <v>Yes</v>
      </c>
      <c r="AM191" s="14" t="str">
        <f t="shared" si="46"/>
        <v>Yes</v>
      </c>
      <c r="AN191" s="14" t="str">
        <f t="shared" si="47"/>
        <v>Yes</v>
      </c>
      <c r="AO191" s="14" t="str">
        <f t="shared" si="48"/>
        <v>Yes</v>
      </c>
      <c r="AP191" s="16" t="s">
        <v>148</v>
      </c>
      <c r="AQ191" t="str">
        <f t="shared" si="49"/>
        <v>No</v>
      </c>
      <c r="AR191" s="21">
        <v>5</v>
      </c>
      <c r="AS191" s="5">
        <v>527.1</v>
      </c>
      <c r="AT191" s="5" t="str">
        <f>IF(T191="","",_xlfn.XLOOKUP(T191,Airlines!A:A,Airlines!B:B,"Not Found"))</f>
        <v>British Airways</v>
      </c>
      <c r="AU191" s="5" t="str">
        <f>IF(U191="","",_xlfn.XLOOKUP(U191,Hotels!A:A,Hotels!B:B,"Not found"))</f>
        <v>IHG Hotels &amp; Resorts</v>
      </c>
      <c r="AV191" t="s">
        <v>147</v>
      </c>
      <c r="AW191" s="16" t="str">
        <f t="shared" si="50"/>
        <v>OK</v>
      </c>
      <c r="AX191" s="16" t="str">
        <f t="shared" si="51"/>
        <v>OK</v>
      </c>
      <c r="AY191" s="16" t="str">
        <f t="shared" si="52"/>
        <v>OK</v>
      </c>
      <c r="AZ191" s="16" t="str">
        <f t="shared" si="53"/>
        <v>OK</v>
      </c>
      <c r="BA191" s="16" t="str">
        <f t="shared" si="57"/>
        <v>OK</v>
      </c>
      <c r="BB191" s="21">
        <f>COUNTIF('Trip Changes'!B:B,A191)</f>
        <v>0</v>
      </c>
      <c r="BC191" s="16" t="str">
        <f>IF(OR(AND(AD191="Yes",COUNTIF('Trip Changes'!B:B,A191)&gt;0),AND(AD191="No",COUNTIF('Trip Changes'!B:B,A191)=0)),"OK","Check")</f>
        <v>OK</v>
      </c>
      <c r="BD191" t="str">
        <f t="shared" si="58"/>
        <v>OK</v>
      </c>
      <c r="BE191" t="str">
        <f t="shared" si="59"/>
        <v>OK</v>
      </c>
      <c r="BF191" t="str">
        <f t="shared" si="60"/>
        <v>OK</v>
      </c>
      <c r="BG191" t="str">
        <f t="shared" si="61"/>
        <v>OK</v>
      </c>
      <c r="BH191" t="str">
        <f t="shared" si="62"/>
        <v>OK</v>
      </c>
      <c r="BI191" t="str">
        <f t="shared" si="54"/>
        <v>OK</v>
      </c>
      <c r="BJ191" t="str">
        <f t="shared" si="55"/>
        <v>OK</v>
      </c>
      <c r="BK191" t="str">
        <f t="shared" si="56"/>
        <v>OK</v>
      </c>
    </row>
    <row r="192" spans="1:63">
      <c r="A192" s="16" t="s">
        <v>453</v>
      </c>
      <c r="B192" s="16" t="s">
        <v>452</v>
      </c>
      <c r="C192" s="16" t="s">
        <v>182</v>
      </c>
      <c r="D192" s="16" t="s">
        <v>168</v>
      </c>
      <c r="E192" s="16" t="s">
        <v>169</v>
      </c>
      <c r="F192" s="16" t="s">
        <v>178</v>
      </c>
      <c r="G192" s="15">
        <v>46228</v>
      </c>
      <c r="H192" s="15">
        <v>46229</v>
      </c>
      <c r="I192" s="15">
        <v>46232</v>
      </c>
      <c r="J192" s="15" t="s">
        <v>150</v>
      </c>
      <c r="K192" s="16" t="s">
        <v>182</v>
      </c>
      <c r="L192" t="s">
        <v>142</v>
      </c>
      <c r="M192" s="16" t="s">
        <v>143</v>
      </c>
      <c r="N192" s="16" t="s">
        <v>153</v>
      </c>
      <c r="O192" t="s">
        <v>1614</v>
      </c>
      <c r="P192" s="18">
        <v>1174</v>
      </c>
      <c r="Q192" s="21">
        <v>1</v>
      </c>
      <c r="R192" s="21" t="str">
        <f t="shared" si="42"/>
        <v>0-3 days</v>
      </c>
      <c r="S192" s="16" t="s">
        <v>145</v>
      </c>
      <c r="T192" s="16" t="s">
        <v>176</v>
      </c>
      <c r="U192" s="16" t="s">
        <v>164</v>
      </c>
      <c r="V192" t="str">
        <f>IF(U192="","",IFERROR(VLOOKUP(U192,Hotels!A:B,2,FALSE),"Not Found"))</f>
        <v>Marriott</v>
      </c>
      <c r="W192" s="14">
        <v>397.33</v>
      </c>
      <c r="X192" s="14">
        <v>0</v>
      </c>
      <c r="Y192" s="21">
        <v>2</v>
      </c>
      <c r="Z192" s="29">
        <f t="shared" si="43"/>
        <v>188.41</v>
      </c>
      <c r="AA192" s="14">
        <v>376.82</v>
      </c>
      <c r="AB192" s="14">
        <v>53.05</v>
      </c>
      <c r="AC192" s="14">
        <v>827.2</v>
      </c>
      <c r="AD192" s="16" t="s">
        <v>147</v>
      </c>
      <c r="AE192" s="16" t="s">
        <v>147</v>
      </c>
      <c r="AF192" s="14">
        <f>SUMIF('Trip Changes'!$B:$B,A192,'Trip Changes'!$E:$E)</f>
        <v>0</v>
      </c>
      <c r="AG192" s="23">
        <f>SUMIF('Trip Cancellations'!$B:$B,A192,'Trip Cancellations'!$E:$E)</f>
        <v>0</v>
      </c>
      <c r="AH192" s="14">
        <f>SUMIF('Trip Cancellations'!$B:$B,A192,'Trip Cancellations'!$F:$F)</f>
        <v>0</v>
      </c>
      <c r="AI192" s="14">
        <f t="shared" si="44"/>
        <v>827.2</v>
      </c>
      <c r="AJ192" s="14" t="str">
        <f t="shared" si="45"/>
        <v>Yes</v>
      </c>
      <c r="AK192" s="14" t="str">
        <f>IF(Y192=0,"N/A",
IF(_xlfn.XLOOKUP(U192,Hotels!A:A,Hotels!C:C)=TRUE,"Yes","No"))</f>
        <v>Yes</v>
      </c>
      <c r="AL192" s="14" t="str">
        <f>IF(N192="Rail","N/A",IF(_xlfn.XLOOKUP(T192,Airlines!A:A,Airlines!C:C)=TRUE,"Yes","No"))</f>
        <v>Yes</v>
      </c>
      <c r="AM192" s="14" t="str">
        <f t="shared" si="46"/>
        <v>Yes</v>
      </c>
      <c r="AN192" s="14" t="str">
        <f t="shared" si="47"/>
        <v>Yes</v>
      </c>
      <c r="AO192" s="14" t="str">
        <f t="shared" si="48"/>
        <v>Yes</v>
      </c>
      <c r="AP192" s="16" t="s">
        <v>148</v>
      </c>
      <c r="AQ192" t="str">
        <f t="shared" si="49"/>
        <v>Yes</v>
      </c>
      <c r="AR192" s="21">
        <v>5</v>
      </c>
      <c r="AS192" s="5">
        <v>176.1</v>
      </c>
      <c r="AT192" s="5" t="str">
        <f>IF(T192="","",_xlfn.XLOOKUP(T192,Airlines!A:A,Airlines!B:B,"Not Found"))</f>
        <v>easyJet</v>
      </c>
      <c r="AU192" s="5" t="str">
        <f>IF(U192="","",_xlfn.XLOOKUP(U192,Hotels!A:A,Hotels!B:B,"Not found"))</f>
        <v>Marriott</v>
      </c>
      <c r="AV192" t="s">
        <v>148</v>
      </c>
      <c r="AW192" s="16" t="str">
        <f t="shared" si="50"/>
        <v>OK</v>
      </c>
      <c r="AX192" s="16" t="str">
        <f t="shared" si="51"/>
        <v>OK</v>
      </c>
      <c r="AY192" s="16" t="str">
        <f t="shared" si="52"/>
        <v>OK</v>
      </c>
      <c r="AZ192" s="16" t="str">
        <f t="shared" si="53"/>
        <v>OK</v>
      </c>
      <c r="BA192" s="16" t="str">
        <f t="shared" si="57"/>
        <v>OK</v>
      </c>
      <c r="BB192" s="21">
        <f>COUNTIF('Trip Changes'!B:B,A192)</f>
        <v>0</v>
      </c>
      <c r="BC192" s="16" t="str">
        <f>IF(OR(AND(AD192="Yes",COUNTIF('Trip Changes'!B:B,A192)&gt;0),AND(AD192="No",COUNTIF('Trip Changes'!B:B,A192)=0)),"OK","Check")</f>
        <v>OK</v>
      </c>
      <c r="BD192" t="str">
        <f t="shared" si="58"/>
        <v>OK</v>
      </c>
      <c r="BE192" t="str">
        <f t="shared" si="59"/>
        <v>OK</v>
      </c>
      <c r="BF192" t="str">
        <f t="shared" si="60"/>
        <v>OK</v>
      </c>
      <c r="BG192" t="str">
        <f t="shared" si="61"/>
        <v>OK</v>
      </c>
      <c r="BH192" t="str">
        <f t="shared" si="62"/>
        <v>OK</v>
      </c>
      <c r="BI192" t="str">
        <f t="shared" si="54"/>
        <v>OK</v>
      </c>
      <c r="BJ192" t="str">
        <f t="shared" si="55"/>
        <v>OK</v>
      </c>
      <c r="BK192" t="str">
        <f t="shared" si="56"/>
        <v>OK</v>
      </c>
    </row>
    <row r="193" spans="1:63">
      <c r="A193" s="16" t="s">
        <v>454</v>
      </c>
      <c r="B193" s="16" t="s">
        <v>452</v>
      </c>
      <c r="C193" s="16" t="s">
        <v>182</v>
      </c>
      <c r="D193" s="16" t="s">
        <v>168</v>
      </c>
      <c r="E193" s="16" t="s">
        <v>169</v>
      </c>
      <c r="F193" s="16" t="s">
        <v>162</v>
      </c>
      <c r="G193" s="15">
        <v>46212</v>
      </c>
      <c r="H193" s="15">
        <v>46230</v>
      </c>
      <c r="I193" s="15">
        <v>46235</v>
      </c>
      <c r="J193" s="15" t="s">
        <v>150</v>
      </c>
      <c r="K193" s="16" t="s">
        <v>182</v>
      </c>
      <c r="L193" t="s">
        <v>283</v>
      </c>
      <c r="M193" s="16" t="s">
        <v>152</v>
      </c>
      <c r="N193" s="16" t="s">
        <v>153</v>
      </c>
      <c r="O193" t="s">
        <v>1614</v>
      </c>
      <c r="P193" s="18">
        <v>11052</v>
      </c>
      <c r="Q193" s="21">
        <v>18</v>
      </c>
      <c r="R193" s="21" t="str">
        <f t="shared" si="42"/>
        <v>15-30 days</v>
      </c>
      <c r="S193" s="16" t="s">
        <v>145</v>
      </c>
      <c r="T193" s="16" t="s">
        <v>186</v>
      </c>
      <c r="U193" s="16" t="s">
        <v>164</v>
      </c>
      <c r="V193" t="str">
        <f>IF(U193="","",IFERROR(VLOOKUP(U193,Hotels!A:B,2,FALSE),"Not Found"))</f>
        <v>Marriott</v>
      </c>
      <c r="W193" s="14">
        <v>1091.74</v>
      </c>
      <c r="X193" s="14">
        <v>0</v>
      </c>
      <c r="Y193" s="21">
        <v>4</v>
      </c>
      <c r="Z193" s="29">
        <f t="shared" si="43"/>
        <v>130.14500000000001</v>
      </c>
      <c r="AA193" s="14">
        <v>520.58000000000004</v>
      </c>
      <c r="AB193" s="14">
        <v>114.08</v>
      </c>
      <c r="AC193" s="14">
        <v>1726.4</v>
      </c>
      <c r="AD193" s="16" t="s">
        <v>148</v>
      </c>
      <c r="AE193" s="16" t="s">
        <v>148</v>
      </c>
      <c r="AF193" s="14">
        <f>SUMIF('Trip Changes'!$B:$B,A193,'Trip Changes'!$E:$E)</f>
        <v>15</v>
      </c>
      <c r="AG193" s="23">
        <f>SUMIF('Trip Cancellations'!$B:$B,A193,'Trip Cancellations'!$E:$E)</f>
        <v>93.69</v>
      </c>
      <c r="AH193" s="14">
        <f>SUMIF('Trip Cancellations'!$B:$B,A193,'Trip Cancellations'!$F:$F)</f>
        <v>806.16</v>
      </c>
      <c r="AI193" s="14">
        <f t="shared" si="44"/>
        <v>1028.9300000000003</v>
      </c>
      <c r="AJ193" s="14" t="str">
        <f t="shared" si="45"/>
        <v>Yes</v>
      </c>
      <c r="AK193" s="14" t="str">
        <f>IF(Y193=0,"N/A",
IF(_xlfn.XLOOKUP(U193,Hotels!A:A,Hotels!C:C)=TRUE,"Yes","No"))</f>
        <v>Yes</v>
      </c>
      <c r="AL193" s="14" t="str">
        <f>IF(N193="Rail","N/A",IF(_xlfn.XLOOKUP(T193,Airlines!A:A,Airlines!C:C)=TRUE,"Yes","No"))</f>
        <v>Yes</v>
      </c>
      <c r="AM193" s="14" t="str">
        <f t="shared" si="46"/>
        <v>Yes</v>
      </c>
      <c r="AN193" s="14" t="str">
        <f t="shared" si="47"/>
        <v>Yes</v>
      </c>
      <c r="AO193" s="14" t="str">
        <f t="shared" si="48"/>
        <v>Yes</v>
      </c>
      <c r="AP193" s="16" t="s">
        <v>147</v>
      </c>
      <c r="AQ193" t="str">
        <f t="shared" si="49"/>
        <v>Yes</v>
      </c>
      <c r="AR193" s="21">
        <v>2</v>
      </c>
      <c r="AS193" s="5">
        <v>1657.8</v>
      </c>
      <c r="AT193" s="5" t="str">
        <f>IF(T193="","",_xlfn.XLOOKUP(T193,Airlines!A:A,Airlines!B:B,"Not Found"))</f>
        <v>Virgin Atlantic</v>
      </c>
      <c r="AU193" s="5" t="str">
        <f>IF(U193="","",_xlfn.XLOOKUP(U193,Hotels!A:A,Hotels!B:B,"Not found"))</f>
        <v>Marriott</v>
      </c>
      <c r="AV193" t="s">
        <v>148</v>
      </c>
      <c r="AW193" s="16" t="str">
        <f t="shared" si="50"/>
        <v>OK</v>
      </c>
      <c r="AX193" s="16" t="str">
        <f t="shared" si="51"/>
        <v>OK</v>
      </c>
      <c r="AY193" s="16" t="str">
        <f t="shared" si="52"/>
        <v>OK</v>
      </c>
      <c r="AZ193" s="16" t="str">
        <f t="shared" si="53"/>
        <v>OK</v>
      </c>
      <c r="BA193" s="16" t="str">
        <f t="shared" si="57"/>
        <v>OK</v>
      </c>
      <c r="BB193" s="21">
        <f>COUNTIF('Trip Changes'!B:B,A193)</f>
        <v>1</v>
      </c>
      <c r="BC193" s="16" t="str">
        <f>IF(OR(AND(AD193="Yes",COUNTIF('Trip Changes'!B:B,A193)&gt;0),AND(AD193="No",COUNTIF('Trip Changes'!B:B,A193)=0)),"OK","Check")</f>
        <v>OK</v>
      </c>
      <c r="BD193" t="str">
        <f t="shared" si="58"/>
        <v>OK</v>
      </c>
      <c r="BE193" t="str">
        <f t="shared" si="59"/>
        <v>OK</v>
      </c>
      <c r="BF193" t="str">
        <f t="shared" si="60"/>
        <v>OK</v>
      </c>
      <c r="BG193" t="str">
        <f t="shared" si="61"/>
        <v>OK</v>
      </c>
      <c r="BH193" t="str">
        <f t="shared" si="62"/>
        <v>OK</v>
      </c>
      <c r="BI193" t="str">
        <f t="shared" si="54"/>
        <v>OK</v>
      </c>
      <c r="BJ193" t="str">
        <f t="shared" si="55"/>
        <v>OK</v>
      </c>
      <c r="BK193" t="str">
        <f t="shared" si="56"/>
        <v>OK</v>
      </c>
    </row>
    <row r="194" spans="1:63">
      <c r="A194" s="16" t="s">
        <v>455</v>
      </c>
      <c r="B194" s="16" t="s">
        <v>452</v>
      </c>
      <c r="C194" s="16" t="s">
        <v>182</v>
      </c>
      <c r="D194" s="16" t="s">
        <v>168</v>
      </c>
      <c r="E194" s="16" t="s">
        <v>169</v>
      </c>
      <c r="F194" s="16" t="s">
        <v>140</v>
      </c>
      <c r="G194" s="15">
        <v>46193</v>
      </c>
      <c r="H194" s="15">
        <v>46198</v>
      </c>
      <c r="I194" s="15">
        <v>46202</v>
      </c>
      <c r="J194" s="15" t="s">
        <v>141</v>
      </c>
      <c r="K194" s="16" t="s">
        <v>182</v>
      </c>
      <c r="L194" t="s">
        <v>199</v>
      </c>
      <c r="M194" s="16" t="s">
        <v>152</v>
      </c>
      <c r="N194" s="16" t="s">
        <v>153</v>
      </c>
      <c r="O194" t="s">
        <v>1614</v>
      </c>
      <c r="P194" s="18">
        <v>1214</v>
      </c>
      <c r="Q194" s="21">
        <v>5</v>
      </c>
      <c r="R194" s="21" t="str">
        <f t="shared" ref="R194:R257" si="63">IF(Q194&lt;=3,"0-3 days",IF(Q194&lt;=7,"4-7 days",IF(Q194&lt;=14,"8-14 days",IF(Q194&lt;=30,"15-30 days","31+ days"))))</f>
        <v>4-7 days</v>
      </c>
      <c r="S194" s="16" t="s">
        <v>145</v>
      </c>
      <c r="T194" s="16" t="s">
        <v>200</v>
      </c>
      <c r="U194" s="16" t="s">
        <v>173</v>
      </c>
      <c r="V194" t="str">
        <f>IF(U194="","",IFERROR(VLOOKUP(U194,Hotels!A:B,2,FALSE),"Not Found"))</f>
        <v>Accor</v>
      </c>
      <c r="W194" s="14">
        <v>618.29999999999995</v>
      </c>
      <c r="X194" s="14">
        <v>0</v>
      </c>
      <c r="Y194" s="21">
        <v>3</v>
      </c>
      <c r="Z194" s="29">
        <f t="shared" ref="Z194:Z257" si="64">IF(Y194&gt;0,AA194/Y194,0)</f>
        <v>234.78333333333333</v>
      </c>
      <c r="AA194" s="14">
        <v>704.35</v>
      </c>
      <c r="AB194" s="14">
        <v>57.79</v>
      </c>
      <c r="AC194" s="14">
        <v>1380.44</v>
      </c>
      <c r="AD194" s="16" t="s">
        <v>147</v>
      </c>
      <c r="AE194" s="16" t="s">
        <v>147</v>
      </c>
      <c r="AF194" s="14">
        <f>SUMIF('Trip Changes'!$B:$B,A194,'Trip Changes'!$E:$E)</f>
        <v>0</v>
      </c>
      <c r="AG194" s="23">
        <f>SUMIF('Trip Cancellations'!$B:$B,A194,'Trip Cancellations'!$E:$E)</f>
        <v>0</v>
      </c>
      <c r="AH194" s="14">
        <f>SUMIF('Trip Cancellations'!$B:$B,A194,'Trip Cancellations'!$F:$F)</f>
        <v>0</v>
      </c>
      <c r="AI194" s="14">
        <f t="shared" ref="AI194:AI257" si="65">AC194+AF194+AG194-AH194</f>
        <v>1380.44</v>
      </c>
      <c r="AJ194" s="14" t="str">
        <f t="shared" ref="AJ194:AJ257" si="66">IF(Y194=0,"N/A",
IF(OR(L194="London",L194="Manchester",L194="Birmingham",L194="Edinburgh",L194="Glasgow",
L194="New York",L194="Boston",L194="Chicago",L194="Zurich",L194="Singapore",L194="Hong Kong",L194="Dubai"),
IF(Z194&lt;=220,"Yes","No"),
IF(Z194&lt;=180,"Yes","No")))</f>
        <v>No</v>
      </c>
      <c r="AK194" s="14" t="str">
        <f>IF(Y194=0,"N/A",
IF(_xlfn.XLOOKUP(U194,Hotels!A:A,Hotels!C:C)=TRUE,"Yes","No"))</f>
        <v>Yes</v>
      </c>
      <c r="AL194" s="14" t="str">
        <f>IF(N194="Rail","N/A",IF(_xlfn.XLOOKUP(T194,Airlines!A:A,Airlines!C:C)=TRUE,"Yes","No"))</f>
        <v>Yes</v>
      </c>
      <c r="AM194" s="14" t="str">
        <f t="shared" ref="AM194:AM257" si="67">IF(OR(
AND(N194="Air",O194="Economy"),
AND(N194="Rail",O194="Standard / 2nd Class")
),"Yes","No")</f>
        <v>Yes</v>
      </c>
      <c r="AN194" s="14" t="str">
        <f t="shared" ref="AN194:AN257" si="68">IF(OR(S194="Online Booking Tool",S194="TMC Assisted"),"Yes","No")</f>
        <v>Yes</v>
      </c>
      <c r="AO194" s="14" t="str">
        <f t="shared" ref="AO194:AO257" si="69">IF(AND(OR(AK194="Yes",AK194="N/A"),OR(AL194="Yes",AL194="N/A")),"Yes","No")</f>
        <v>Yes</v>
      </c>
      <c r="AP194" s="16" t="s">
        <v>148</v>
      </c>
      <c r="AQ194" t="str">
        <f t="shared" ref="AQ194:AQ257" si="70">IF(AND(OR(AJ194="Yes",AJ194="N/A"),OR(AK194="Yes",AK194="N/A"),OR(AL194="Yes",AL194="N/A"),AM194="Yes",AN194="Yes"),"Yes","No")</f>
        <v>No</v>
      </c>
      <c r="AR194" s="21">
        <v>3</v>
      </c>
      <c r="AS194" s="5">
        <v>182.1</v>
      </c>
      <c r="AT194" s="5" t="str">
        <f>IF(T194="","",_xlfn.XLOOKUP(T194,Airlines!A:A,Airlines!B:B,"Not Found"))</f>
        <v>Aer Lingus</v>
      </c>
      <c r="AU194" s="5" t="str">
        <f>IF(U194="","",_xlfn.XLOOKUP(U194,Hotels!A:A,Hotels!B:B,"Not found"))</f>
        <v>Accor</v>
      </c>
      <c r="AV194" t="s">
        <v>147</v>
      </c>
      <c r="AW194" s="16" t="str">
        <f t="shared" ref="AW194:AW257" si="71">IF(OR(A194="",B194="",G194="",H194="",I194="",K194="",L194="",M194="",N194="",S194="",AC194="",AI194=""),"Check","OK")</f>
        <v>OK</v>
      </c>
      <c r="AX194" s="16" t="str">
        <f t="shared" ref="AX194:AX257" si="72">IF(AND(G194&lt;=H194, H194&lt;=I194),"OK","CHECK")</f>
        <v>OK</v>
      </c>
      <c r="AY194" s="16" t="str">
        <f t="shared" ref="AY194:AY257" si="73">IF(Q194=H194-G194,"OK","Check")</f>
        <v>OK</v>
      </c>
      <c r="AZ194" s="16" t="str">
        <f t="shared" ref="AZ194:AZ257" si="74">IF(ROUND(W194+X194+AA194+AB194,2)=ROUND(AC194,2),"OK","Check")</f>
        <v>OK</v>
      </c>
      <c r="BA194" s="16" t="str">
        <f t="shared" si="57"/>
        <v>OK</v>
      </c>
      <c r="BB194" s="21">
        <f>COUNTIF('Trip Changes'!B:B,A194)</f>
        <v>0</v>
      </c>
      <c r="BC194" s="16" t="str">
        <f>IF(OR(AND(AD194="Yes",COUNTIF('Trip Changes'!B:B,A194)&gt;0),AND(AD194="No",COUNTIF('Trip Changes'!B:B,A194)=0)),"OK","Check")</f>
        <v>OK</v>
      </c>
      <c r="BD194" t="str">
        <f t="shared" si="58"/>
        <v>OK</v>
      </c>
      <c r="BE194" t="str">
        <f t="shared" si="59"/>
        <v>OK</v>
      </c>
      <c r="BF194" t="str">
        <f t="shared" si="60"/>
        <v>OK</v>
      </c>
      <c r="BG194" t="str">
        <f t="shared" si="61"/>
        <v>OK</v>
      </c>
      <c r="BH194" t="str">
        <f t="shared" si="62"/>
        <v>OK</v>
      </c>
      <c r="BI194" t="str">
        <f t="shared" ref="BI194:BI257" si="75">IF(OR(N194="Air",N194="Rail"),"OK","Check")</f>
        <v>OK</v>
      </c>
      <c r="BJ194" t="str">
        <f t="shared" ref="BJ194:BJ257" si="76">IF(OR(M194="Domestic",M194="International"),"OK","Check")</f>
        <v>OK</v>
      </c>
      <c r="BK194" t="str">
        <f t="shared" ref="BK194:BK257" si="77">IF(OR(S194="Online Booking Tool",S194="TMC Assisted",S194="Direct Supplier",S194="Other"),"OK","Check")</f>
        <v>OK</v>
      </c>
    </row>
    <row r="195" spans="1:63">
      <c r="A195" s="16" t="s">
        <v>456</v>
      </c>
      <c r="B195" s="16" t="s">
        <v>457</v>
      </c>
      <c r="C195" s="16" t="s">
        <v>182</v>
      </c>
      <c r="D195" s="16" t="s">
        <v>204</v>
      </c>
      <c r="E195" s="16" t="s">
        <v>268</v>
      </c>
      <c r="F195" s="16" t="s">
        <v>189</v>
      </c>
      <c r="G195" s="15">
        <v>46224</v>
      </c>
      <c r="H195" s="15">
        <v>46233</v>
      </c>
      <c r="I195" s="15">
        <v>46234</v>
      </c>
      <c r="J195" s="15" t="s">
        <v>150</v>
      </c>
      <c r="K195" s="16" t="s">
        <v>182</v>
      </c>
      <c r="L195" t="s">
        <v>182</v>
      </c>
      <c r="M195" s="16" t="s">
        <v>143</v>
      </c>
      <c r="N195" s="16" t="s">
        <v>144</v>
      </c>
      <c r="O195" t="s">
        <v>1630</v>
      </c>
      <c r="P195" s="18">
        <v>536</v>
      </c>
      <c r="Q195" s="21">
        <v>9</v>
      </c>
      <c r="R195" s="21" t="str">
        <f t="shared" si="63"/>
        <v>8-14 days</v>
      </c>
      <c r="S195" s="16" t="s">
        <v>145</v>
      </c>
      <c r="V195" t="str">
        <f>IF(U195="","",IFERROR(VLOOKUP(U195,Hotels!A:B,2,FALSE),"Not Found"))</f>
        <v/>
      </c>
      <c r="W195" s="14">
        <v>0</v>
      </c>
      <c r="X195" s="14">
        <v>121.9</v>
      </c>
      <c r="Y195" s="21">
        <v>0</v>
      </c>
      <c r="Z195" s="29">
        <f t="shared" si="64"/>
        <v>0</v>
      </c>
      <c r="AA195" s="14">
        <v>0</v>
      </c>
      <c r="AB195" s="14">
        <v>67.239999999999995</v>
      </c>
      <c r="AC195" s="14">
        <v>189.14</v>
      </c>
      <c r="AD195" s="16" t="s">
        <v>147</v>
      </c>
      <c r="AE195" s="16" t="s">
        <v>147</v>
      </c>
      <c r="AF195" s="14">
        <f>SUMIF('Trip Changes'!$B:$B,A195,'Trip Changes'!$E:$E)</f>
        <v>0</v>
      </c>
      <c r="AG195" s="23">
        <f>SUMIF('Trip Cancellations'!$B:$B,A195,'Trip Cancellations'!$E:$E)</f>
        <v>0</v>
      </c>
      <c r="AH195" s="14">
        <f>SUMIF('Trip Cancellations'!$B:$B,A195,'Trip Cancellations'!$F:$F)</f>
        <v>0</v>
      </c>
      <c r="AI195" s="14">
        <f t="shared" si="65"/>
        <v>189.14</v>
      </c>
      <c r="AJ195" s="14" t="str">
        <f t="shared" si="66"/>
        <v>N/A</v>
      </c>
      <c r="AK195" s="14" t="str">
        <f>IF(Y195=0,"N/A",
IF(_xlfn.XLOOKUP(U195,Hotels!A:A,Hotels!C:C)=TRUE,"Yes","No"))</f>
        <v>N/A</v>
      </c>
      <c r="AL195" s="14" t="str">
        <f>IF(N195="Rail","N/A",IF(_xlfn.XLOOKUP(T195,Airlines!A:A,Airlines!C:C)=TRUE,"Yes","No"))</f>
        <v>N/A</v>
      </c>
      <c r="AM195" s="14" t="str">
        <f t="shared" si="67"/>
        <v>Yes</v>
      </c>
      <c r="AN195" s="14" t="str">
        <f t="shared" si="68"/>
        <v>Yes</v>
      </c>
      <c r="AO195" s="14" t="str">
        <f t="shared" si="69"/>
        <v>Yes</v>
      </c>
      <c r="AP195" s="16" t="s">
        <v>148</v>
      </c>
      <c r="AQ195" t="str">
        <f t="shared" si="70"/>
        <v>Yes</v>
      </c>
      <c r="AR195" s="21">
        <v>4</v>
      </c>
      <c r="AS195" s="5">
        <v>21.4</v>
      </c>
      <c r="AT195" s="5" t="str">
        <f>IF(T195="","",_xlfn.XLOOKUP(T195,Airlines!A:A,Airlines!B:B,"Not Found"))</f>
        <v/>
      </c>
      <c r="AU195" s="5" t="str">
        <f>IF(U195="","",_xlfn.XLOOKUP(U195,Hotels!A:A,Hotels!B:B,"Not found"))</f>
        <v/>
      </c>
      <c r="AV195" t="s">
        <v>147</v>
      </c>
      <c r="AW195" s="16" t="str">
        <f t="shared" si="71"/>
        <v>OK</v>
      </c>
      <c r="AX195" s="16" t="str">
        <f t="shared" si="72"/>
        <v>OK</v>
      </c>
      <c r="AY195" s="16" t="str">
        <f t="shared" si="73"/>
        <v>OK</v>
      </c>
      <c r="AZ195" s="16" t="str">
        <f t="shared" si="74"/>
        <v>OK</v>
      </c>
      <c r="BA195" s="16" t="str">
        <f t="shared" ref="BA195:BA258" si="78">IF(ROUND(AC195+AF195+AG195-AH195,2)=ROUND(AI195,2),"OK","Check")</f>
        <v>OK</v>
      </c>
      <c r="BB195" s="21">
        <f>COUNTIF('Trip Changes'!B:B,A195)</f>
        <v>0</v>
      </c>
      <c r="BC195" s="16" t="str">
        <f>IF(OR(AND(AD195="Yes",COUNTIF('Trip Changes'!B:B,A195)&gt;0),AND(AD195="No",COUNTIF('Trip Changes'!B:B,A195)=0)),"OK","Check")</f>
        <v>OK</v>
      </c>
      <c r="BD195" t="str">
        <f t="shared" ref="BD195:BD258" si="79">IF(OR(AD195="Yes",AD195="No"),"OK","Check")</f>
        <v>OK</v>
      </c>
      <c r="BE195" t="str">
        <f t="shared" ref="BE195:BE258" si="80">IF(OR(AE195="Yes",AE195="No"),"OK","Check")</f>
        <v>OK</v>
      </c>
      <c r="BF195" t="str">
        <f t="shared" ref="BF195:BF258" si="81">IF(OR(AP195="Yes",AP195="No"),"OK","Check")</f>
        <v>OK</v>
      </c>
      <c r="BG195" t="str">
        <f t="shared" ref="BG195:BG258" si="82">IF(OR(AV195="Yes",AV195="No"),"OK","Check")</f>
        <v>OK</v>
      </c>
      <c r="BH195" t="str">
        <f t="shared" ref="BH195:BH258" si="83">IF(AND(ISNUMBER(AR195),AR195&gt;=1,AR195&lt;=5),"OK","Check")</f>
        <v>OK</v>
      </c>
      <c r="BI195" t="str">
        <f t="shared" si="75"/>
        <v>OK</v>
      </c>
      <c r="BJ195" t="str">
        <f t="shared" si="76"/>
        <v>OK</v>
      </c>
      <c r="BK195" t="str">
        <f t="shared" si="77"/>
        <v>OK</v>
      </c>
    </row>
    <row r="196" spans="1:63">
      <c r="A196" s="16" t="s">
        <v>458</v>
      </c>
      <c r="B196" s="16" t="s">
        <v>457</v>
      </c>
      <c r="C196" s="16" t="s">
        <v>182</v>
      </c>
      <c r="D196" s="16" t="s">
        <v>204</v>
      </c>
      <c r="E196" s="16" t="s">
        <v>268</v>
      </c>
      <c r="F196" s="16" t="s">
        <v>178</v>
      </c>
      <c r="G196" s="15">
        <v>46172</v>
      </c>
      <c r="H196" s="15">
        <v>46173</v>
      </c>
      <c r="I196" s="15">
        <v>46175</v>
      </c>
      <c r="J196" s="15" t="s">
        <v>163</v>
      </c>
      <c r="K196" s="16" t="s">
        <v>182</v>
      </c>
      <c r="L196" t="s">
        <v>307</v>
      </c>
      <c r="M196" s="16" t="s">
        <v>143</v>
      </c>
      <c r="N196" s="16" t="s">
        <v>153</v>
      </c>
      <c r="O196" t="s">
        <v>1614</v>
      </c>
      <c r="P196" s="18">
        <v>378</v>
      </c>
      <c r="Q196" s="21">
        <v>1</v>
      </c>
      <c r="R196" s="21" t="str">
        <f t="shared" si="63"/>
        <v>0-3 days</v>
      </c>
      <c r="S196" s="16" t="s">
        <v>159</v>
      </c>
      <c r="T196" s="16" t="s">
        <v>176</v>
      </c>
      <c r="U196" s="16" t="s">
        <v>195</v>
      </c>
      <c r="V196" t="str">
        <f>IF(U196="","",IFERROR(VLOOKUP(U196,Hotels!A:B,2,FALSE),"Not Found"))</f>
        <v>Travelodge</v>
      </c>
      <c r="W196" s="14">
        <v>512.52</v>
      </c>
      <c r="X196" s="14">
        <v>0</v>
      </c>
      <c r="Y196" s="21">
        <v>1</v>
      </c>
      <c r="Z196" s="29">
        <f t="shared" si="64"/>
        <v>171.34</v>
      </c>
      <c r="AA196" s="14">
        <v>171.34</v>
      </c>
      <c r="AB196" s="14">
        <v>43.9</v>
      </c>
      <c r="AC196" s="14">
        <v>727.76</v>
      </c>
      <c r="AD196" s="16" t="s">
        <v>147</v>
      </c>
      <c r="AE196" s="16" t="s">
        <v>147</v>
      </c>
      <c r="AF196" s="14">
        <f>SUMIF('Trip Changes'!$B:$B,A196,'Trip Changes'!$E:$E)</f>
        <v>0</v>
      </c>
      <c r="AG196" s="23">
        <f>SUMIF('Trip Cancellations'!$B:$B,A196,'Trip Cancellations'!$E:$E)</f>
        <v>0</v>
      </c>
      <c r="AH196" s="14">
        <f>SUMIF('Trip Cancellations'!$B:$B,A196,'Trip Cancellations'!$F:$F)</f>
        <v>0</v>
      </c>
      <c r="AI196" s="14">
        <f t="shared" si="65"/>
        <v>727.76</v>
      </c>
      <c r="AJ196" s="14" t="str">
        <f t="shared" si="66"/>
        <v>Yes</v>
      </c>
      <c r="AK196" s="14" t="str">
        <f>IF(Y196=0,"N/A",
IF(_xlfn.XLOOKUP(U196,Hotels!A:A,Hotels!C:C)=TRUE,"Yes","No"))</f>
        <v>No</v>
      </c>
      <c r="AL196" s="14" t="str">
        <f>IF(N196="Rail","N/A",IF(_xlfn.XLOOKUP(T196,Airlines!A:A,Airlines!C:C)=TRUE,"Yes","No"))</f>
        <v>Yes</v>
      </c>
      <c r="AM196" s="14" t="str">
        <f t="shared" si="67"/>
        <v>Yes</v>
      </c>
      <c r="AN196" s="14" t="str">
        <f t="shared" si="68"/>
        <v>Yes</v>
      </c>
      <c r="AO196" s="14" t="str">
        <f t="shared" si="69"/>
        <v>No</v>
      </c>
      <c r="AP196" s="16" t="s">
        <v>148</v>
      </c>
      <c r="AQ196" t="str">
        <f t="shared" si="70"/>
        <v>No</v>
      </c>
      <c r="AR196" s="21">
        <v>5</v>
      </c>
      <c r="AS196" s="5">
        <v>56.7</v>
      </c>
      <c r="AT196" s="5" t="str">
        <f>IF(T196="","",_xlfn.XLOOKUP(T196,Airlines!A:A,Airlines!B:B,"Not Found"))</f>
        <v>easyJet</v>
      </c>
      <c r="AU196" s="5" t="str">
        <f>IF(U196="","",_xlfn.XLOOKUP(U196,Hotels!A:A,Hotels!B:B,"Not found"))</f>
        <v>Travelodge</v>
      </c>
      <c r="AV196" t="s">
        <v>147</v>
      </c>
      <c r="AW196" s="16" t="str">
        <f t="shared" si="71"/>
        <v>OK</v>
      </c>
      <c r="AX196" s="16" t="str">
        <f t="shared" si="72"/>
        <v>OK</v>
      </c>
      <c r="AY196" s="16" t="str">
        <f t="shared" si="73"/>
        <v>OK</v>
      </c>
      <c r="AZ196" s="16" t="str">
        <f t="shared" si="74"/>
        <v>OK</v>
      </c>
      <c r="BA196" s="16" t="str">
        <f t="shared" si="78"/>
        <v>OK</v>
      </c>
      <c r="BB196" s="21">
        <f>COUNTIF('Trip Changes'!B:B,A196)</f>
        <v>0</v>
      </c>
      <c r="BC196" s="16" t="str">
        <f>IF(OR(AND(AD196="Yes",COUNTIF('Trip Changes'!B:B,A196)&gt;0),AND(AD196="No",COUNTIF('Trip Changes'!B:B,A196)=0)),"OK","Check")</f>
        <v>OK</v>
      </c>
      <c r="BD196" t="str">
        <f t="shared" si="79"/>
        <v>OK</v>
      </c>
      <c r="BE196" t="str">
        <f t="shared" si="80"/>
        <v>OK</v>
      </c>
      <c r="BF196" t="str">
        <f t="shared" si="81"/>
        <v>OK</v>
      </c>
      <c r="BG196" t="str">
        <f t="shared" si="82"/>
        <v>OK</v>
      </c>
      <c r="BH196" t="str">
        <f t="shared" si="83"/>
        <v>OK</v>
      </c>
      <c r="BI196" t="str">
        <f t="shared" si="75"/>
        <v>OK</v>
      </c>
      <c r="BJ196" t="str">
        <f t="shared" si="76"/>
        <v>OK</v>
      </c>
      <c r="BK196" t="str">
        <f t="shared" si="77"/>
        <v>OK</v>
      </c>
    </row>
    <row r="197" spans="1:63">
      <c r="A197" s="16" t="s">
        <v>459</v>
      </c>
      <c r="B197" s="16" t="s">
        <v>457</v>
      </c>
      <c r="C197" s="16" t="s">
        <v>182</v>
      </c>
      <c r="D197" s="16" t="s">
        <v>204</v>
      </c>
      <c r="E197" s="16" t="s">
        <v>268</v>
      </c>
      <c r="F197" s="16" t="s">
        <v>162</v>
      </c>
      <c r="G197" s="15">
        <v>46194</v>
      </c>
      <c r="H197" s="15">
        <v>46215</v>
      </c>
      <c r="I197" s="15">
        <v>46221</v>
      </c>
      <c r="J197" s="15" t="s">
        <v>150</v>
      </c>
      <c r="K197" s="16" t="s">
        <v>182</v>
      </c>
      <c r="L197" t="s">
        <v>199</v>
      </c>
      <c r="M197" s="16" t="s">
        <v>152</v>
      </c>
      <c r="N197" s="16" t="s">
        <v>153</v>
      </c>
      <c r="O197" t="s">
        <v>1614</v>
      </c>
      <c r="P197" s="18">
        <v>2476</v>
      </c>
      <c r="Q197" s="21">
        <v>21</v>
      </c>
      <c r="R197" s="21" t="str">
        <f t="shared" si="63"/>
        <v>15-30 days</v>
      </c>
      <c r="S197" s="16" t="s">
        <v>216</v>
      </c>
      <c r="T197" s="16" t="s">
        <v>291</v>
      </c>
      <c r="U197" s="16" t="s">
        <v>173</v>
      </c>
      <c r="V197" t="str">
        <f>IF(U197="","",IFERROR(VLOOKUP(U197,Hotels!A:B,2,FALSE),"Not Found"))</f>
        <v>Accor</v>
      </c>
      <c r="W197" s="14">
        <v>266.48</v>
      </c>
      <c r="X197" s="14">
        <v>0</v>
      </c>
      <c r="Y197" s="21">
        <v>5</v>
      </c>
      <c r="Z197" s="29">
        <f t="shared" si="64"/>
        <v>199.226</v>
      </c>
      <c r="AA197" s="14">
        <v>996.13</v>
      </c>
      <c r="AB197" s="14">
        <v>82.03</v>
      </c>
      <c r="AC197" s="14">
        <v>1344.64</v>
      </c>
      <c r="AD197" s="16" t="s">
        <v>147</v>
      </c>
      <c r="AE197" s="16" t="s">
        <v>147</v>
      </c>
      <c r="AF197" s="14">
        <f>SUMIF('Trip Changes'!$B:$B,A197,'Trip Changes'!$E:$E)</f>
        <v>0</v>
      </c>
      <c r="AG197" s="23">
        <f>SUMIF('Trip Cancellations'!$B:$B,A197,'Trip Cancellations'!$E:$E)</f>
        <v>0</v>
      </c>
      <c r="AH197" s="14">
        <f>SUMIF('Trip Cancellations'!$B:$B,A197,'Trip Cancellations'!$F:$F)</f>
        <v>0</v>
      </c>
      <c r="AI197" s="14">
        <f t="shared" si="65"/>
        <v>1344.64</v>
      </c>
      <c r="AJ197" s="14" t="str">
        <f t="shared" si="66"/>
        <v>No</v>
      </c>
      <c r="AK197" s="14" t="str">
        <f>IF(Y197=0,"N/A",
IF(_xlfn.XLOOKUP(U197,Hotels!A:A,Hotels!C:C)=TRUE,"Yes","No"))</f>
        <v>Yes</v>
      </c>
      <c r="AL197" s="14" t="str">
        <f>IF(N197="Rail","N/A",IF(_xlfn.XLOOKUP(T197,Airlines!A:A,Airlines!C:C)=TRUE,"Yes","No"))</f>
        <v>No</v>
      </c>
      <c r="AM197" s="14" t="str">
        <f t="shared" si="67"/>
        <v>Yes</v>
      </c>
      <c r="AN197" s="14" t="str">
        <f t="shared" si="68"/>
        <v>No</v>
      </c>
      <c r="AO197" s="14" t="str">
        <f t="shared" si="69"/>
        <v>No</v>
      </c>
      <c r="AP197" s="16" t="s">
        <v>148</v>
      </c>
      <c r="AQ197" t="str">
        <f t="shared" si="70"/>
        <v>No</v>
      </c>
      <c r="AR197" s="21">
        <v>5</v>
      </c>
      <c r="AS197" s="5">
        <v>371.4</v>
      </c>
      <c r="AT197" s="5" t="str">
        <f>IF(T197="","",_xlfn.XLOOKUP(T197,Airlines!A:A,Airlines!B:B,"Not Found"))</f>
        <v>Ryanair</v>
      </c>
      <c r="AU197" s="5" t="str">
        <f>IF(U197="","",_xlfn.XLOOKUP(U197,Hotels!A:A,Hotels!B:B,"Not found"))</f>
        <v>Accor</v>
      </c>
      <c r="AV197" t="s">
        <v>148</v>
      </c>
      <c r="AW197" s="16" t="str">
        <f t="shared" si="71"/>
        <v>OK</v>
      </c>
      <c r="AX197" s="16" t="str">
        <f t="shared" si="72"/>
        <v>OK</v>
      </c>
      <c r="AY197" s="16" t="str">
        <f t="shared" si="73"/>
        <v>OK</v>
      </c>
      <c r="AZ197" s="16" t="str">
        <f t="shared" si="74"/>
        <v>OK</v>
      </c>
      <c r="BA197" s="16" t="str">
        <f t="shared" si="78"/>
        <v>OK</v>
      </c>
      <c r="BB197" s="21">
        <f>COUNTIF('Trip Changes'!B:B,A197)</f>
        <v>0</v>
      </c>
      <c r="BC197" s="16" t="str">
        <f>IF(OR(AND(AD197="Yes",COUNTIF('Trip Changes'!B:B,A197)&gt;0),AND(AD197="No",COUNTIF('Trip Changes'!B:B,A197)=0)),"OK","Check")</f>
        <v>OK</v>
      </c>
      <c r="BD197" t="str">
        <f t="shared" si="79"/>
        <v>OK</v>
      </c>
      <c r="BE197" t="str">
        <f t="shared" si="80"/>
        <v>OK</v>
      </c>
      <c r="BF197" t="str">
        <f t="shared" si="81"/>
        <v>OK</v>
      </c>
      <c r="BG197" t="str">
        <f t="shared" si="82"/>
        <v>OK</v>
      </c>
      <c r="BH197" t="str">
        <f t="shared" si="83"/>
        <v>OK</v>
      </c>
      <c r="BI197" t="str">
        <f t="shared" si="75"/>
        <v>OK</v>
      </c>
      <c r="BJ197" t="str">
        <f t="shared" si="76"/>
        <v>OK</v>
      </c>
      <c r="BK197" t="str">
        <f t="shared" si="77"/>
        <v>OK</v>
      </c>
    </row>
    <row r="198" spans="1:63">
      <c r="A198" s="16" t="s">
        <v>460</v>
      </c>
      <c r="B198" s="16" t="s">
        <v>457</v>
      </c>
      <c r="C198" s="16" t="s">
        <v>182</v>
      </c>
      <c r="D198" s="16" t="s">
        <v>204</v>
      </c>
      <c r="E198" s="16" t="s">
        <v>268</v>
      </c>
      <c r="F198" s="16" t="s">
        <v>140</v>
      </c>
      <c r="G198" s="15">
        <v>46192</v>
      </c>
      <c r="H198" s="15">
        <v>46209</v>
      </c>
      <c r="I198" s="15">
        <v>46212</v>
      </c>
      <c r="J198" s="15" t="s">
        <v>150</v>
      </c>
      <c r="K198" s="16" t="s">
        <v>182</v>
      </c>
      <c r="L198" t="s">
        <v>151</v>
      </c>
      <c r="M198" s="16" t="s">
        <v>152</v>
      </c>
      <c r="N198" s="16" t="s">
        <v>153</v>
      </c>
      <c r="O198" t="s">
        <v>1614</v>
      </c>
      <c r="P198" s="18">
        <v>1958</v>
      </c>
      <c r="Q198" s="21">
        <v>17</v>
      </c>
      <c r="R198" s="21" t="str">
        <f t="shared" si="63"/>
        <v>15-30 days</v>
      </c>
      <c r="S198" s="16" t="s">
        <v>145</v>
      </c>
      <c r="T198" s="16" t="s">
        <v>154</v>
      </c>
      <c r="U198" s="16" t="s">
        <v>187</v>
      </c>
      <c r="V198" t="str">
        <f>IF(U198="","",IFERROR(VLOOKUP(U198,Hotels!A:B,2,FALSE),"Not Found"))</f>
        <v>IHG Hotels &amp; Resorts</v>
      </c>
      <c r="W198" s="14">
        <v>288.8</v>
      </c>
      <c r="X198" s="14">
        <v>0</v>
      </c>
      <c r="Y198" s="21">
        <v>2</v>
      </c>
      <c r="Z198" s="29">
        <f t="shared" si="64"/>
        <v>199.91499999999999</v>
      </c>
      <c r="AA198" s="14">
        <v>399.83</v>
      </c>
      <c r="AB198" s="14">
        <v>99.18</v>
      </c>
      <c r="AC198" s="14">
        <v>787.81</v>
      </c>
      <c r="AD198" s="16" t="s">
        <v>147</v>
      </c>
      <c r="AE198" s="16" t="s">
        <v>147</v>
      </c>
      <c r="AF198" s="14">
        <f>SUMIF('Trip Changes'!$B:$B,A198,'Trip Changes'!$E:$E)</f>
        <v>0</v>
      </c>
      <c r="AG198" s="23">
        <f>SUMIF('Trip Cancellations'!$B:$B,A198,'Trip Cancellations'!$E:$E)</f>
        <v>0</v>
      </c>
      <c r="AH198" s="14">
        <f>SUMIF('Trip Cancellations'!$B:$B,A198,'Trip Cancellations'!$F:$F)</f>
        <v>0</v>
      </c>
      <c r="AI198" s="14">
        <f t="shared" si="65"/>
        <v>787.81</v>
      </c>
      <c r="AJ198" s="14" t="str">
        <f t="shared" si="66"/>
        <v>No</v>
      </c>
      <c r="AK198" s="14" t="str">
        <f>IF(Y198=0,"N/A",
IF(_xlfn.XLOOKUP(U198,Hotels!A:A,Hotels!C:C)=TRUE,"Yes","No"))</f>
        <v>Yes</v>
      </c>
      <c r="AL198" s="14" t="str">
        <f>IF(N198="Rail","N/A",IF(_xlfn.XLOOKUP(T198,Airlines!A:A,Airlines!C:C)=TRUE,"Yes","No"))</f>
        <v>Yes</v>
      </c>
      <c r="AM198" s="14" t="str">
        <f t="shared" si="67"/>
        <v>Yes</v>
      </c>
      <c r="AN198" s="14" t="str">
        <f t="shared" si="68"/>
        <v>Yes</v>
      </c>
      <c r="AO198" s="14" t="str">
        <f t="shared" si="69"/>
        <v>Yes</v>
      </c>
      <c r="AP198" s="16" t="s">
        <v>148</v>
      </c>
      <c r="AQ198" t="str">
        <f t="shared" si="70"/>
        <v>No</v>
      </c>
      <c r="AR198" s="21">
        <v>4</v>
      </c>
      <c r="AS198" s="5">
        <v>293.7</v>
      </c>
      <c r="AT198" s="5" t="str">
        <f>IF(T198="","",_xlfn.XLOOKUP(T198,Airlines!A:A,Airlines!B:B,"Not Found"))</f>
        <v>British Airways</v>
      </c>
      <c r="AU198" s="5" t="str">
        <f>IF(U198="","",_xlfn.XLOOKUP(U198,Hotels!A:A,Hotels!B:B,"Not found"))</f>
        <v>IHG Hotels &amp; Resorts</v>
      </c>
      <c r="AV198" t="s">
        <v>147</v>
      </c>
      <c r="AW198" s="16" t="str">
        <f t="shared" si="71"/>
        <v>OK</v>
      </c>
      <c r="AX198" s="16" t="str">
        <f t="shared" si="72"/>
        <v>OK</v>
      </c>
      <c r="AY198" s="16" t="str">
        <f t="shared" si="73"/>
        <v>OK</v>
      </c>
      <c r="AZ198" s="16" t="str">
        <f t="shared" si="74"/>
        <v>OK</v>
      </c>
      <c r="BA198" s="16" t="str">
        <f t="shared" si="78"/>
        <v>OK</v>
      </c>
      <c r="BB198" s="21">
        <f>COUNTIF('Trip Changes'!B:B,A198)</f>
        <v>0</v>
      </c>
      <c r="BC198" s="16" t="str">
        <f>IF(OR(AND(AD198="Yes",COUNTIF('Trip Changes'!B:B,A198)&gt;0),AND(AD198="No",COUNTIF('Trip Changes'!B:B,A198)=0)),"OK","Check")</f>
        <v>OK</v>
      </c>
      <c r="BD198" t="str">
        <f t="shared" si="79"/>
        <v>OK</v>
      </c>
      <c r="BE198" t="str">
        <f t="shared" si="80"/>
        <v>OK</v>
      </c>
      <c r="BF198" t="str">
        <f t="shared" si="81"/>
        <v>OK</v>
      </c>
      <c r="BG198" t="str">
        <f t="shared" si="82"/>
        <v>OK</v>
      </c>
      <c r="BH198" t="str">
        <f t="shared" si="83"/>
        <v>OK</v>
      </c>
      <c r="BI198" t="str">
        <f t="shared" si="75"/>
        <v>OK</v>
      </c>
      <c r="BJ198" t="str">
        <f t="shared" si="76"/>
        <v>OK</v>
      </c>
      <c r="BK198" t="str">
        <f t="shared" si="77"/>
        <v>OK</v>
      </c>
    </row>
    <row r="199" spans="1:63">
      <c r="A199" s="16" t="s">
        <v>461</v>
      </c>
      <c r="B199" s="16" t="s">
        <v>462</v>
      </c>
      <c r="C199" s="16" t="s">
        <v>193</v>
      </c>
      <c r="D199" s="16" t="s">
        <v>248</v>
      </c>
      <c r="E199" s="16" t="s">
        <v>262</v>
      </c>
      <c r="F199" s="16" t="s">
        <v>178</v>
      </c>
      <c r="G199" s="15">
        <v>46116</v>
      </c>
      <c r="H199" s="15">
        <v>46144</v>
      </c>
      <c r="I199" s="15">
        <v>46152</v>
      </c>
      <c r="J199" s="15" t="s">
        <v>163</v>
      </c>
      <c r="K199" s="16" t="s">
        <v>193</v>
      </c>
      <c r="L199" t="s">
        <v>179</v>
      </c>
      <c r="M199" s="16" t="s">
        <v>152</v>
      </c>
      <c r="N199" s="16" t="s">
        <v>153</v>
      </c>
      <c r="O199" t="s">
        <v>1614</v>
      </c>
      <c r="P199" s="18">
        <v>19892</v>
      </c>
      <c r="Q199" s="21">
        <v>28</v>
      </c>
      <c r="R199" s="21" t="str">
        <f t="shared" si="63"/>
        <v>15-30 days</v>
      </c>
      <c r="S199" s="16" t="s">
        <v>145</v>
      </c>
      <c r="T199" s="16" t="s">
        <v>154</v>
      </c>
      <c r="U199" s="16" t="s">
        <v>187</v>
      </c>
      <c r="V199" t="str">
        <f>IF(U199="","",IFERROR(VLOOKUP(U199,Hotels!A:B,2,FALSE),"Not Found"))</f>
        <v>IHG Hotels &amp; Resorts</v>
      </c>
      <c r="W199" s="14">
        <v>1516.32</v>
      </c>
      <c r="X199" s="14">
        <v>0</v>
      </c>
      <c r="Y199" s="21">
        <v>7</v>
      </c>
      <c r="Z199" s="29">
        <f t="shared" si="64"/>
        <v>185.5842857142857</v>
      </c>
      <c r="AA199" s="14">
        <v>1299.0899999999999</v>
      </c>
      <c r="AB199" s="14">
        <v>64.84</v>
      </c>
      <c r="AC199" s="14">
        <v>2880.25</v>
      </c>
      <c r="AD199" s="16" t="s">
        <v>147</v>
      </c>
      <c r="AE199" s="16" t="s">
        <v>147</v>
      </c>
      <c r="AF199" s="14">
        <f>SUMIF('Trip Changes'!$B:$B,A199,'Trip Changes'!$E:$E)</f>
        <v>0</v>
      </c>
      <c r="AG199" s="23">
        <f>SUMIF('Trip Cancellations'!$B:$B,A199,'Trip Cancellations'!$E:$E)</f>
        <v>0</v>
      </c>
      <c r="AH199" s="14">
        <f>SUMIF('Trip Cancellations'!$B:$B,A199,'Trip Cancellations'!$F:$F)</f>
        <v>0</v>
      </c>
      <c r="AI199" s="14">
        <f t="shared" si="65"/>
        <v>2880.25</v>
      </c>
      <c r="AJ199" s="14" t="str">
        <f t="shared" si="66"/>
        <v>Yes</v>
      </c>
      <c r="AK199" s="14" t="str">
        <f>IF(Y199=0,"N/A",
IF(_xlfn.XLOOKUP(U199,Hotels!A:A,Hotels!C:C)=TRUE,"Yes","No"))</f>
        <v>Yes</v>
      </c>
      <c r="AL199" s="14" t="str">
        <f>IF(N199="Rail","N/A",IF(_xlfn.XLOOKUP(T199,Airlines!A:A,Airlines!C:C)=TRUE,"Yes","No"))</f>
        <v>Yes</v>
      </c>
      <c r="AM199" s="14" t="str">
        <f t="shared" si="67"/>
        <v>Yes</v>
      </c>
      <c r="AN199" s="14" t="str">
        <f t="shared" si="68"/>
        <v>Yes</v>
      </c>
      <c r="AO199" s="14" t="str">
        <f t="shared" si="69"/>
        <v>Yes</v>
      </c>
      <c r="AP199" s="16" t="s">
        <v>148</v>
      </c>
      <c r="AQ199" t="str">
        <f t="shared" si="70"/>
        <v>Yes</v>
      </c>
      <c r="AR199" s="21">
        <v>5</v>
      </c>
      <c r="AS199" s="5">
        <v>2983.8</v>
      </c>
      <c r="AT199" s="5" t="str">
        <f>IF(T199="","",_xlfn.XLOOKUP(T199,Airlines!A:A,Airlines!B:B,"Not Found"))</f>
        <v>British Airways</v>
      </c>
      <c r="AU199" s="5" t="str">
        <f>IF(U199="","",_xlfn.XLOOKUP(U199,Hotels!A:A,Hotels!B:B,"Not found"))</f>
        <v>IHG Hotels &amp; Resorts</v>
      </c>
      <c r="AV199" t="s">
        <v>147</v>
      </c>
      <c r="AW199" s="16" t="str">
        <f t="shared" si="71"/>
        <v>OK</v>
      </c>
      <c r="AX199" s="16" t="str">
        <f t="shared" si="72"/>
        <v>OK</v>
      </c>
      <c r="AY199" s="16" t="str">
        <f t="shared" si="73"/>
        <v>OK</v>
      </c>
      <c r="AZ199" s="16" t="str">
        <f t="shared" si="74"/>
        <v>OK</v>
      </c>
      <c r="BA199" s="16" t="str">
        <f t="shared" si="78"/>
        <v>OK</v>
      </c>
      <c r="BB199" s="21">
        <f>COUNTIF('Trip Changes'!B:B,A199)</f>
        <v>0</v>
      </c>
      <c r="BC199" s="16" t="str">
        <f>IF(OR(AND(AD199="Yes",COUNTIF('Trip Changes'!B:B,A199)&gt;0),AND(AD199="No",COUNTIF('Trip Changes'!B:B,A199)=0)),"OK","Check")</f>
        <v>OK</v>
      </c>
      <c r="BD199" t="str">
        <f t="shared" si="79"/>
        <v>OK</v>
      </c>
      <c r="BE199" t="str">
        <f t="shared" si="80"/>
        <v>OK</v>
      </c>
      <c r="BF199" t="str">
        <f t="shared" si="81"/>
        <v>OK</v>
      </c>
      <c r="BG199" t="str">
        <f t="shared" si="82"/>
        <v>OK</v>
      </c>
      <c r="BH199" t="str">
        <f t="shared" si="83"/>
        <v>OK</v>
      </c>
      <c r="BI199" t="str">
        <f t="shared" si="75"/>
        <v>OK</v>
      </c>
      <c r="BJ199" t="str">
        <f t="shared" si="76"/>
        <v>OK</v>
      </c>
      <c r="BK199" t="str">
        <f t="shared" si="77"/>
        <v>OK</v>
      </c>
    </row>
    <row r="200" spans="1:63">
      <c r="A200" s="16" t="s">
        <v>463</v>
      </c>
      <c r="B200" s="16" t="s">
        <v>462</v>
      </c>
      <c r="C200" s="16" t="s">
        <v>193</v>
      </c>
      <c r="D200" s="16" t="s">
        <v>248</v>
      </c>
      <c r="E200" s="16" t="s">
        <v>262</v>
      </c>
      <c r="F200" s="16" t="s">
        <v>162</v>
      </c>
      <c r="G200" s="15">
        <v>46173</v>
      </c>
      <c r="H200" s="15">
        <v>46184</v>
      </c>
      <c r="I200" s="15">
        <v>46189</v>
      </c>
      <c r="J200" s="15" t="s">
        <v>141</v>
      </c>
      <c r="K200" s="16" t="s">
        <v>193</v>
      </c>
      <c r="L200" t="s">
        <v>158</v>
      </c>
      <c r="M200" s="16" t="s">
        <v>152</v>
      </c>
      <c r="N200" s="16" t="s">
        <v>153</v>
      </c>
      <c r="O200" t="s">
        <v>1614</v>
      </c>
      <c r="P200" s="18">
        <v>3068</v>
      </c>
      <c r="Q200" s="21">
        <v>11</v>
      </c>
      <c r="R200" s="21" t="str">
        <f t="shared" si="63"/>
        <v>8-14 days</v>
      </c>
      <c r="S200" s="16" t="s">
        <v>145</v>
      </c>
      <c r="T200" s="16" t="s">
        <v>236</v>
      </c>
      <c r="U200" s="16" t="s">
        <v>187</v>
      </c>
      <c r="V200" t="str">
        <f>IF(U200="","",IFERROR(VLOOKUP(U200,Hotels!A:B,2,FALSE),"Not Found"))</f>
        <v>IHG Hotels &amp; Resorts</v>
      </c>
      <c r="W200" s="14">
        <v>250.32</v>
      </c>
      <c r="X200" s="14">
        <v>0</v>
      </c>
      <c r="Y200" s="21">
        <v>4</v>
      </c>
      <c r="Z200" s="29">
        <f t="shared" si="64"/>
        <v>211</v>
      </c>
      <c r="AA200" s="14">
        <v>844</v>
      </c>
      <c r="AB200" s="14">
        <v>74.77</v>
      </c>
      <c r="AC200" s="14">
        <v>1169.0899999999999</v>
      </c>
      <c r="AD200" s="16" t="s">
        <v>147</v>
      </c>
      <c r="AE200" s="16" t="s">
        <v>147</v>
      </c>
      <c r="AF200" s="14">
        <f>SUMIF('Trip Changes'!$B:$B,A200,'Trip Changes'!$E:$E)</f>
        <v>0</v>
      </c>
      <c r="AG200" s="23">
        <f>SUMIF('Trip Cancellations'!$B:$B,A200,'Trip Cancellations'!$E:$E)</f>
        <v>0</v>
      </c>
      <c r="AH200" s="14">
        <f>SUMIF('Trip Cancellations'!$B:$B,A200,'Trip Cancellations'!$F:$F)</f>
        <v>0</v>
      </c>
      <c r="AI200" s="14">
        <f t="shared" si="65"/>
        <v>1169.0899999999999</v>
      </c>
      <c r="AJ200" s="14" t="str">
        <f t="shared" si="66"/>
        <v>No</v>
      </c>
      <c r="AK200" s="14" t="str">
        <f>IF(Y200=0,"N/A",
IF(_xlfn.XLOOKUP(U200,Hotels!A:A,Hotels!C:C)=TRUE,"Yes","No"))</f>
        <v>Yes</v>
      </c>
      <c r="AL200" s="14" t="str">
        <f>IF(N200="Rail","N/A",IF(_xlfn.XLOOKUP(T200,Airlines!A:A,Airlines!C:C)=TRUE,"Yes","No"))</f>
        <v>Yes</v>
      </c>
      <c r="AM200" s="14" t="str">
        <f t="shared" si="67"/>
        <v>Yes</v>
      </c>
      <c r="AN200" s="14" t="str">
        <f t="shared" si="68"/>
        <v>Yes</v>
      </c>
      <c r="AO200" s="14" t="str">
        <f t="shared" si="69"/>
        <v>Yes</v>
      </c>
      <c r="AP200" s="16" t="s">
        <v>148</v>
      </c>
      <c r="AQ200" t="str">
        <f t="shared" si="70"/>
        <v>No</v>
      </c>
      <c r="AR200" s="21">
        <v>4</v>
      </c>
      <c r="AS200" s="5">
        <v>460.2</v>
      </c>
      <c r="AT200" s="5" t="str">
        <f>IF(T200="","",_xlfn.XLOOKUP(T200,Airlines!A:A,Airlines!B:B,"Not Found"))</f>
        <v>KLM</v>
      </c>
      <c r="AU200" s="5" t="str">
        <f>IF(U200="","",_xlfn.XLOOKUP(U200,Hotels!A:A,Hotels!B:B,"Not found"))</f>
        <v>IHG Hotels &amp; Resorts</v>
      </c>
      <c r="AV200" t="s">
        <v>147</v>
      </c>
      <c r="AW200" s="16" t="str">
        <f t="shared" si="71"/>
        <v>OK</v>
      </c>
      <c r="AX200" s="16" t="str">
        <f t="shared" si="72"/>
        <v>OK</v>
      </c>
      <c r="AY200" s="16" t="str">
        <f t="shared" si="73"/>
        <v>OK</v>
      </c>
      <c r="AZ200" s="16" t="str">
        <f t="shared" si="74"/>
        <v>OK</v>
      </c>
      <c r="BA200" s="16" t="str">
        <f t="shared" si="78"/>
        <v>OK</v>
      </c>
      <c r="BB200" s="21">
        <f>COUNTIF('Trip Changes'!B:B,A200)</f>
        <v>0</v>
      </c>
      <c r="BC200" s="16" t="str">
        <f>IF(OR(AND(AD200="Yes",COUNTIF('Trip Changes'!B:B,A200)&gt;0),AND(AD200="No",COUNTIF('Trip Changes'!B:B,A200)=0)),"OK","Check")</f>
        <v>OK</v>
      </c>
      <c r="BD200" t="str">
        <f t="shared" si="79"/>
        <v>OK</v>
      </c>
      <c r="BE200" t="str">
        <f t="shared" si="80"/>
        <v>OK</v>
      </c>
      <c r="BF200" t="str">
        <f t="shared" si="81"/>
        <v>OK</v>
      </c>
      <c r="BG200" t="str">
        <f t="shared" si="82"/>
        <v>OK</v>
      </c>
      <c r="BH200" t="str">
        <f t="shared" si="83"/>
        <v>OK</v>
      </c>
      <c r="BI200" t="str">
        <f t="shared" si="75"/>
        <v>OK</v>
      </c>
      <c r="BJ200" t="str">
        <f t="shared" si="76"/>
        <v>OK</v>
      </c>
      <c r="BK200" t="str">
        <f t="shared" si="77"/>
        <v>OK</v>
      </c>
    </row>
    <row r="201" spans="1:63">
      <c r="A201" s="16" t="s">
        <v>464</v>
      </c>
      <c r="B201" s="16" t="s">
        <v>462</v>
      </c>
      <c r="C201" s="16" t="s">
        <v>193</v>
      </c>
      <c r="D201" s="16" t="s">
        <v>248</v>
      </c>
      <c r="E201" s="16" t="s">
        <v>262</v>
      </c>
      <c r="F201" s="16" t="s">
        <v>189</v>
      </c>
      <c r="G201" s="15">
        <v>46183</v>
      </c>
      <c r="H201" s="15">
        <v>46202</v>
      </c>
      <c r="I201" s="15">
        <v>46206</v>
      </c>
      <c r="J201" s="15" t="s">
        <v>141</v>
      </c>
      <c r="K201" s="16" t="s">
        <v>193</v>
      </c>
      <c r="L201" t="s">
        <v>185</v>
      </c>
      <c r="M201" s="16" t="s">
        <v>152</v>
      </c>
      <c r="N201" s="16" t="s">
        <v>153</v>
      </c>
      <c r="O201" t="s">
        <v>1614</v>
      </c>
      <c r="P201" s="18">
        <v>12414</v>
      </c>
      <c r="Q201" s="21">
        <v>19</v>
      </c>
      <c r="R201" s="21" t="str">
        <f t="shared" si="63"/>
        <v>15-30 days</v>
      </c>
      <c r="S201" s="16" t="s">
        <v>145</v>
      </c>
      <c r="T201" s="16" t="s">
        <v>186</v>
      </c>
      <c r="U201" s="16" t="s">
        <v>187</v>
      </c>
      <c r="V201" t="str">
        <f>IF(U201="","",IFERROR(VLOOKUP(U201,Hotels!A:B,2,FALSE),"Not Found"))</f>
        <v>IHG Hotels &amp; Resorts</v>
      </c>
      <c r="W201" s="14">
        <v>838.43</v>
      </c>
      <c r="X201" s="14">
        <v>0</v>
      </c>
      <c r="Y201" s="21">
        <v>3</v>
      </c>
      <c r="Z201" s="29">
        <f t="shared" si="64"/>
        <v>217.09333333333333</v>
      </c>
      <c r="AA201" s="14">
        <v>651.28</v>
      </c>
      <c r="AB201" s="14">
        <v>148.6</v>
      </c>
      <c r="AC201" s="14">
        <v>1638.31</v>
      </c>
      <c r="AD201" s="16" t="s">
        <v>147</v>
      </c>
      <c r="AE201" s="16" t="s">
        <v>147</v>
      </c>
      <c r="AF201" s="14">
        <f>SUMIF('Trip Changes'!$B:$B,A201,'Trip Changes'!$E:$E)</f>
        <v>0</v>
      </c>
      <c r="AG201" s="23">
        <f>SUMIF('Trip Cancellations'!$B:$B,A201,'Trip Cancellations'!$E:$E)</f>
        <v>0</v>
      </c>
      <c r="AH201" s="14">
        <f>SUMIF('Trip Cancellations'!$B:$B,A201,'Trip Cancellations'!$F:$F)</f>
        <v>0</v>
      </c>
      <c r="AI201" s="14">
        <f t="shared" si="65"/>
        <v>1638.31</v>
      </c>
      <c r="AJ201" s="14" t="str">
        <f t="shared" si="66"/>
        <v>Yes</v>
      </c>
      <c r="AK201" s="14" t="str">
        <f>IF(Y201=0,"N/A",
IF(_xlfn.XLOOKUP(U201,Hotels!A:A,Hotels!C:C)=TRUE,"Yes","No"))</f>
        <v>Yes</v>
      </c>
      <c r="AL201" s="14" t="str">
        <f>IF(N201="Rail","N/A",IF(_xlfn.XLOOKUP(T201,Airlines!A:A,Airlines!C:C)=TRUE,"Yes","No"))</f>
        <v>Yes</v>
      </c>
      <c r="AM201" s="14" t="str">
        <f t="shared" si="67"/>
        <v>Yes</v>
      </c>
      <c r="AN201" s="14" t="str">
        <f t="shared" si="68"/>
        <v>Yes</v>
      </c>
      <c r="AO201" s="14" t="str">
        <f t="shared" si="69"/>
        <v>Yes</v>
      </c>
      <c r="AP201" s="16" t="s">
        <v>148</v>
      </c>
      <c r="AQ201" t="str">
        <f t="shared" si="70"/>
        <v>Yes</v>
      </c>
      <c r="AR201" s="21">
        <v>5</v>
      </c>
      <c r="AS201" s="5">
        <v>1862.1</v>
      </c>
      <c r="AT201" s="5" t="str">
        <f>IF(T201="","",_xlfn.XLOOKUP(T201,Airlines!A:A,Airlines!B:B,"Not Found"))</f>
        <v>Virgin Atlantic</v>
      </c>
      <c r="AU201" s="5" t="str">
        <f>IF(U201="","",_xlfn.XLOOKUP(U201,Hotels!A:A,Hotels!B:B,"Not found"))</f>
        <v>IHG Hotels &amp; Resorts</v>
      </c>
      <c r="AV201" t="s">
        <v>148</v>
      </c>
      <c r="AW201" s="16" t="str">
        <f t="shared" si="71"/>
        <v>OK</v>
      </c>
      <c r="AX201" s="16" t="str">
        <f t="shared" si="72"/>
        <v>OK</v>
      </c>
      <c r="AY201" s="16" t="str">
        <f t="shared" si="73"/>
        <v>OK</v>
      </c>
      <c r="AZ201" s="16" t="str">
        <f t="shared" si="74"/>
        <v>OK</v>
      </c>
      <c r="BA201" s="16" t="str">
        <f t="shared" si="78"/>
        <v>OK</v>
      </c>
      <c r="BB201" s="21">
        <f>COUNTIF('Trip Changes'!B:B,A201)</f>
        <v>0</v>
      </c>
      <c r="BC201" s="16" t="str">
        <f>IF(OR(AND(AD201="Yes",COUNTIF('Trip Changes'!B:B,A201)&gt;0),AND(AD201="No",COUNTIF('Trip Changes'!B:B,A201)=0)),"OK","Check")</f>
        <v>OK</v>
      </c>
      <c r="BD201" t="str">
        <f t="shared" si="79"/>
        <v>OK</v>
      </c>
      <c r="BE201" t="str">
        <f t="shared" si="80"/>
        <v>OK</v>
      </c>
      <c r="BF201" t="str">
        <f t="shared" si="81"/>
        <v>OK</v>
      </c>
      <c r="BG201" t="str">
        <f t="shared" si="82"/>
        <v>OK</v>
      </c>
      <c r="BH201" t="str">
        <f t="shared" si="83"/>
        <v>OK</v>
      </c>
      <c r="BI201" t="str">
        <f t="shared" si="75"/>
        <v>OK</v>
      </c>
      <c r="BJ201" t="str">
        <f t="shared" si="76"/>
        <v>OK</v>
      </c>
      <c r="BK201" t="str">
        <f t="shared" si="77"/>
        <v>OK</v>
      </c>
    </row>
    <row r="202" spans="1:63">
      <c r="A202" s="16" t="s">
        <v>465</v>
      </c>
      <c r="B202" s="16" t="s">
        <v>466</v>
      </c>
      <c r="C202" s="16" t="s">
        <v>167</v>
      </c>
      <c r="D202" s="16" t="s">
        <v>168</v>
      </c>
      <c r="E202" s="16" t="s">
        <v>249</v>
      </c>
      <c r="F202" s="16" t="s">
        <v>157</v>
      </c>
      <c r="G202" s="15">
        <v>46163</v>
      </c>
      <c r="H202" s="15">
        <v>46184</v>
      </c>
      <c r="I202" s="15">
        <v>46187</v>
      </c>
      <c r="J202" s="15" t="s">
        <v>141</v>
      </c>
      <c r="K202" s="16" t="s">
        <v>167</v>
      </c>
      <c r="L202" t="s">
        <v>182</v>
      </c>
      <c r="M202" s="16" t="s">
        <v>143</v>
      </c>
      <c r="N202" s="16" t="s">
        <v>144</v>
      </c>
      <c r="O202" t="s">
        <v>1633</v>
      </c>
      <c r="P202" s="18">
        <v>868</v>
      </c>
      <c r="Q202" s="21">
        <v>21</v>
      </c>
      <c r="R202" s="21" t="str">
        <f t="shared" si="63"/>
        <v>15-30 days</v>
      </c>
      <c r="S202" s="16" t="s">
        <v>207</v>
      </c>
      <c r="U202" s="16" t="s">
        <v>155</v>
      </c>
      <c r="V202" t="str">
        <f>IF(U202="","",IFERROR(VLOOKUP(U202,Hotels!A:B,2,FALSE),"Not Found"))</f>
        <v>Hilton</v>
      </c>
      <c r="W202" s="14">
        <v>0</v>
      </c>
      <c r="X202" s="14">
        <v>276.70999999999998</v>
      </c>
      <c r="Y202" s="21">
        <v>2</v>
      </c>
      <c r="Z202" s="29">
        <f t="shared" si="64"/>
        <v>142.35499999999999</v>
      </c>
      <c r="AA202" s="14">
        <v>284.70999999999998</v>
      </c>
      <c r="AB202" s="14">
        <v>61.9</v>
      </c>
      <c r="AC202" s="14">
        <v>623.32000000000005</v>
      </c>
      <c r="AD202" s="16" t="s">
        <v>147</v>
      </c>
      <c r="AE202" s="16" t="s">
        <v>147</v>
      </c>
      <c r="AF202" s="14">
        <f>SUMIF('Trip Changes'!$B:$B,A202,'Trip Changes'!$E:$E)</f>
        <v>0</v>
      </c>
      <c r="AG202" s="23">
        <f>SUMIF('Trip Cancellations'!$B:$B,A202,'Trip Cancellations'!$E:$E)</f>
        <v>0</v>
      </c>
      <c r="AH202" s="14">
        <f>SUMIF('Trip Cancellations'!$B:$B,A202,'Trip Cancellations'!$F:$F)</f>
        <v>0</v>
      </c>
      <c r="AI202" s="14">
        <f t="shared" si="65"/>
        <v>623.32000000000005</v>
      </c>
      <c r="AJ202" s="14" t="str">
        <f t="shared" si="66"/>
        <v>Yes</v>
      </c>
      <c r="AK202" s="14" t="str">
        <f>IF(Y202=0,"N/A",
IF(_xlfn.XLOOKUP(U202,Hotels!A:A,Hotels!C:C)=TRUE,"Yes","No"))</f>
        <v>Yes</v>
      </c>
      <c r="AL202" s="14" t="str">
        <f>IF(N202="Rail","N/A",IF(_xlfn.XLOOKUP(T202,Airlines!A:A,Airlines!C:C)=TRUE,"Yes","No"))</f>
        <v>N/A</v>
      </c>
      <c r="AM202" s="14" t="str">
        <f t="shared" si="67"/>
        <v>No</v>
      </c>
      <c r="AN202" s="14" t="str">
        <f t="shared" si="68"/>
        <v>No</v>
      </c>
      <c r="AO202" s="14" t="str">
        <f t="shared" si="69"/>
        <v>Yes</v>
      </c>
      <c r="AP202" s="16" t="s">
        <v>148</v>
      </c>
      <c r="AQ202" t="str">
        <f t="shared" si="70"/>
        <v>No</v>
      </c>
      <c r="AR202" s="21">
        <v>5</v>
      </c>
      <c r="AS202" s="5">
        <v>34.700000000000003</v>
      </c>
      <c r="AT202" s="5" t="str">
        <f>IF(T202="","",_xlfn.XLOOKUP(T202,Airlines!A:A,Airlines!B:B,"Not Found"))</f>
        <v/>
      </c>
      <c r="AU202" s="5" t="str">
        <f>IF(U202="","",_xlfn.XLOOKUP(U202,Hotels!A:A,Hotels!B:B,"Not found"))</f>
        <v>Hilton</v>
      </c>
      <c r="AV202" t="s">
        <v>148</v>
      </c>
      <c r="AW202" s="16" t="str">
        <f t="shared" si="71"/>
        <v>OK</v>
      </c>
      <c r="AX202" s="16" t="str">
        <f t="shared" si="72"/>
        <v>OK</v>
      </c>
      <c r="AY202" s="16" t="str">
        <f t="shared" si="73"/>
        <v>OK</v>
      </c>
      <c r="AZ202" s="16" t="str">
        <f t="shared" si="74"/>
        <v>OK</v>
      </c>
      <c r="BA202" s="16" t="str">
        <f t="shared" si="78"/>
        <v>OK</v>
      </c>
      <c r="BB202" s="21">
        <f>COUNTIF('Trip Changes'!B:B,A202)</f>
        <v>0</v>
      </c>
      <c r="BC202" s="16" t="str">
        <f>IF(OR(AND(AD202="Yes",COUNTIF('Trip Changes'!B:B,A202)&gt;0),AND(AD202="No",COUNTIF('Trip Changes'!B:B,A202)=0)),"OK","Check")</f>
        <v>OK</v>
      </c>
      <c r="BD202" t="str">
        <f t="shared" si="79"/>
        <v>OK</v>
      </c>
      <c r="BE202" t="str">
        <f t="shared" si="80"/>
        <v>OK</v>
      </c>
      <c r="BF202" t="str">
        <f t="shared" si="81"/>
        <v>OK</v>
      </c>
      <c r="BG202" t="str">
        <f t="shared" si="82"/>
        <v>OK</v>
      </c>
      <c r="BH202" t="str">
        <f t="shared" si="83"/>
        <v>OK</v>
      </c>
      <c r="BI202" t="str">
        <f t="shared" si="75"/>
        <v>OK</v>
      </c>
      <c r="BJ202" t="str">
        <f t="shared" si="76"/>
        <v>OK</v>
      </c>
      <c r="BK202" t="str">
        <f t="shared" si="77"/>
        <v>OK</v>
      </c>
    </row>
    <row r="203" spans="1:63">
      <c r="A203" s="16" t="s">
        <v>467</v>
      </c>
      <c r="B203" s="16" t="s">
        <v>466</v>
      </c>
      <c r="C203" s="16" t="s">
        <v>167</v>
      </c>
      <c r="D203" s="16" t="s">
        <v>168</v>
      </c>
      <c r="E203" s="16" t="s">
        <v>249</v>
      </c>
      <c r="F203" s="16" t="s">
        <v>162</v>
      </c>
      <c r="G203" s="15">
        <v>46168</v>
      </c>
      <c r="H203" s="15">
        <v>46174</v>
      </c>
      <c r="I203" s="15">
        <v>46178</v>
      </c>
      <c r="J203" s="15" t="s">
        <v>141</v>
      </c>
      <c r="K203" s="16" t="s">
        <v>167</v>
      </c>
      <c r="L203" t="s">
        <v>305</v>
      </c>
      <c r="M203" s="16" t="s">
        <v>152</v>
      </c>
      <c r="N203" s="16" t="s">
        <v>153</v>
      </c>
      <c r="O203" t="s">
        <v>1614</v>
      </c>
      <c r="P203" s="18">
        <v>11962</v>
      </c>
      <c r="Q203" s="21">
        <v>6</v>
      </c>
      <c r="R203" s="21" t="str">
        <f t="shared" si="63"/>
        <v>4-7 days</v>
      </c>
      <c r="S203" s="16" t="s">
        <v>145</v>
      </c>
      <c r="T203" s="16" t="s">
        <v>278</v>
      </c>
      <c r="U203" s="16" t="s">
        <v>164</v>
      </c>
      <c r="V203" t="str">
        <f>IF(U203="","",IFERROR(VLOOKUP(U203,Hotels!A:B,2,FALSE),"Not Found"))</f>
        <v>Marriott</v>
      </c>
      <c r="W203" s="14">
        <v>651.74</v>
      </c>
      <c r="X203" s="14">
        <v>0</v>
      </c>
      <c r="Y203" s="21">
        <v>3</v>
      </c>
      <c r="Z203" s="29">
        <f t="shared" si="64"/>
        <v>184.05999999999997</v>
      </c>
      <c r="AA203" s="14">
        <v>552.17999999999995</v>
      </c>
      <c r="AB203" s="14">
        <v>64.28</v>
      </c>
      <c r="AC203" s="14">
        <v>1268.2</v>
      </c>
      <c r="AD203" s="16" t="s">
        <v>147</v>
      </c>
      <c r="AE203" s="16" t="s">
        <v>147</v>
      </c>
      <c r="AF203" s="14">
        <f>SUMIF('Trip Changes'!$B:$B,A203,'Trip Changes'!$E:$E)</f>
        <v>0</v>
      </c>
      <c r="AG203" s="23">
        <f>SUMIF('Trip Cancellations'!$B:$B,A203,'Trip Cancellations'!$E:$E)</f>
        <v>0</v>
      </c>
      <c r="AH203" s="14">
        <f>SUMIF('Trip Cancellations'!$B:$B,A203,'Trip Cancellations'!$F:$F)</f>
        <v>0</v>
      </c>
      <c r="AI203" s="14">
        <f t="shared" si="65"/>
        <v>1268.2</v>
      </c>
      <c r="AJ203" s="14" t="str">
        <f t="shared" si="66"/>
        <v>No</v>
      </c>
      <c r="AK203" s="14" t="str">
        <f>IF(Y203=0,"N/A",
IF(_xlfn.XLOOKUP(U203,Hotels!A:A,Hotels!C:C)=TRUE,"Yes","No"))</f>
        <v>Yes</v>
      </c>
      <c r="AL203" s="14" t="str">
        <f>IF(N203="Rail","N/A",IF(_xlfn.XLOOKUP(T203,Airlines!A:A,Airlines!C:C)=TRUE,"Yes","No"))</f>
        <v>No</v>
      </c>
      <c r="AM203" s="14" t="str">
        <f t="shared" si="67"/>
        <v>Yes</v>
      </c>
      <c r="AN203" s="14" t="str">
        <f t="shared" si="68"/>
        <v>Yes</v>
      </c>
      <c r="AO203" s="14" t="str">
        <f t="shared" si="69"/>
        <v>No</v>
      </c>
      <c r="AP203" s="16" t="s">
        <v>148</v>
      </c>
      <c r="AQ203" t="str">
        <f t="shared" si="70"/>
        <v>No</v>
      </c>
      <c r="AR203" s="21">
        <v>4</v>
      </c>
      <c r="AS203" s="5">
        <v>1794.3</v>
      </c>
      <c r="AT203" s="5" t="str">
        <f>IF(T203="","",_xlfn.XLOOKUP(T203,Airlines!A:A,Airlines!B:B,"Not Found"))</f>
        <v>United Airlines</v>
      </c>
      <c r="AU203" s="5" t="str">
        <f>IF(U203="","",_xlfn.XLOOKUP(U203,Hotels!A:A,Hotels!B:B,"Not found"))</f>
        <v>Marriott</v>
      </c>
      <c r="AV203" t="s">
        <v>148</v>
      </c>
      <c r="AW203" s="16" t="str">
        <f t="shared" si="71"/>
        <v>OK</v>
      </c>
      <c r="AX203" s="16" t="str">
        <f t="shared" si="72"/>
        <v>OK</v>
      </c>
      <c r="AY203" s="16" t="str">
        <f t="shared" si="73"/>
        <v>OK</v>
      </c>
      <c r="AZ203" s="16" t="str">
        <f t="shared" si="74"/>
        <v>OK</v>
      </c>
      <c r="BA203" s="16" t="str">
        <f t="shared" si="78"/>
        <v>OK</v>
      </c>
      <c r="BB203" s="21">
        <f>COUNTIF('Trip Changes'!B:B,A203)</f>
        <v>0</v>
      </c>
      <c r="BC203" s="16" t="str">
        <f>IF(OR(AND(AD203="Yes",COUNTIF('Trip Changes'!B:B,A203)&gt;0),AND(AD203="No",COUNTIF('Trip Changes'!B:B,A203)=0)),"OK","Check")</f>
        <v>OK</v>
      </c>
      <c r="BD203" t="str">
        <f t="shared" si="79"/>
        <v>OK</v>
      </c>
      <c r="BE203" t="str">
        <f t="shared" si="80"/>
        <v>OK</v>
      </c>
      <c r="BF203" t="str">
        <f t="shared" si="81"/>
        <v>OK</v>
      </c>
      <c r="BG203" t="str">
        <f t="shared" si="82"/>
        <v>OK</v>
      </c>
      <c r="BH203" t="str">
        <f t="shared" si="83"/>
        <v>OK</v>
      </c>
      <c r="BI203" t="str">
        <f t="shared" si="75"/>
        <v>OK</v>
      </c>
      <c r="BJ203" t="str">
        <f t="shared" si="76"/>
        <v>OK</v>
      </c>
      <c r="BK203" t="str">
        <f t="shared" si="77"/>
        <v>OK</v>
      </c>
    </row>
    <row r="204" spans="1:63">
      <c r="A204" s="16" t="s">
        <v>468</v>
      </c>
      <c r="B204" s="16" t="s">
        <v>466</v>
      </c>
      <c r="C204" s="16" t="s">
        <v>167</v>
      </c>
      <c r="D204" s="16" t="s">
        <v>168</v>
      </c>
      <c r="E204" s="16" t="s">
        <v>249</v>
      </c>
      <c r="F204" s="16" t="s">
        <v>170</v>
      </c>
      <c r="G204" s="15">
        <v>46146</v>
      </c>
      <c r="H204" s="15">
        <v>46161</v>
      </c>
      <c r="I204" s="15">
        <v>46166</v>
      </c>
      <c r="J204" s="15" t="s">
        <v>163</v>
      </c>
      <c r="K204" s="16" t="s">
        <v>167</v>
      </c>
      <c r="L204" t="s">
        <v>151</v>
      </c>
      <c r="M204" s="16" t="s">
        <v>152</v>
      </c>
      <c r="N204" s="16" t="s">
        <v>153</v>
      </c>
      <c r="O204" t="s">
        <v>1614</v>
      </c>
      <c r="P204" s="18">
        <v>3524</v>
      </c>
      <c r="Q204" s="21">
        <v>15</v>
      </c>
      <c r="R204" s="21" t="str">
        <f t="shared" si="63"/>
        <v>15-30 days</v>
      </c>
      <c r="S204" s="16" t="s">
        <v>145</v>
      </c>
      <c r="T204" s="16" t="s">
        <v>172</v>
      </c>
      <c r="U204" s="16" t="s">
        <v>173</v>
      </c>
      <c r="V204" t="str">
        <f>IF(U204="","",IFERROR(VLOOKUP(U204,Hotels!A:B,2,FALSE),"Not Found"))</f>
        <v>Accor</v>
      </c>
      <c r="W204" s="14">
        <v>323.08</v>
      </c>
      <c r="X204" s="14">
        <v>0</v>
      </c>
      <c r="Y204" s="21">
        <v>4</v>
      </c>
      <c r="Z204" s="29">
        <f t="shared" si="64"/>
        <v>211.97499999999999</v>
      </c>
      <c r="AA204" s="14">
        <v>847.9</v>
      </c>
      <c r="AB204" s="14">
        <v>96.92</v>
      </c>
      <c r="AC204" s="14">
        <v>1267.9000000000001</v>
      </c>
      <c r="AD204" s="16" t="s">
        <v>148</v>
      </c>
      <c r="AE204" s="16" t="s">
        <v>148</v>
      </c>
      <c r="AF204" s="14">
        <f>SUMIF('Trip Changes'!$B:$B,A204,'Trip Changes'!$E:$E)</f>
        <v>154.64999999999998</v>
      </c>
      <c r="AG204" s="23">
        <f>SUMIF('Trip Cancellations'!$B:$B,A204,'Trip Cancellations'!$E:$E)</f>
        <v>74.67</v>
      </c>
      <c r="AH204" s="14">
        <f>SUMIF('Trip Cancellations'!$B:$B,A204,'Trip Cancellations'!$F:$F)</f>
        <v>585.49</v>
      </c>
      <c r="AI204" s="14">
        <f t="shared" si="65"/>
        <v>911.73000000000025</v>
      </c>
      <c r="AJ204" s="14" t="str">
        <f t="shared" si="66"/>
        <v>No</v>
      </c>
      <c r="AK204" s="14" t="str">
        <f>IF(Y204=0,"N/A",
IF(_xlfn.XLOOKUP(U204,Hotels!A:A,Hotels!C:C)=TRUE,"Yes","No"))</f>
        <v>Yes</v>
      </c>
      <c r="AL204" s="14" t="str">
        <f>IF(N204="Rail","N/A",IF(_xlfn.XLOOKUP(T204,Airlines!A:A,Airlines!C:C)=TRUE,"Yes","No"))</f>
        <v>Yes</v>
      </c>
      <c r="AM204" s="14" t="str">
        <f t="shared" si="67"/>
        <v>Yes</v>
      </c>
      <c r="AN204" s="14" t="str">
        <f t="shared" si="68"/>
        <v>Yes</v>
      </c>
      <c r="AO204" s="14" t="str">
        <f t="shared" si="69"/>
        <v>Yes</v>
      </c>
      <c r="AP204" s="16" t="s">
        <v>148</v>
      </c>
      <c r="AQ204" t="str">
        <f t="shared" si="70"/>
        <v>No</v>
      </c>
      <c r="AR204" s="21">
        <v>2</v>
      </c>
      <c r="AS204" s="5">
        <v>528.6</v>
      </c>
      <c r="AT204" s="5" t="str">
        <f>IF(T204="","",_xlfn.XLOOKUP(T204,Airlines!A:A,Airlines!B:B,"Not Found"))</f>
        <v>Lufthansa</v>
      </c>
      <c r="AU204" s="5" t="str">
        <f>IF(U204="","",_xlfn.XLOOKUP(U204,Hotels!A:A,Hotels!B:B,"Not found"))</f>
        <v>Accor</v>
      </c>
      <c r="AV204" t="s">
        <v>148</v>
      </c>
      <c r="AW204" s="16" t="str">
        <f t="shared" si="71"/>
        <v>OK</v>
      </c>
      <c r="AX204" s="16" t="str">
        <f t="shared" si="72"/>
        <v>OK</v>
      </c>
      <c r="AY204" s="16" t="str">
        <f t="shared" si="73"/>
        <v>OK</v>
      </c>
      <c r="AZ204" s="16" t="str">
        <f t="shared" si="74"/>
        <v>OK</v>
      </c>
      <c r="BA204" s="16" t="str">
        <f t="shared" si="78"/>
        <v>OK</v>
      </c>
      <c r="BB204" s="21">
        <f>COUNTIF('Trip Changes'!B:B,A204)</f>
        <v>2</v>
      </c>
      <c r="BC204" s="16" t="str">
        <f>IF(OR(AND(AD204="Yes",COUNTIF('Trip Changes'!B:B,A204)&gt;0),AND(AD204="No",COUNTIF('Trip Changes'!B:B,A204)=0)),"OK","Check")</f>
        <v>OK</v>
      </c>
      <c r="BD204" t="str">
        <f t="shared" si="79"/>
        <v>OK</v>
      </c>
      <c r="BE204" t="str">
        <f t="shared" si="80"/>
        <v>OK</v>
      </c>
      <c r="BF204" t="str">
        <f t="shared" si="81"/>
        <v>OK</v>
      </c>
      <c r="BG204" t="str">
        <f t="shared" si="82"/>
        <v>OK</v>
      </c>
      <c r="BH204" t="str">
        <f t="shared" si="83"/>
        <v>OK</v>
      </c>
      <c r="BI204" t="str">
        <f t="shared" si="75"/>
        <v>OK</v>
      </c>
      <c r="BJ204" t="str">
        <f t="shared" si="76"/>
        <v>OK</v>
      </c>
      <c r="BK204" t="str">
        <f t="shared" si="77"/>
        <v>OK</v>
      </c>
    </row>
    <row r="205" spans="1:63">
      <c r="A205" s="16" t="s">
        <v>469</v>
      </c>
      <c r="B205" s="16" t="s">
        <v>466</v>
      </c>
      <c r="C205" s="16" t="s">
        <v>167</v>
      </c>
      <c r="D205" s="16" t="s">
        <v>168</v>
      </c>
      <c r="E205" s="16" t="s">
        <v>249</v>
      </c>
      <c r="F205" s="16" t="s">
        <v>162</v>
      </c>
      <c r="G205" s="15">
        <v>46178</v>
      </c>
      <c r="H205" s="15">
        <v>46204</v>
      </c>
      <c r="I205" s="15">
        <v>46209</v>
      </c>
      <c r="J205" s="15" t="s">
        <v>150</v>
      </c>
      <c r="K205" s="16" t="s">
        <v>167</v>
      </c>
      <c r="L205" t="s">
        <v>283</v>
      </c>
      <c r="M205" s="16" t="s">
        <v>152</v>
      </c>
      <c r="N205" s="16" t="s">
        <v>153</v>
      </c>
      <c r="O205" t="s">
        <v>1614</v>
      </c>
      <c r="P205" s="18">
        <v>10902</v>
      </c>
      <c r="Q205" s="21">
        <v>26</v>
      </c>
      <c r="R205" s="21" t="str">
        <f t="shared" si="63"/>
        <v>15-30 days</v>
      </c>
      <c r="S205" s="16" t="s">
        <v>145</v>
      </c>
      <c r="T205" s="16" t="s">
        <v>154</v>
      </c>
      <c r="U205" s="16" t="s">
        <v>155</v>
      </c>
      <c r="V205" t="str">
        <f>IF(U205="","",IFERROR(VLOOKUP(U205,Hotels!A:B,2,FALSE),"Not Found"))</f>
        <v>Hilton</v>
      </c>
      <c r="W205" s="14">
        <v>1057.9000000000001</v>
      </c>
      <c r="X205" s="14">
        <v>0</v>
      </c>
      <c r="Y205" s="21">
        <v>4</v>
      </c>
      <c r="Z205" s="29">
        <f t="shared" si="64"/>
        <v>223.64250000000001</v>
      </c>
      <c r="AA205" s="14">
        <v>894.57</v>
      </c>
      <c r="AB205" s="14">
        <v>66.52</v>
      </c>
      <c r="AC205" s="14">
        <v>2018.99</v>
      </c>
      <c r="AD205" s="16" t="s">
        <v>147</v>
      </c>
      <c r="AE205" s="16" t="s">
        <v>147</v>
      </c>
      <c r="AF205" s="14">
        <f>SUMIF('Trip Changes'!$B:$B,A205,'Trip Changes'!$E:$E)</f>
        <v>0</v>
      </c>
      <c r="AG205" s="23">
        <f>SUMIF('Trip Cancellations'!$B:$B,A205,'Trip Cancellations'!$E:$E)</f>
        <v>0</v>
      </c>
      <c r="AH205" s="14">
        <f>SUMIF('Trip Cancellations'!$B:$B,A205,'Trip Cancellations'!$F:$F)</f>
        <v>0</v>
      </c>
      <c r="AI205" s="14">
        <f t="shared" si="65"/>
        <v>2018.99</v>
      </c>
      <c r="AJ205" s="14" t="str">
        <f t="shared" si="66"/>
        <v>No</v>
      </c>
      <c r="AK205" s="14" t="str">
        <f>IF(Y205=0,"N/A",
IF(_xlfn.XLOOKUP(U205,Hotels!A:A,Hotels!C:C)=TRUE,"Yes","No"))</f>
        <v>Yes</v>
      </c>
      <c r="AL205" s="14" t="str">
        <f>IF(N205="Rail","N/A",IF(_xlfn.XLOOKUP(T205,Airlines!A:A,Airlines!C:C)=TRUE,"Yes","No"))</f>
        <v>Yes</v>
      </c>
      <c r="AM205" s="14" t="str">
        <f t="shared" si="67"/>
        <v>Yes</v>
      </c>
      <c r="AN205" s="14" t="str">
        <f t="shared" si="68"/>
        <v>Yes</v>
      </c>
      <c r="AO205" s="14" t="str">
        <f t="shared" si="69"/>
        <v>Yes</v>
      </c>
      <c r="AP205" s="16" t="s">
        <v>148</v>
      </c>
      <c r="AQ205" t="str">
        <f t="shared" si="70"/>
        <v>No</v>
      </c>
      <c r="AR205" s="21">
        <v>5</v>
      </c>
      <c r="AS205" s="5">
        <v>1635.3</v>
      </c>
      <c r="AT205" s="5" t="str">
        <f>IF(T205="","",_xlfn.XLOOKUP(T205,Airlines!A:A,Airlines!B:B,"Not Found"))</f>
        <v>British Airways</v>
      </c>
      <c r="AU205" s="5" t="str">
        <f>IF(U205="","",_xlfn.XLOOKUP(U205,Hotels!A:A,Hotels!B:B,"Not found"))</f>
        <v>Hilton</v>
      </c>
      <c r="AV205" t="s">
        <v>148</v>
      </c>
      <c r="AW205" s="16" t="str">
        <f t="shared" si="71"/>
        <v>OK</v>
      </c>
      <c r="AX205" s="16" t="str">
        <f t="shared" si="72"/>
        <v>OK</v>
      </c>
      <c r="AY205" s="16" t="str">
        <f t="shared" si="73"/>
        <v>OK</v>
      </c>
      <c r="AZ205" s="16" t="str">
        <f t="shared" si="74"/>
        <v>OK</v>
      </c>
      <c r="BA205" s="16" t="str">
        <f t="shared" si="78"/>
        <v>OK</v>
      </c>
      <c r="BB205" s="21">
        <f>COUNTIF('Trip Changes'!B:B,A205)</f>
        <v>0</v>
      </c>
      <c r="BC205" s="16" t="str">
        <f>IF(OR(AND(AD205="Yes",COUNTIF('Trip Changes'!B:B,A205)&gt;0),AND(AD205="No",COUNTIF('Trip Changes'!B:B,A205)=0)),"OK","Check")</f>
        <v>OK</v>
      </c>
      <c r="BD205" t="str">
        <f t="shared" si="79"/>
        <v>OK</v>
      </c>
      <c r="BE205" t="str">
        <f t="shared" si="80"/>
        <v>OK</v>
      </c>
      <c r="BF205" t="str">
        <f t="shared" si="81"/>
        <v>OK</v>
      </c>
      <c r="BG205" t="str">
        <f t="shared" si="82"/>
        <v>OK</v>
      </c>
      <c r="BH205" t="str">
        <f t="shared" si="83"/>
        <v>OK</v>
      </c>
      <c r="BI205" t="str">
        <f t="shared" si="75"/>
        <v>OK</v>
      </c>
      <c r="BJ205" t="str">
        <f t="shared" si="76"/>
        <v>OK</v>
      </c>
      <c r="BK205" t="str">
        <f t="shared" si="77"/>
        <v>OK</v>
      </c>
    </row>
    <row r="206" spans="1:63">
      <c r="A206" s="16" t="s">
        <v>470</v>
      </c>
      <c r="B206" s="16" t="s">
        <v>466</v>
      </c>
      <c r="C206" s="16" t="s">
        <v>167</v>
      </c>
      <c r="D206" s="16" t="s">
        <v>168</v>
      </c>
      <c r="E206" s="16" t="s">
        <v>249</v>
      </c>
      <c r="F206" s="16" t="s">
        <v>140</v>
      </c>
      <c r="G206" s="15">
        <v>46198</v>
      </c>
      <c r="H206" s="15">
        <v>46207</v>
      </c>
      <c r="I206" s="15">
        <v>46210</v>
      </c>
      <c r="J206" s="15" t="s">
        <v>150</v>
      </c>
      <c r="K206" s="16" t="s">
        <v>167</v>
      </c>
      <c r="L206" t="s">
        <v>193</v>
      </c>
      <c r="M206" s="16" t="s">
        <v>143</v>
      </c>
      <c r="N206" s="16" t="s">
        <v>144</v>
      </c>
      <c r="O206" t="s">
        <v>1630</v>
      </c>
      <c r="P206" s="18">
        <v>1108</v>
      </c>
      <c r="Q206" s="21">
        <v>9</v>
      </c>
      <c r="R206" s="21" t="str">
        <f t="shared" si="63"/>
        <v>8-14 days</v>
      </c>
      <c r="S206" s="16" t="s">
        <v>216</v>
      </c>
      <c r="U206" s="16" t="s">
        <v>146</v>
      </c>
      <c r="V206" t="str">
        <f>IF(U206="","",IFERROR(VLOOKUP(U206,Hotels!A:B,2,FALSE),"Not Found"))</f>
        <v>Premier Inn</v>
      </c>
      <c r="W206" s="14">
        <v>0</v>
      </c>
      <c r="X206" s="14">
        <v>216.27</v>
      </c>
      <c r="Y206" s="21">
        <v>2</v>
      </c>
      <c r="Z206" s="29">
        <f t="shared" si="64"/>
        <v>101.285</v>
      </c>
      <c r="AA206" s="14">
        <v>202.57</v>
      </c>
      <c r="AB206" s="14">
        <v>77.31</v>
      </c>
      <c r="AC206" s="14">
        <v>496.15</v>
      </c>
      <c r="AD206" s="16" t="s">
        <v>147</v>
      </c>
      <c r="AE206" s="16" t="s">
        <v>147</v>
      </c>
      <c r="AF206" s="14">
        <f>SUMIF('Trip Changes'!$B:$B,A206,'Trip Changes'!$E:$E)</f>
        <v>0</v>
      </c>
      <c r="AG206" s="23">
        <f>SUMIF('Trip Cancellations'!$B:$B,A206,'Trip Cancellations'!$E:$E)</f>
        <v>0</v>
      </c>
      <c r="AH206" s="14">
        <f>SUMIF('Trip Cancellations'!$B:$B,A206,'Trip Cancellations'!$F:$F)</f>
        <v>0</v>
      </c>
      <c r="AI206" s="14">
        <f t="shared" si="65"/>
        <v>496.15</v>
      </c>
      <c r="AJ206" s="14" t="str">
        <f t="shared" si="66"/>
        <v>Yes</v>
      </c>
      <c r="AK206" s="14" t="str">
        <f>IF(Y206=0,"N/A",
IF(_xlfn.XLOOKUP(U206,Hotels!A:A,Hotels!C:C)=TRUE,"Yes","No"))</f>
        <v>Yes</v>
      </c>
      <c r="AL206" s="14" t="str">
        <f>IF(N206="Rail","N/A",IF(_xlfn.XLOOKUP(T206,Airlines!A:A,Airlines!C:C)=TRUE,"Yes","No"))</f>
        <v>N/A</v>
      </c>
      <c r="AM206" s="14" t="str">
        <f t="shared" si="67"/>
        <v>Yes</v>
      </c>
      <c r="AN206" s="14" t="str">
        <f t="shared" si="68"/>
        <v>No</v>
      </c>
      <c r="AO206" s="14" t="str">
        <f t="shared" si="69"/>
        <v>Yes</v>
      </c>
      <c r="AP206" s="16" t="s">
        <v>147</v>
      </c>
      <c r="AQ206" t="str">
        <f t="shared" si="70"/>
        <v>No</v>
      </c>
      <c r="AR206" s="21">
        <v>5</v>
      </c>
      <c r="AS206" s="5">
        <v>44.3</v>
      </c>
      <c r="AT206" s="5" t="str">
        <f>IF(T206="","",_xlfn.XLOOKUP(T206,Airlines!A:A,Airlines!B:B,"Not Found"))</f>
        <v/>
      </c>
      <c r="AU206" s="5" t="str">
        <f>IF(U206="","",_xlfn.XLOOKUP(U206,Hotels!A:A,Hotels!B:B,"Not found"))</f>
        <v>Premier Inn</v>
      </c>
      <c r="AV206" t="s">
        <v>147</v>
      </c>
      <c r="AW206" s="16" t="str">
        <f t="shared" si="71"/>
        <v>OK</v>
      </c>
      <c r="AX206" s="16" t="str">
        <f t="shared" si="72"/>
        <v>OK</v>
      </c>
      <c r="AY206" s="16" t="str">
        <f t="shared" si="73"/>
        <v>OK</v>
      </c>
      <c r="AZ206" s="16" t="str">
        <f t="shared" si="74"/>
        <v>OK</v>
      </c>
      <c r="BA206" s="16" t="str">
        <f t="shared" si="78"/>
        <v>OK</v>
      </c>
      <c r="BB206" s="21">
        <f>COUNTIF('Trip Changes'!B:B,A206)</f>
        <v>0</v>
      </c>
      <c r="BC206" s="16" t="str">
        <f>IF(OR(AND(AD206="Yes",COUNTIF('Trip Changes'!B:B,A206)&gt;0),AND(AD206="No",COUNTIF('Trip Changes'!B:B,A206)=0)),"OK","Check")</f>
        <v>OK</v>
      </c>
      <c r="BD206" t="str">
        <f t="shared" si="79"/>
        <v>OK</v>
      </c>
      <c r="BE206" t="str">
        <f t="shared" si="80"/>
        <v>OK</v>
      </c>
      <c r="BF206" t="str">
        <f t="shared" si="81"/>
        <v>OK</v>
      </c>
      <c r="BG206" t="str">
        <f t="shared" si="82"/>
        <v>OK</v>
      </c>
      <c r="BH206" t="str">
        <f t="shared" si="83"/>
        <v>OK</v>
      </c>
      <c r="BI206" t="str">
        <f t="shared" si="75"/>
        <v>OK</v>
      </c>
      <c r="BJ206" t="str">
        <f t="shared" si="76"/>
        <v>OK</v>
      </c>
      <c r="BK206" t="str">
        <f t="shared" si="77"/>
        <v>OK</v>
      </c>
    </row>
    <row r="207" spans="1:63">
      <c r="A207" s="16" t="s">
        <v>471</v>
      </c>
      <c r="B207" s="16" t="s">
        <v>466</v>
      </c>
      <c r="C207" s="16" t="s">
        <v>167</v>
      </c>
      <c r="D207" s="16" t="s">
        <v>168</v>
      </c>
      <c r="E207" s="16" t="s">
        <v>249</v>
      </c>
      <c r="F207" s="16" t="s">
        <v>170</v>
      </c>
      <c r="G207" s="15">
        <v>46153</v>
      </c>
      <c r="H207" s="15">
        <v>46161</v>
      </c>
      <c r="I207" s="15">
        <v>46165</v>
      </c>
      <c r="J207" s="15" t="s">
        <v>163</v>
      </c>
      <c r="K207" s="16" t="s">
        <v>167</v>
      </c>
      <c r="L207" t="s">
        <v>225</v>
      </c>
      <c r="M207" s="16" t="s">
        <v>152</v>
      </c>
      <c r="N207" s="16" t="s">
        <v>153</v>
      </c>
      <c r="O207" t="s">
        <v>1614</v>
      </c>
      <c r="P207" s="18">
        <v>3098</v>
      </c>
      <c r="Q207" s="21">
        <v>8</v>
      </c>
      <c r="R207" s="21" t="str">
        <f t="shared" si="63"/>
        <v>8-14 days</v>
      </c>
      <c r="S207" s="16" t="s">
        <v>145</v>
      </c>
      <c r="T207" s="16" t="s">
        <v>236</v>
      </c>
      <c r="U207" s="16" t="s">
        <v>164</v>
      </c>
      <c r="V207" t="str">
        <f>IF(U207="","",IFERROR(VLOOKUP(U207,Hotels!A:B,2,FALSE),"Not Found"))</f>
        <v>Marriott</v>
      </c>
      <c r="W207" s="14">
        <v>454.66</v>
      </c>
      <c r="X207" s="14">
        <v>0</v>
      </c>
      <c r="Y207" s="21">
        <v>3</v>
      </c>
      <c r="Z207" s="29">
        <f t="shared" si="64"/>
        <v>207.85666666666668</v>
      </c>
      <c r="AA207" s="14">
        <v>623.57000000000005</v>
      </c>
      <c r="AB207" s="14">
        <v>34.61</v>
      </c>
      <c r="AC207" s="14">
        <v>1112.8399999999999</v>
      </c>
      <c r="AD207" s="16" t="s">
        <v>147</v>
      </c>
      <c r="AE207" s="16" t="s">
        <v>147</v>
      </c>
      <c r="AF207" s="14">
        <f>SUMIF('Trip Changes'!$B:$B,A207,'Trip Changes'!$E:$E)</f>
        <v>0</v>
      </c>
      <c r="AG207" s="23">
        <f>SUMIF('Trip Cancellations'!$B:$B,A207,'Trip Cancellations'!$E:$E)</f>
        <v>0</v>
      </c>
      <c r="AH207" s="14">
        <f>SUMIF('Trip Cancellations'!$B:$B,A207,'Trip Cancellations'!$F:$F)</f>
        <v>0</v>
      </c>
      <c r="AI207" s="14">
        <f t="shared" si="65"/>
        <v>1112.8399999999999</v>
      </c>
      <c r="AJ207" s="14" t="str">
        <f t="shared" si="66"/>
        <v>No</v>
      </c>
      <c r="AK207" s="14" t="str">
        <f>IF(Y207=0,"N/A",
IF(_xlfn.XLOOKUP(U207,Hotels!A:A,Hotels!C:C)=TRUE,"Yes","No"))</f>
        <v>Yes</v>
      </c>
      <c r="AL207" s="14" t="str">
        <f>IF(N207="Rail","N/A",IF(_xlfn.XLOOKUP(T207,Airlines!A:A,Airlines!C:C)=TRUE,"Yes","No"))</f>
        <v>Yes</v>
      </c>
      <c r="AM207" s="14" t="str">
        <f t="shared" si="67"/>
        <v>Yes</v>
      </c>
      <c r="AN207" s="14" t="str">
        <f t="shared" si="68"/>
        <v>Yes</v>
      </c>
      <c r="AO207" s="14" t="str">
        <f t="shared" si="69"/>
        <v>Yes</v>
      </c>
      <c r="AP207" s="16" t="s">
        <v>148</v>
      </c>
      <c r="AQ207" t="str">
        <f t="shared" si="70"/>
        <v>No</v>
      </c>
      <c r="AR207" s="21">
        <v>4</v>
      </c>
      <c r="AS207" s="5">
        <v>464.7</v>
      </c>
      <c r="AT207" s="5" t="str">
        <f>IF(T207="","",_xlfn.XLOOKUP(T207,Airlines!A:A,Airlines!B:B,"Not Found"))</f>
        <v>KLM</v>
      </c>
      <c r="AU207" s="5" t="str">
        <f>IF(U207="","",_xlfn.XLOOKUP(U207,Hotels!A:A,Hotels!B:B,"Not found"))</f>
        <v>Marriott</v>
      </c>
      <c r="AV207" t="s">
        <v>147</v>
      </c>
      <c r="AW207" s="16" t="str">
        <f t="shared" si="71"/>
        <v>OK</v>
      </c>
      <c r="AX207" s="16" t="str">
        <f t="shared" si="72"/>
        <v>OK</v>
      </c>
      <c r="AY207" s="16" t="str">
        <f t="shared" si="73"/>
        <v>OK</v>
      </c>
      <c r="AZ207" s="16" t="str">
        <f t="shared" si="74"/>
        <v>OK</v>
      </c>
      <c r="BA207" s="16" t="str">
        <f t="shared" si="78"/>
        <v>OK</v>
      </c>
      <c r="BB207" s="21">
        <f>COUNTIF('Trip Changes'!B:B,A207)</f>
        <v>0</v>
      </c>
      <c r="BC207" s="16" t="str">
        <f>IF(OR(AND(AD207="Yes",COUNTIF('Trip Changes'!B:B,A207)&gt;0),AND(AD207="No",COUNTIF('Trip Changes'!B:B,A207)=0)),"OK","Check")</f>
        <v>OK</v>
      </c>
      <c r="BD207" t="str">
        <f t="shared" si="79"/>
        <v>OK</v>
      </c>
      <c r="BE207" t="str">
        <f t="shared" si="80"/>
        <v>OK</v>
      </c>
      <c r="BF207" t="str">
        <f t="shared" si="81"/>
        <v>OK</v>
      </c>
      <c r="BG207" t="str">
        <f t="shared" si="82"/>
        <v>OK</v>
      </c>
      <c r="BH207" t="str">
        <f t="shared" si="83"/>
        <v>OK</v>
      </c>
      <c r="BI207" t="str">
        <f t="shared" si="75"/>
        <v>OK</v>
      </c>
      <c r="BJ207" t="str">
        <f t="shared" si="76"/>
        <v>OK</v>
      </c>
      <c r="BK207" t="str">
        <f t="shared" si="77"/>
        <v>OK</v>
      </c>
    </row>
    <row r="208" spans="1:63">
      <c r="A208" s="16" t="s">
        <v>472</v>
      </c>
      <c r="B208" s="16" t="s">
        <v>466</v>
      </c>
      <c r="C208" s="16" t="s">
        <v>167</v>
      </c>
      <c r="D208" s="16" t="s">
        <v>168</v>
      </c>
      <c r="E208" s="16" t="s">
        <v>249</v>
      </c>
      <c r="F208" s="16" t="s">
        <v>170</v>
      </c>
      <c r="G208" s="15">
        <v>46166</v>
      </c>
      <c r="H208" s="15">
        <v>46185</v>
      </c>
      <c r="I208" s="15">
        <v>46187</v>
      </c>
      <c r="J208" s="15" t="s">
        <v>141</v>
      </c>
      <c r="K208" s="16" t="s">
        <v>167</v>
      </c>
      <c r="L208" t="s">
        <v>193</v>
      </c>
      <c r="M208" s="16" t="s">
        <v>143</v>
      </c>
      <c r="N208" s="16" t="s">
        <v>153</v>
      </c>
      <c r="O208" t="s">
        <v>1614</v>
      </c>
      <c r="P208" s="18">
        <v>1272</v>
      </c>
      <c r="Q208" s="21">
        <v>19</v>
      </c>
      <c r="R208" s="21" t="str">
        <f t="shared" si="63"/>
        <v>15-30 days</v>
      </c>
      <c r="S208" s="16" t="s">
        <v>145</v>
      </c>
      <c r="T208" s="16" t="s">
        <v>176</v>
      </c>
      <c r="U208" s="16" t="s">
        <v>146</v>
      </c>
      <c r="V208" t="str">
        <f>IF(U208="","",IFERROR(VLOOKUP(U208,Hotels!A:B,2,FALSE),"Not Found"))</f>
        <v>Premier Inn</v>
      </c>
      <c r="W208" s="14">
        <v>148.77000000000001</v>
      </c>
      <c r="X208" s="14">
        <v>0</v>
      </c>
      <c r="Y208" s="21">
        <v>1</v>
      </c>
      <c r="Z208" s="29">
        <f t="shared" si="64"/>
        <v>141.96</v>
      </c>
      <c r="AA208" s="14">
        <v>141.96</v>
      </c>
      <c r="AB208" s="14">
        <v>61.13</v>
      </c>
      <c r="AC208" s="14">
        <v>351.86</v>
      </c>
      <c r="AD208" s="16" t="s">
        <v>147</v>
      </c>
      <c r="AE208" s="16" t="s">
        <v>147</v>
      </c>
      <c r="AF208" s="14">
        <f>SUMIF('Trip Changes'!$B:$B,A208,'Trip Changes'!$E:$E)</f>
        <v>0</v>
      </c>
      <c r="AG208" s="23">
        <f>SUMIF('Trip Cancellations'!$B:$B,A208,'Trip Cancellations'!$E:$E)</f>
        <v>0</v>
      </c>
      <c r="AH208" s="14">
        <f>SUMIF('Trip Cancellations'!$B:$B,A208,'Trip Cancellations'!$F:$F)</f>
        <v>0</v>
      </c>
      <c r="AI208" s="14">
        <f t="shared" si="65"/>
        <v>351.86</v>
      </c>
      <c r="AJ208" s="14" t="str">
        <f t="shared" si="66"/>
        <v>Yes</v>
      </c>
      <c r="AK208" s="14" t="str">
        <f>IF(Y208=0,"N/A",
IF(_xlfn.XLOOKUP(U208,Hotels!A:A,Hotels!C:C)=TRUE,"Yes","No"))</f>
        <v>Yes</v>
      </c>
      <c r="AL208" s="14" t="str">
        <f>IF(N208="Rail","N/A",IF(_xlfn.XLOOKUP(T208,Airlines!A:A,Airlines!C:C)=TRUE,"Yes","No"))</f>
        <v>Yes</v>
      </c>
      <c r="AM208" s="14" t="str">
        <f t="shared" si="67"/>
        <v>Yes</v>
      </c>
      <c r="AN208" s="14" t="str">
        <f t="shared" si="68"/>
        <v>Yes</v>
      </c>
      <c r="AO208" s="14" t="str">
        <f t="shared" si="69"/>
        <v>Yes</v>
      </c>
      <c r="AP208" s="16" t="s">
        <v>148</v>
      </c>
      <c r="AQ208" t="str">
        <f t="shared" si="70"/>
        <v>Yes</v>
      </c>
      <c r="AR208" s="21">
        <v>4</v>
      </c>
      <c r="AS208" s="5">
        <v>190.8</v>
      </c>
      <c r="AT208" s="5" t="str">
        <f>IF(T208="","",_xlfn.XLOOKUP(T208,Airlines!A:A,Airlines!B:B,"Not Found"))</f>
        <v>easyJet</v>
      </c>
      <c r="AU208" s="5" t="str">
        <f>IF(U208="","",_xlfn.XLOOKUP(U208,Hotels!A:A,Hotels!B:B,"Not found"))</f>
        <v>Premier Inn</v>
      </c>
      <c r="AV208" t="s">
        <v>148</v>
      </c>
      <c r="AW208" s="16" t="str">
        <f t="shared" si="71"/>
        <v>OK</v>
      </c>
      <c r="AX208" s="16" t="str">
        <f t="shared" si="72"/>
        <v>OK</v>
      </c>
      <c r="AY208" s="16" t="str">
        <f t="shared" si="73"/>
        <v>OK</v>
      </c>
      <c r="AZ208" s="16" t="str">
        <f t="shared" si="74"/>
        <v>OK</v>
      </c>
      <c r="BA208" s="16" t="str">
        <f t="shared" si="78"/>
        <v>OK</v>
      </c>
      <c r="BB208" s="21">
        <f>COUNTIF('Trip Changes'!B:B,A208)</f>
        <v>0</v>
      </c>
      <c r="BC208" s="16" t="str">
        <f>IF(OR(AND(AD208="Yes",COUNTIF('Trip Changes'!B:B,A208)&gt;0),AND(AD208="No",COUNTIF('Trip Changes'!B:B,A208)=0)),"OK","Check")</f>
        <v>OK</v>
      </c>
      <c r="BD208" t="str">
        <f t="shared" si="79"/>
        <v>OK</v>
      </c>
      <c r="BE208" t="str">
        <f t="shared" si="80"/>
        <v>OK</v>
      </c>
      <c r="BF208" t="str">
        <f t="shared" si="81"/>
        <v>OK</v>
      </c>
      <c r="BG208" t="str">
        <f t="shared" si="82"/>
        <v>OK</v>
      </c>
      <c r="BH208" t="str">
        <f t="shared" si="83"/>
        <v>OK</v>
      </c>
      <c r="BI208" t="str">
        <f t="shared" si="75"/>
        <v>OK</v>
      </c>
      <c r="BJ208" t="str">
        <f t="shared" si="76"/>
        <v>OK</v>
      </c>
      <c r="BK208" t="str">
        <f t="shared" si="77"/>
        <v>OK</v>
      </c>
    </row>
    <row r="209" spans="1:63">
      <c r="A209" s="16" t="s">
        <v>473</v>
      </c>
      <c r="B209" s="16" t="s">
        <v>474</v>
      </c>
      <c r="C209" s="16" t="s">
        <v>182</v>
      </c>
      <c r="D209" s="16" t="s">
        <v>230</v>
      </c>
      <c r="E209" s="16" t="s">
        <v>205</v>
      </c>
      <c r="F209" s="16" t="s">
        <v>157</v>
      </c>
      <c r="G209" s="15">
        <v>46113</v>
      </c>
      <c r="H209" s="15">
        <v>46146</v>
      </c>
      <c r="I209" s="15">
        <v>46152</v>
      </c>
      <c r="J209" s="15" t="s">
        <v>163</v>
      </c>
      <c r="K209" s="16" t="s">
        <v>182</v>
      </c>
      <c r="L209" t="s">
        <v>179</v>
      </c>
      <c r="M209" s="16" t="s">
        <v>152</v>
      </c>
      <c r="N209" s="16" t="s">
        <v>153</v>
      </c>
      <c r="O209" t="s">
        <v>1614</v>
      </c>
      <c r="P209" s="18">
        <v>19990</v>
      </c>
      <c r="Q209" s="21">
        <v>33</v>
      </c>
      <c r="R209" s="21" t="str">
        <f t="shared" si="63"/>
        <v>31+ days</v>
      </c>
      <c r="S209" s="16" t="s">
        <v>145</v>
      </c>
      <c r="T209" s="16" t="s">
        <v>154</v>
      </c>
      <c r="U209" s="16" t="s">
        <v>155</v>
      </c>
      <c r="V209" t="str">
        <f>IF(U209="","",IFERROR(VLOOKUP(U209,Hotels!A:B,2,FALSE),"Not Found"))</f>
        <v>Hilton</v>
      </c>
      <c r="W209" s="14">
        <v>1683.81</v>
      </c>
      <c r="X209" s="14">
        <v>0</v>
      </c>
      <c r="Y209" s="21">
        <v>5</v>
      </c>
      <c r="Z209" s="29">
        <f t="shared" si="64"/>
        <v>169.62</v>
      </c>
      <c r="AA209" s="14">
        <v>848.1</v>
      </c>
      <c r="AB209" s="14">
        <v>110.33</v>
      </c>
      <c r="AC209" s="14">
        <v>2642.24</v>
      </c>
      <c r="AD209" s="16" t="s">
        <v>147</v>
      </c>
      <c r="AE209" s="16" t="s">
        <v>147</v>
      </c>
      <c r="AF209" s="14">
        <f>SUMIF('Trip Changes'!$B:$B,A209,'Trip Changes'!$E:$E)</f>
        <v>0</v>
      </c>
      <c r="AG209" s="23">
        <f>SUMIF('Trip Cancellations'!$B:$B,A209,'Trip Cancellations'!$E:$E)</f>
        <v>0</v>
      </c>
      <c r="AH209" s="14">
        <f>SUMIF('Trip Cancellations'!$B:$B,A209,'Trip Cancellations'!$F:$F)</f>
        <v>0</v>
      </c>
      <c r="AI209" s="14">
        <f t="shared" si="65"/>
        <v>2642.24</v>
      </c>
      <c r="AJ209" s="14" t="str">
        <f t="shared" si="66"/>
        <v>Yes</v>
      </c>
      <c r="AK209" s="14" t="str">
        <f>IF(Y209=0,"N/A",
IF(_xlfn.XLOOKUP(U209,Hotels!A:A,Hotels!C:C)=TRUE,"Yes","No"))</f>
        <v>Yes</v>
      </c>
      <c r="AL209" s="14" t="str">
        <f>IF(N209="Rail","N/A",IF(_xlfn.XLOOKUP(T209,Airlines!A:A,Airlines!C:C)=TRUE,"Yes","No"))</f>
        <v>Yes</v>
      </c>
      <c r="AM209" s="14" t="str">
        <f t="shared" si="67"/>
        <v>Yes</v>
      </c>
      <c r="AN209" s="14" t="str">
        <f t="shared" si="68"/>
        <v>Yes</v>
      </c>
      <c r="AO209" s="14" t="str">
        <f t="shared" si="69"/>
        <v>Yes</v>
      </c>
      <c r="AP209" s="16" t="s">
        <v>148</v>
      </c>
      <c r="AQ209" t="str">
        <f t="shared" si="70"/>
        <v>Yes</v>
      </c>
      <c r="AR209" s="21">
        <v>4</v>
      </c>
      <c r="AS209" s="5">
        <v>2998.5</v>
      </c>
      <c r="AT209" s="5" t="str">
        <f>IF(T209="","",_xlfn.XLOOKUP(T209,Airlines!A:A,Airlines!B:B,"Not Found"))</f>
        <v>British Airways</v>
      </c>
      <c r="AU209" s="5" t="str">
        <f>IF(U209="","",_xlfn.XLOOKUP(U209,Hotels!A:A,Hotels!B:B,"Not found"))</f>
        <v>Hilton</v>
      </c>
      <c r="AV209" t="s">
        <v>147</v>
      </c>
      <c r="AW209" s="16" t="str">
        <f t="shared" si="71"/>
        <v>OK</v>
      </c>
      <c r="AX209" s="16" t="str">
        <f t="shared" si="72"/>
        <v>OK</v>
      </c>
      <c r="AY209" s="16" t="str">
        <f t="shared" si="73"/>
        <v>OK</v>
      </c>
      <c r="AZ209" s="16" t="str">
        <f t="shared" si="74"/>
        <v>OK</v>
      </c>
      <c r="BA209" s="16" t="str">
        <f t="shared" si="78"/>
        <v>OK</v>
      </c>
      <c r="BB209" s="21">
        <f>COUNTIF('Trip Changes'!B:B,A209)</f>
        <v>0</v>
      </c>
      <c r="BC209" s="16" t="str">
        <f>IF(OR(AND(AD209="Yes",COUNTIF('Trip Changes'!B:B,A209)&gt;0),AND(AD209="No",COUNTIF('Trip Changes'!B:B,A209)=0)),"OK","Check")</f>
        <v>OK</v>
      </c>
      <c r="BD209" t="str">
        <f t="shared" si="79"/>
        <v>OK</v>
      </c>
      <c r="BE209" t="str">
        <f t="shared" si="80"/>
        <v>OK</v>
      </c>
      <c r="BF209" t="str">
        <f t="shared" si="81"/>
        <v>OK</v>
      </c>
      <c r="BG209" t="str">
        <f t="shared" si="82"/>
        <v>OK</v>
      </c>
      <c r="BH209" t="str">
        <f t="shared" si="83"/>
        <v>OK</v>
      </c>
      <c r="BI209" t="str">
        <f t="shared" si="75"/>
        <v>OK</v>
      </c>
      <c r="BJ209" t="str">
        <f t="shared" si="76"/>
        <v>OK</v>
      </c>
      <c r="BK209" t="str">
        <f t="shared" si="77"/>
        <v>OK</v>
      </c>
    </row>
    <row r="210" spans="1:63">
      <c r="A210" s="16" t="s">
        <v>475</v>
      </c>
      <c r="B210" s="16" t="s">
        <v>474</v>
      </c>
      <c r="C210" s="16" t="s">
        <v>182</v>
      </c>
      <c r="D210" s="16" t="s">
        <v>230</v>
      </c>
      <c r="E210" s="16" t="s">
        <v>205</v>
      </c>
      <c r="F210" s="16" t="s">
        <v>162</v>
      </c>
      <c r="G210" s="15">
        <v>46128</v>
      </c>
      <c r="H210" s="15">
        <v>46158</v>
      </c>
      <c r="I210" s="15">
        <v>46161</v>
      </c>
      <c r="J210" s="15" t="s">
        <v>163</v>
      </c>
      <c r="K210" s="16" t="s">
        <v>182</v>
      </c>
      <c r="L210" t="s">
        <v>225</v>
      </c>
      <c r="M210" s="16" t="s">
        <v>152</v>
      </c>
      <c r="N210" s="16" t="s">
        <v>153</v>
      </c>
      <c r="O210" t="s">
        <v>1614</v>
      </c>
      <c r="P210" s="18">
        <v>2204</v>
      </c>
      <c r="Q210" s="21">
        <v>30</v>
      </c>
      <c r="R210" s="21" t="str">
        <f t="shared" si="63"/>
        <v>15-30 days</v>
      </c>
      <c r="S210" s="16" t="s">
        <v>159</v>
      </c>
      <c r="T210" s="16" t="s">
        <v>236</v>
      </c>
      <c r="U210" s="16" t="s">
        <v>190</v>
      </c>
      <c r="V210" t="str">
        <f>IF(U210="","",IFERROR(VLOOKUP(U210,Hotels!A:B,2,FALSE),"Not Found"))</f>
        <v>Radisson Hotel Group</v>
      </c>
      <c r="W210" s="14">
        <v>150</v>
      </c>
      <c r="X210" s="14">
        <v>0</v>
      </c>
      <c r="Y210" s="21">
        <v>2</v>
      </c>
      <c r="Z210" s="29">
        <f t="shared" si="64"/>
        <v>168.59</v>
      </c>
      <c r="AA210" s="14">
        <v>337.18</v>
      </c>
      <c r="AB210" s="14">
        <v>71.84</v>
      </c>
      <c r="AC210" s="14">
        <v>559.02</v>
      </c>
      <c r="AD210" s="16" t="s">
        <v>148</v>
      </c>
      <c r="AE210" s="16" t="s">
        <v>147</v>
      </c>
      <c r="AF210" s="14">
        <f>SUMIF('Trip Changes'!$B:$B,A210,'Trip Changes'!$E:$E)</f>
        <v>82.21</v>
      </c>
      <c r="AG210" s="23">
        <f>SUMIF('Trip Cancellations'!$B:$B,A210,'Trip Cancellations'!$E:$E)</f>
        <v>0</v>
      </c>
      <c r="AH210" s="14">
        <f>SUMIF('Trip Cancellations'!$B:$B,A210,'Trip Cancellations'!$F:$F)</f>
        <v>0</v>
      </c>
      <c r="AI210" s="14">
        <f t="shared" si="65"/>
        <v>641.23</v>
      </c>
      <c r="AJ210" s="14" t="str">
        <f t="shared" si="66"/>
        <v>Yes</v>
      </c>
      <c r="AK210" s="14" t="str">
        <f>IF(Y210=0,"N/A",
IF(_xlfn.XLOOKUP(U210,Hotels!A:A,Hotels!C:C)=TRUE,"Yes","No"))</f>
        <v>No</v>
      </c>
      <c r="AL210" s="14" t="str">
        <f>IF(N210="Rail","N/A",IF(_xlfn.XLOOKUP(T210,Airlines!A:A,Airlines!C:C)=TRUE,"Yes","No"))</f>
        <v>Yes</v>
      </c>
      <c r="AM210" s="14" t="str">
        <f t="shared" si="67"/>
        <v>Yes</v>
      </c>
      <c r="AN210" s="14" t="str">
        <f t="shared" si="68"/>
        <v>Yes</v>
      </c>
      <c r="AO210" s="14" t="str">
        <f t="shared" si="69"/>
        <v>No</v>
      </c>
      <c r="AP210" s="16" t="s">
        <v>148</v>
      </c>
      <c r="AQ210" t="str">
        <f t="shared" si="70"/>
        <v>No</v>
      </c>
      <c r="AR210" s="21">
        <v>4</v>
      </c>
      <c r="AS210" s="5">
        <v>330.6</v>
      </c>
      <c r="AT210" s="5" t="str">
        <f>IF(T210="","",_xlfn.XLOOKUP(T210,Airlines!A:A,Airlines!B:B,"Not Found"))</f>
        <v>KLM</v>
      </c>
      <c r="AU210" s="5" t="str">
        <f>IF(U210="","",_xlfn.XLOOKUP(U210,Hotels!A:A,Hotels!B:B,"Not found"))</f>
        <v>Radisson Hotel Group</v>
      </c>
      <c r="AV210" t="s">
        <v>147</v>
      </c>
      <c r="AW210" s="16" t="str">
        <f t="shared" si="71"/>
        <v>OK</v>
      </c>
      <c r="AX210" s="16" t="str">
        <f t="shared" si="72"/>
        <v>OK</v>
      </c>
      <c r="AY210" s="16" t="str">
        <f t="shared" si="73"/>
        <v>OK</v>
      </c>
      <c r="AZ210" s="16" t="str">
        <f t="shared" si="74"/>
        <v>OK</v>
      </c>
      <c r="BA210" s="16" t="str">
        <f t="shared" si="78"/>
        <v>OK</v>
      </c>
      <c r="BB210" s="21">
        <f>COUNTIF('Trip Changes'!B:B,A210)</f>
        <v>1</v>
      </c>
      <c r="BC210" s="16" t="str">
        <f>IF(OR(AND(AD210="Yes",COUNTIF('Trip Changes'!B:B,A210)&gt;0),AND(AD210="No",COUNTIF('Trip Changes'!B:B,A210)=0)),"OK","Check")</f>
        <v>OK</v>
      </c>
      <c r="BD210" t="str">
        <f t="shared" si="79"/>
        <v>OK</v>
      </c>
      <c r="BE210" t="str">
        <f t="shared" si="80"/>
        <v>OK</v>
      </c>
      <c r="BF210" t="str">
        <f t="shared" si="81"/>
        <v>OK</v>
      </c>
      <c r="BG210" t="str">
        <f t="shared" si="82"/>
        <v>OK</v>
      </c>
      <c r="BH210" t="str">
        <f t="shared" si="83"/>
        <v>OK</v>
      </c>
      <c r="BI210" t="str">
        <f t="shared" si="75"/>
        <v>OK</v>
      </c>
      <c r="BJ210" t="str">
        <f t="shared" si="76"/>
        <v>OK</v>
      </c>
      <c r="BK210" t="str">
        <f t="shared" si="77"/>
        <v>OK</v>
      </c>
    </row>
    <row r="211" spans="1:63">
      <c r="A211" s="16" t="s">
        <v>476</v>
      </c>
      <c r="B211" s="16" t="s">
        <v>474</v>
      </c>
      <c r="C211" s="16" t="s">
        <v>182</v>
      </c>
      <c r="D211" s="16" t="s">
        <v>230</v>
      </c>
      <c r="E211" s="16" t="s">
        <v>205</v>
      </c>
      <c r="F211" s="16" t="s">
        <v>207</v>
      </c>
      <c r="G211" s="15">
        <v>46122</v>
      </c>
      <c r="H211" s="15">
        <v>46161</v>
      </c>
      <c r="I211" s="15">
        <v>46163</v>
      </c>
      <c r="J211" s="15" t="s">
        <v>163</v>
      </c>
      <c r="K211" s="16" t="s">
        <v>182</v>
      </c>
      <c r="L211" t="s">
        <v>193</v>
      </c>
      <c r="M211" s="16" t="s">
        <v>143</v>
      </c>
      <c r="N211" s="16" t="s">
        <v>144</v>
      </c>
      <c r="O211" t="s">
        <v>1630</v>
      </c>
      <c r="P211" s="18">
        <v>590</v>
      </c>
      <c r="Q211" s="21">
        <v>39</v>
      </c>
      <c r="R211" s="21" t="str">
        <f t="shared" si="63"/>
        <v>31+ days</v>
      </c>
      <c r="S211" s="16" t="s">
        <v>159</v>
      </c>
      <c r="U211" s="16" t="s">
        <v>195</v>
      </c>
      <c r="V211" t="str">
        <f>IF(U211="","",IFERROR(VLOOKUP(U211,Hotels!A:B,2,FALSE),"Not Found"))</f>
        <v>Travelodge</v>
      </c>
      <c r="W211" s="14">
        <v>0</v>
      </c>
      <c r="X211" s="14">
        <v>333.91</v>
      </c>
      <c r="Y211" s="21">
        <v>1</v>
      </c>
      <c r="Z211" s="29">
        <f t="shared" si="64"/>
        <v>182.32</v>
      </c>
      <c r="AA211" s="14">
        <v>182.32</v>
      </c>
      <c r="AB211" s="14">
        <v>20</v>
      </c>
      <c r="AC211" s="14">
        <v>536.23</v>
      </c>
      <c r="AD211" s="16" t="s">
        <v>147</v>
      </c>
      <c r="AE211" s="16" t="s">
        <v>147</v>
      </c>
      <c r="AF211" s="14">
        <f>SUMIF('Trip Changes'!$B:$B,A211,'Trip Changes'!$E:$E)</f>
        <v>0</v>
      </c>
      <c r="AG211" s="23">
        <f>SUMIF('Trip Cancellations'!$B:$B,A211,'Trip Cancellations'!$E:$E)</f>
        <v>0</v>
      </c>
      <c r="AH211" s="14">
        <f>SUMIF('Trip Cancellations'!$B:$B,A211,'Trip Cancellations'!$F:$F)</f>
        <v>0</v>
      </c>
      <c r="AI211" s="14">
        <f t="shared" si="65"/>
        <v>536.23</v>
      </c>
      <c r="AJ211" s="14" t="str">
        <f t="shared" si="66"/>
        <v>Yes</v>
      </c>
      <c r="AK211" s="14" t="str">
        <f>IF(Y211=0,"N/A",
IF(_xlfn.XLOOKUP(U211,Hotels!A:A,Hotels!C:C)=TRUE,"Yes","No"))</f>
        <v>No</v>
      </c>
      <c r="AL211" s="14" t="str">
        <f>IF(N211="Rail","N/A",IF(_xlfn.XLOOKUP(T211,Airlines!A:A,Airlines!C:C)=TRUE,"Yes","No"))</f>
        <v>N/A</v>
      </c>
      <c r="AM211" s="14" t="str">
        <f t="shared" si="67"/>
        <v>Yes</v>
      </c>
      <c r="AN211" s="14" t="str">
        <f t="shared" si="68"/>
        <v>Yes</v>
      </c>
      <c r="AO211" s="14" t="str">
        <f t="shared" si="69"/>
        <v>No</v>
      </c>
      <c r="AP211" s="16" t="s">
        <v>148</v>
      </c>
      <c r="AQ211" t="str">
        <f t="shared" si="70"/>
        <v>No</v>
      </c>
      <c r="AR211" s="21">
        <v>4</v>
      </c>
      <c r="AS211" s="5">
        <v>23.6</v>
      </c>
      <c r="AT211" s="5" t="str">
        <f>IF(T211="","",_xlfn.XLOOKUP(T211,Airlines!A:A,Airlines!B:B,"Not Found"))</f>
        <v/>
      </c>
      <c r="AU211" s="5" t="str">
        <f>IF(U211="","",_xlfn.XLOOKUP(U211,Hotels!A:A,Hotels!B:B,"Not found"))</f>
        <v>Travelodge</v>
      </c>
      <c r="AV211" t="s">
        <v>148</v>
      </c>
      <c r="AW211" s="16" t="str">
        <f t="shared" si="71"/>
        <v>OK</v>
      </c>
      <c r="AX211" s="16" t="str">
        <f t="shared" si="72"/>
        <v>OK</v>
      </c>
      <c r="AY211" s="16" t="str">
        <f t="shared" si="73"/>
        <v>OK</v>
      </c>
      <c r="AZ211" s="16" t="str">
        <f t="shared" si="74"/>
        <v>OK</v>
      </c>
      <c r="BA211" s="16" t="str">
        <f t="shared" si="78"/>
        <v>OK</v>
      </c>
      <c r="BB211" s="21">
        <f>COUNTIF('Trip Changes'!B:B,A211)</f>
        <v>0</v>
      </c>
      <c r="BC211" s="16" t="str">
        <f>IF(OR(AND(AD211="Yes",COUNTIF('Trip Changes'!B:B,A211)&gt;0),AND(AD211="No",COUNTIF('Trip Changes'!B:B,A211)=0)),"OK","Check")</f>
        <v>OK</v>
      </c>
      <c r="BD211" t="str">
        <f t="shared" si="79"/>
        <v>OK</v>
      </c>
      <c r="BE211" t="str">
        <f t="shared" si="80"/>
        <v>OK</v>
      </c>
      <c r="BF211" t="str">
        <f t="shared" si="81"/>
        <v>OK</v>
      </c>
      <c r="BG211" t="str">
        <f t="shared" si="82"/>
        <v>OK</v>
      </c>
      <c r="BH211" t="str">
        <f t="shared" si="83"/>
        <v>OK</v>
      </c>
      <c r="BI211" t="str">
        <f t="shared" si="75"/>
        <v>OK</v>
      </c>
      <c r="BJ211" t="str">
        <f t="shared" si="76"/>
        <v>OK</v>
      </c>
      <c r="BK211" t="str">
        <f t="shared" si="77"/>
        <v>OK</v>
      </c>
    </row>
    <row r="212" spans="1:63">
      <c r="A212" s="16" t="s">
        <v>477</v>
      </c>
      <c r="B212" s="16" t="s">
        <v>474</v>
      </c>
      <c r="C212" s="16" t="s">
        <v>182</v>
      </c>
      <c r="D212" s="16" t="s">
        <v>230</v>
      </c>
      <c r="E212" s="16" t="s">
        <v>205</v>
      </c>
      <c r="F212" s="16" t="s">
        <v>162</v>
      </c>
      <c r="G212" s="15">
        <v>46153</v>
      </c>
      <c r="H212" s="15">
        <v>46190</v>
      </c>
      <c r="I212" s="15">
        <v>46193</v>
      </c>
      <c r="J212" s="15" t="s">
        <v>141</v>
      </c>
      <c r="K212" s="16" t="s">
        <v>182</v>
      </c>
      <c r="L212" t="s">
        <v>175</v>
      </c>
      <c r="M212" s="16" t="s">
        <v>152</v>
      </c>
      <c r="N212" s="16" t="s">
        <v>153</v>
      </c>
      <c r="O212" t="s">
        <v>1614</v>
      </c>
      <c r="P212" s="18">
        <v>3288</v>
      </c>
      <c r="Q212" s="21">
        <v>37</v>
      </c>
      <c r="R212" s="21" t="str">
        <f t="shared" si="63"/>
        <v>31+ days</v>
      </c>
      <c r="S212" s="16" t="s">
        <v>159</v>
      </c>
      <c r="T212" s="16" t="s">
        <v>154</v>
      </c>
      <c r="U212" s="16" t="s">
        <v>155</v>
      </c>
      <c r="V212" t="str">
        <f>IF(U212="","",IFERROR(VLOOKUP(U212,Hotels!A:B,2,FALSE),"Not Found"))</f>
        <v>Hilton</v>
      </c>
      <c r="W212" s="14">
        <v>553.85</v>
      </c>
      <c r="X212" s="14">
        <v>0</v>
      </c>
      <c r="Y212" s="21">
        <v>2</v>
      </c>
      <c r="Z212" s="29">
        <f t="shared" si="64"/>
        <v>174.6</v>
      </c>
      <c r="AA212" s="14">
        <v>349.2</v>
      </c>
      <c r="AB212" s="14">
        <v>25.05</v>
      </c>
      <c r="AC212" s="14">
        <v>928.1</v>
      </c>
      <c r="AD212" s="16" t="s">
        <v>147</v>
      </c>
      <c r="AE212" s="16" t="s">
        <v>147</v>
      </c>
      <c r="AF212" s="14">
        <f>SUMIF('Trip Changes'!$B:$B,A212,'Trip Changes'!$E:$E)</f>
        <v>0</v>
      </c>
      <c r="AG212" s="23">
        <f>SUMIF('Trip Cancellations'!$B:$B,A212,'Trip Cancellations'!$E:$E)</f>
        <v>0</v>
      </c>
      <c r="AH212" s="14">
        <f>SUMIF('Trip Cancellations'!$B:$B,A212,'Trip Cancellations'!$F:$F)</f>
        <v>0</v>
      </c>
      <c r="AI212" s="14">
        <f t="shared" si="65"/>
        <v>928.1</v>
      </c>
      <c r="AJ212" s="14" t="str">
        <f t="shared" si="66"/>
        <v>Yes</v>
      </c>
      <c r="AK212" s="14" t="str">
        <f>IF(Y212=0,"N/A",
IF(_xlfn.XLOOKUP(U212,Hotels!A:A,Hotels!C:C)=TRUE,"Yes","No"))</f>
        <v>Yes</v>
      </c>
      <c r="AL212" s="14" t="str">
        <f>IF(N212="Rail","N/A",IF(_xlfn.XLOOKUP(T212,Airlines!A:A,Airlines!C:C)=TRUE,"Yes","No"))</f>
        <v>Yes</v>
      </c>
      <c r="AM212" s="14" t="str">
        <f t="shared" si="67"/>
        <v>Yes</v>
      </c>
      <c r="AN212" s="14" t="str">
        <f t="shared" si="68"/>
        <v>Yes</v>
      </c>
      <c r="AO212" s="14" t="str">
        <f t="shared" si="69"/>
        <v>Yes</v>
      </c>
      <c r="AP212" s="16" t="s">
        <v>148</v>
      </c>
      <c r="AQ212" t="str">
        <f t="shared" si="70"/>
        <v>Yes</v>
      </c>
      <c r="AR212" s="21">
        <v>5</v>
      </c>
      <c r="AS212" s="5">
        <v>493.2</v>
      </c>
      <c r="AT212" s="5" t="str">
        <f>IF(T212="","",_xlfn.XLOOKUP(T212,Airlines!A:A,Airlines!B:B,"Not Found"))</f>
        <v>British Airways</v>
      </c>
      <c r="AU212" s="5" t="str">
        <f>IF(U212="","",_xlfn.XLOOKUP(U212,Hotels!A:A,Hotels!B:B,"Not found"))</f>
        <v>Hilton</v>
      </c>
      <c r="AV212" t="s">
        <v>147</v>
      </c>
      <c r="AW212" s="16" t="str">
        <f t="shared" si="71"/>
        <v>OK</v>
      </c>
      <c r="AX212" s="16" t="str">
        <f t="shared" si="72"/>
        <v>OK</v>
      </c>
      <c r="AY212" s="16" t="str">
        <f t="shared" si="73"/>
        <v>OK</v>
      </c>
      <c r="AZ212" s="16" t="str">
        <f t="shared" si="74"/>
        <v>OK</v>
      </c>
      <c r="BA212" s="16" t="str">
        <f t="shared" si="78"/>
        <v>OK</v>
      </c>
      <c r="BB212" s="21">
        <f>COUNTIF('Trip Changes'!B:B,A212)</f>
        <v>0</v>
      </c>
      <c r="BC212" s="16" t="str">
        <f>IF(OR(AND(AD212="Yes",COUNTIF('Trip Changes'!B:B,A212)&gt;0),AND(AD212="No",COUNTIF('Trip Changes'!B:B,A212)=0)),"OK","Check")</f>
        <v>OK</v>
      </c>
      <c r="BD212" t="str">
        <f t="shared" si="79"/>
        <v>OK</v>
      </c>
      <c r="BE212" t="str">
        <f t="shared" si="80"/>
        <v>OK</v>
      </c>
      <c r="BF212" t="str">
        <f t="shared" si="81"/>
        <v>OK</v>
      </c>
      <c r="BG212" t="str">
        <f t="shared" si="82"/>
        <v>OK</v>
      </c>
      <c r="BH212" t="str">
        <f t="shared" si="83"/>
        <v>OK</v>
      </c>
      <c r="BI212" t="str">
        <f t="shared" si="75"/>
        <v>OK</v>
      </c>
      <c r="BJ212" t="str">
        <f t="shared" si="76"/>
        <v>OK</v>
      </c>
      <c r="BK212" t="str">
        <f t="shared" si="77"/>
        <v>OK</v>
      </c>
    </row>
    <row r="213" spans="1:63">
      <c r="A213" s="16" t="s">
        <v>478</v>
      </c>
      <c r="B213" s="16" t="s">
        <v>474</v>
      </c>
      <c r="C213" s="16" t="s">
        <v>182</v>
      </c>
      <c r="D213" s="16" t="s">
        <v>230</v>
      </c>
      <c r="E213" s="16" t="s">
        <v>205</v>
      </c>
      <c r="F213" s="16" t="s">
        <v>162</v>
      </c>
      <c r="G213" s="15">
        <v>46149</v>
      </c>
      <c r="H213" s="15">
        <v>46155</v>
      </c>
      <c r="I213" s="15">
        <v>46158</v>
      </c>
      <c r="J213" s="15" t="s">
        <v>163</v>
      </c>
      <c r="K213" s="16" t="s">
        <v>182</v>
      </c>
      <c r="L213" t="s">
        <v>185</v>
      </c>
      <c r="M213" s="16" t="s">
        <v>152</v>
      </c>
      <c r="N213" s="16" t="s">
        <v>153</v>
      </c>
      <c r="O213" t="s">
        <v>1614</v>
      </c>
      <c r="P213" s="18">
        <v>10098</v>
      </c>
      <c r="Q213" s="21">
        <v>6</v>
      </c>
      <c r="R213" s="21" t="str">
        <f t="shared" si="63"/>
        <v>4-7 days</v>
      </c>
      <c r="S213" s="16" t="s">
        <v>216</v>
      </c>
      <c r="T213" s="16" t="s">
        <v>154</v>
      </c>
      <c r="U213" s="16" t="s">
        <v>155</v>
      </c>
      <c r="V213" t="str">
        <f>IF(U213="","",IFERROR(VLOOKUP(U213,Hotels!A:B,2,FALSE),"Not Found"))</f>
        <v>Hilton</v>
      </c>
      <c r="W213" s="14">
        <v>959.88</v>
      </c>
      <c r="X213" s="14">
        <v>0</v>
      </c>
      <c r="Y213" s="21">
        <v>2</v>
      </c>
      <c r="Z213" s="29">
        <f t="shared" si="64"/>
        <v>160.69999999999999</v>
      </c>
      <c r="AA213" s="14">
        <v>321.39999999999998</v>
      </c>
      <c r="AB213" s="14">
        <v>147.66</v>
      </c>
      <c r="AC213" s="14">
        <v>1428.94</v>
      </c>
      <c r="AD213" s="16" t="s">
        <v>147</v>
      </c>
      <c r="AE213" s="16" t="s">
        <v>147</v>
      </c>
      <c r="AF213" s="14">
        <f>SUMIF('Trip Changes'!$B:$B,A213,'Trip Changes'!$E:$E)</f>
        <v>0</v>
      </c>
      <c r="AG213" s="23">
        <f>SUMIF('Trip Cancellations'!$B:$B,A213,'Trip Cancellations'!$E:$E)</f>
        <v>0</v>
      </c>
      <c r="AH213" s="14">
        <f>SUMIF('Trip Cancellations'!$B:$B,A213,'Trip Cancellations'!$F:$F)</f>
        <v>0</v>
      </c>
      <c r="AI213" s="14">
        <f t="shared" si="65"/>
        <v>1428.94</v>
      </c>
      <c r="AJ213" s="14" t="str">
        <f t="shared" si="66"/>
        <v>Yes</v>
      </c>
      <c r="AK213" s="14" t="str">
        <f>IF(Y213=0,"N/A",
IF(_xlfn.XLOOKUP(U213,Hotels!A:A,Hotels!C:C)=TRUE,"Yes","No"))</f>
        <v>Yes</v>
      </c>
      <c r="AL213" s="14" t="str">
        <f>IF(N213="Rail","N/A",IF(_xlfn.XLOOKUP(T213,Airlines!A:A,Airlines!C:C)=TRUE,"Yes","No"))</f>
        <v>Yes</v>
      </c>
      <c r="AM213" s="14" t="str">
        <f t="shared" si="67"/>
        <v>Yes</v>
      </c>
      <c r="AN213" s="14" t="str">
        <f t="shared" si="68"/>
        <v>No</v>
      </c>
      <c r="AO213" s="14" t="str">
        <f t="shared" si="69"/>
        <v>Yes</v>
      </c>
      <c r="AP213" s="16" t="s">
        <v>147</v>
      </c>
      <c r="AQ213" t="str">
        <f t="shared" si="70"/>
        <v>No</v>
      </c>
      <c r="AR213" s="21">
        <v>5</v>
      </c>
      <c r="AS213" s="5">
        <v>1514.7</v>
      </c>
      <c r="AT213" s="5" t="str">
        <f>IF(T213="","",_xlfn.XLOOKUP(T213,Airlines!A:A,Airlines!B:B,"Not Found"))</f>
        <v>British Airways</v>
      </c>
      <c r="AU213" s="5" t="str">
        <f>IF(U213="","",_xlfn.XLOOKUP(U213,Hotels!A:A,Hotels!B:B,"Not found"))</f>
        <v>Hilton</v>
      </c>
      <c r="AV213" t="s">
        <v>147</v>
      </c>
      <c r="AW213" s="16" t="str">
        <f t="shared" si="71"/>
        <v>OK</v>
      </c>
      <c r="AX213" s="16" t="str">
        <f t="shared" si="72"/>
        <v>OK</v>
      </c>
      <c r="AY213" s="16" t="str">
        <f t="shared" si="73"/>
        <v>OK</v>
      </c>
      <c r="AZ213" s="16" t="str">
        <f t="shared" si="74"/>
        <v>OK</v>
      </c>
      <c r="BA213" s="16" t="str">
        <f t="shared" si="78"/>
        <v>OK</v>
      </c>
      <c r="BB213" s="21">
        <f>COUNTIF('Trip Changes'!B:B,A213)</f>
        <v>0</v>
      </c>
      <c r="BC213" s="16" t="str">
        <f>IF(OR(AND(AD213="Yes",COUNTIF('Trip Changes'!B:B,A213)&gt;0),AND(AD213="No",COUNTIF('Trip Changes'!B:B,A213)=0)),"OK","Check")</f>
        <v>OK</v>
      </c>
      <c r="BD213" t="str">
        <f t="shared" si="79"/>
        <v>OK</v>
      </c>
      <c r="BE213" t="str">
        <f t="shared" si="80"/>
        <v>OK</v>
      </c>
      <c r="BF213" t="str">
        <f t="shared" si="81"/>
        <v>OK</v>
      </c>
      <c r="BG213" t="str">
        <f t="shared" si="82"/>
        <v>OK</v>
      </c>
      <c r="BH213" t="str">
        <f t="shared" si="83"/>
        <v>OK</v>
      </c>
      <c r="BI213" t="str">
        <f t="shared" si="75"/>
        <v>OK</v>
      </c>
      <c r="BJ213" t="str">
        <f t="shared" si="76"/>
        <v>OK</v>
      </c>
      <c r="BK213" t="str">
        <f t="shared" si="77"/>
        <v>OK</v>
      </c>
    </row>
    <row r="214" spans="1:63">
      <c r="A214" s="16" t="s">
        <v>479</v>
      </c>
      <c r="B214" s="16" t="s">
        <v>474</v>
      </c>
      <c r="C214" s="16" t="s">
        <v>182</v>
      </c>
      <c r="D214" s="16" t="s">
        <v>230</v>
      </c>
      <c r="E214" s="16" t="s">
        <v>205</v>
      </c>
      <c r="F214" s="16" t="s">
        <v>157</v>
      </c>
      <c r="G214" s="15">
        <v>46189</v>
      </c>
      <c r="H214" s="15">
        <v>46199</v>
      </c>
      <c r="I214" s="15">
        <v>46205</v>
      </c>
      <c r="J214" s="15" t="s">
        <v>141</v>
      </c>
      <c r="K214" s="16" t="s">
        <v>182</v>
      </c>
      <c r="L214" t="s">
        <v>185</v>
      </c>
      <c r="M214" s="16" t="s">
        <v>152</v>
      </c>
      <c r="N214" s="16" t="s">
        <v>153</v>
      </c>
      <c r="O214" t="s">
        <v>1614</v>
      </c>
      <c r="P214" s="18">
        <v>10364</v>
      </c>
      <c r="Q214" s="21">
        <v>10</v>
      </c>
      <c r="R214" s="21" t="str">
        <f t="shared" si="63"/>
        <v>8-14 days</v>
      </c>
      <c r="S214" s="16" t="s">
        <v>145</v>
      </c>
      <c r="T214" s="16" t="s">
        <v>278</v>
      </c>
      <c r="U214" s="16" t="s">
        <v>187</v>
      </c>
      <c r="V214" t="str">
        <f>IF(U214="","",IFERROR(VLOOKUP(U214,Hotels!A:B,2,FALSE),"Not Found"))</f>
        <v>IHG Hotels &amp; Resorts</v>
      </c>
      <c r="W214" s="14">
        <v>1144.25</v>
      </c>
      <c r="X214" s="14">
        <v>0</v>
      </c>
      <c r="Y214" s="21">
        <v>5</v>
      </c>
      <c r="Z214" s="29">
        <f t="shared" si="64"/>
        <v>285.73599999999999</v>
      </c>
      <c r="AA214" s="14">
        <v>1428.68</v>
      </c>
      <c r="AB214" s="14">
        <v>48.39</v>
      </c>
      <c r="AC214" s="14">
        <v>2621.3200000000002</v>
      </c>
      <c r="AD214" s="16" t="s">
        <v>147</v>
      </c>
      <c r="AE214" s="16" t="s">
        <v>147</v>
      </c>
      <c r="AF214" s="14">
        <f>SUMIF('Trip Changes'!$B:$B,A214,'Trip Changes'!$E:$E)</f>
        <v>0</v>
      </c>
      <c r="AG214" s="23">
        <f>SUMIF('Trip Cancellations'!$B:$B,A214,'Trip Cancellations'!$E:$E)</f>
        <v>0</v>
      </c>
      <c r="AH214" s="14">
        <f>SUMIF('Trip Cancellations'!$B:$B,A214,'Trip Cancellations'!$F:$F)</f>
        <v>0</v>
      </c>
      <c r="AI214" s="14">
        <f t="shared" si="65"/>
        <v>2621.3200000000002</v>
      </c>
      <c r="AJ214" s="14" t="str">
        <f t="shared" si="66"/>
        <v>No</v>
      </c>
      <c r="AK214" s="14" t="str">
        <f>IF(Y214=0,"N/A",
IF(_xlfn.XLOOKUP(U214,Hotels!A:A,Hotels!C:C)=TRUE,"Yes","No"))</f>
        <v>Yes</v>
      </c>
      <c r="AL214" s="14" t="str">
        <f>IF(N214="Rail","N/A",IF(_xlfn.XLOOKUP(T214,Airlines!A:A,Airlines!C:C)=TRUE,"Yes","No"))</f>
        <v>No</v>
      </c>
      <c r="AM214" s="14" t="str">
        <f t="shared" si="67"/>
        <v>Yes</v>
      </c>
      <c r="AN214" s="14" t="str">
        <f t="shared" si="68"/>
        <v>Yes</v>
      </c>
      <c r="AO214" s="14" t="str">
        <f t="shared" si="69"/>
        <v>No</v>
      </c>
      <c r="AP214" s="16" t="s">
        <v>148</v>
      </c>
      <c r="AQ214" t="str">
        <f t="shared" si="70"/>
        <v>No</v>
      </c>
      <c r="AR214" s="21">
        <v>5</v>
      </c>
      <c r="AS214" s="5">
        <v>1554.6</v>
      </c>
      <c r="AT214" s="5" t="str">
        <f>IF(T214="","",_xlfn.XLOOKUP(T214,Airlines!A:A,Airlines!B:B,"Not Found"))</f>
        <v>United Airlines</v>
      </c>
      <c r="AU214" s="5" t="str">
        <f>IF(U214="","",_xlfn.XLOOKUP(U214,Hotels!A:A,Hotels!B:B,"Not found"))</f>
        <v>IHG Hotels &amp; Resorts</v>
      </c>
      <c r="AV214" t="s">
        <v>147</v>
      </c>
      <c r="AW214" s="16" t="str">
        <f t="shared" si="71"/>
        <v>OK</v>
      </c>
      <c r="AX214" s="16" t="str">
        <f t="shared" si="72"/>
        <v>OK</v>
      </c>
      <c r="AY214" s="16" t="str">
        <f t="shared" si="73"/>
        <v>OK</v>
      </c>
      <c r="AZ214" s="16" t="str">
        <f t="shared" si="74"/>
        <v>OK</v>
      </c>
      <c r="BA214" s="16" t="str">
        <f t="shared" si="78"/>
        <v>OK</v>
      </c>
      <c r="BB214" s="21">
        <f>COUNTIF('Trip Changes'!B:B,A214)</f>
        <v>0</v>
      </c>
      <c r="BC214" s="16" t="str">
        <f>IF(OR(AND(AD214="Yes",COUNTIF('Trip Changes'!B:B,A214)&gt;0),AND(AD214="No",COUNTIF('Trip Changes'!B:B,A214)=0)),"OK","Check")</f>
        <v>OK</v>
      </c>
      <c r="BD214" t="str">
        <f t="shared" si="79"/>
        <v>OK</v>
      </c>
      <c r="BE214" t="str">
        <f t="shared" si="80"/>
        <v>OK</v>
      </c>
      <c r="BF214" t="str">
        <f t="shared" si="81"/>
        <v>OK</v>
      </c>
      <c r="BG214" t="str">
        <f t="shared" si="82"/>
        <v>OK</v>
      </c>
      <c r="BH214" t="str">
        <f t="shared" si="83"/>
        <v>OK</v>
      </c>
      <c r="BI214" t="str">
        <f t="shared" si="75"/>
        <v>OK</v>
      </c>
      <c r="BJ214" t="str">
        <f t="shared" si="76"/>
        <v>OK</v>
      </c>
      <c r="BK214" t="str">
        <f t="shared" si="77"/>
        <v>OK</v>
      </c>
    </row>
    <row r="215" spans="1:63">
      <c r="A215" s="16" t="s">
        <v>480</v>
      </c>
      <c r="B215" s="16" t="s">
        <v>481</v>
      </c>
      <c r="C215" s="16" t="s">
        <v>182</v>
      </c>
      <c r="D215" s="16" t="s">
        <v>168</v>
      </c>
      <c r="E215" s="16" t="s">
        <v>139</v>
      </c>
      <c r="F215" s="16" t="s">
        <v>140</v>
      </c>
      <c r="G215" s="15">
        <v>46154</v>
      </c>
      <c r="H215" s="15">
        <v>46171</v>
      </c>
      <c r="I215" s="15">
        <v>46174</v>
      </c>
      <c r="J215" s="15" t="s">
        <v>163</v>
      </c>
      <c r="K215" s="16" t="s">
        <v>182</v>
      </c>
      <c r="L215" t="s">
        <v>171</v>
      </c>
      <c r="M215" s="16" t="s">
        <v>152</v>
      </c>
      <c r="N215" s="16" t="s">
        <v>153</v>
      </c>
      <c r="O215" t="s">
        <v>1614</v>
      </c>
      <c r="P215" s="18">
        <v>3134</v>
      </c>
      <c r="Q215" s="21">
        <v>17</v>
      </c>
      <c r="R215" s="21" t="str">
        <f t="shared" si="63"/>
        <v>15-30 days</v>
      </c>
      <c r="S215" s="16" t="s">
        <v>145</v>
      </c>
      <c r="T215" s="16" t="s">
        <v>172</v>
      </c>
      <c r="U215" s="16" t="s">
        <v>187</v>
      </c>
      <c r="V215" t="str">
        <f>IF(U215="","",IFERROR(VLOOKUP(U215,Hotels!A:B,2,FALSE),"Not Found"))</f>
        <v>IHG Hotels &amp; Resorts</v>
      </c>
      <c r="W215" s="14">
        <v>392.5</v>
      </c>
      <c r="X215" s="14">
        <v>0</v>
      </c>
      <c r="Y215" s="21">
        <v>2</v>
      </c>
      <c r="Z215" s="29">
        <f t="shared" si="64"/>
        <v>128.745</v>
      </c>
      <c r="AA215" s="14">
        <v>257.49</v>
      </c>
      <c r="AB215" s="14">
        <v>75.900000000000006</v>
      </c>
      <c r="AC215" s="14">
        <v>725.89</v>
      </c>
      <c r="AD215" s="16" t="s">
        <v>147</v>
      </c>
      <c r="AE215" s="16" t="s">
        <v>147</v>
      </c>
      <c r="AF215" s="14">
        <f>SUMIF('Trip Changes'!$B:$B,A215,'Trip Changes'!$E:$E)</f>
        <v>0</v>
      </c>
      <c r="AG215" s="23">
        <f>SUMIF('Trip Cancellations'!$B:$B,A215,'Trip Cancellations'!$E:$E)</f>
        <v>0</v>
      </c>
      <c r="AH215" s="14">
        <f>SUMIF('Trip Cancellations'!$B:$B,A215,'Trip Cancellations'!$F:$F)</f>
        <v>0</v>
      </c>
      <c r="AI215" s="14">
        <f t="shared" si="65"/>
        <v>725.89</v>
      </c>
      <c r="AJ215" s="14" t="str">
        <f t="shared" si="66"/>
        <v>Yes</v>
      </c>
      <c r="AK215" s="14" t="str">
        <f>IF(Y215=0,"N/A",
IF(_xlfn.XLOOKUP(U215,Hotels!A:A,Hotels!C:C)=TRUE,"Yes","No"))</f>
        <v>Yes</v>
      </c>
      <c r="AL215" s="14" t="str">
        <f>IF(N215="Rail","N/A",IF(_xlfn.XLOOKUP(T215,Airlines!A:A,Airlines!C:C)=TRUE,"Yes","No"))</f>
        <v>Yes</v>
      </c>
      <c r="AM215" s="14" t="str">
        <f t="shared" si="67"/>
        <v>Yes</v>
      </c>
      <c r="AN215" s="14" t="str">
        <f t="shared" si="68"/>
        <v>Yes</v>
      </c>
      <c r="AO215" s="14" t="str">
        <f t="shared" si="69"/>
        <v>Yes</v>
      </c>
      <c r="AP215" s="16" t="s">
        <v>148</v>
      </c>
      <c r="AQ215" t="str">
        <f t="shared" si="70"/>
        <v>Yes</v>
      </c>
      <c r="AR215" s="21">
        <v>5</v>
      </c>
      <c r="AS215" s="5">
        <v>470.1</v>
      </c>
      <c r="AT215" s="5" t="str">
        <f>IF(T215="","",_xlfn.XLOOKUP(T215,Airlines!A:A,Airlines!B:B,"Not Found"))</f>
        <v>Lufthansa</v>
      </c>
      <c r="AU215" s="5" t="str">
        <f>IF(U215="","",_xlfn.XLOOKUP(U215,Hotels!A:A,Hotels!B:B,"Not found"))</f>
        <v>IHG Hotels &amp; Resorts</v>
      </c>
      <c r="AV215" t="s">
        <v>147</v>
      </c>
      <c r="AW215" s="16" t="str">
        <f t="shared" si="71"/>
        <v>OK</v>
      </c>
      <c r="AX215" s="16" t="str">
        <f t="shared" si="72"/>
        <v>OK</v>
      </c>
      <c r="AY215" s="16" t="str">
        <f t="shared" si="73"/>
        <v>OK</v>
      </c>
      <c r="AZ215" s="16" t="str">
        <f t="shared" si="74"/>
        <v>OK</v>
      </c>
      <c r="BA215" s="16" t="str">
        <f t="shared" si="78"/>
        <v>OK</v>
      </c>
      <c r="BB215" s="21">
        <f>COUNTIF('Trip Changes'!B:B,A215)</f>
        <v>0</v>
      </c>
      <c r="BC215" s="16" t="str">
        <f>IF(OR(AND(AD215="Yes",COUNTIF('Trip Changes'!B:B,A215)&gt;0),AND(AD215="No",COUNTIF('Trip Changes'!B:B,A215)=0)),"OK","Check")</f>
        <v>OK</v>
      </c>
      <c r="BD215" t="str">
        <f t="shared" si="79"/>
        <v>OK</v>
      </c>
      <c r="BE215" t="str">
        <f t="shared" si="80"/>
        <v>OK</v>
      </c>
      <c r="BF215" t="str">
        <f t="shared" si="81"/>
        <v>OK</v>
      </c>
      <c r="BG215" t="str">
        <f t="shared" si="82"/>
        <v>OK</v>
      </c>
      <c r="BH215" t="str">
        <f t="shared" si="83"/>
        <v>OK</v>
      </c>
      <c r="BI215" t="str">
        <f t="shared" si="75"/>
        <v>OK</v>
      </c>
      <c r="BJ215" t="str">
        <f t="shared" si="76"/>
        <v>OK</v>
      </c>
      <c r="BK215" t="str">
        <f t="shared" si="77"/>
        <v>OK</v>
      </c>
    </row>
    <row r="216" spans="1:63">
      <c r="A216" s="16" t="s">
        <v>482</v>
      </c>
      <c r="B216" s="16" t="s">
        <v>481</v>
      </c>
      <c r="C216" s="16" t="s">
        <v>182</v>
      </c>
      <c r="D216" s="16" t="s">
        <v>168</v>
      </c>
      <c r="E216" s="16" t="s">
        <v>139</v>
      </c>
      <c r="F216" s="16" t="s">
        <v>178</v>
      </c>
      <c r="G216" s="15">
        <v>46222</v>
      </c>
      <c r="H216" s="15">
        <v>46230</v>
      </c>
      <c r="I216" s="15">
        <v>46232</v>
      </c>
      <c r="J216" s="15" t="s">
        <v>150</v>
      </c>
      <c r="K216" s="16" t="s">
        <v>182</v>
      </c>
      <c r="L216" t="s">
        <v>142</v>
      </c>
      <c r="M216" s="16" t="s">
        <v>143</v>
      </c>
      <c r="N216" s="16" t="s">
        <v>153</v>
      </c>
      <c r="O216" t="s">
        <v>1614</v>
      </c>
      <c r="P216" s="18">
        <v>686</v>
      </c>
      <c r="Q216" s="21">
        <v>8</v>
      </c>
      <c r="R216" s="21" t="str">
        <f t="shared" si="63"/>
        <v>8-14 days</v>
      </c>
      <c r="S216" s="16" t="s">
        <v>145</v>
      </c>
      <c r="T216" s="16" t="s">
        <v>154</v>
      </c>
      <c r="U216" s="16" t="s">
        <v>155</v>
      </c>
      <c r="V216" t="str">
        <f>IF(U216="","",IFERROR(VLOOKUP(U216,Hotels!A:B,2,FALSE),"Not Found"))</f>
        <v>Hilton</v>
      </c>
      <c r="W216" s="14">
        <v>415.09</v>
      </c>
      <c r="X216" s="14">
        <v>0</v>
      </c>
      <c r="Y216" s="21">
        <v>1</v>
      </c>
      <c r="Z216" s="29">
        <f t="shared" si="64"/>
        <v>135.08000000000001</v>
      </c>
      <c r="AA216" s="14">
        <v>135.08000000000001</v>
      </c>
      <c r="AB216" s="14">
        <v>44.21</v>
      </c>
      <c r="AC216" s="14">
        <v>594.38</v>
      </c>
      <c r="AD216" s="16" t="s">
        <v>147</v>
      </c>
      <c r="AE216" s="16" t="s">
        <v>147</v>
      </c>
      <c r="AF216" s="14">
        <f>SUMIF('Trip Changes'!$B:$B,A216,'Trip Changes'!$E:$E)</f>
        <v>0</v>
      </c>
      <c r="AG216" s="23">
        <f>SUMIF('Trip Cancellations'!$B:$B,A216,'Trip Cancellations'!$E:$E)</f>
        <v>0</v>
      </c>
      <c r="AH216" s="14">
        <f>SUMIF('Trip Cancellations'!$B:$B,A216,'Trip Cancellations'!$F:$F)</f>
        <v>0</v>
      </c>
      <c r="AI216" s="14">
        <f t="shared" si="65"/>
        <v>594.38</v>
      </c>
      <c r="AJ216" s="14" t="str">
        <f t="shared" si="66"/>
        <v>Yes</v>
      </c>
      <c r="AK216" s="14" t="str">
        <f>IF(Y216=0,"N/A",
IF(_xlfn.XLOOKUP(U216,Hotels!A:A,Hotels!C:C)=TRUE,"Yes","No"))</f>
        <v>Yes</v>
      </c>
      <c r="AL216" s="14" t="str">
        <f>IF(N216="Rail","N/A",IF(_xlfn.XLOOKUP(T216,Airlines!A:A,Airlines!C:C)=TRUE,"Yes","No"))</f>
        <v>Yes</v>
      </c>
      <c r="AM216" s="14" t="str">
        <f t="shared" si="67"/>
        <v>Yes</v>
      </c>
      <c r="AN216" s="14" t="str">
        <f t="shared" si="68"/>
        <v>Yes</v>
      </c>
      <c r="AO216" s="14" t="str">
        <f t="shared" si="69"/>
        <v>Yes</v>
      </c>
      <c r="AP216" s="16" t="s">
        <v>148</v>
      </c>
      <c r="AQ216" t="str">
        <f t="shared" si="70"/>
        <v>Yes</v>
      </c>
      <c r="AR216" s="21">
        <v>4</v>
      </c>
      <c r="AS216" s="5">
        <v>102.9</v>
      </c>
      <c r="AT216" s="5" t="str">
        <f>IF(T216="","",_xlfn.XLOOKUP(T216,Airlines!A:A,Airlines!B:B,"Not Found"))</f>
        <v>British Airways</v>
      </c>
      <c r="AU216" s="5" t="str">
        <f>IF(U216="","",_xlfn.XLOOKUP(U216,Hotels!A:A,Hotels!B:B,"Not found"))</f>
        <v>Hilton</v>
      </c>
      <c r="AV216" t="s">
        <v>148</v>
      </c>
      <c r="AW216" s="16" t="str">
        <f t="shared" si="71"/>
        <v>OK</v>
      </c>
      <c r="AX216" s="16" t="str">
        <f t="shared" si="72"/>
        <v>OK</v>
      </c>
      <c r="AY216" s="16" t="str">
        <f t="shared" si="73"/>
        <v>OK</v>
      </c>
      <c r="AZ216" s="16" t="str">
        <f t="shared" si="74"/>
        <v>OK</v>
      </c>
      <c r="BA216" s="16" t="str">
        <f t="shared" si="78"/>
        <v>OK</v>
      </c>
      <c r="BB216" s="21">
        <f>COUNTIF('Trip Changes'!B:B,A216)</f>
        <v>0</v>
      </c>
      <c r="BC216" s="16" t="str">
        <f>IF(OR(AND(AD216="Yes",COUNTIF('Trip Changes'!B:B,A216)&gt;0),AND(AD216="No",COUNTIF('Trip Changes'!B:B,A216)=0)),"OK","Check")</f>
        <v>OK</v>
      </c>
      <c r="BD216" t="str">
        <f t="shared" si="79"/>
        <v>OK</v>
      </c>
      <c r="BE216" t="str">
        <f t="shared" si="80"/>
        <v>OK</v>
      </c>
      <c r="BF216" t="str">
        <f t="shared" si="81"/>
        <v>OK</v>
      </c>
      <c r="BG216" t="str">
        <f t="shared" si="82"/>
        <v>OK</v>
      </c>
      <c r="BH216" t="str">
        <f t="shared" si="83"/>
        <v>OK</v>
      </c>
      <c r="BI216" t="str">
        <f t="shared" si="75"/>
        <v>OK</v>
      </c>
      <c r="BJ216" t="str">
        <f t="shared" si="76"/>
        <v>OK</v>
      </c>
      <c r="BK216" t="str">
        <f t="shared" si="77"/>
        <v>OK</v>
      </c>
    </row>
    <row r="217" spans="1:63">
      <c r="A217" s="16" t="s">
        <v>483</v>
      </c>
      <c r="B217" s="16" t="s">
        <v>481</v>
      </c>
      <c r="C217" s="16" t="s">
        <v>182</v>
      </c>
      <c r="D217" s="16" t="s">
        <v>168</v>
      </c>
      <c r="E217" s="16" t="s">
        <v>139</v>
      </c>
      <c r="F217" s="16" t="s">
        <v>170</v>
      </c>
      <c r="G217" s="15">
        <v>46149</v>
      </c>
      <c r="H217" s="15">
        <v>46188</v>
      </c>
      <c r="I217" s="15">
        <v>46190</v>
      </c>
      <c r="J217" s="15" t="s">
        <v>141</v>
      </c>
      <c r="K217" s="16" t="s">
        <v>182</v>
      </c>
      <c r="L217" t="s">
        <v>142</v>
      </c>
      <c r="M217" s="16" t="s">
        <v>143</v>
      </c>
      <c r="N217" s="16" t="s">
        <v>144</v>
      </c>
      <c r="O217" t="s">
        <v>1630</v>
      </c>
      <c r="P217" s="18">
        <v>1014</v>
      </c>
      <c r="Q217" s="21">
        <v>39</v>
      </c>
      <c r="R217" s="21" t="str">
        <f t="shared" si="63"/>
        <v>31+ days</v>
      </c>
      <c r="S217" s="16" t="s">
        <v>159</v>
      </c>
      <c r="U217" s="16" t="s">
        <v>195</v>
      </c>
      <c r="V217" t="str">
        <f>IF(U217="","",IFERROR(VLOOKUP(U217,Hotels!A:B,2,FALSE),"Not Found"))</f>
        <v>Travelodge</v>
      </c>
      <c r="W217" s="14">
        <v>0</v>
      </c>
      <c r="X217" s="14">
        <v>137.96</v>
      </c>
      <c r="Y217" s="21">
        <v>1</v>
      </c>
      <c r="Z217" s="29">
        <f t="shared" si="64"/>
        <v>73.209999999999994</v>
      </c>
      <c r="AA217" s="14">
        <v>73.209999999999994</v>
      </c>
      <c r="AB217" s="14">
        <v>102.67</v>
      </c>
      <c r="AC217" s="14">
        <v>313.83999999999997</v>
      </c>
      <c r="AD217" s="16" t="s">
        <v>147</v>
      </c>
      <c r="AE217" s="16" t="s">
        <v>147</v>
      </c>
      <c r="AF217" s="14">
        <f>SUMIF('Trip Changes'!$B:$B,A217,'Trip Changes'!$E:$E)</f>
        <v>0</v>
      </c>
      <c r="AG217" s="23">
        <f>SUMIF('Trip Cancellations'!$B:$B,A217,'Trip Cancellations'!$E:$E)</f>
        <v>0</v>
      </c>
      <c r="AH217" s="14">
        <f>SUMIF('Trip Cancellations'!$B:$B,A217,'Trip Cancellations'!$F:$F)</f>
        <v>0</v>
      </c>
      <c r="AI217" s="14">
        <f t="shared" si="65"/>
        <v>313.83999999999997</v>
      </c>
      <c r="AJ217" s="14" t="str">
        <f t="shared" si="66"/>
        <v>Yes</v>
      </c>
      <c r="AK217" s="14" t="str">
        <f>IF(Y217=0,"N/A",
IF(_xlfn.XLOOKUP(U217,Hotels!A:A,Hotels!C:C)=TRUE,"Yes","No"))</f>
        <v>No</v>
      </c>
      <c r="AL217" s="14" t="str">
        <f>IF(N217="Rail","N/A",IF(_xlfn.XLOOKUP(T217,Airlines!A:A,Airlines!C:C)=TRUE,"Yes","No"))</f>
        <v>N/A</v>
      </c>
      <c r="AM217" s="14" t="str">
        <f t="shared" si="67"/>
        <v>Yes</v>
      </c>
      <c r="AN217" s="14" t="str">
        <f t="shared" si="68"/>
        <v>Yes</v>
      </c>
      <c r="AO217" s="14" t="str">
        <f t="shared" si="69"/>
        <v>No</v>
      </c>
      <c r="AP217" s="16" t="s">
        <v>148</v>
      </c>
      <c r="AQ217" t="str">
        <f t="shared" si="70"/>
        <v>No</v>
      </c>
      <c r="AR217" s="21">
        <v>5</v>
      </c>
      <c r="AS217" s="5">
        <v>40.6</v>
      </c>
      <c r="AT217" s="5" t="str">
        <f>IF(T217="","",_xlfn.XLOOKUP(T217,Airlines!A:A,Airlines!B:B,"Not Found"))</f>
        <v/>
      </c>
      <c r="AU217" s="5" t="str">
        <f>IF(U217="","",_xlfn.XLOOKUP(U217,Hotels!A:A,Hotels!B:B,"Not found"))</f>
        <v>Travelodge</v>
      </c>
      <c r="AV217" t="s">
        <v>147</v>
      </c>
      <c r="AW217" s="16" t="str">
        <f t="shared" si="71"/>
        <v>OK</v>
      </c>
      <c r="AX217" s="16" t="str">
        <f t="shared" si="72"/>
        <v>OK</v>
      </c>
      <c r="AY217" s="16" t="str">
        <f t="shared" si="73"/>
        <v>OK</v>
      </c>
      <c r="AZ217" s="16" t="str">
        <f t="shared" si="74"/>
        <v>OK</v>
      </c>
      <c r="BA217" s="16" t="str">
        <f t="shared" si="78"/>
        <v>OK</v>
      </c>
      <c r="BB217" s="21">
        <f>COUNTIF('Trip Changes'!B:B,A217)</f>
        <v>0</v>
      </c>
      <c r="BC217" s="16" t="str">
        <f>IF(OR(AND(AD217="Yes",COUNTIF('Trip Changes'!B:B,A217)&gt;0),AND(AD217="No",COUNTIF('Trip Changes'!B:B,A217)=0)),"OK","Check")</f>
        <v>OK</v>
      </c>
      <c r="BD217" t="str">
        <f t="shared" si="79"/>
        <v>OK</v>
      </c>
      <c r="BE217" t="str">
        <f t="shared" si="80"/>
        <v>OK</v>
      </c>
      <c r="BF217" t="str">
        <f t="shared" si="81"/>
        <v>OK</v>
      </c>
      <c r="BG217" t="str">
        <f t="shared" si="82"/>
        <v>OK</v>
      </c>
      <c r="BH217" t="str">
        <f t="shared" si="83"/>
        <v>OK</v>
      </c>
      <c r="BI217" t="str">
        <f t="shared" si="75"/>
        <v>OK</v>
      </c>
      <c r="BJ217" t="str">
        <f t="shared" si="76"/>
        <v>OK</v>
      </c>
      <c r="BK217" t="str">
        <f t="shared" si="77"/>
        <v>OK</v>
      </c>
    </row>
    <row r="218" spans="1:63">
      <c r="A218" s="16" t="s">
        <v>484</v>
      </c>
      <c r="B218" s="16" t="s">
        <v>481</v>
      </c>
      <c r="C218" s="16" t="s">
        <v>182</v>
      </c>
      <c r="D218" s="16" t="s">
        <v>168</v>
      </c>
      <c r="E218" s="16" t="s">
        <v>139</v>
      </c>
      <c r="F218" s="16" t="s">
        <v>162</v>
      </c>
      <c r="G218" s="15">
        <v>46145</v>
      </c>
      <c r="H218" s="15">
        <v>46166</v>
      </c>
      <c r="I218" s="15">
        <v>46171</v>
      </c>
      <c r="J218" s="15" t="s">
        <v>163</v>
      </c>
      <c r="K218" s="16" t="s">
        <v>182</v>
      </c>
      <c r="L218" t="s">
        <v>199</v>
      </c>
      <c r="M218" s="16" t="s">
        <v>152</v>
      </c>
      <c r="N218" s="16" t="s">
        <v>153</v>
      </c>
      <c r="O218" t="s">
        <v>1614</v>
      </c>
      <c r="P218" s="18">
        <v>3532</v>
      </c>
      <c r="Q218" s="21">
        <v>21</v>
      </c>
      <c r="R218" s="21" t="str">
        <f t="shared" si="63"/>
        <v>15-30 days</v>
      </c>
      <c r="S218" s="16" t="s">
        <v>216</v>
      </c>
      <c r="T218" s="16" t="s">
        <v>154</v>
      </c>
      <c r="U218" s="16" t="s">
        <v>164</v>
      </c>
      <c r="V218" t="str">
        <f>IF(U218="","",IFERROR(VLOOKUP(U218,Hotels!A:B,2,FALSE),"Not Found"))</f>
        <v>Marriott</v>
      </c>
      <c r="W218" s="14">
        <v>422.98</v>
      </c>
      <c r="X218" s="14">
        <v>0</v>
      </c>
      <c r="Y218" s="21">
        <v>4</v>
      </c>
      <c r="Z218" s="29">
        <f t="shared" si="64"/>
        <v>209.905</v>
      </c>
      <c r="AA218" s="14">
        <v>839.62</v>
      </c>
      <c r="AB218" s="14">
        <v>20.67</v>
      </c>
      <c r="AC218" s="14">
        <v>1283.27</v>
      </c>
      <c r="AD218" s="16" t="s">
        <v>147</v>
      </c>
      <c r="AE218" s="16" t="s">
        <v>147</v>
      </c>
      <c r="AF218" s="14">
        <f>SUMIF('Trip Changes'!$B:$B,A218,'Trip Changes'!$E:$E)</f>
        <v>0</v>
      </c>
      <c r="AG218" s="23">
        <f>SUMIF('Trip Cancellations'!$B:$B,A218,'Trip Cancellations'!$E:$E)</f>
        <v>0</v>
      </c>
      <c r="AH218" s="14">
        <f>SUMIF('Trip Cancellations'!$B:$B,A218,'Trip Cancellations'!$F:$F)</f>
        <v>0</v>
      </c>
      <c r="AI218" s="14">
        <f t="shared" si="65"/>
        <v>1283.27</v>
      </c>
      <c r="AJ218" s="14" t="str">
        <f t="shared" si="66"/>
        <v>No</v>
      </c>
      <c r="AK218" s="14" t="str">
        <f>IF(Y218=0,"N/A",
IF(_xlfn.XLOOKUP(U218,Hotels!A:A,Hotels!C:C)=TRUE,"Yes","No"))</f>
        <v>Yes</v>
      </c>
      <c r="AL218" s="14" t="str">
        <f>IF(N218="Rail","N/A",IF(_xlfn.XLOOKUP(T218,Airlines!A:A,Airlines!C:C)=TRUE,"Yes","No"))</f>
        <v>Yes</v>
      </c>
      <c r="AM218" s="14" t="str">
        <f t="shared" si="67"/>
        <v>Yes</v>
      </c>
      <c r="AN218" s="14" t="str">
        <f t="shared" si="68"/>
        <v>No</v>
      </c>
      <c r="AO218" s="14" t="str">
        <f t="shared" si="69"/>
        <v>Yes</v>
      </c>
      <c r="AP218" s="16" t="s">
        <v>147</v>
      </c>
      <c r="AQ218" t="str">
        <f t="shared" si="70"/>
        <v>No</v>
      </c>
      <c r="AR218" s="21">
        <v>4</v>
      </c>
      <c r="AS218" s="5">
        <v>529.79999999999995</v>
      </c>
      <c r="AT218" s="5" t="str">
        <f>IF(T218="","",_xlfn.XLOOKUP(T218,Airlines!A:A,Airlines!B:B,"Not Found"))</f>
        <v>British Airways</v>
      </c>
      <c r="AU218" s="5" t="str">
        <f>IF(U218="","",_xlfn.XLOOKUP(U218,Hotels!A:A,Hotels!B:B,"Not found"))</f>
        <v>Marriott</v>
      </c>
      <c r="AV218" t="s">
        <v>147</v>
      </c>
      <c r="AW218" s="16" t="str">
        <f t="shared" si="71"/>
        <v>OK</v>
      </c>
      <c r="AX218" s="16" t="str">
        <f t="shared" si="72"/>
        <v>OK</v>
      </c>
      <c r="AY218" s="16" t="str">
        <f t="shared" si="73"/>
        <v>OK</v>
      </c>
      <c r="AZ218" s="16" t="str">
        <f t="shared" si="74"/>
        <v>OK</v>
      </c>
      <c r="BA218" s="16" t="str">
        <f t="shared" si="78"/>
        <v>OK</v>
      </c>
      <c r="BB218" s="21">
        <f>COUNTIF('Trip Changes'!B:B,A218)</f>
        <v>0</v>
      </c>
      <c r="BC218" s="16" t="str">
        <f>IF(OR(AND(AD218="Yes",COUNTIF('Trip Changes'!B:B,A218)&gt;0),AND(AD218="No",COUNTIF('Trip Changes'!B:B,A218)=0)),"OK","Check")</f>
        <v>OK</v>
      </c>
      <c r="BD218" t="str">
        <f t="shared" si="79"/>
        <v>OK</v>
      </c>
      <c r="BE218" t="str">
        <f t="shared" si="80"/>
        <v>OK</v>
      </c>
      <c r="BF218" t="str">
        <f t="shared" si="81"/>
        <v>OK</v>
      </c>
      <c r="BG218" t="str">
        <f t="shared" si="82"/>
        <v>OK</v>
      </c>
      <c r="BH218" t="str">
        <f t="shared" si="83"/>
        <v>OK</v>
      </c>
      <c r="BI218" t="str">
        <f t="shared" si="75"/>
        <v>OK</v>
      </c>
      <c r="BJ218" t="str">
        <f t="shared" si="76"/>
        <v>OK</v>
      </c>
      <c r="BK218" t="str">
        <f t="shared" si="77"/>
        <v>OK</v>
      </c>
    </row>
    <row r="219" spans="1:63">
      <c r="A219" s="16" t="s">
        <v>485</v>
      </c>
      <c r="B219" s="16" t="s">
        <v>481</v>
      </c>
      <c r="C219" s="16" t="s">
        <v>182</v>
      </c>
      <c r="D219" s="16" t="s">
        <v>168</v>
      </c>
      <c r="E219" s="16" t="s">
        <v>139</v>
      </c>
      <c r="F219" s="16" t="s">
        <v>189</v>
      </c>
      <c r="G219" s="15">
        <v>46194</v>
      </c>
      <c r="H219" s="15">
        <v>46207</v>
      </c>
      <c r="I219" s="15">
        <v>46213</v>
      </c>
      <c r="J219" s="15" t="s">
        <v>150</v>
      </c>
      <c r="K219" s="16" t="s">
        <v>182</v>
      </c>
      <c r="L219" t="s">
        <v>185</v>
      </c>
      <c r="M219" s="16" t="s">
        <v>152</v>
      </c>
      <c r="N219" s="16" t="s">
        <v>153</v>
      </c>
      <c r="O219" t="s">
        <v>1614</v>
      </c>
      <c r="P219" s="18">
        <v>11324</v>
      </c>
      <c r="Q219" s="21">
        <v>13</v>
      </c>
      <c r="R219" s="21" t="str">
        <f t="shared" si="63"/>
        <v>8-14 days</v>
      </c>
      <c r="S219" s="16" t="s">
        <v>159</v>
      </c>
      <c r="T219" s="16" t="s">
        <v>154</v>
      </c>
      <c r="U219" s="16" t="s">
        <v>164</v>
      </c>
      <c r="V219" t="str">
        <f>IF(U219="","",IFERROR(VLOOKUP(U219,Hotels!A:B,2,FALSE),"Not Found"))</f>
        <v>Marriott</v>
      </c>
      <c r="W219" s="14">
        <v>1080.98</v>
      </c>
      <c r="X219" s="14">
        <v>0</v>
      </c>
      <c r="Y219" s="21">
        <v>5</v>
      </c>
      <c r="Z219" s="29">
        <f t="shared" si="64"/>
        <v>266.88800000000003</v>
      </c>
      <c r="AA219" s="14">
        <v>1334.44</v>
      </c>
      <c r="AB219" s="14">
        <v>56.97</v>
      </c>
      <c r="AC219" s="14">
        <v>2472.39</v>
      </c>
      <c r="AD219" s="16" t="s">
        <v>148</v>
      </c>
      <c r="AE219" s="16" t="s">
        <v>147</v>
      </c>
      <c r="AF219" s="14">
        <f>SUMIF('Trip Changes'!$B:$B,A219,'Trip Changes'!$E:$E)</f>
        <v>172.33</v>
      </c>
      <c r="AG219" s="23">
        <f>SUMIF('Trip Cancellations'!$B:$B,A219,'Trip Cancellations'!$E:$E)</f>
        <v>0</v>
      </c>
      <c r="AH219" s="14">
        <f>SUMIF('Trip Cancellations'!$B:$B,A219,'Trip Cancellations'!$F:$F)</f>
        <v>0</v>
      </c>
      <c r="AI219" s="14">
        <f t="shared" si="65"/>
        <v>2644.72</v>
      </c>
      <c r="AJ219" s="14" t="str">
        <f t="shared" si="66"/>
        <v>No</v>
      </c>
      <c r="AK219" s="14" t="str">
        <f>IF(Y219=0,"N/A",
IF(_xlfn.XLOOKUP(U219,Hotels!A:A,Hotels!C:C)=TRUE,"Yes","No"))</f>
        <v>Yes</v>
      </c>
      <c r="AL219" s="14" t="str">
        <f>IF(N219="Rail","N/A",IF(_xlfn.XLOOKUP(T219,Airlines!A:A,Airlines!C:C)=TRUE,"Yes","No"))</f>
        <v>Yes</v>
      </c>
      <c r="AM219" s="14" t="str">
        <f t="shared" si="67"/>
        <v>Yes</v>
      </c>
      <c r="AN219" s="14" t="str">
        <f t="shared" si="68"/>
        <v>Yes</v>
      </c>
      <c r="AO219" s="14" t="str">
        <f t="shared" si="69"/>
        <v>Yes</v>
      </c>
      <c r="AP219" s="16" t="s">
        <v>148</v>
      </c>
      <c r="AQ219" t="str">
        <f t="shared" si="70"/>
        <v>No</v>
      </c>
      <c r="AR219" s="21">
        <v>4</v>
      </c>
      <c r="AS219" s="5">
        <v>1698.6</v>
      </c>
      <c r="AT219" s="5" t="str">
        <f>IF(T219="","",_xlfn.XLOOKUP(T219,Airlines!A:A,Airlines!B:B,"Not Found"))</f>
        <v>British Airways</v>
      </c>
      <c r="AU219" s="5" t="str">
        <f>IF(U219="","",_xlfn.XLOOKUP(U219,Hotels!A:A,Hotels!B:B,"Not found"))</f>
        <v>Marriott</v>
      </c>
      <c r="AV219" t="s">
        <v>147</v>
      </c>
      <c r="AW219" s="16" t="str">
        <f t="shared" si="71"/>
        <v>OK</v>
      </c>
      <c r="AX219" s="16" t="str">
        <f t="shared" si="72"/>
        <v>OK</v>
      </c>
      <c r="AY219" s="16" t="str">
        <f t="shared" si="73"/>
        <v>OK</v>
      </c>
      <c r="AZ219" s="16" t="str">
        <f t="shared" si="74"/>
        <v>OK</v>
      </c>
      <c r="BA219" s="16" t="str">
        <f t="shared" si="78"/>
        <v>OK</v>
      </c>
      <c r="BB219" s="21">
        <f>COUNTIF('Trip Changes'!B:B,A219)</f>
        <v>1</v>
      </c>
      <c r="BC219" s="16" t="str">
        <f>IF(OR(AND(AD219="Yes",COUNTIF('Trip Changes'!B:B,A219)&gt;0),AND(AD219="No",COUNTIF('Trip Changes'!B:B,A219)=0)),"OK","Check")</f>
        <v>OK</v>
      </c>
      <c r="BD219" t="str">
        <f t="shared" si="79"/>
        <v>OK</v>
      </c>
      <c r="BE219" t="str">
        <f t="shared" si="80"/>
        <v>OK</v>
      </c>
      <c r="BF219" t="str">
        <f t="shared" si="81"/>
        <v>OK</v>
      </c>
      <c r="BG219" t="str">
        <f t="shared" si="82"/>
        <v>OK</v>
      </c>
      <c r="BH219" t="str">
        <f t="shared" si="83"/>
        <v>OK</v>
      </c>
      <c r="BI219" t="str">
        <f t="shared" si="75"/>
        <v>OK</v>
      </c>
      <c r="BJ219" t="str">
        <f t="shared" si="76"/>
        <v>OK</v>
      </c>
      <c r="BK219" t="str">
        <f t="shared" si="77"/>
        <v>OK</v>
      </c>
    </row>
    <row r="220" spans="1:63">
      <c r="A220" s="16" t="s">
        <v>486</v>
      </c>
      <c r="B220" s="16" t="s">
        <v>487</v>
      </c>
      <c r="C220" s="16" t="s">
        <v>142</v>
      </c>
      <c r="D220" s="16" t="s">
        <v>248</v>
      </c>
      <c r="E220" s="16" t="s">
        <v>205</v>
      </c>
      <c r="F220" s="16" t="s">
        <v>181</v>
      </c>
      <c r="G220" s="15">
        <v>46161</v>
      </c>
      <c r="H220" s="15">
        <v>46166</v>
      </c>
      <c r="I220" s="15">
        <v>46171</v>
      </c>
      <c r="J220" s="15" t="s">
        <v>163</v>
      </c>
      <c r="K220" s="16" t="s">
        <v>142</v>
      </c>
      <c r="L220" t="s">
        <v>175</v>
      </c>
      <c r="M220" s="16" t="s">
        <v>152</v>
      </c>
      <c r="N220" s="16" t="s">
        <v>153</v>
      </c>
      <c r="O220" t="s">
        <v>1614</v>
      </c>
      <c r="P220" s="18">
        <v>2900</v>
      </c>
      <c r="Q220" s="21">
        <v>5</v>
      </c>
      <c r="R220" s="21" t="str">
        <f t="shared" si="63"/>
        <v>4-7 days</v>
      </c>
      <c r="S220" s="16" t="s">
        <v>145</v>
      </c>
      <c r="T220" s="16" t="s">
        <v>160</v>
      </c>
      <c r="U220" s="16" t="s">
        <v>164</v>
      </c>
      <c r="V220" t="str">
        <f>IF(U220="","",IFERROR(VLOOKUP(U220,Hotels!A:B,2,FALSE),"Not Found"))</f>
        <v>Marriott</v>
      </c>
      <c r="W220" s="14">
        <v>636.80999999999995</v>
      </c>
      <c r="X220" s="14">
        <v>0</v>
      </c>
      <c r="Y220" s="21">
        <v>4</v>
      </c>
      <c r="Z220" s="29">
        <f t="shared" si="64"/>
        <v>182.7825</v>
      </c>
      <c r="AA220" s="14">
        <v>731.13</v>
      </c>
      <c r="AB220" s="14">
        <v>87.88</v>
      </c>
      <c r="AC220" s="14">
        <v>1455.82</v>
      </c>
      <c r="AD220" s="16" t="s">
        <v>147</v>
      </c>
      <c r="AE220" s="16" t="s">
        <v>147</v>
      </c>
      <c r="AF220" s="14">
        <f>SUMIF('Trip Changes'!$B:$B,A220,'Trip Changes'!$E:$E)</f>
        <v>0</v>
      </c>
      <c r="AG220" s="23">
        <f>SUMIF('Trip Cancellations'!$B:$B,A220,'Trip Cancellations'!$E:$E)</f>
        <v>0</v>
      </c>
      <c r="AH220" s="14">
        <f>SUMIF('Trip Cancellations'!$B:$B,A220,'Trip Cancellations'!$F:$F)</f>
        <v>0</v>
      </c>
      <c r="AI220" s="14">
        <f t="shared" si="65"/>
        <v>1455.82</v>
      </c>
      <c r="AJ220" s="14" t="str">
        <f t="shared" si="66"/>
        <v>Yes</v>
      </c>
      <c r="AK220" s="14" t="str">
        <f>IF(Y220=0,"N/A",
IF(_xlfn.XLOOKUP(U220,Hotels!A:A,Hotels!C:C)=TRUE,"Yes","No"))</f>
        <v>Yes</v>
      </c>
      <c r="AL220" s="14" t="str">
        <f>IF(N220="Rail","N/A",IF(_xlfn.XLOOKUP(T220,Airlines!A:A,Airlines!C:C)=TRUE,"Yes","No"))</f>
        <v>Yes</v>
      </c>
      <c r="AM220" s="14" t="str">
        <f t="shared" si="67"/>
        <v>Yes</v>
      </c>
      <c r="AN220" s="14" t="str">
        <f t="shared" si="68"/>
        <v>Yes</v>
      </c>
      <c r="AO220" s="14" t="str">
        <f t="shared" si="69"/>
        <v>Yes</v>
      </c>
      <c r="AP220" s="16" t="s">
        <v>148</v>
      </c>
      <c r="AQ220" t="str">
        <f t="shared" si="70"/>
        <v>Yes</v>
      </c>
      <c r="AR220" s="21">
        <v>5</v>
      </c>
      <c r="AS220" s="5">
        <v>435</v>
      </c>
      <c r="AT220" s="5" t="str">
        <f>IF(T220="","",_xlfn.XLOOKUP(T220,Airlines!A:A,Airlines!B:B,"Not Found"))</f>
        <v>Air France</v>
      </c>
      <c r="AU220" s="5" t="str">
        <f>IF(U220="","",_xlfn.XLOOKUP(U220,Hotels!A:A,Hotels!B:B,"Not found"))</f>
        <v>Marriott</v>
      </c>
      <c r="AV220" t="s">
        <v>147</v>
      </c>
      <c r="AW220" s="16" t="str">
        <f t="shared" si="71"/>
        <v>OK</v>
      </c>
      <c r="AX220" s="16" t="str">
        <f t="shared" si="72"/>
        <v>OK</v>
      </c>
      <c r="AY220" s="16" t="str">
        <f t="shared" si="73"/>
        <v>OK</v>
      </c>
      <c r="AZ220" s="16" t="str">
        <f t="shared" si="74"/>
        <v>OK</v>
      </c>
      <c r="BA220" s="16" t="str">
        <f t="shared" si="78"/>
        <v>OK</v>
      </c>
      <c r="BB220" s="21">
        <f>COUNTIF('Trip Changes'!B:B,A220)</f>
        <v>0</v>
      </c>
      <c r="BC220" s="16" t="str">
        <f>IF(OR(AND(AD220="Yes",COUNTIF('Trip Changes'!B:B,A220)&gt;0),AND(AD220="No",COUNTIF('Trip Changes'!B:B,A220)=0)),"OK","Check")</f>
        <v>OK</v>
      </c>
      <c r="BD220" t="str">
        <f t="shared" si="79"/>
        <v>OK</v>
      </c>
      <c r="BE220" t="str">
        <f t="shared" si="80"/>
        <v>OK</v>
      </c>
      <c r="BF220" t="str">
        <f t="shared" si="81"/>
        <v>OK</v>
      </c>
      <c r="BG220" t="str">
        <f t="shared" si="82"/>
        <v>OK</v>
      </c>
      <c r="BH220" t="str">
        <f t="shared" si="83"/>
        <v>OK</v>
      </c>
      <c r="BI220" t="str">
        <f t="shared" si="75"/>
        <v>OK</v>
      </c>
      <c r="BJ220" t="str">
        <f t="shared" si="76"/>
        <v>OK</v>
      </c>
      <c r="BK220" t="str">
        <f t="shared" si="77"/>
        <v>OK</v>
      </c>
    </row>
    <row r="221" spans="1:63">
      <c r="A221" s="16" t="s">
        <v>488</v>
      </c>
      <c r="B221" s="16" t="s">
        <v>487</v>
      </c>
      <c r="C221" s="16" t="s">
        <v>142</v>
      </c>
      <c r="D221" s="16" t="s">
        <v>248</v>
      </c>
      <c r="E221" s="16" t="s">
        <v>205</v>
      </c>
      <c r="F221" s="16" t="s">
        <v>207</v>
      </c>
      <c r="G221" s="15">
        <v>46128</v>
      </c>
      <c r="H221" s="15">
        <v>46145</v>
      </c>
      <c r="I221" s="15">
        <v>46150</v>
      </c>
      <c r="J221" s="15" t="s">
        <v>163</v>
      </c>
      <c r="K221" s="16" t="s">
        <v>142</v>
      </c>
      <c r="L221" t="s">
        <v>233</v>
      </c>
      <c r="M221" s="16" t="s">
        <v>152</v>
      </c>
      <c r="N221" s="16" t="s">
        <v>153</v>
      </c>
      <c r="O221" t="s">
        <v>1614</v>
      </c>
      <c r="P221" s="18">
        <v>3592</v>
      </c>
      <c r="Q221" s="21">
        <v>17</v>
      </c>
      <c r="R221" s="21" t="str">
        <f t="shared" si="63"/>
        <v>15-30 days</v>
      </c>
      <c r="S221" s="16" t="s">
        <v>145</v>
      </c>
      <c r="T221" s="16" t="s">
        <v>154</v>
      </c>
      <c r="U221" s="16" t="s">
        <v>187</v>
      </c>
      <c r="V221" t="str">
        <f>IF(U221="","",IFERROR(VLOOKUP(U221,Hotels!A:B,2,FALSE),"Not Found"))</f>
        <v>IHG Hotels &amp; Resorts</v>
      </c>
      <c r="W221" s="14">
        <v>272.16000000000003</v>
      </c>
      <c r="X221" s="14">
        <v>0</v>
      </c>
      <c r="Y221" s="21">
        <v>4</v>
      </c>
      <c r="Z221" s="29">
        <f t="shared" si="64"/>
        <v>96.275000000000006</v>
      </c>
      <c r="AA221" s="14">
        <v>385.1</v>
      </c>
      <c r="AB221" s="14">
        <v>155.97</v>
      </c>
      <c r="AC221" s="14">
        <v>813.23</v>
      </c>
      <c r="AD221" s="16" t="s">
        <v>147</v>
      </c>
      <c r="AE221" s="16" t="s">
        <v>147</v>
      </c>
      <c r="AF221" s="14">
        <f>SUMIF('Trip Changes'!$B:$B,A221,'Trip Changes'!$E:$E)</f>
        <v>0</v>
      </c>
      <c r="AG221" s="23">
        <f>SUMIF('Trip Cancellations'!$B:$B,A221,'Trip Cancellations'!$E:$E)</f>
        <v>0</v>
      </c>
      <c r="AH221" s="14">
        <f>SUMIF('Trip Cancellations'!$B:$B,A221,'Trip Cancellations'!$F:$F)</f>
        <v>0</v>
      </c>
      <c r="AI221" s="14">
        <f t="shared" si="65"/>
        <v>813.23</v>
      </c>
      <c r="AJ221" s="14" t="str">
        <f t="shared" si="66"/>
        <v>Yes</v>
      </c>
      <c r="AK221" s="14" t="str">
        <f>IF(Y221=0,"N/A",
IF(_xlfn.XLOOKUP(U221,Hotels!A:A,Hotels!C:C)=TRUE,"Yes","No"))</f>
        <v>Yes</v>
      </c>
      <c r="AL221" s="14" t="str">
        <f>IF(N221="Rail","N/A",IF(_xlfn.XLOOKUP(T221,Airlines!A:A,Airlines!C:C)=TRUE,"Yes","No"))</f>
        <v>Yes</v>
      </c>
      <c r="AM221" s="14" t="str">
        <f t="shared" si="67"/>
        <v>Yes</v>
      </c>
      <c r="AN221" s="14" t="str">
        <f t="shared" si="68"/>
        <v>Yes</v>
      </c>
      <c r="AO221" s="14" t="str">
        <f t="shared" si="69"/>
        <v>Yes</v>
      </c>
      <c r="AP221" s="16" t="s">
        <v>148</v>
      </c>
      <c r="AQ221" t="str">
        <f t="shared" si="70"/>
        <v>Yes</v>
      </c>
      <c r="AR221" s="21">
        <v>5</v>
      </c>
      <c r="AS221" s="5">
        <v>538.79999999999995</v>
      </c>
      <c r="AT221" s="5" t="str">
        <f>IF(T221="","",_xlfn.XLOOKUP(T221,Airlines!A:A,Airlines!B:B,"Not Found"))</f>
        <v>British Airways</v>
      </c>
      <c r="AU221" s="5" t="str">
        <f>IF(U221="","",_xlfn.XLOOKUP(U221,Hotels!A:A,Hotels!B:B,"Not found"))</f>
        <v>IHG Hotels &amp; Resorts</v>
      </c>
      <c r="AV221" t="s">
        <v>147</v>
      </c>
      <c r="AW221" s="16" t="str">
        <f t="shared" si="71"/>
        <v>OK</v>
      </c>
      <c r="AX221" s="16" t="str">
        <f t="shared" si="72"/>
        <v>OK</v>
      </c>
      <c r="AY221" s="16" t="str">
        <f t="shared" si="73"/>
        <v>OK</v>
      </c>
      <c r="AZ221" s="16" t="str">
        <f t="shared" si="74"/>
        <v>OK</v>
      </c>
      <c r="BA221" s="16" t="str">
        <f t="shared" si="78"/>
        <v>OK</v>
      </c>
      <c r="BB221" s="21">
        <f>COUNTIF('Trip Changes'!B:B,A221)</f>
        <v>0</v>
      </c>
      <c r="BC221" s="16" t="str">
        <f>IF(OR(AND(AD221="Yes",COUNTIF('Trip Changes'!B:B,A221)&gt;0),AND(AD221="No",COUNTIF('Trip Changes'!B:B,A221)=0)),"OK","Check")</f>
        <v>OK</v>
      </c>
      <c r="BD221" t="str">
        <f t="shared" si="79"/>
        <v>OK</v>
      </c>
      <c r="BE221" t="str">
        <f t="shared" si="80"/>
        <v>OK</v>
      </c>
      <c r="BF221" t="str">
        <f t="shared" si="81"/>
        <v>OK</v>
      </c>
      <c r="BG221" t="str">
        <f t="shared" si="82"/>
        <v>OK</v>
      </c>
      <c r="BH221" t="str">
        <f t="shared" si="83"/>
        <v>OK</v>
      </c>
      <c r="BI221" t="str">
        <f t="shared" si="75"/>
        <v>OK</v>
      </c>
      <c r="BJ221" t="str">
        <f t="shared" si="76"/>
        <v>OK</v>
      </c>
      <c r="BK221" t="str">
        <f t="shared" si="77"/>
        <v>OK</v>
      </c>
    </row>
    <row r="222" spans="1:63">
      <c r="A222" s="16" t="s">
        <v>489</v>
      </c>
      <c r="B222" s="16" t="s">
        <v>487</v>
      </c>
      <c r="C222" s="16" t="s">
        <v>142</v>
      </c>
      <c r="D222" s="16" t="s">
        <v>248</v>
      </c>
      <c r="E222" s="16" t="s">
        <v>205</v>
      </c>
      <c r="F222" s="16" t="s">
        <v>140</v>
      </c>
      <c r="G222" s="15">
        <v>46180</v>
      </c>
      <c r="H222" s="15">
        <v>46191</v>
      </c>
      <c r="I222" s="15">
        <v>46193</v>
      </c>
      <c r="J222" s="15" t="s">
        <v>141</v>
      </c>
      <c r="K222" s="16" t="s">
        <v>142</v>
      </c>
      <c r="L222" t="s">
        <v>227</v>
      </c>
      <c r="M222" s="16" t="s">
        <v>152</v>
      </c>
      <c r="N222" s="16" t="s">
        <v>153</v>
      </c>
      <c r="O222" t="s">
        <v>1614</v>
      </c>
      <c r="P222" s="18">
        <v>1964</v>
      </c>
      <c r="Q222" s="21">
        <v>11</v>
      </c>
      <c r="R222" s="21" t="str">
        <f t="shared" si="63"/>
        <v>8-14 days</v>
      </c>
      <c r="S222" s="16" t="s">
        <v>159</v>
      </c>
      <c r="T222" s="16" t="s">
        <v>236</v>
      </c>
      <c r="U222" s="16" t="s">
        <v>173</v>
      </c>
      <c r="V222" t="str">
        <f>IF(U222="","",IFERROR(VLOOKUP(U222,Hotels!A:B,2,FALSE),"Not Found"))</f>
        <v>Accor</v>
      </c>
      <c r="W222" s="14">
        <v>529.49</v>
      </c>
      <c r="X222" s="14">
        <v>0</v>
      </c>
      <c r="Y222" s="21">
        <v>1</v>
      </c>
      <c r="Z222" s="29">
        <f t="shared" si="64"/>
        <v>157.16</v>
      </c>
      <c r="AA222" s="14">
        <v>157.16</v>
      </c>
      <c r="AB222" s="14">
        <v>47.38</v>
      </c>
      <c r="AC222" s="14">
        <v>734.03</v>
      </c>
      <c r="AD222" s="16" t="s">
        <v>147</v>
      </c>
      <c r="AE222" s="16" t="s">
        <v>147</v>
      </c>
      <c r="AF222" s="14">
        <f>SUMIF('Trip Changes'!$B:$B,A222,'Trip Changes'!$E:$E)</f>
        <v>0</v>
      </c>
      <c r="AG222" s="23">
        <f>SUMIF('Trip Cancellations'!$B:$B,A222,'Trip Cancellations'!$E:$E)</f>
        <v>0</v>
      </c>
      <c r="AH222" s="14">
        <f>SUMIF('Trip Cancellations'!$B:$B,A222,'Trip Cancellations'!$F:$F)</f>
        <v>0</v>
      </c>
      <c r="AI222" s="14">
        <f t="shared" si="65"/>
        <v>734.03</v>
      </c>
      <c r="AJ222" s="14" t="str">
        <f t="shared" si="66"/>
        <v>Yes</v>
      </c>
      <c r="AK222" s="14" t="str">
        <f>IF(Y222=0,"N/A",
IF(_xlfn.XLOOKUP(U222,Hotels!A:A,Hotels!C:C)=TRUE,"Yes","No"))</f>
        <v>Yes</v>
      </c>
      <c r="AL222" s="14" t="str">
        <f>IF(N222="Rail","N/A",IF(_xlfn.XLOOKUP(T222,Airlines!A:A,Airlines!C:C)=TRUE,"Yes","No"))</f>
        <v>Yes</v>
      </c>
      <c r="AM222" s="14" t="str">
        <f t="shared" si="67"/>
        <v>Yes</v>
      </c>
      <c r="AN222" s="14" t="str">
        <f t="shared" si="68"/>
        <v>Yes</v>
      </c>
      <c r="AO222" s="14" t="str">
        <f t="shared" si="69"/>
        <v>Yes</v>
      </c>
      <c r="AP222" s="16" t="s">
        <v>148</v>
      </c>
      <c r="AQ222" t="str">
        <f t="shared" si="70"/>
        <v>Yes</v>
      </c>
      <c r="AR222" s="21">
        <v>4</v>
      </c>
      <c r="AS222" s="5">
        <v>294.60000000000002</v>
      </c>
      <c r="AT222" s="5" t="str">
        <f>IF(T222="","",_xlfn.XLOOKUP(T222,Airlines!A:A,Airlines!B:B,"Not Found"))</f>
        <v>KLM</v>
      </c>
      <c r="AU222" s="5" t="str">
        <f>IF(U222="","",_xlfn.XLOOKUP(U222,Hotels!A:A,Hotels!B:B,"Not found"))</f>
        <v>Accor</v>
      </c>
      <c r="AV222" t="s">
        <v>148</v>
      </c>
      <c r="AW222" s="16" t="str">
        <f t="shared" si="71"/>
        <v>OK</v>
      </c>
      <c r="AX222" s="16" t="str">
        <f t="shared" si="72"/>
        <v>OK</v>
      </c>
      <c r="AY222" s="16" t="str">
        <f t="shared" si="73"/>
        <v>OK</v>
      </c>
      <c r="AZ222" s="16" t="str">
        <f t="shared" si="74"/>
        <v>OK</v>
      </c>
      <c r="BA222" s="16" t="str">
        <f t="shared" si="78"/>
        <v>OK</v>
      </c>
      <c r="BB222" s="21">
        <f>COUNTIF('Trip Changes'!B:B,A222)</f>
        <v>0</v>
      </c>
      <c r="BC222" s="16" t="str">
        <f>IF(OR(AND(AD222="Yes",COUNTIF('Trip Changes'!B:B,A222)&gt;0),AND(AD222="No",COUNTIF('Trip Changes'!B:B,A222)=0)),"OK","Check")</f>
        <v>OK</v>
      </c>
      <c r="BD222" t="str">
        <f t="shared" si="79"/>
        <v>OK</v>
      </c>
      <c r="BE222" t="str">
        <f t="shared" si="80"/>
        <v>OK</v>
      </c>
      <c r="BF222" t="str">
        <f t="shared" si="81"/>
        <v>OK</v>
      </c>
      <c r="BG222" t="str">
        <f t="shared" si="82"/>
        <v>OK</v>
      </c>
      <c r="BH222" t="str">
        <f t="shared" si="83"/>
        <v>OK</v>
      </c>
      <c r="BI222" t="str">
        <f t="shared" si="75"/>
        <v>OK</v>
      </c>
      <c r="BJ222" t="str">
        <f t="shared" si="76"/>
        <v>OK</v>
      </c>
      <c r="BK222" t="str">
        <f t="shared" si="77"/>
        <v>OK</v>
      </c>
    </row>
    <row r="223" spans="1:63">
      <c r="A223" s="16" t="s">
        <v>490</v>
      </c>
      <c r="B223" s="16" t="s">
        <v>487</v>
      </c>
      <c r="C223" s="16" t="s">
        <v>142</v>
      </c>
      <c r="D223" s="16" t="s">
        <v>248</v>
      </c>
      <c r="E223" s="16" t="s">
        <v>205</v>
      </c>
      <c r="F223" s="16" t="s">
        <v>170</v>
      </c>
      <c r="G223" s="15">
        <v>46135</v>
      </c>
      <c r="H223" s="15">
        <v>46168</v>
      </c>
      <c r="I223" s="15">
        <v>46173</v>
      </c>
      <c r="J223" s="15" t="s">
        <v>163</v>
      </c>
      <c r="K223" s="16" t="s">
        <v>142</v>
      </c>
      <c r="L223" t="s">
        <v>233</v>
      </c>
      <c r="M223" s="16" t="s">
        <v>152</v>
      </c>
      <c r="N223" s="16" t="s">
        <v>153</v>
      </c>
      <c r="O223" t="s">
        <v>1614</v>
      </c>
      <c r="P223" s="18">
        <v>2216</v>
      </c>
      <c r="Q223" s="21">
        <v>33</v>
      </c>
      <c r="R223" s="21" t="str">
        <f t="shared" si="63"/>
        <v>31+ days</v>
      </c>
      <c r="S223" s="16" t="s">
        <v>216</v>
      </c>
      <c r="T223" s="16" t="s">
        <v>154</v>
      </c>
      <c r="U223" s="16" t="s">
        <v>155</v>
      </c>
      <c r="V223" t="str">
        <f>IF(U223="","",IFERROR(VLOOKUP(U223,Hotels!A:B,2,FALSE),"Not Found"))</f>
        <v>Hilton</v>
      </c>
      <c r="W223" s="14">
        <v>283.27</v>
      </c>
      <c r="X223" s="14">
        <v>0</v>
      </c>
      <c r="Y223" s="21">
        <v>4</v>
      </c>
      <c r="Z223" s="29">
        <f t="shared" si="64"/>
        <v>168.48500000000001</v>
      </c>
      <c r="AA223" s="14">
        <v>673.94</v>
      </c>
      <c r="AB223" s="14">
        <v>103.56</v>
      </c>
      <c r="AC223" s="14">
        <v>1060.77</v>
      </c>
      <c r="AD223" s="16" t="s">
        <v>147</v>
      </c>
      <c r="AE223" s="16" t="s">
        <v>147</v>
      </c>
      <c r="AF223" s="14">
        <f>SUMIF('Trip Changes'!$B:$B,A223,'Trip Changes'!$E:$E)</f>
        <v>0</v>
      </c>
      <c r="AG223" s="23">
        <f>SUMIF('Trip Cancellations'!$B:$B,A223,'Trip Cancellations'!$E:$E)</f>
        <v>0</v>
      </c>
      <c r="AH223" s="14">
        <f>SUMIF('Trip Cancellations'!$B:$B,A223,'Trip Cancellations'!$F:$F)</f>
        <v>0</v>
      </c>
      <c r="AI223" s="14">
        <f t="shared" si="65"/>
        <v>1060.77</v>
      </c>
      <c r="AJ223" s="14" t="str">
        <f t="shared" si="66"/>
        <v>Yes</v>
      </c>
      <c r="AK223" s="14" t="str">
        <f>IF(Y223=0,"N/A",
IF(_xlfn.XLOOKUP(U223,Hotels!A:A,Hotels!C:C)=TRUE,"Yes","No"))</f>
        <v>Yes</v>
      </c>
      <c r="AL223" s="14" t="str">
        <f>IF(N223="Rail","N/A",IF(_xlfn.XLOOKUP(T223,Airlines!A:A,Airlines!C:C)=TRUE,"Yes","No"))</f>
        <v>Yes</v>
      </c>
      <c r="AM223" s="14" t="str">
        <f t="shared" si="67"/>
        <v>Yes</v>
      </c>
      <c r="AN223" s="14" t="str">
        <f t="shared" si="68"/>
        <v>No</v>
      </c>
      <c r="AO223" s="14" t="str">
        <f t="shared" si="69"/>
        <v>Yes</v>
      </c>
      <c r="AP223" s="16" t="s">
        <v>148</v>
      </c>
      <c r="AQ223" t="str">
        <f t="shared" si="70"/>
        <v>No</v>
      </c>
      <c r="AR223" s="21">
        <v>4</v>
      </c>
      <c r="AS223" s="5">
        <v>332.4</v>
      </c>
      <c r="AT223" s="5" t="str">
        <f>IF(T223="","",_xlfn.XLOOKUP(T223,Airlines!A:A,Airlines!B:B,"Not Found"))</f>
        <v>British Airways</v>
      </c>
      <c r="AU223" s="5" t="str">
        <f>IF(U223="","",_xlfn.XLOOKUP(U223,Hotels!A:A,Hotels!B:B,"Not found"))</f>
        <v>Hilton</v>
      </c>
      <c r="AV223" t="s">
        <v>148</v>
      </c>
      <c r="AW223" s="16" t="str">
        <f t="shared" si="71"/>
        <v>OK</v>
      </c>
      <c r="AX223" s="16" t="str">
        <f t="shared" si="72"/>
        <v>OK</v>
      </c>
      <c r="AY223" s="16" t="str">
        <f t="shared" si="73"/>
        <v>OK</v>
      </c>
      <c r="AZ223" s="16" t="str">
        <f t="shared" si="74"/>
        <v>OK</v>
      </c>
      <c r="BA223" s="16" t="str">
        <f t="shared" si="78"/>
        <v>OK</v>
      </c>
      <c r="BB223" s="21">
        <f>COUNTIF('Trip Changes'!B:B,A223)</f>
        <v>0</v>
      </c>
      <c r="BC223" s="16" t="str">
        <f>IF(OR(AND(AD223="Yes",COUNTIF('Trip Changes'!B:B,A223)&gt;0),AND(AD223="No",COUNTIF('Trip Changes'!B:B,A223)=0)),"OK","Check")</f>
        <v>OK</v>
      </c>
      <c r="BD223" t="str">
        <f t="shared" si="79"/>
        <v>OK</v>
      </c>
      <c r="BE223" t="str">
        <f t="shared" si="80"/>
        <v>OK</v>
      </c>
      <c r="BF223" t="str">
        <f t="shared" si="81"/>
        <v>OK</v>
      </c>
      <c r="BG223" t="str">
        <f t="shared" si="82"/>
        <v>OK</v>
      </c>
      <c r="BH223" t="str">
        <f t="shared" si="83"/>
        <v>OK</v>
      </c>
      <c r="BI223" t="str">
        <f t="shared" si="75"/>
        <v>OK</v>
      </c>
      <c r="BJ223" t="str">
        <f t="shared" si="76"/>
        <v>OK</v>
      </c>
      <c r="BK223" t="str">
        <f t="shared" si="77"/>
        <v>OK</v>
      </c>
    </row>
    <row r="224" spans="1:63">
      <c r="A224" s="16" t="s">
        <v>491</v>
      </c>
      <c r="B224" s="16" t="s">
        <v>487</v>
      </c>
      <c r="C224" s="16" t="s">
        <v>142</v>
      </c>
      <c r="D224" s="16" t="s">
        <v>248</v>
      </c>
      <c r="E224" s="16" t="s">
        <v>205</v>
      </c>
      <c r="F224" s="16" t="s">
        <v>157</v>
      </c>
      <c r="G224" s="15">
        <v>46200</v>
      </c>
      <c r="H224" s="15">
        <v>46224</v>
      </c>
      <c r="I224" s="15">
        <v>46227</v>
      </c>
      <c r="J224" s="15" t="s">
        <v>150</v>
      </c>
      <c r="K224" s="16" t="s">
        <v>142</v>
      </c>
      <c r="L224" t="s">
        <v>199</v>
      </c>
      <c r="M224" s="16" t="s">
        <v>152</v>
      </c>
      <c r="N224" s="16" t="s">
        <v>153</v>
      </c>
      <c r="O224" t="s">
        <v>1614</v>
      </c>
      <c r="P224" s="18">
        <v>3068</v>
      </c>
      <c r="Q224" s="21">
        <v>24</v>
      </c>
      <c r="R224" s="21" t="str">
        <f t="shared" si="63"/>
        <v>15-30 days</v>
      </c>
      <c r="S224" s="16" t="s">
        <v>145</v>
      </c>
      <c r="T224" s="16" t="s">
        <v>200</v>
      </c>
      <c r="U224" s="16" t="s">
        <v>187</v>
      </c>
      <c r="V224" t="str">
        <f>IF(U224="","",IFERROR(VLOOKUP(U224,Hotels!A:B,2,FALSE),"Not Found"))</f>
        <v>IHG Hotels &amp; Resorts</v>
      </c>
      <c r="W224" s="14">
        <v>307.16000000000003</v>
      </c>
      <c r="X224" s="14">
        <v>0</v>
      </c>
      <c r="Y224" s="21">
        <v>2</v>
      </c>
      <c r="Z224" s="29">
        <f t="shared" si="64"/>
        <v>182.27500000000001</v>
      </c>
      <c r="AA224" s="14">
        <v>364.55</v>
      </c>
      <c r="AB224" s="14">
        <v>97.11</v>
      </c>
      <c r="AC224" s="14">
        <v>768.82</v>
      </c>
      <c r="AD224" s="16" t="s">
        <v>147</v>
      </c>
      <c r="AE224" s="16" t="s">
        <v>147</v>
      </c>
      <c r="AF224" s="14">
        <f>SUMIF('Trip Changes'!$B:$B,A224,'Trip Changes'!$E:$E)</f>
        <v>0</v>
      </c>
      <c r="AG224" s="23">
        <f>SUMIF('Trip Cancellations'!$B:$B,A224,'Trip Cancellations'!$E:$E)</f>
        <v>0</v>
      </c>
      <c r="AH224" s="14">
        <f>SUMIF('Trip Cancellations'!$B:$B,A224,'Trip Cancellations'!$F:$F)</f>
        <v>0</v>
      </c>
      <c r="AI224" s="14">
        <f t="shared" si="65"/>
        <v>768.82</v>
      </c>
      <c r="AJ224" s="14" t="str">
        <f t="shared" si="66"/>
        <v>No</v>
      </c>
      <c r="AK224" s="14" t="str">
        <f>IF(Y224=0,"N/A",
IF(_xlfn.XLOOKUP(U224,Hotels!A:A,Hotels!C:C)=TRUE,"Yes","No"))</f>
        <v>Yes</v>
      </c>
      <c r="AL224" s="14" t="str">
        <f>IF(N224="Rail","N/A",IF(_xlfn.XLOOKUP(T224,Airlines!A:A,Airlines!C:C)=TRUE,"Yes","No"))</f>
        <v>Yes</v>
      </c>
      <c r="AM224" s="14" t="str">
        <f t="shared" si="67"/>
        <v>Yes</v>
      </c>
      <c r="AN224" s="14" t="str">
        <f t="shared" si="68"/>
        <v>Yes</v>
      </c>
      <c r="AO224" s="14" t="str">
        <f t="shared" si="69"/>
        <v>Yes</v>
      </c>
      <c r="AP224" s="16" t="s">
        <v>148</v>
      </c>
      <c r="AQ224" t="str">
        <f t="shared" si="70"/>
        <v>No</v>
      </c>
      <c r="AR224" s="21">
        <v>5</v>
      </c>
      <c r="AS224" s="5">
        <v>460.2</v>
      </c>
      <c r="AT224" s="5" t="str">
        <f>IF(T224="","",_xlfn.XLOOKUP(T224,Airlines!A:A,Airlines!B:B,"Not Found"))</f>
        <v>Aer Lingus</v>
      </c>
      <c r="AU224" s="5" t="str">
        <f>IF(U224="","",_xlfn.XLOOKUP(U224,Hotels!A:A,Hotels!B:B,"Not found"))</f>
        <v>IHG Hotels &amp; Resorts</v>
      </c>
      <c r="AV224" t="s">
        <v>147</v>
      </c>
      <c r="AW224" s="16" t="str">
        <f t="shared" si="71"/>
        <v>OK</v>
      </c>
      <c r="AX224" s="16" t="str">
        <f t="shared" si="72"/>
        <v>OK</v>
      </c>
      <c r="AY224" s="16" t="str">
        <f t="shared" si="73"/>
        <v>OK</v>
      </c>
      <c r="AZ224" s="16" t="str">
        <f t="shared" si="74"/>
        <v>OK</v>
      </c>
      <c r="BA224" s="16" t="str">
        <f t="shared" si="78"/>
        <v>OK</v>
      </c>
      <c r="BB224" s="21">
        <f>COUNTIF('Trip Changes'!B:B,A224)</f>
        <v>0</v>
      </c>
      <c r="BC224" s="16" t="str">
        <f>IF(OR(AND(AD224="Yes",COUNTIF('Trip Changes'!B:B,A224)&gt;0),AND(AD224="No",COUNTIF('Trip Changes'!B:B,A224)=0)),"OK","Check")</f>
        <v>OK</v>
      </c>
      <c r="BD224" t="str">
        <f t="shared" si="79"/>
        <v>OK</v>
      </c>
      <c r="BE224" t="str">
        <f t="shared" si="80"/>
        <v>OK</v>
      </c>
      <c r="BF224" t="str">
        <f t="shared" si="81"/>
        <v>OK</v>
      </c>
      <c r="BG224" t="str">
        <f t="shared" si="82"/>
        <v>OK</v>
      </c>
      <c r="BH224" t="str">
        <f t="shared" si="83"/>
        <v>OK</v>
      </c>
      <c r="BI224" t="str">
        <f t="shared" si="75"/>
        <v>OK</v>
      </c>
      <c r="BJ224" t="str">
        <f t="shared" si="76"/>
        <v>OK</v>
      </c>
      <c r="BK224" t="str">
        <f t="shared" si="77"/>
        <v>OK</v>
      </c>
    </row>
    <row r="225" spans="1:63">
      <c r="A225" s="16" t="s">
        <v>492</v>
      </c>
      <c r="B225" s="16" t="s">
        <v>493</v>
      </c>
      <c r="C225" s="16" t="s">
        <v>182</v>
      </c>
      <c r="D225" s="16" t="s">
        <v>138</v>
      </c>
      <c r="E225" s="16" t="s">
        <v>268</v>
      </c>
      <c r="F225" s="16" t="s">
        <v>157</v>
      </c>
      <c r="G225" s="15">
        <v>46147</v>
      </c>
      <c r="H225" s="15">
        <v>46159</v>
      </c>
      <c r="I225" s="15">
        <v>46163</v>
      </c>
      <c r="J225" s="15" t="s">
        <v>163</v>
      </c>
      <c r="K225" s="16" t="s">
        <v>182</v>
      </c>
      <c r="L225" t="s">
        <v>199</v>
      </c>
      <c r="M225" s="16" t="s">
        <v>152</v>
      </c>
      <c r="N225" s="16" t="s">
        <v>153</v>
      </c>
      <c r="O225" t="s">
        <v>1614</v>
      </c>
      <c r="P225" s="18">
        <v>2560</v>
      </c>
      <c r="Q225" s="21">
        <v>12</v>
      </c>
      <c r="R225" s="21" t="str">
        <f t="shared" si="63"/>
        <v>8-14 days</v>
      </c>
      <c r="S225" s="16" t="s">
        <v>145</v>
      </c>
      <c r="T225" s="16" t="s">
        <v>200</v>
      </c>
      <c r="U225" s="16" t="s">
        <v>187</v>
      </c>
      <c r="V225" t="str">
        <f>IF(U225="","",IFERROR(VLOOKUP(U225,Hotels!A:B,2,FALSE),"Not Found"))</f>
        <v>IHG Hotels &amp; Resorts</v>
      </c>
      <c r="W225" s="14">
        <v>422.24</v>
      </c>
      <c r="X225" s="14">
        <v>0</v>
      </c>
      <c r="Y225" s="21">
        <v>3</v>
      </c>
      <c r="Z225" s="29">
        <f t="shared" si="64"/>
        <v>244.61666666666667</v>
      </c>
      <c r="AA225" s="14">
        <v>733.85</v>
      </c>
      <c r="AB225" s="14">
        <v>86.11</v>
      </c>
      <c r="AC225" s="14">
        <v>1242.2</v>
      </c>
      <c r="AD225" s="16" t="s">
        <v>147</v>
      </c>
      <c r="AE225" s="16" t="s">
        <v>147</v>
      </c>
      <c r="AF225" s="14">
        <f>SUMIF('Trip Changes'!$B:$B,A225,'Trip Changes'!$E:$E)</f>
        <v>0</v>
      </c>
      <c r="AG225" s="23">
        <f>SUMIF('Trip Cancellations'!$B:$B,A225,'Trip Cancellations'!$E:$E)</f>
        <v>0</v>
      </c>
      <c r="AH225" s="14">
        <f>SUMIF('Trip Cancellations'!$B:$B,A225,'Trip Cancellations'!$F:$F)</f>
        <v>0</v>
      </c>
      <c r="AI225" s="14">
        <f t="shared" si="65"/>
        <v>1242.2</v>
      </c>
      <c r="AJ225" s="14" t="str">
        <f t="shared" si="66"/>
        <v>No</v>
      </c>
      <c r="AK225" s="14" t="str">
        <f>IF(Y225=0,"N/A",
IF(_xlfn.XLOOKUP(U225,Hotels!A:A,Hotels!C:C)=TRUE,"Yes","No"))</f>
        <v>Yes</v>
      </c>
      <c r="AL225" s="14" t="str">
        <f>IF(N225="Rail","N/A",IF(_xlfn.XLOOKUP(T225,Airlines!A:A,Airlines!C:C)=TRUE,"Yes","No"))</f>
        <v>Yes</v>
      </c>
      <c r="AM225" s="14" t="str">
        <f t="shared" si="67"/>
        <v>Yes</v>
      </c>
      <c r="AN225" s="14" t="str">
        <f t="shared" si="68"/>
        <v>Yes</v>
      </c>
      <c r="AO225" s="14" t="str">
        <f t="shared" si="69"/>
        <v>Yes</v>
      </c>
      <c r="AP225" s="16" t="s">
        <v>148</v>
      </c>
      <c r="AQ225" t="str">
        <f t="shared" si="70"/>
        <v>No</v>
      </c>
      <c r="AR225" s="21">
        <v>4</v>
      </c>
      <c r="AS225" s="5">
        <v>384</v>
      </c>
      <c r="AT225" s="5" t="str">
        <f>IF(T225="","",_xlfn.XLOOKUP(T225,Airlines!A:A,Airlines!B:B,"Not Found"))</f>
        <v>Aer Lingus</v>
      </c>
      <c r="AU225" s="5" t="str">
        <f>IF(U225="","",_xlfn.XLOOKUP(U225,Hotels!A:A,Hotels!B:B,"Not found"))</f>
        <v>IHG Hotels &amp; Resorts</v>
      </c>
      <c r="AV225" t="s">
        <v>148</v>
      </c>
      <c r="AW225" s="16" t="str">
        <f t="shared" si="71"/>
        <v>OK</v>
      </c>
      <c r="AX225" s="16" t="str">
        <f t="shared" si="72"/>
        <v>OK</v>
      </c>
      <c r="AY225" s="16" t="str">
        <f t="shared" si="73"/>
        <v>OK</v>
      </c>
      <c r="AZ225" s="16" t="str">
        <f t="shared" si="74"/>
        <v>OK</v>
      </c>
      <c r="BA225" s="16" t="str">
        <f t="shared" si="78"/>
        <v>OK</v>
      </c>
      <c r="BB225" s="21">
        <f>COUNTIF('Trip Changes'!B:B,A225)</f>
        <v>0</v>
      </c>
      <c r="BC225" s="16" t="str">
        <f>IF(OR(AND(AD225="Yes",COUNTIF('Trip Changes'!B:B,A225)&gt;0),AND(AD225="No",COUNTIF('Trip Changes'!B:B,A225)=0)),"OK","Check")</f>
        <v>OK</v>
      </c>
      <c r="BD225" t="str">
        <f t="shared" si="79"/>
        <v>OK</v>
      </c>
      <c r="BE225" t="str">
        <f t="shared" si="80"/>
        <v>OK</v>
      </c>
      <c r="BF225" t="str">
        <f t="shared" si="81"/>
        <v>OK</v>
      </c>
      <c r="BG225" t="str">
        <f t="shared" si="82"/>
        <v>OK</v>
      </c>
      <c r="BH225" t="str">
        <f t="shared" si="83"/>
        <v>OK</v>
      </c>
      <c r="BI225" t="str">
        <f t="shared" si="75"/>
        <v>OK</v>
      </c>
      <c r="BJ225" t="str">
        <f t="shared" si="76"/>
        <v>OK</v>
      </c>
      <c r="BK225" t="str">
        <f t="shared" si="77"/>
        <v>OK</v>
      </c>
    </row>
    <row r="226" spans="1:63">
      <c r="A226" s="16" t="s">
        <v>494</v>
      </c>
      <c r="B226" s="16" t="s">
        <v>493</v>
      </c>
      <c r="C226" s="16" t="s">
        <v>182</v>
      </c>
      <c r="D226" s="16" t="s">
        <v>138</v>
      </c>
      <c r="E226" s="16" t="s">
        <v>268</v>
      </c>
      <c r="F226" s="16" t="s">
        <v>140</v>
      </c>
      <c r="G226" s="15">
        <v>46206</v>
      </c>
      <c r="H226" s="15">
        <v>46217</v>
      </c>
      <c r="I226" s="15">
        <v>46219</v>
      </c>
      <c r="J226" s="15" t="s">
        <v>150</v>
      </c>
      <c r="K226" s="16" t="s">
        <v>182</v>
      </c>
      <c r="L226" t="s">
        <v>199</v>
      </c>
      <c r="M226" s="16" t="s">
        <v>152</v>
      </c>
      <c r="N226" s="16" t="s">
        <v>153</v>
      </c>
      <c r="O226" t="s">
        <v>1614</v>
      </c>
      <c r="P226" s="18">
        <v>3310</v>
      </c>
      <c r="Q226" s="21">
        <v>11</v>
      </c>
      <c r="R226" s="21" t="str">
        <f t="shared" si="63"/>
        <v>8-14 days</v>
      </c>
      <c r="S226" s="16" t="s">
        <v>145</v>
      </c>
      <c r="T226" s="16" t="s">
        <v>154</v>
      </c>
      <c r="U226" s="16" t="s">
        <v>155</v>
      </c>
      <c r="V226" t="str">
        <f>IF(U226="","",IFERROR(VLOOKUP(U226,Hotels!A:B,2,FALSE),"Not Found"))</f>
        <v>Hilton</v>
      </c>
      <c r="W226" s="14">
        <v>162</v>
      </c>
      <c r="X226" s="14">
        <v>0</v>
      </c>
      <c r="Y226" s="21">
        <v>1</v>
      </c>
      <c r="Z226" s="29">
        <f t="shared" si="64"/>
        <v>144.21</v>
      </c>
      <c r="AA226" s="14">
        <v>144.21</v>
      </c>
      <c r="AB226" s="14">
        <v>77.650000000000006</v>
      </c>
      <c r="AC226" s="14">
        <v>383.86</v>
      </c>
      <c r="AD226" s="16" t="s">
        <v>147</v>
      </c>
      <c r="AE226" s="16" t="s">
        <v>147</v>
      </c>
      <c r="AF226" s="14">
        <f>SUMIF('Trip Changes'!$B:$B,A226,'Trip Changes'!$E:$E)</f>
        <v>0</v>
      </c>
      <c r="AG226" s="23">
        <f>SUMIF('Trip Cancellations'!$B:$B,A226,'Trip Cancellations'!$E:$E)</f>
        <v>0</v>
      </c>
      <c r="AH226" s="14">
        <f>SUMIF('Trip Cancellations'!$B:$B,A226,'Trip Cancellations'!$F:$F)</f>
        <v>0</v>
      </c>
      <c r="AI226" s="14">
        <f t="shared" si="65"/>
        <v>383.86</v>
      </c>
      <c r="AJ226" s="14" t="str">
        <f t="shared" si="66"/>
        <v>Yes</v>
      </c>
      <c r="AK226" s="14" t="str">
        <f>IF(Y226=0,"N/A",
IF(_xlfn.XLOOKUP(U226,Hotels!A:A,Hotels!C:C)=TRUE,"Yes","No"))</f>
        <v>Yes</v>
      </c>
      <c r="AL226" s="14" t="str">
        <f>IF(N226="Rail","N/A",IF(_xlfn.XLOOKUP(T226,Airlines!A:A,Airlines!C:C)=TRUE,"Yes","No"))</f>
        <v>Yes</v>
      </c>
      <c r="AM226" s="14" t="str">
        <f t="shared" si="67"/>
        <v>Yes</v>
      </c>
      <c r="AN226" s="14" t="str">
        <f t="shared" si="68"/>
        <v>Yes</v>
      </c>
      <c r="AO226" s="14" t="str">
        <f t="shared" si="69"/>
        <v>Yes</v>
      </c>
      <c r="AP226" s="16" t="s">
        <v>148</v>
      </c>
      <c r="AQ226" t="str">
        <f t="shared" si="70"/>
        <v>Yes</v>
      </c>
      <c r="AR226" s="21">
        <v>5</v>
      </c>
      <c r="AS226" s="5">
        <v>496.5</v>
      </c>
      <c r="AT226" s="5" t="str">
        <f>IF(T226="","",_xlfn.XLOOKUP(T226,Airlines!A:A,Airlines!B:B,"Not Found"))</f>
        <v>British Airways</v>
      </c>
      <c r="AU226" s="5" t="str">
        <f>IF(U226="","",_xlfn.XLOOKUP(U226,Hotels!A:A,Hotels!B:B,"Not found"))</f>
        <v>Hilton</v>
      </c>
      <c r="AV226" t="s">
        <v>147</v>
      </c>
      <c r="AW226" s="16" t="str">
        <f t="shared" si="71"/>
        <v>OK</v>
      </c>
      <c r="AX226" s="16" t="str">
        <f t="shared" si="72"/>
        <v>OK</v>
      </c>
      <c r="AY226" s="16" t="str">
        <f t="shared" si="73"/>
        <v>OK</v>
      </c>
      <c r="AZ226" s="16" t="str">
        <f t="shared" si="74"/>
        <v>OK</v>
      </c>
      <c r="BA226" s="16" t="str">
        <f t="shared" si="78"/>
        <v>OK</v>
      </c>
      <c r="BB226" s="21">
        <f>COUNTIF('Trip Changes'!B:B,A226)</f>
        <v>0</v>
      </c>
      <c r="BC226" s="16" t="str">
        <f>IF(OR(AND(AD226="Yes",COUNTIF('Trip Changes'!B:B,A226)&gt;0),AND(AD226="No",COUNTIF('Trip Changes'!B:B,A226)=0)),"OK","Check")</f>
        <v>OK</v>
      </c>
      <c r="BD226" t="str">
        <f t="shared" si="79"/>
        <v>OK</v>
      </c>
      <c r="BE226" t="str">
        <f t="shared" si="80"/>
        <v>OK</v>
      </c>
      <c r="BF226" t="str">
        <f t="shared" si="81"/>
        <v>OK</v>
      </c>
      <c r="BG226" t="str">
        <f t="shared" si="82"/>
        <v>OK</v>
      </c>
      <c r="BH226" t="str">
        <f t="shared" si="83"/>
        <v>OK</v>
      </c>
      <c r="BI226" t="str">
        <f t="shared" si="75"/>
        <v>OK</v>
      </c>
      <c r="BJ226" t="str">
        <f t="shared" si="76"/>
        <v>OK</v>
      </c>
      <c r="BK226" t="str">
        <f t="shared" si="77"/>
        <v>OK</v>
      </c>
    </row>
    <row r="227" spans="1:63">
      <c r="A227" s="16" t="s">
        <v>495</v>
      </c>
      <c r="B227" s="16" t="s">
        <v>493</v>
      </c>
      <c r="C227" s="16" t="s">
        <v>182</v>
      </c>
      <c r="D227" s="16" t="s">
        <v>138</v>
      </c>
      <c r="E227" s="16" t="s">
        <v>268</v>
      </c>
      <c r="F227" s="16" t="s">
        <v>140</v>
      </c>
      <c r="G227" s="15">
        <v>46132</v>
      </c>
      <c r="H227" s="15">
        <v>46158</v>
      </c>
      <c r="I227" s="15">
        <v>46160</v>
      </c>
      <c r="J227" s="15" t="s">
        <v>163</v>
      </c>
      <c r="K227" s="16" t="s">
        <v>182</v>
      </c>
      <c r="L227" t="s">
        <v>199</v>
      </c>
      <c r="M227" s="16" t="s">
        <v>152</v>
      </c>
      <c r="N227" s="16" t="s">
        <v>153</v>
      </c>
      <c r="O227" t="s">
        <v>1614</v>
      </c>
      <c r="P227" s="18">
        <v>3222</v>
      </c>
      <c r="Q227" s="21">
        <v>26</v>
      </c>
      <c r="R227" s="21" t="str">
        <f t="shared" si="63"/>
        <v>15-30 days</v>
      </c>
      <c r="S227" s="16" t="s">
        <v>159</v>
      </c>
      <c r="T227" s="16" t="s">
        <v>154</v>
      </c>
      <c r="U227" s="16" t="s">
        <v>173</v>
      </c>
      <c r="V227" t="str">
        <f>IF(U227="","",IFERROR(VLOOKUP(U227,Hotels!A:B,2,FALSE),"Not Found"))</f>
        <v>Accor</v>
      </c>
      <c r="W227" s="14">
        <v>381.62</v>
      </c>
      <c r="X227" s="14">
        <v>0</v>
      </c>
      <c r="Y227" s="21">
        <v>1</v>
      </c>
      <c r="Z227" s="29">
        <f t="shared" si="64"/>
        <v>211.42</v>
      </c>
      <c r="AA227" s="14">
        <v>211.42</v>
      </c>
      <c r="AB227" s="14">
        <v>95.96</v>
      </c>
      <c r="AC227" s="14">
        <v>689</v>
      </c>
      <c r="AD227" s="16" t="s">
        <v>147</v>
      </c>
      <c r="AE227" s="16" t="s">
        <v>147</v>
      </c>
      <c r="AF227" s="14">
        <f>SUMIF('Trip Changes'!$B:$B,A227,'Trip Changes'!$E:$E)</f>
        <v>0</v>
      </c>
      <c r="AG227" s="23">
        <f>SUMIF('Trip Cancellations'!$B:$B,A227,'Trip Cancellations'!$E:$E)</f>
        <v>0</v>
      </c>
      <c r="AH227" s="14">
        <f>SUMIF('Trip Cancellations'!$B:$B,A227,'Trip Cancellations'!$F:$F)</f>
        <v>0</v>
      </c>
      <c r="AI227" s="14">
        <f t="shared" si="65"/>
        <v>689</v>
      </c>
      <c r="AJ227" s="14" t="str">
        <f t="shared" si="66"/>
        <v>No</v>
      </c>
      <c r="AK227" s="14" t="str">
        <f>IF(Y227=0,"N/A",
IF(_xlfn.XLOOKUP(U227,Hotels!A:A,Hotels!C:C)=TRUE,"Yes","No"))</f>
        <v>Yes</v>
      </c>
      <c r="AL227" s="14" t="str">
        <f>IF(N227="Rail","N/A",IF(_xlfn.XLOOKUP(T227,Airlines!A:A,Airlines!C:C)=TRUE,"Yes","No"))</f>
        <v>Yes</v>
      </c>
      <c r="AM227" s="14" t="str">
        <f t="shared" si="67"/>
        <v>Yes</v>
      </c>
      <c r="AN227" s="14" t="str">
        <f t="shared" si="68"/>
        <v>Yes</v>
      </c>
      <c r="AO227" s="14" t="str">
        <f t="shared" si="69"/>
        <v>Yes</v>
      </c>
      <c r="AP227" s="16" t="s">
        <v>148</v>
      </c>
      <c r="AQ227" t="str">
        <f t="shared" si="70"/>
        <v>No</v>
      </c>
      <c r="AR227" s="21">
        <v>5</v>
      </c>
      <c r="AS227" s="5">
        <v>483.3</v>
      </c>
      <c r="AT227" s="5" t="str">
        <f>IF(T227="","",_xlfn.XLOOKUP(T227,Airlines!A:A,Airlines!B:B,"Not Found"))</f>
        <v>British Airways</v>
      </c>
      <c r="AU227" s="5" t="str">
        <f>IF(U227="","",_xlfn.XLOOKUP(U227,Hotels!A:A,Hotels!B:B,"Not found"))</f>
        <v>Accor</v>
      </c>
      <c r="AV227" t="s">
        <v>147</v>
      </c>
      <c r="AW227" s="16" t="str">
        <f t="shared" si="71"/>
        <v>OK</v>
      </c>
      <c r="AX227" s="16" t="str">
        <f t="shared" si="72"/>
        <v>OK</v>
      </c>
      <c r="AY227" s="16" t="str">
        <f t="shared" si="73"/>
        <v>OK</v>
      </c>
      <c r="AZ227" s="16" t="str">
        <f t="shared" si="74"/>
        <v>OK</v>
      </c>
      <c r="BA227" s="16" t="str">
        <f t="shared" si="78"/>
        <v>OK</v>
      </c>
      <c r="BB227" s="21">
        <f>COUNTIF('Trip Changes'!B:B,A227)</f>
        <v>0</v>
      </c>
      <c r="BC227" s="16" t="str">
        <f>IF(OR(AND(AD227="Yes",COUNTIF('Trip Changes'!B:B,A227)&gt;0),AND(AD227="No",COUNTIF('Trip Changes'!B:B,A227)=0)),"OK","Check")</f>
        <v>OK</v>
      </c>
      <c r="BD227" t="str">
        <f t="shared" si="79"/>
        <v>OK</v>
      </c>
      <c r="BE227" t="str">
        <f t="shared" si="80"/>
        <v>OK</v>
      </c>
      <c r="BF227" t="str">
        <f t="shared" si="81"/>
        <v>OK</v>
      </c>
      <c r="BG227" t="str">
        <f t="shared" si="82"/>
        <v>OK</v>
      </c>
      <c r="BH227" t="str">
        <f t="shared" si="83"/>
        <v>OK</v>
      </c>
      <c r="BI227" t="str">
        <f t="shared" si="75"/>
        <v>OK</v>
      </c>
      <c r="BJ227" t="str">
        <f t="shared" si="76"/>
        <v>OK</v>
      </c>
      <c r="BK227" t="str">
        <f t="shared" si="77"/>
        <v>OK</v>
      </c>
    </row>
    <row r="228" spans="1:63">
      <c r="A228" s="16" t="s">
        <v>496</v>
      </c>
      <c r="B228" s="16" t="s">
        <v>493</v>
      </c>
      <c r="C228" s="16" t="s">
        <v>182</v>
      </c>
      <c r="D228" s="16" t="s">
        <v>138</v>
      </c>
      <c r="E228" s="16" t="s">
        <v>268</v>
      </c>
      <c r="F228" s="16" t="s">
        <v>162</v>
      </c>
      <c r="G228" s="15">
        <v>46184</v>
      </c>
      <c r="H228" s="15">
        <v>46186</v>
      </c>
      <c r="I228" s="15">
        <v>46190</v>
      </c>
      <c r="J228" s="15" t="s">
        <v>141</v>
      </c>
      <c r="K228" s="16" t="s">
        <v>182</v>
      </c>
      <c r="L228" t="s">
        <v>264</v>
      </c>
      <c r="M228" s="16" t="s">
        <v>152</v>
      </c>
      <c r="N228" s="16" t="s">
        <v>153</v>
      </c>
      <c r="O228" t="s">
        <v>1614</v>
      </c>
      <c r="P228" s="18">
        <v>3000</v>
      </c>
      <c r="Q228" s="21">
        <v>2</v>
      </c>
      <c r="R228" s="21" t="str">
        <f t="shared" si="63"/>
        <v>0-3 days</v>
      </c>
      <c r="S228" s="16" t="s">
        <v>145</v>
      </c>
      <c r="T228" s="16" t="s">
        <v>176</v>
      </c>
      <c r="U228" s="16" t="s">
        <v>155</v>
      </c>
      <c r="V228" t="str">
        <f>IF(U228="","",IFERROR(VLOOKUP(U228,Hotels!A:B,2,FALSE),"Not Found"))</f>
        <v>Hilton</v>
      </c>
      <c r="W228" s="14">
        <v>386.53</v>
      </c>
      <c r="X228" s="14">
        <v>0</v>
      </c>
      <c r="Y228" s="21">
        <v>3</v>
      </c>
      <c r="Z228" s="29">
        <f t="shared" si="64"/>
        <v>165.53666666666666</v>
      </c>
      <c r="AA228" s="14">
        <v>496.61</v>
      </c>
      <c r="AB228" s="14">
        <v>89.83</v>
      </c>
      <c r="AC228" s="14">
        <v>972.97</v>
      </c>
      <c r="AD228" s="16" t="s">
        <v>147</v>
      </c>
      <c r="AE228" s="16" t="s">
        <v>147</v>
      </c>
      <c r="AF228" s="14">
        <f>SUMIF('Trip Changes'!$B:$B,A228,'Trip Changes'!$E:$E)</f>
        <v>0</v>
      </c>
      <c r="AG228" s="23">
        <f>SUMIF('Trip Cancellations'!$B:$B,A228,'Trip Cancellations'!$E:$E)</f>
        <v>0</v>
      </c>
      <c r="AH228" s="14">
        <f>SUMIF('Trip Cancellations'!$B:$B,A228,'Trip Cancellations'!$F:$F)</f>
        <v>0</v>
      </c>
      <c r="AI228" s="14">
        <f t="shared" si="65"/>
        <v>972.97</v>
      </c>
      <c r="AJ228" s="14" t="str">
        <f t="shared" si="66"/>
        <v>Yes</v>
      </c>
      <c r="AK228" s="14" t="str">
        <f>IF(Y228=0,"N/A",
IF(_xlfn.XLOOKUP(U228,Hotels!A:A,Hotels!C:C)=TRUE,"Yes","No"))</f>
        <v>Yes</v>
      </c>
      <c r="AL228" s="14" t="str">
        <f>IF(N228="Rail","N/A",IF(_xlfn.XLOOKUP(T228,Airlines!A:A,Airlines!C:C)=TRUE,"Yes","No"))</f>
        <v>Yes</v>
      </c>
      <c r="AM228" s="14" t="str">
        <f t="shared" si="67"/>
        <v>Yes</v>
      </c>
      <c r="AN228" s="14" t="str">
        <f t="shared" si="68"/>
        <v>Yes</v>
      </c>
      <c r="AO228" s="14" t="str">
        <f t="shared" si="69"/>
        <v>Yes</v>
      </c>
      <c r="AP228" s="16" t="s">
        <v>148</v>
      </c>
      <c r="AQ228" t="str">
        <f t="shared" si="70"/>
        <v>Yes</v>
      </c>
      <c r="AR228" s="21">
        <v>4</v>
      </c>
      <c r="AS228" s="5">
        <v>450</v>
      </c>
      <c r="AT228" s="5" t="str">
        <f>IF(T228="","",_xlfn.XLOOKUP(T228,Airlines!A:A,Airlines!B:B,"Not Found"))</f>
        <v>easyJet</v>
      </c>
      <c r="AU228" s="5" t="str">
        <f>IF(U228="","",_xlfn.XLOOKUP(U228,Hotels!A:A,Hotels!B:B,"Not found"))</f>
        <v>Hilton</v>
      </c>
      <c r="AV228" t="s">
        <v>147</v>
      </c>
      <c r="AW228" s="16" t="str">
        <f t="shared" si="71"/>
        <v>OK</v>
      </c>
      <c r="AX228" s="16" t="str">
        <f t="shared" si="72"/>
        <v>OK</v>
      </c>
      <c r="AY228" s="16" t="str">
        <f t="shared" si="73"/>
        <v>OK</v>
      </c>
      <c r="AZ228" s="16" t="str">
        <f t="shared" si="74"/>
        <v>OK</v>
      </c>
      <c r="BA228" s="16" t="str">
        <f t="shared" si="78"/>
        <v>OK</v>
      </c>
      <c r="BB228" s="21">
        <f>COUNTIF('Trip Changes'!B:B,A228)</f>
        <v>0</v>
      </c>
      <c r="BC228" s="16" t="str">
        <f>IF(OR(AND(AD228="Yes",COUNTIF('Trip Changes'!B:B,A228)&gt;0),AND(AD228="No",COUNTIF('Trip Changes'!B:B,A228)=0)),"OK","Check")</f>
        <v>OK</v>
      </c>
      <c r="BD228" t="str">
        <f t="shared" si="79"/>
        <v>OK</v>
      </c>
      <c r="BE228" t="str">
        <f t="shared" si="80"/>
        <v>OK</v>
      </c>
      <c r="BF228" t="str">
        <f t="shared" si="81"/>
        <v>OK</v>
      </c>
      <c r="BG228" t="str">
        <f t="shared" si="82"/>
        <v>OK</v>
      </c>
      <c r="BH228" t="str">
        <f t="shared" si="83"/>
        <v>OK</v>
      </c>
      <c r="BI228" t="str">
        <f t="shared" si="75"/>
        <v>OK</v>
      </c>
      <c r="BJ228" t="str">
        <f t="shared" si="76"/>
        <v>OK</v>
      </c>
      <c r="BK228" t="str">
        <f t="shared" si="77"/>
        <v>OK</v>
      </c>
    </row>
    <row r="229" spans="1:63">
      <c r="A229" s="16" t="s">
        <v>497</v>
      </c>
      <c r="B229" s="16" t="s">
        <v>493</v>
      </c>
      <c r="C229" s="16" t="s">
        <v>182</v>
      </c>
      <c r="D229" s="16" t="s">
        <v>138</v>
      </c>
      <c r="E229" s="16" t="s">
        <v>268</v>
      </c>
      <c r="F229" s="16" t="s">
        <v>162</v>
      </c>
      <c r="G229" s="15">
        <v>46129</v>
      </c>
      <c r="H229" s="15">
        <v>46160</v>
      </c>
      <c r="I229" s="15">
        <v>46162</v>
      </c>
      <c r="J229" s="15" t="s">
        <v>163</v>
      </c>
      <c r="K229" s="16" t="s">
        <v>182</v>
      </c>
      <c r="L229" t="s">
        <v>199</v>
      </c>
      <c r="M229" s="16" t="s">
        <v>152</v>
      </c>
      <c r="N229" s="16" t="s">
        <v>153</v>
      </c>
      <c r="O229" t="s">
        <v>1614</v>
      </c>
      <c r="P229" s="18">
        <v>1992</v>
      </c>
      <c r="Q229" s="21">
        <v>31</v>
      </c>
      <c r="R229" s="21" t="str">
        <f t="shared" si="63"/>
        <v>31+ days</v>
      </c>
      <c r="S229" s="16" t="s">
        <v>145</v>
      </c>
      <c r="T229" s="16" t="s">
        <v>291</v>
      </c>
      <c r="U229" s="16" t="s">
        <v>155</v>
      </c>
      <c r="V229" t="str">
        <f>IF(U229="","",IFERROR(VLOOKUP(U229,Hotels!A:B,2,FALSE),"Not Found"))</f>
        <v>Hilton</v>
      </c>
      <c r="W229" s="14">
        <v>450.23</v>
      </c>
      <c r="X229" s="14">
        <v>0</v>
      </c>
      <c r="Y229" s="21">
        <v>1</v>
      </c>
      <c r="Z229" s="29">
        <f t="shared" si="64"/>
        <v>160.88</v>
      </c>
      <c r="AA229" s="14">
        <v>160.88</v>
      </c>
      <c r="AB229" s="14">
        <v>122.07</v>
      </c>
      <c r="AC229" s="14">
        <v>733.18</v>
      </c>
      <c r="AD229" s="16" t="s">
        <v>147</v>
      </c>
      <c r="AE229" s="16" t="s">
        <v>147</v>
      </c>
      <c r="AF229" s="14">
        <f>SUMIF('Trip Changes'!$B:$B,A229,'Trip Changes'!$E:$E)</f>
        <v>0</v>
      </c>
      <c r="AG229" s="23">
        <f>SUMIF('Trip Cancellations'!$B:$B,A229,'Trip Cancellations'!$E:$E)</f>
        <v>0</v>
      </c>
      <c r="AH229" s="14">
        <f>SUMIF('Trip Cancellations'!$B:$B,A229,'Trip Cancellations'!$F:$F)</f>
        <v>0</v>
      </c>
      <c r="AI229" s="14">
        <f t="shared" si="65"/>
        <v>733.18</v>
      </c>
      <c r="AJ229" s="14" t="str">
        <f t="shared" si="66"/>
        <v>Yes</v>
      </c>
      <c r="AK229" s="14" t="str">
        <f>IF(Y229=0,"N/A",
IF(_xlfn.XLOOKUP(U229,Hotels!A:A,Hotels!C:C)=TRUE,"Yes","No"))</f>
        <v>Yes</v>
      </c>
      <c r="AL229" s="14" t="str">
        <f>IF(N229="Rail","N/A",IF(_xlfn.XLOOKUP(T229,Airlines!A:A,Airlines!C:C)=TRUE,"Yes","No"))</f>
        <v>No</v>
      </c>
      <c r="AM229" s="14" t="str">
        <f t="shared" si="67"/>
        <v>Yes</v>
      </c>
      <c r="AN229" s="14" t="str">
        <f t="shared" si="68"/>
        <v>Yes</v>
      </c>
      <c r="AO229" s="14" t="str">
        <f t="shared" si="69"/>
        <v>No</v>
      </c>
      <c r="AP229" s="16" t="s">
        <v>148</v>
      </c>
      <c r="AQ229" t="str">
        <f t="shared" si="70"/>
        <v>No</v>
      </c>
      <c r="AR229" s="21">
        <v>4</v>
      </c>
      <c r="AS229" s="5">
        <v>298.8</v>
      </c>
      <c r="AT229" s="5" t="str">
        <f>IF(T229="","",_xlfn.XLOOKUP(T229,Airlines!A:A,Airlines!B:B,"Not Found"))</f>
        <v>Ryanair</v>
      </c>
      <c r="AU229" s="5" t="str">
        <f>IF(U229="","",_xlfn.XLOOKUP(U229,Hotels!A:A,Hotels!B:B,"Not found"))</f>
        <v>Hilton</v>
      </c>
      <c r="AV229" t="s">
        <v>148</v>
      </c>
      <c r="AW229" s="16" t="str">
        <f t="shared" si="71"/>
        <v>OK</v>
      </c>
      <c r="AX229" s="16" t="str">
        <f t="shared" si="72"/>
        <v>OK</v>
      </c>
      <c r="AY229" s="16" t="str">
        <f t="shared" si="73"/>
        <v>OK</v>
      </c>
      <c r="AZ229" s="16" t="str">
        <f t="shared" si="74"/>
        <v>OK</v>
      </c>
      <c r="BA229" s="16" t="str">
        <f t="shared" si="78"/>
        <v>OK</v>
      </c>
      <c r="BB229" s="21">
        <f>COUNTIF('Trip Changes'!B:B,A229)</f>
        <v>0</v>
      </c>
      <c r="BC229" s="16" t="str">
        <f>IF(OR(AND(AD229="Yes",COUNTIF('Trip Changes'!B:B,A229)&gt;0),AND(AD229="No",COUNTIF('Trip Changes'!B:B,A229)=0)),"OK","Check")</f>
        <v>OK</v>
      </c>
      <c r="BD229" t="str">
        <f t="shared" si="79"/>
        <v>OK</v>
      </c>
      <c r="BE229" t="str">
        <f t="shared" si="80"/>
        <v>OK</v>
      </c>
      <c r="BF229" t="str">
        <f t="shared" si="81"/>
        <v>OK</v>
      </c>
      <c r="BG229" t="str">
        <f t="shared" si="82"/>
        <v>OK</v>
      </c>
      <c r="BH229" t="str">
        <f t="shared" si="83"/>
        <v>OK</v>
      </c>
      <c r="BI229" t="str">
        <f t="shared" si="75"/>
        <v>OK</v>
      </c>
      <c r="BJ229" t="str">
        <f t="shared" si="76"/>
        <v>OK</v>
      </c>
      <c r="BK229" t="str">
        <f t="shared" si="77"/>
        <v>OK</v>
      </c>
    </row>
    <row r="230" spans="1:63">
      <c r="A230" s="16" t="s">
        <v>498</v>
      </c>
      <c r="B230" s="16" t="s">
        <v>499</v>
      </c>
      <c r="C230" s="16" t="s">
        <v>182</v>
      </c>
      <c r="D230" s="16" t="s">
        <v>248</v>
      </c>
      <c r="E230" s="16" t="s">
        <v>249</v>
      </c>
      <c r="F230" s="16" t="s">
        <v>170</v>
      </c>
      <c r="G230" s="15">
        <v>46181</v>
      </c>
      <c r="H230" s="15">
        <v>46197</v>
      </c>
      <c r="I230" s="15">
        <v>46202</v>
      </c>
      <c r="J230" s="15" t="s">
        <v>141</v>
      </c>
      <c r="K230" s="16" t="s">
        <v>182</v>
      </c>
      <c r="L230" t="s">
        <v>199</v>
      </c>
      <c r="M230" s="16" t="s">
        <v>152</v>
      </c>
      <c r="N230" s="16" t="s">
        <v>153</v>
      </c>
      <c r="O230" t="s">
        <v>1614</v>
      </c>
      <c r="P230" s="18">
        <v>2542</v>
      </c>
      <c r="Q230" s="21">
        <v>16</v>
      </c>
      <c r="R230" s="21" t="str">
        <f t="shared" si="63"/>
        <v>15-30 days</v>
      </c>
      <c r="S230" s="16" t="s">
        <v>145</v>
      </c>
      <c r="T230" s="16" t="s">
        <v>154</v>
      </c>
      <c r="U230" s="16" t="s">
        <v>187</v>
      </c>
      <c r="V230" t="str">
        <f>IF(U230="","",IFERROR(VLOOKUP(U230,Hotels!A:B,2,FALSE),"Not Found"))</f>
        <v>IHG Hotels &amp; Resorts</v>
      </c>
      <c r="W230" s="14">
        <v>431.19</v>
      </c>
      <c r="X230" s="14">
        <v>0</v>
      </c>
      <c r="Y230" s="21">
        <v>4</v>
      </c>
      <c r="Z230" s="29">
        <f t="shared" si="64"/>
        <v>141.01249999999999</v>
      </c>
      <c r="AA230" s="14">
        <v>564.04999999999995</v>
      </c>
      <c r="AB230" s="14">
        <v>123.99</v>
      </c>
      <c r="AC230" s="14">
        <v>1119.23</v>
      </c>
      <c r="AD230" s="16" t="s">
        <v>147</v>
      </c>
      <c r="AE230" s="16" t="s">
        <v>147</v>
      </c>
      <c r="AF230" s="14">
        <f>SUMIF('Trip Changes'!$B:$B,A230,'Trip Changes'!$E:$E)</f>
        <v>0</v>
      </c>
      <c r="AG230" s="23">
        <f>SUMIF('Trip Cancellations'!$B:$B,A230,'Trip Cancellations'!$E:$E)</f>
        <v>0</v>
      </c>
      <c r="AH230" s="14">
        <f>SUMIF('Trip Cancellations'!$B:$B,A230,'Trip Cancellations'!$F:$F)</f>
        <v>0</v>
      </c>
      <c r="AI230" s="14">
        <f t="shared" si="65"/>
        <v>1119.23</v>
      </c>
      <c r="AJ230" s="14" t="str">
        <f t="shared" si="66"/>
        <v>Yes</v>
      </c>
      <c r="AK230" s="14" t="str">
        <f>IF(Y230=0,"N/A",
IF(_xlfn.XLOOKUP(U230,Hotels!A:A,Hotels!C:C)=TRUE,"Yes","No"))</f>
        <v>Yes</v>
      </c>
      <c r="AL230" s="14" t="str">
        <f>IF(N230="Rail","N/A",IF(_xlfn.XLOOKUP(T230,Airlines!A:A,Airlines!C:C)=TRUE,"Yes","No"))</f>
        <v>Yes</v>
      </c>
      <c r="AM230" s="14" t="str">
        <f t="shared" si="67"/>
        <v>Yes</v>
      </c>
      <c r="AN230" s="14" t="str">
        <f t="shared" si="68"/>
        <v>Yes</v>
      </c>
      <c r="AO230" s="14" t="str">
        <f t="shared" si="69"/>
        <v>Yes</v>
      </c>
      <c r="AP230" s="16" t="s">
        <v>148</v>
      </c>
      <c r="AQ230" t="str">
        <f t="shared" si="70"/>
        <v>Yes</v>
      </c>
      <c r="AR230" s="21">
        <v>5</v>
      </c>
      <c r="AS230" s="5">
        <v>381.3</v>
      </c>
      <c r="AT230" s="5" t="str">
        <f>IF(T230="","",_xlfn.XLOOKUP(T230,Airlines!A:A,Airlines!B:B,"Not Found"))</f>
        <v>British Airways</v>
      </c>
      <c r="AU230" s="5" t="str">
        <f>IF(U230="","",_xlfn.XLOOKUP(U230,Hotels!A:A,Hotels!B:B,"Not found"))</f>
        <v>IHG Hotels &amp; Resorts</v>
      </c>
      <c r="AV230" t="s">
        <v>147</v>
      </c>
      <c r="AW230" s="16" t="str">
        <f t="shared" si="71"/>
        <v>OK</v>
      </c>
      <c r="AX230" s="16" t="str">
        <f t="shared" si="72"/>
        <v>OK</v>
      </c>
      <c r="AY230" s="16" t="str">
        <f t="shared" si="73"/>
        <v>OK</v>
      </c>
      <c r="AZ230" s="16" t="str">
        <f t="shared" si="74"/>
        <v>OK</v>
      </c>
      <c r="BA230" s="16" t="str">
        <f t="shared" si="78"/>
        <v>OK</v>
      </c>
      <c r="BB230" s="21">
        <f>COUNTIF('Trip Changes'!B:B,A230)</f>
        <v>0</v>
      </c>
      <c r="BC230" s="16" t="str">
        <f>IF(OR(AND(AD230="Yes",COUNTIF('Trip Changes'!B:B,A230)&gt;0),AND(AD230="No",COUNTIF('Trip Changes'!B:B,A230)=0)),"OK","Check")</f>
        <v>OK</v>
      </c>
      <c r="BD230" t="str">
        <f t="shared" si="79"/>
        <v>OK</v>
      </c>
      <c r="BE230" t="str">
        <f t="shared" si="80"/>
        <v>OK</v>
      </c>
      <c r="BF230" t="str">
        <f t="shared" si="81"/>
        <v>OK</v>
      </c>
      <c r="BG230" t="str">
        <f t="shared" si="82"/>
        <v>OK</v>
      </c>
      <c r="BH230" t="str">
        <f t="shared" si="83"/>
        <v>OK</v>
      </c>
      <c r="BI230" t="str">
        <f t="shared" si="75"/>
        <v>OK</v>
      </c>
      <c r="BJ230" t="str">
        <f t="shared" si="76"/>
        <v>OK</v>
      </c>
      <c r="BK230" t="str">
        <f t="shared" si="77"/>
        <v>OK</v>
      </c>
    </row>
    <row r="231" spans="1:63">
      <c r="A231" s="16" t="s">
        <v>500</v>
      </c>
      <c r="B231" s="16" t="s">
        <v>499</v>
      </c>
      <c r="C231" s="16" t="s">
        <v>182</v>
      </c>
      <c r="D231" s="16" t="s">
        <v>248</v>
      </c>
      <c r="E231" s="16" t="s">
        <v>249</v>
      </c>
      <c r="F231" s="16" t="s">
        <v>162</v>
      </c>
      <c r="G231" s="15">
        <v>46221</v>
      </c>
      <c r="H231" s="15">
        <v>46222</v>
      </c>
      <c r="I231" s="15">
        <v>46226</v>
      </c>
      <c r="J231" s="15" t="s">
        <v>150</v>
      </c>
      <c r="K231" s="16" t="s">
        <v>182</v>
      </c>
      <c r="L231" t="s">
        <v>225</v>
      </c>
      <c r="M231" s="16" t="s">
        <v>152</v>
      </c>
      <c r="N231" s="16" t="s">
        <v>153</v>
      </c>
      <c r="O231" t="s">
        <v>1614</v>
      </c>
      <c r="P231" s="18">
        <v>2968</v>
      </c>
      <c r="Q231" s="21">
        <v>1</v>
      </c>
      <c r="R231" s="21" t="str">
        <f t="shared" si="63"/>
        <v>0-3 days</v>
      </c>
      <c r="S231" s="16" t="s">
        <v>159</v>
      </c>
      <c r="T231" s="16" t="s">
        <v>154</v>
      </c>
      <c r="U231" s="16" t="s">
        <v>155</v>
      </c>
      <c r="V231" t="str">
        <f>IF(U231="","",IFERROR(VLOOKUP(U231,Hotels!A:B,2,FALSE),"Not Found"))</f>
        <v>Hilton</v>
      </c>
      <c r="W231" s="14">
        <v>294.02</v>
      </c>
      <c r="X231" s="14">
        <v>0</v>
      </c>
      <c r="Y231" s="21">
        <v>3</v>
      </c>
      <c r="Z231" s="29">
        <f t="shared" si="64"/>
        <v>226.83666666666667</v>
      </c>
      <c r="AA231" s="14">
        <v>680.51</v>
      </c>
      <c r="AB231" s="14">
        <v>92</v>
      </c>
      <c r="AC231" s="14">
        <v>1066.53</v>
      </c>
      <c r="AD231" s="16" t="s">
        <v>147</v>
      </c>
      <c r="AE231" s="16" t="s">
        <v>147</v>
      </c>
      <c r="AF231" s="14">
        <f>SUMIF('Trip Changes'!$B:$B,A231,'Trip Changes'!$E:$E)</f>
        <v>0</v>
      </c>
      <c r="AG231" s="23">
        <f>SUMIF('Trip Cancellations'!$B:$B,A231,'Trip Cancellations'!$E:$E)</f>
        <v>0</v>
      </c>
      <c r="AH231" s="14">
        <f>SUMIF('Trip Cancellations'!$B:$B,A231,'Trip Cancellations'!$F:$F)</f>
        <v>0</v>
      </c>
      <c r="AI231" s="14">
        <f t="shared" si="65"/>
        <v>1066.53</v>
      </c>
      <c r="AJ231" s="14" t="str">
        <f t="shared" si="66"/>
        <v>No</v>
      </c>
      <c r="AK231" s="14" t="str">
        <f>IF(Y231=0,"N/A",
IF(_xlfn.XLOOKUP(U231,Hotels!A:A,Hotels!C:C)=TRUE,"Yes","No"))</f>
        <v>Yes</v>
      </c>
      <c r="AL231" s="14" t="str">
        <f>IF(N231="Rail","N/A",IF(_xlfn.XLOOKUP(T231,Airlines!A:A,Airlines!C:C)=TRUE,"Yes","No"))</f>
        <v>Yes</v>
      </c>
      <c r="AM231" s="14" t="str">
        <f t="shared" si="67"/>
        <v>Yes</v>
      </c>
      <c r="AN231" s="14" t="str">
        <f t="shared" si="68"/>
        <v>Yes</v>
      </c>
      <c r="AO231" s="14" t="str">
        <f t="shared" si="69"/>
        <v>Yes</v>
      </c>
      <c r="AP231" s="16" t="s">
        <v>148</v>
      </c>
      <c r="AQ231" t="str">
        <f t="shared" si="70"/>
        <v>No</v>
      </c>
      <c r="AR231" s="21">
        <v>4</v>
      </c>
      <c r="AS231" s="5">
        <v>445.2</v>
      </c>
      <c r="AT231" s="5" t="str">
        <f>IF(T231="","",_xlfn.XLOOKUP(T231,Airlines!A:A,Airlines!B:B,"Not Found"))</f>
        <v>British Airways</v>
      </c>
      <c r="AU231" s="5" t="str">
        <f>IF(U231="","",_xlfn.XLOOKUP(U231,Hotels!A:A,Hotels!B:B,"Not found"))</f>
        <v>Hilton</v>
      </c>
      <c r="AV231" t="s">
        <v>147</v>
      </c>
      <c r="AW231" s="16" t="str">
        <f t="shared" si="71"/>
        <v>OK</v>
      </c>
      <c r="AX231" s="16" t="str">
        <f t="shared" si="72"/>
        <v>OK</v>
      </c>
      <c r="AY231" s="16" t="str">
        <f t="shared" si="73"/>
        <v>OK</v>
      </c>
      <c r="AZ231" s="16" t="str">
        <f t="shared" si="74"/>
        <v>OK</v>
      </c>
      <c r="BA231" s="16" t="str">
        <f t="shared" si="78"/>
        <v>OK</v>
      </c>
      <c r="BB231" s="21">
        <f>COUNTIF('Trip Changes'!B:B,A231)</f>
        <v>0</v>
      </c>
      <c r="BC231" s="16" t="str">
        <f>IF(OR(AND(AD231="Yes",COUNTIF('Trip Changes'!B:B,A231)&gt;0),AND(AD231="No",COUNTIF('Trip Changes'!B:B,A231)=0)),"OK","Check")</f>
        <v>OK</v>
      </c>
      <c r="BD231" t="str">
        <f t="shared" si="79"/>
        <v>OK</v>
      </c>
      <c r="BE231" t="str">
        <f t="shared" si="80"/>
        <v>OK</v>
      </c>
      <c r="BF231" t="str">
        <f t="shared" si="81"/>
        <v>OK</v>
      </c>
      <c r="BG231" t="str">
        <f t="shared" si="82"/>
        <v>OK</v>
      </c>
      <c r="BH231" t="str">
        <f t="shared" si="83"/>
        <v>OK</v>
      </c>
      <c r="BI231" t="str">
        <f t="shared" si="75"/>
        <v>OK</v>
      </c>
      <c r="BJ231" t="str">
        <f t="shared" si="76"/>
        <v>OK</v>
      </c>
      <c r="BK231" t="str">
        <f t="shared" si="77"/>
        <v>OK</v>
      </c>
    </row>
    <row r="232" spans="1:63">
      <c r="A232" s="16" t="s">
        <v>501</v>
      </c>
      <c r="B232" s="16" t="s">
        <v>499</v>
      </c>
      <c r="C232" s="16" t="s">
        <v>182</v>
      </c>
      <c r="D232" s="16" t="s">
        <v>248</v>
      </c>
      <c r="E232" s="16" t="s">
        <v>249</v>
      </c>
      <c r="F232" s="16" t="s">
        <v>162</v>
      </c>
      <c r="G232" s="15">
        <v>46207</v>
      </c>
      <c r="H232" s="15">
        <v>46222</v>
      </c>
      <c r="I232" s="15">
        <v>46226</v>
      </c>
      <c r="J232" s="15" t="s">
        <v>150</v>
      </c>
      <c r="K232" s="16" t="s">
        <v>182</v>
      </c>
      <c r="L232" t="s">
        <v>199</v>
      </c>
      <c r="M232" s="16" t="s">
        <v>152</v>
      </c>
      <c r="N232" s="16" t="s">
        <v>153</v>
      </c>
      <c r="O232" t="s">
        <v>1614</v>
      </c>
      <c r="P232" s="18">
        <v>3196</v>
      </c>
      <c r="Q232" s="21">
        <v>15</v>
      </c>
      <c r="R232" s="21" t="str">
        <f t="shared" si="63"/>
        <v>15-30 days</v>
      </c>
      <c r="S232" s="16" t="s">
        <v>145</v>
      </c>
      <c r="T232" s="16" t="s">
        <v>154</v>
      </c>
      <c r="U232" s="16" t="s">
        <v>173</v>
      </c>
      <c r="V232" t="str">
        <f>IF(U232="","",IFERROR(VLOOKUP(U232,Hotels!A:B,2,FALSE),"Not Found"))</f>
        <v>Accor</v>
      </c>
      <c r="W232" s="14">
        <v>318.86</v>
      </c>
      <c r="X232" s="14">
        <v>0</v>
      </c>
      <c r="Y232" s="21">
        <v>3</v>
      </c>
      <c r="Z232" s="29">
        <f t="shared" si="64"/>
        <v>123.41666666666667</v>
      </c>
      <c r="AA232" s="14">
        <v>370.25</v>
      </c>
      <c r="AB232" s="14">
        <v>50.51</v>
      </c>
      <c r="AC232" s="14">
        <v>739.62</v>
      </c>
      <c r="AD232" s="16" t="s">
        <v>147</v>
      </c>
      <c r="AE232" s="16" t="s">
        <v>147</v>
      </c>
      <c r="AF232" s="14">
        <f>SUMIF('Trip Changes'!$B:$B,A232,'Trip Changes'!$E:$E)</f>
        <v>0</v>
      </c>
      <c r="AG232" s="23">
        <f>SUMIF('Trip Cancellations'!$B:$B,A232,'Trip Cancellations'!$E:$E)</f>
        <v>0</v>
      </c>
      <c r="AH232" s="14">
        <f>SUMIF('Trip Cancellations'!$B:$B,A232,'Trip Cancellations'!$F:$F)</f>
        <v>0</v>
      </c>
      <c r="AI232" s="14">
        <f t="shared" si="65"/>
        <v>739.62</v>
      </c>
      <c r="AJ232" s="14" t="str">
        <f t="shared" si="66"/>
        <v>Yes</v>
      </c>
      <c r="AK232" s="14" t="str">
        <f>IF(Y232=0,"N/A",
IF(_xlfn.XLOOKUP(U232,Hotels!A:A,Hotels!C:C)=TRUE,"Yes","No"))</f>
        <v>Yes</v>
      </c>
      <c r="AL232" s="14" t="str">
        <f>IF(N232="Rail","N/A",IF(_xlfn.XLOOKUP(T232,Airlines!A:A,Airlines!C:C)=TRUE,"Yes","No"))</f>
        <v>Yes</v>
      </c>
      <c r="AM232" s="14" t="str">
        <f t="shared" si="67"/>
        <v>Yes</v>
      </c>
      <c r="AN232" s="14" t="str">
        <f t="shared" si="68"/>
        <v>Yes</v>
      </c>
      <c r="AO232" s="14" t="str">
        <f t="shared" si="69"/>
        <v>Yes</v>
      </c>
      <c r="AP232" s="16" t="s">
        <v>148</v>
      </c>
      <c r="AQ232" t="str">
        <f t="shared" si="70"/>
        <v>Yes</v>
      </c>
      <c r="AR232" s="21">
        <v>4</v>
      </c>
      <c r="AS232" s="5">
        <v>479.4</v>
      </c>
      <c r="AT232" s="5" t="str">
        <f>IF(T232="","",_xlfn.XLOOKUP(T232,Airlines!A:A,Airlines!B:B,"Not Found"))</f>
        <v>British Airways</v>
      </c>
      <c r="AU232" s="5" t="str">
        <f>IF(U232="","",_xlfn.XLOOKUP(U232,Hotels!A:A,Hotels!B:B,"Not found"))</f>
        <v>Accor</v>
      </c>
      <c r="AV232" t="s">
        <v>147</v>
      </c>
      <c r="AW232" s="16" t="str">
        <f t="shared" si="71"/>
        <v>OK</v>
      </c>
      <c r="AX232" s="16" t="str">
        <f t="shared" si="72"/>
        <v>OK</v>
      </c>
      <c r="AY232" s="16" t="str">
        <f t="shared" si="73"/>
        <v>OK</v>
      </c>
      <c r="AZ232" s="16" t="str">
        <f t="shared" si="74"/>
        <v>OK</v>
      </c>
      <c r="BA232" s="16" t="str">
        <f t="shared" si="78"/>
        <v>OK</v>
      </c>
      <c r="BB232" s="21">
        <f>COUNTIF('Trip Changes'!B:B,A232)</f>
        <v>0</v>
      </c>
      <c r="BC232" s="16" t="str">
        <f>IF(OR(AND(AD232="Yes",COUNTIF('Trip Changes'!B:B,A232)&gt;0),AND(AD232="No",COUNTIF('Trip Changes'!B:B,A232)=0)),"OK","Check")</f>
        <v>OK</v>
      </c>
      <c r="BD232" t="str">
        <f t="shared" si="79"/>
        <v>OK</v>
      </c>
      <c r="BE232" t="str">
        <f t="shared" si="80"/>
        <v>OK</v>
      </c>
      <c r="BF232" t="str">
        <f t="shared" si="81"/>
        <v>OK</v>
      </c>
      <c r="BG232" t="str">
        <f t="shared" si="82"/>
        <v>OK</v>
      </c>
      <c r="BH232" t="str">
        <f t="shared" si="83"/>
        <v>OK</v>
      </c>
      <c r="BI232" t="str">
        <f t="shared" si="75"/>
        <v>OK</v>
      </c>
      <c r="BJ232" t="str">
        <f t="shared" si="76"/>
        <v>OK</v>
      </c>
      <c r="BK232" t="str">
        <f t="shared" si="77"/>
        <v>OK</v>
      </c>
    </row>
    <row r="233" spans="1:63">
      <c r="A233" s="16" t="s">
        <v>502</v>
      </c>
      <c r="B233" s="16" t="s">
        <v>499</v>
      </c>
      <c r="C233" s="16" t="s">
        <v>182</v>
      </c>
      <c r="D233" s="16" t="s">
        <v>248</v>
      </c>
      <c r="E233" s="16" t="s">
        <v>249</v>
      </c>
      <c r="F233" s="16" t="s">
        <v>170</v>
      </c>
      <c r="G233" s="15">
        <v>46120</v>
      </c>
      <c r="H233" s="15">
        <v>46151</v>
      </c>
      <c r="I233" s="15">
        <v>46154</v>
      </c>
      <c r="J233" s="15" t="s">
        <v>163</v>
      </c>
      <c r="K233" s="16" t="s">
        <v>182</v>
      </c>
      <c r="L233" t="s">
        <v>142</v>
      </c>
      <c r="M233" s="16" t="s">
        <v>143</v>
      </c>
      <c r="N233" s="16" t="s">
        <v>144</v>
      </c>
      <c r="O233" t="s">
        <v>1630</v>
      </c>
      <c r="P233" s="18">
        <v>716</v>
      </c>
      <c r="Q233" s="21">
        <v>31</v>
      </c>
      <c r="R233" s="21" t="str">
        <f t="shared" si="63"/>
        <v>31+ days</v>
      </c>
      <c r="S233" s="16" t="s">
        <v>145</v>
      </c>
      <c r="U233" s="16" t="s">
        <v>195</v>
      </c>
      <c r="V233" t="str">
        <f>IF(U233="","",IFERROR(VLOOKUP(U233,Hotels!A:B,2,FALSE),"Not Found"))</f>
        <v>Travelodge</v>
      </c>
      <c r="W233" s="14">
        <v>0</v>
      </c>
      <c r="X233" s="14">
        <v>219.05</v>
      </c>
      <c r="Y233" s="21">
        <v>2</v>
      </c>
      <c r="Z233" s="29">
        <f t="shared" si="64"/>
        <v>84.92</v>
      </c>
      <c r="AA233" s="14">
        <v>169.84</v>
      </c>
      <c r="AB233" s="14">
        <v>57.23</v>
      </c>
      <c r="AC233" s="14">
        <v>446.12</v>
      </c>
      <c r="AD233" s="16" t="s">
        <v>147</v>
      </c>
      <c r="AE233" s="16" t="s">
        <v>148</v>
      </c>
      <c r="AF233" s="14">
        <f>SUMIF('Trip Changes'!$B:$B,A233,'Trip Changes'!$E:$E)</f>
        <v>0</v>
      </c>
      <c r="AG233" s="23">
        <f>SUMIF('Trip Cancellations'!$B:$B,A233,'Trip Cancellations'!$E:$E)</f>
        <v>117.97</v>
      </c>
      <c r="AH233" s="14">
        <f>SUMIF('Trip Cancellations'!$B:$B,A233,'Trip Cancellations'!$F:$F)</f>
        <v>350</v>
      </c>
      <c r="AI233" s="14">
        <f t="shared" si="65"/>
        <v>214.09000000000003</v>
      </c>
      <c r="AJ233" s="14" t="str">
        <f t="shared" si="66"/>
        <v>Yes</v>
      </c>
      <c r="AK233" s="14" t="str">
        <f>IF(Y233=0,"N/A",
IF(_xlfn.XLOOKUP(U233,Hotels!A:A,Hotels!C:C)=TRUE,"Yes","No"))</f>
        <v>No</v>
      </c>
      <c r="AL233" s="14" t="str">
        <f>IF(N233="Rail","N/A",IF(_xlfn.XLOOKUP(T233,Airlines!A:A,Airlines!C:C)=TRUE,"Yes","No"))</f>
        <v>N/A</v>
      </c>
      <c r="AM233" s="14" t="str">
        <f t="shared" si="67"/>
        <v>Yes</v>
      </c>
      <c r="AN233" s="14" t="str">
        <f t="shared" si="68"/>
        <v>Yes</v>
      </c>
      <c r="AO233" s="14" t="str">
        <f t="shared" si="69"/>
        <v>No</v>
      </c>
      <c r="AP233" s="16" t="s">
        <v>148</v>
      </c>
      <c r="AQ233" t="str">
        <f t="shared" si="70"/>
        <v>No</v>
      </c>
      <c r="AR233" s="21">
        <v>4</v>
      </c>
      <c r="AS233" s="5">
        <v>28.6</v>
      </c>
      <c r="AT233" s="5" t="str">
        <f>IF(T233="","",_xlfn.XLOOKUP(T233,Airlines!A:A,Airlines!B:B,"Not Found"))</f>
        <v/>
      </c>
      <c r="AU233" s="5" t="str">
        <f>IF(U233="","",_xlfn.XLOOKUP(U233,Hotels!A:A,Hotels!B:B,"Not found"))</f>
        <v>Travelodge</v>
      </c>
      <c r="AV233" t="s">
        <v>148</v>
      </c>
      <c r="AW233" s="16" t="str">
        <f t="shared" si="71"/>
        <v>OK</v>
      </c>
      <c r="AX233" s="16" t="str">
        <f t="shared" si="72"/>
        <v>OK</v>
      </c>
      <c r="AY233" s="16" t="str">
        <f t="shared" si="73"/>
        <v>OK</v>
      </c>
      <c r="AZ233" s="16" t="str">
        <f t="shared" si="74"/>
        <v>OK</v>
      </c>
      <c r="BA233" s="16" t="str">
        <f t="shared" si="78"/>
        <v>OK</v>
      </c>
      <c r="BB233" s="21">
        <f>COUNTIF('Trip Changes'!B:B,A233)</f>
        <v>0</v>
      </c>
      <c r="BC233" s="16" t="str">
        <f>IF(OR(AND(AD233="Yes",COUNTIF('Trip Changes'!B:B,A233)&gt;0),AND(AD233="No",COUNTIF('Trip Changes'!B:B,A233)=0)),"OK","Check")</f>
        <v>OK</v>
      </c>
      <c r="BD233" t="str">
        <f t="shared" si="79"/>
        <v>OK</v>
      </c>
      <c r="BE233" t="str">
        <f t="shared" si="80"/>
        <v>OK</v>
      </c>
      <c r="BF233" t="str">
        <f t="shared" si="81"/>
        <v>OK</v>
      </c>
      <c r="BG233" t="str">
        <f t="shared" si="82"/>
        <v>OK</v>
      </c>
      <c r="BH233" t="str">
        <f t="shared" si="83"/>
        <v>OK</v>
      </c>
      <c r="BI233" t="str">
        <f t="shared" si="75"/>
        <v>OK</v>
      </c>
      <c r="BJ233" t="str">
        <f t="shared" si="76"/>
        <v>OK</v>
      </c>
      <c r="BK233" t="str">
        <f t="shared" si="77"/>
        <v>OK</v>
      </c>
    </row>
    <row r="234" spans="1:63">
      <c r="A234" s="16" t="s">
        <v>503</v>
      </c>
      <c r="B234" s="16" t="s">
        <v>504</v>
      </c>
      <c r="C234" s="16" t="s">
        <v>142</v>
      </c>
      <c r="D234" s="16" t="s">
        <v>230</v>
      </c>
      <c r="E234" s="16" t="s">
        <v>268</v>
      </c>
      <c r="F234" s="16" t="s">
        <v>157</v>
      </c>
      <c r="G234" s="15">
        <v>46127</v>
      </c>
      <c r="H234" s="15">
        <v>46147</v>
      </c>
      <c r="I234" s="15">
        <v>46152</v>
      </c>
      <c r="J234" s="15" t="s">
        <v>163</v>
      </c>
      <c r="K234" s="16" t="s">
        <v>142</v>
      </c>
      <c r="L234" t="s">
        <v>233</v>
      </c>
      <c r="M234" s="16" t="s">
        <v>152</v>
      </c>
      <c r="N234" s="16" t="s">
        <v>153</v>
      </c>
      <c r="O234" t="s">
        <v>1614</v>
      </c>
      <c r="P234" s="18">
        <v>1592</v>
      </c>
      <c r="Q234" s="21">
        <v>20</v>
      </c>
      <c r="R234" s="21" t="str">
        <f t="shared" si="63"/>
        <v>15-30 days</v>
      </c>
      <c r="S234" s="16" t="s">
        <v>159</v>
      </c>
      <c r="T234" s="16" t="s">
        <v>176</v>
      </c>
      <c r="U234" s="16" t="s">
        <v>173</v>
      </c>
      <c r="V234" t="str">
        <f>IF(U234="","",IFERROR(VLOOKUP(U234,Hotels!A:B,2,FALSE),"Not Found"))</f>
        <v>Accor</v>
      </c>
      <c r="W234" s="14">
        <v>510.42</v>
      </c>
      <c r="X234" s="14">
        <v>0</v>
      </c>
      <c r="Y234" s="21">
        <v>4</v>
      </c>
      <c r="Z234" s="29">
        <f t="shared" si="64"/>
        <v>152.32749999999999</v>
      </c>
      <c r="AA234" s="14">
        <v>609.30999999999995</v>
      </c>
      <c r="AB234" s="14">
        <v>100.77</v>
      </c>
      <c r="AC234" s="14">
        <v>1220.5</v>
      </c>
      <c r="AD234" s="16" t="s">
        <v>147</v>
      </c>
      <c r="AE234" s="16" t="s">
        <v>147</v>
      </c>
      <c r="AF234" s="14">
        <f>SUMIF('Trip Changes'!$B:$B,A234,'Trip Changes'!$E:$E)</f>
        <v>0</v>
      </c>
      <c r="AG234" s="23">
        <f>SUMIF('Trip Cancellations'!$B:$B,A234,'Trip Cancellations'!$E:$E)</f>
        <v>0</v>
      </c>
      <c r="AH234" s="14">
        <f>SUMIF('Trip Cancellations'!$B:$B,A234,'Trip Cancellations'!$F:$F)</f>
        <v>0</v>
      </c>
      <c r="AI234" s="14">
        <f t="shared" si="65"/>
        <v>1220.5</v>
      </c>
      <c r="AJ234" s="14" t="str">
        <f t="shared" si="66"/>
        <v>Yes</v>
      </c>
      <c r="AK234" s="14" t="str">
        <f>IF(Y234=0,"N/A",
IF(_xlfn.XLOOKUP(U234,Hotels!A:A,Hotels!C:C)=TRUE,"Yes","No"))</f>
        <v>Yes</v>
      </c>
      <c r="AL234" s="14" t="str">
        <f>IF(N234="Rail","N/A",IF(_xlfn.XLOOKUP(T234,Airlines!A:A,Airlines!C:C)=TRUE,"Yes","No"))</f>
        <v>Yes</v>
      </c>
      <c r="AM234" s="14" t="str">
        <f t="shared" si="67"/>
        <v>Yes</v>
      </c>
      <c r="AN234" s="14" t="str">
        <f t="shared" si="68"/>
        <v>Yes</v>
      </c>
      <c r="AO234" s="14" t="str">
        <f t="shared" si="69"/>
        <v>Yes</v>
      </c>
      <c r="AP234" s="16" t="s">
        <v>148</v>
      </c>
      <c r="AQ234" t="str">
        <f t="shared" si="70"/>
        <v>Yes</v>
      </c>
      <c r="AR234" s="21">
        <v>4</v>
      </c>
      <c r="AS234" s="5">
        <v>238.8</v>
      </c>
      <c r="AT234" s="5" t="str">
        <f>IF(T234="","",_xlfn.XLOOKUP(T234,Airlines!A:A,Airlines!B:B,"Not Found"))</f>
        <v>easyJet</v>
      </c>
      <c r="AU234" s="5" t="str">
        <f>IF(U234="","",_xlfn.XLOOKUP(U234,Hotels!A:A,Hotels!B:B,"Not found"))</f>
        <v>Accor</v>
      </c>
      <c r="AV234" t="s">
        <v>147</v>
      </c>
      <c r="AW234" s="16" t="str">
        <f t="shared" si="71"/>
        <v>OK</v>
      </c>
      <c r="AX234" s="16" t="str">
        <f t="shared" si="72"/>
        <v>OK</v>
      </c>
      <c r="AY234" s="16" t="str">
        <f t="shared" si="73"/>
        <v>OK</v>
      </c>
      <c r="AZ234" s="16" t="str">
        <f t="shared" si="74"/>
        <v>OK</v>
      </c>
      <c r="BA234" s="16" t="str">
        <f t="shared" si="78"/>
        <v>OK</v>
      </c>
      <c r="BB234" s="21">
        <f>COUNTIF('Trip Changes'!B:B,A234)</f>
        <v>0</v>
      </c>
      <c r="BC234" s="16" t="str">
        <f>IF(OR(AND(AD234="Yes",COUNTIF('Trip Changes'!B:B,A234)&gt;0),AND(AD234="No",COUNTIF('Trip Changes'!B:B,A234)=0)),"OK","Check")</f>
        <v>OK</v>
      </c>
      <c r="BD234" t="str">
        <f t="shared" si="79"/>
        <v>OK</v>
      </c>
      <c r="BE234" t="str">
        <f t="shared" si="80"/>
        <v>OK</v>
      </c>
      <c r="BF234" t="str">
        <f t="shared" si="81"/>
        <v>OK</v>
      </c>
      <c r="BG234" t="str">
        <f t="shared" si="82"/>
        <v>OK</v>
      </c>
      <c r="BH234" t="str">
        <f t="shared" si="83"/>
        <v>OK</v>
      </c>
      <c r="BI234" t="str">
        <f t="shared" si="75"/>
        <v>OK</v>
      </c>
      <c r="BJ234" t="str">
        <f t="shared" si="76"/>
        <v>OK</v>
      </c>
      <c r="BK234" t="str">
        <f t="shared" si="77"/>
        <v>OK</v>
      </c>
    </row>
    <row r="235" spans="1:63">
      <c r="A235" s="16" t="s">
        <v>505</v>
      </c>
      <c r="B235" s="16" t="s">
        <v>504</v>
      </c>
      <c r="C235" s="16" t="s">
        <v>142</v>
      </c>
      <c r="D235" s="16" t="s">
        <v>230</v>
      </c>
      <c r="E235" s="16" t="s">
        <v>268</v>
      </c>
      <c r="F235" s="16" t="s">
        <v>140</v>
      </c>
      <c r="G235" s="15">
        <v>46174</v>
      </c>
      <c r="H235" s="15">
        <v>46193</v>
      </c>
      <c r="I235" s="15">
        <v>46198</v>
      </c>
      <c r="J235" s="15" t="s">
        <v>141</v>
      </c>
      <c r="K235" s="16" t="s">
        <v>142</v>
      </c>
      <c r="L235" t="s">
        <v>233</v>
      </c>
      <c r="M235" s="16" t="s">
        <v>152</v>
      </c>
      <c r="N235" s="16" t="s">
        <v>153</v>
      </c>
      <c r="O235" t="s">
        <v>1614</v>
      </c>
      <c r="P235" s="18">
        <v>3550</v>
      </c>
      <c r="Q235" s="21">
        <v>19</v>
      </c>
      <c r="R235" s="21" t="str">
        <f t="shared" si="63"/>
        <v>15-30 days</v>
      </c>
      <c r="S235" s="16" t="s">
        <v>159</v>
      </c>
      <c r="T235" s="16" t="s">
        <v>176</v>
      </c>
      <c r="U235" s="16" t="s">
        <v>164</v>
      </c>
      <c r="V235" t="str">
        <f>IF(U235="","",IFERROR(VLOOKUP(U235,Hotels!A:B,2,FALSE),"Not Found"))</f>
        <v>Marriott</v>
      </c>
      <c r="W235" s="14">
        <v>540.08000000000004</v>
      </c>
      <c r="X235" s="14">
        <v>0</v>
      </c>
      <c r="Y235" s="21">
        <v>4</v>
      </c>
      <c r="Z235" s="29">
        <f t="shared" si="64"/>
        <v>175.29</v>
      </c>
      <c r="AA235" s="14">
        <v>701.16</v>
      </c>
      <c r="AB235" s="14">
        <v>70.290000000000006</v>
      </c>
      <c r="AC235" s="14">
        <v>1311.53</v>
      </c>
      <c r="AD235" s="16" t="s">
        <v>147</v>
      </c>
      <c r="AE235" s="16" t="s">
        <v>148</v>
      </c>
      <c r="AF235" s="14">
        <f>SUMIF('Trip Changes'!$B:$B,A235,'Trip Changes'!$E:$E)</f>
        <v>0</v>
      </c>
      <c r="AG235" s="23">
        <f>SUMIF('Trip Cancellations'!$B:$B,A235,'Trip Cancellations'!$E:$E)</f>
        <v>136.11000000000001</v>
      </c>
      <c r="AH235" s="14">
        <f>SUMIF('Trip Cancellations'!$B:$B,A235,'Trip Cancellations'!$F:$F)</f>
        <v>930.93</v>
      </c>
      <c r="AI235" s="14">
        <f t="shared" si="65"/>
        <v>516.70999999999992</v>
      </c>
      <c r="AJ235" s="14" t="str">
        <f t="shared" si="66"/>
        <v>Yes</v>
      </c>
      <c r="AK235" s="14" t="str">
        <f>IF(Y235=0,"N/A",
IF(_xlfn.XLOOKUP(U235,Hotels!A:A,Hotels!C:C)=TRUE,"Yes","No"))</f>
        <v>Yes</v>
      </c>
      <c r="AL235" s="14" t="str">
        <f>IF(N235="Rail","N/A",IF(_xlfn.XLOOKUP(T235,Airlines!A:A,Airlines!C:C)=TRUE,"Yes","No"))</f>
        <v>Yes</v>
      </c>
      <c r="AM235" s="14" t="str">
        <f t="shared" si="67"/>
        <v>Yes</v>
      </c>
      <c r="AN235" s="14" t="str">
        <f t="shared" si="68"/>
        <v>Yes</v>
      </c>
      <c r="AO235" s="14" t="str">
        <f t="shared" si="69"/>
        <v>Yes</v>
      </c>
      <c r="AP235" s="16" t="s">
        <v>148</v>
      </c>
      <c r="AQ235" t="str">
        <f t="shared" si="70"/>
        <v>Yes</v>
      </c>
      <c r="AR235" s="21">
        <v>3</v>
      </c>
      <c r="AS235" s="5">
        <v>532.5</v>
      </c>
      <c r="AT235" s="5" t="str">
        <f>IF(T235="","",_xlfn.XLOOKUP(T235,Airlines!A:A,Airlines!B:B,"Not Found"))</f>
        <v>easyJet</v>
      </c>
      <c r="AU235" s="5" t="str">
        <f>IF(U235="","",_xlfn.XLOOKUP(U235,Hotels!A:A,Hotels!B:B,"Not found"))</f>
        <v>Marriott</v>
      </c>
      <c r="AV235" t="s">
        <v>147</v>
      </c>
      <c r="AW235" s="16" t="str">
        <f t="shared" si="71"/>
        <v>OK</v>
      </c>
      <c r="AX235" s="16" t="str">
        <f t="shared" si="72"/>
        <v>OK</v>
      </c>
      <c r="AY235" s="16" t="str">
        <f t="shared" si="73"/>
        <v>OK</v>
      </c>
      <c r="AZ235" s="16" t="str">
        <f t="shared" si="74"/>
        <v>OK</v>
      </c>
      <c r="BA235" s="16" t="str">
        <f t="shared" si="78"/>
        <v>OK</v>
      </c>
      <c r="BB235" s="21">
        <f>COUNTIF('Trip Changes'!B:B,A235)</f>
        <v>0</v>
      </c>
      <c r="BC235" s="16" t="str">
        <f>IF(OR(AND(AD235="Yes",COUNTIF('Trip Changes'!B:B,A235)&gt;0),AND(AD235="No",COUNTIF('Trip Changes'!B:B,A235)=0)),"OK","Check")</f>
        <v>OK</v>
      </c>
      <c r="BD235" t="str">
        <f t="shared" si="79"/>
        <v>OK</v>
      </c>
      <c r="BE235" t="str">
        <f t="shared" si="80"/>
        <v>OK</v>
      </c>
      <c r="BF235" t="str">
        <f t="shared" si="81"/>
        <v>OK</v>
      </c>
      <c r="BG235" t="str">
        <f t="shared" si="82"/>
        <v>OK</v>
      </c>
      <c r="BH235" t="str">
        <f t="shared" si="83"/>
        <v>OK</v>
      </c>
      <c r="BI235" t="str">
        <f t="shared" si="75"/>
        <v>OK</v>
      </c>
      <c r="BJ235" t="str">
        <f t="shared" si="76"/>
        <v>OK</v>
      </c>
      <c r="BK235" t="str">
        <f t="shared" si="77"/>
        <v>OK</v>
      </c>
    </row>
    <row r="236" spans="1:63">
      <c r="A236" s="16" t="s">
        <v>506</v>
      </c>
      <c r="B236" s="16" t="s">
        <v>504</v>
      </c>
      <c r="C236" s="16" t="s">
        <v>142</v>
      </c>
      <c r="D236" s="16" t="s">
        <v>230</v>
      </c>
      <c r="E236" s="16" t="s">
        <v>268</v>
      </c>
      <c r="F236" s="16" t="s">
        <v>157</v>
      </c>
      <c r="G236" s="15">
        <v>46230</v>
      </c>
      <c r="H236" s="15">
        <v>46234</v>
      </c>
      <c r="I236" s="15">
        <v>46239</v>
      </c>
      <c r="J236" s="15" t="s">
        <v>150</v>
      </c>
      <c r="K236" s="16" t="s">
        <v>142</v>
      </c>
      <c r="L236" t="s">
        <v>240</v>
      </c>
      <c r="M236" s="16" t="s">
        <v>152</v>
      </c>
      <c r="N236" s="16" t="s">
        <v>153</v>
      </c>
      <c r="O236" t="s">
        <v>1631</v>
      </c>
      <c r="P236" s="18">
        <v>21110</v>
      </c>
      <c r="Q236" s="21">
        <v>4</v>
      </c>
      <c r="R236" s="21" t="str">
        <f t="shared" si="63"/>
        <v>4-7 days</v>
      </c>
      <c r="S236" s="16" t="s">
        <v>145</v>
      </c>
      <c r="T236" s="16" t="s">
        <v>154</v>
      </c>
      <c r="U236" s="16" t="s">
        <v>155</v>
      </c>
      <c r="V236" t="str">
        <f>IF(U236="","",IFERROR(VLOOKUP(U236,Hotels!A:B,2,FALSE),"Not Found"))</f>
        <v>Hilton</v>
      </c>
      <c r="W236" s="14">
        <v>859.35</v>
      </c>
      <c r="X236" s="14">
        <v>0</v>
      </c>
      <c r="Y236" s="21">
        <v>4</v>
      </c>
      <c r="Z236" s="29">
        <f t="shared" si="64"/>
        <v>175.125</v>
      </c>
      <c r="AA236" s="14">
        <v>700.5</v>
      </c>
      <c r="AB236" s="14">
        <v>58.63</v>
      </c>
      <c r="AC236" s="14">
        <v>1618.48</v>
      </c>
      <c r="AD236" s="16" t="s">
        <v>147</v>
      </c>
      <c r="AE236" s="16" t="s">
        <v>147</v>
      </c>
      <c r="AF236" s="14">
        <f>SUMIF('Trip Changes'!$B:$B,A236,'Trip Changes'!$E:$E)</f>
        <v>0</v>
      </c>
      <c r="AG236" s="23">
        <f>SUMIF('Trip Cancellations'!$B:$B,A236,'Trip Cancellations'!$E:$E)</f>
        <v>0</v>
      </c>
      <c r="AH236" s="14">
        <f>SUMIF('Trip Cancellations'!$B:$B,A236,'Trip Cancellations'!$F:$F)</f>
        <v>0</v>
      </c>
      <c r="AI236" s="14">
        <f t="shared" si="65"/>
        <v>1618.48</v>
      </c>
      <c r="AJ236" s="14" t="str">
        <f t="shared" si="66"/>
        <v>Yes</v>
      </c>
      <c r="AK236" s="14" t="str">
        <f>IF(Y236=0,"N/A",
IF(_xlfn.XLOOKUP(U236,Hotels!A:A,Hotels!C:C)=TRUE,"Yes","No"))</f>
        <v>Yes</v>
      </c>
      <c r="AL236" s="14" t="str">
        <f>IF(N236="Rail","N/A",IF(_xlfn.XLOOKUP(T236,Airlines!A:A,Airlines!C:C)=TRUE,"Yes","No"))</f>
        <v>Yes</v>
      </c>
      <c r="AM236" s="14" t="str">
        <f t="shared" si="67"/>
        <v>No</v>
      </c>
      <c r="AN236" s="14" t="str">
        <f t="shared" si="68"/>
        <v>Yes</v>
      </c>
      <c r="AO236" s="14" t="str">
        <f t="shared" si="69"/>
        <v>Yes</v>
      </c>
      <c r="AP236" s="16" t="s">
        <v>148</v>
      </c>
      <c r="AQ236" t="str">
        <f t="shared" si="70"/>
        <v>No</v>
      </c>
      <c r="AR236" s="21">
        <v>5</v>
      </c>
      <c r="AS236" s="5">
        <v>3166.5</v>
      </c>
      <c r="AT236" s="5" t="str">
        <f>IF(T236="","",_xlfn.XLOOKUP(T236,Airlines!A:A,Airlines!B:B,"Not Found"))</f>
        <v>British Airways</v>
      </c>
      <c r="AU236" s="5" t="str">
        <f>IF(U236="","",_xlfn.XLOOKUP(U236,Hotels!A:A,Hotels!B:B,"Not found"))</f>
        <v>Hilton</v>
      </c>
      <c r="AV236" t="s">
        <v>147</v>
      </c>
      <c r="AW236" s="16" t="str">
        <f t="shared" si="71"/>
        <v>OK</v>
      </c>
      <c r="AX236" s="16" t="str">
        <f t="shared" si="72"/>
        <v>OK</v>
      </c>
      <c r="AY236" s="16" t="str">
        <f t="shared" si="73"/>
        <v>OK</v>
      </c>
      <c r="AZ236" s="16" t="str">
        <f t="shared" si="74"/>
        <v>OK</v>
      </c>
      <c r="BA236" s="16" t="str">
        <f t="shared" si="78"/>
        <v>OK</v>
      </c>
      <c r="BB236" s="21">
        <f>COUNTIF('Trip Changes'!B:B,A236)</f>
        <v>0</v>
      </c>
      <c r="BC236" s="16" t="str">
        <f>IF(OR(AND(AD236="Yes",COUNTIF('Trip Changes'!B:B,A236)&gt;0),AND(AD236="No",COUNTIF('Trip Changes'!B:B,A236)=0)),"OK","Check")</f>
        <v>OK</v>
      </c>
      <c r="BD236" t="str">
        <f t="shared" si="79"/>
        <v>OK</v>
      </c>
      <c r="BE236" t="str">
        <f t="shared" si="80"/>
        <v>OK</v>
      </c>
      <c r="BF236" t="str">
        <f t="shared" si="81"/>
        <v>OK</v>
      </c>
      <c r="BG236" t="str">
        <f t="shared" si="82"/>
        <v>OK</v>
      </c>
      <c r="BH236" t="str">
        <f t="shared" si="83"/>
        <v>OK</v>
      </c>
      <c r="BI236" t="str">
        <f t="shared" si="75"/>
        <v>OK</v>
      </c>
      <c r="BJ236" t="str">
        <f t="shared" si="76"/>
        <v>OK</v>
      </c>
      <c r="BK236" t="str">
        <f t="shared" si="77"/>
        <v>OK</v>
      </c>
    </row>
    <row r="237" spans="1:63">
      <c r="A237" s="16" t="s">
        <v>507</v>
      </c>
      <c r="B237" s="16" t="s">
        <v>508</v>
      </c>
      <c r="C237" s="16" t="s">
        <v>142</v>
      </c>
      <c r="D237" s="16" t="s">
        <v>248</v>
      </c>
      <c r="E237" s="16" t="s">
        <v>169</v>
      </c>
      <c r="F237" s="16" t="s">
        <v>140</v>
      </c>
      <c r="G237" s="15">
        <v>46163</v>
      </c>
      <c r="H237" s="15">
        <v>46181</v>
      </c>
      <c r="I237" s="15">
        <v>46185</v>
      </c>
      <c r="J237" s="15" t="s">
        <v>141</v>
      </c>
      <c r="K237" s="16" t="s">
        <v>142</v>
      </c>
      <c r="L237" t="s">
        <v>283</v>
      </c>
      <c r="M237" s="16" t="s">
        <v>152</v>
      </c>
      <c r="N237" s="16" t="s">
        <v>153</v>
      </c>
      <c r="O237" t="s">
        <v>1614</v>
      </c>
      <c r="P237" s="18">
        <v>11998</v>
      </c>
      <c r="Q237" s="21">
        <v>18</v>
      </c>
      <c r="R237" s="21" t="str">
        <f t="shared" si="63"/>
        <v>15-30 days</v>
      </c>
      <c r="S237" s="16" t="s">
        <v>145</v>
      </c>
      <c r="T237" s="16" t="s">
        <v>154</v>
      </c>
      <c r="U237" s="16" t="s">
        <v>164</v>
      </c>
      <c r="V237" t="str">
        <f>IF(U237="","",IFERROR(VLOOKUP(U237,Hotels!A:B,2,FALSE),"Not Found"))</f>
        <v>Marriott</v>
      </c>
      <c r="W237" s="14">
        <v>1322.31</v>
      </c>
      <c r="X237" s="14">
        <v>0</v>
      </c>
      <c r="Y237" s="21">
        <v>3</v>
      </c>
      <c r="Z237" s="29">
        <f t="shared" si="64"/>
        <v>167.97</v>
      </c>
      <c r="AA237" s="14">
        <v>503.91</v>
      </c>
      <c r="AB237" s="14">
        <v>64.760000000000005</v>
      </c>
      <c r="AC237" s="14">
        <v>1890.98</v>
      </c>
      <c r="AD237" s="16" t="s">
        <v>147</v>
      </c>
      <c r="AE237" s="16" t="s">
        <v>147</v>
      </c>
      <c r="AF237" s="14">
        <f>SUMIF('Trip Changes'!$B:$B,A237,'Trip Changes'!$E:$E)</f>
        <v>0</v>
      </c>
      <c r="AG237" s="23">
        <f>SUMIF('Trip Cancellations'!$B:$B,A237,'Trip Cancellations'!$E:$E)</f>
        <v>0</v>
      </c>
      <c r="AH237" s="14">
        <f>SUMIF('Trip Cancellations'!$B:$B,A237,'Trip Cancellations'!$F:$F)</f>
        <v>0</v>
      </c>
      <c r="AI237" s="14">
        <f t="shared" si="65"/>
        <v>1890.98</v>
      </c>
      <c r="AJ237" s="14" t="str">
        <f t="shared" si="66"/>
        <v>Yes</v>
      </c>
      <c r="AK237" s="14" t="str">
        <f>IF(Y237=0,"N/A",
IF(_xlfn.XLOOKUP(U237,Hotels!A:A,Hotels!C:C)=TRUE,"Yes","No"))</f>
        <v>Yes</v>
      </c>
      <c r="AL237" s="14" t="str">
        <f>IF(N237="Rail","N/A",IF(_xlfn.XLOOKUP(T237,Airlines!A:A,Airlines!C:C)=TRUE,"Yes","No"))</f>
        <v>Yes</v>
      </c>
      <c r="AM237" s="14" t="str">
        <f t="shared" si="67"/>
        <v>Yes</v>
      </c>
      <c r="AN237" s="14" t="str">
        <f t="shared" si="68"/>
        <v>Yes</v>
      </c>
      <c r="AO237" s="14" t="str">
        <f t="shared" si="69"/>
        <v>Yes</v>
      </c>
      <c r="AP237" s="16" t="s">
        <v>147</v>
      </c>
      <c r="AQ237" t="str">
        <f t="shared" si="70"/>
        <v>Yes</v>
      </c>
      <c r="AR237" s="21">
        <v>5</v>
      </c>
      <c r="AS237" s="5">
        <v>1799.7</v>
      </c>
      <c r="AT237" s="5" t="str">
        <f>IF(T237="","",_xlfn.XLOOKUP(T237,Airlines!A:A,Airlines!B:B,"Not Found"))</f>
        <v>British Airways</v>
      </c>
      <c r="AU237" s="5" t="str">
        <f>IF(U237="","",_xlfn.XLOOKUP(U237,Hotels!A:A,Hotels!B:B,"Not found"))</f>
        <v>Marriott</v>
      </c>
      <c r="AV237" t="s">
        <v>148</v>
      </c>
      <c r="AW237" s="16" t="str">
        <f t="shared" si="71"/>
        <v>OK</v>
      </c>
      <c r="AX237" s="16" t="str">
        <f t="shared" si="72"/>
        <v>OK</v>
      </c>
      <c r="AY237" s="16" t="str">
        <f t="shared" si="73"/>
        <v>OK</v>
      </c>
      <c r="AZ237" s="16" t="str">
        <f t="shared" si="74"/>
        <v>OK</v>
      </c>
      <c r="BA237" s="16" t="str">
        <f t="shared" si="78"/>
        <v>OK</v>
      </c>
      <c r="BB237" s="21">
        <f>COUNTIF('Trip Changes'!B:B,A237)</f>
        <v>0</v>
      </c>
      <c r="BC237" s="16" t="str">
        <f>IF(OR(AND(AD237="Yes",COUNTIF('Trip Changes'!B:B,A237)&gt;0),AND(AD237="No",COUNTIF('Trip Changes'!B:B,A237)=0)),"OK","Check")</f>
        <v>OK</v>
      </c>
      <c r="BD237" t="str">
        <f t="shared" si="79"/>
        <v>OK</v>
      </c>
      <c r="BE237" t="str">
        <f t="shared" si="80"/>
        <v>OK</v>
      </c>
      <c r="BF237" t="str">
        <f t="shared" si="81"/>
        <v>OK</v>
      </c>
      <c r="BG237" t="str">
        <f t="shared" si="82"/>
        <v>OK</v>
      </c>
      <c r="BH237" t="str">
        <f t="shared" si="83"/>
        <v>OK</v>
      </c>
      <c r="BI237" t="str">
        <f t="shared" si="75"/>
        <v>OK</v>
      </c>
      <c r="BJ237" t="str">
        <f t="shared" si="76"/>
        <v>OK</v>
      </c>
      <c r="BK237" t="str">
        <f t="shared" si="77"/>
        <v>OK</v>
      </c>
    </row>
    <row r="238" spans="1:63">
      <c r="A238" s="16" t="s">
        <v>509</v>
      </c>
      <c r="B238" s="16" t="s">
        <v>508</v>
      </c>
      <c r="C238" s="16" t="s">
        <v>142</v>
      </c>
      <c r="D238" s="16" t="s">
        <v>248</v>
      </c>
      <c r="E238" s="16" t="s">
        <v>169</v>
      </c>
      <c r="F238" s="16" t="s">
        <v>140</v>
      </c>
      <c r="G238" s="15">
        <v>46131</v>
      </c>
      <c r="H238" s="15">
        <v>46153</v>
      </c>
      <c r="I238" s="15">
        <v>46156</v>
      </c>
      <c r="J238" s="15" t="s">
        <v>163</v>
      </c>
      <c r="K238" s="16" t="s">
        <v>142</v>
      </c>
      <c r="L238" t="s">
        <v>362</v>
      </c>
      <c r="M238" s="16" t="s">
        <v>152</v>
      </c>
      <c r="N238" s="16" t="s">
        <v>153</v>
      </c>
      <c r="O238" t="s">
        <v>1614</v>
      </c>
      <c r="P238" s="18">
        <v>2930</v>
      </c>
      <c r="Q238" s="21">
        <v>22</v>
      </c>
      <c r="R238" s="21" t="str">
        <f t="shared" si="63"/>
        <v>15-30 days</v>
      </c>
      <c r="S238" s="16" t="s">
        <v>159</v>
      </c>
      <c r="T238" s="16" t="s">
        <v>154</v>
      </c>
      <c r="U238" s="16" t="s">
        <v>187</v>
      </c>
      <c r="V238" t="str">
        <f>IF(U238="","",IFERROR(VLOOKUP(U238,Hotels!A:B,2,FALSE),"Not Found"))</f>
        <v>IHG Hotels &amp; Resorts</v>
      </c>
      <c r="W238" s="14">
        <v>377.62</v>
      </c>
      <c r="X238" s="14">
        <v>0</v>
      </c>
      <c r="Y238" s="21">
        <v>2</v>
      </c>
      <c r="Z238" s="29">
        <f t="shared" si="64"/>
        <v>215.035</v>
      </c>
      <c r="AA238" s="14">
        <v>430.07</v>
      </c>
      <c r="AB238" s="14">
        <v>111.02</v>
      </c>
      <c r="AC238" s="14">
        <v>918.71</v>
      </c>
      <c r="AD238" s="16" t="s">
        <v>147</v>
      </c>
      <c r="AE238" s="16" t="s">
        <v>147</v>
      </c>
      <c r="AF238" s="14">
        <f>SUMIF('Trip Changes'!$B:$B,A238,'Trip Changes'!$E:$E)</f>
        <v>0</v>
      </c>
      <c r="AG238" s="23">
        <f>SUMIF('Trip Cancellations'!$B:$B,A238,'Trip Cancellations'!$E:$E)</f>
        <v>0</v>
      </c>
      <c r="AH238" s="14">
        <f>SUMIF('Trip Cancellations'!$B:$B,A238,'Trip Cancellations'!$F:$F)</f>
        <v>0</v>
      </c>
      <c r="AI238" s="14">
        <f t="shared" si="65"/>
        <v>918.71</v>
      </c>
      <c r="AJ238" s="14" t="str">
        <f t="shared" si="66"/>
        <v>No</v>
      </c>
      <c r="AK238" s="14" t="str">
        <f>IF(Y238=0,"N/A",
IF(_xlfn.XLOOKUP(U238,Hotels!A:A,Hotels!C:C)=TRUE,"Yes","No"))</f>
        <v>Yes</v>
      </c>
      <c r="AL238" s="14" t="str">
        <f>IF(N238="Rail","N/A",IF(_xlfn.XLOOKUP(T238,Airlines!A:A,Airlines!C:C)=TRUE,"Yes","No"))</f>
        <v>Yes</v>
      </c>
      <c r="AM238" s="14" t="str">
        <f t="shared" si="67"/>
        <v>Yes</v>
      </c>
      <c r="AN238" s="14" t="str">
        <f t="shared" si="68"/>
        <v>Yes</v>
      </c>
      <c r="AO238" s="14" t="str">
        <f t="shared" si="69"/>
        <v>Yes</v>
      </c>
      <c r="AP238" s="16" t="s">
        <v>148</v>
      </c>
      <c r="AQ238" t="str">
        <f t="shared" si="70"/>
        <v>No</v>
      </c>
      <c r="AR238" s="21">
        <v>4</v>
      </c>
      <c r="AS238" s="5">
        <v>439.5</v>
      </c>
      <c r="AT238" s="5" t="str">
        <f>IF(T238="","",_xlfn.XLOOKUP(T238,Airlines!A:A,Airlines!B:B,"Not Found"))</f>
        <v>British Airways</v>
      </c>
      <c r="AU238" s="5" t="str">
        <f>IF(U238="","",_xlfn.XLOOKUP(U238,Hotels!A:A,Hotels!B:B,"Not found"))</f>
        <v>IHG Hotels &amp; Resorts</v>
      </c>
      <c r="AV238" t="s">
        <v>148</v>
      </c>
      <c r="AW238" s="16" t="str">
        <f t="shared" si="71"/>
        <v>OK</v>
      </c>
      <c r="AX238" s="16" t="str">
        <f t="shared" si="72"/>
        <v>OK</v>
      </c>
      <c r="AY238" s="16" t="str">
        <f t="shared" si="73"/>
        <v>OK</v>
      </c>
      <c r="AZ238" s="16" t="str">
        <f t="shared" si="74"/>
        <v>OK</v>
      </c>
      <c r="BA238" s="16" t="str">
        <f t="shared" si="78"/>
        <v>OK</v>
      </c>
      <c r="BB238" s="21">
        <f>COUNTIF('Trip Changes'!B:B,A238)</f>
        <v>0</v>
      </c>
      <c r="BC238" s="16" t="str">
        <f>IF(OR(AND(AD238="Yes",COUNTIF('Trip Changes'!B:B,A238)&gt;0),AND(AD238="No",COUNTIF('Trip Changes'!B:B,A238)=0)),"OK","Check")</f>
        <v>OK</v>
      </c>
      <c r="BD238" t="str">
        <f t="shared" si="79"/>
        <v>OK</v>
      </c>
      <c r="BE238" t="str">
        <f t="shared" si="80"/>
        <v>OK</v>
      </c>
      <c r="BF238" t="str">
        <f t="shared" si="81"/>
        <v>OK</v>
      </c>
      <c r="BG238" t="str">
        <f t="shared" si="82"/>
        <v>OK</v>
      </c>
      <c r="BH238" t="str">
        <f t="shared" si="83"/>
        <v>OK</v>
      </c>
      <c r="BI238" t="str">
        <f t="shared" si="75"/>
        <v>OK</v>
      </c>
      <c r="BJ238" t="str">
        <f t="shared" si="76"/>
        <v>OK</v>
      </c>
      <c r="BK238" t="str">
        <f t="shared" si="77"/>
        <v>OK</v>
      </c>
    </row>
    <row r="239" spans="1:63">
      <c r="A239" s="16" t="s">
        <v>510</v>
      </c>
      <c r="B239" s="16" t="s">
        <v>511</v>
      </c>
      <c r="C239" s="16" t="s">
        <v>282</v>
      </c>
      <c r="D239" s="16" t="s">
        <v>168</v>
      </c>
      <c r="E239" s="16" t="s">
        <v>268</v>
      </c>
      <c r="F239" s="16" t="s">
        <v>170</v>
      </c>
      <c r="G239" s="15">
        <v>46159</v>
      </c>
      <c r="H239" s="15">
        <v>46177</v>
      </c>
      <c r="I239" s="15">
        <v>46182</v>
      </c>
      <c r="J239" s="15" t="s">
        <v>141</v>
      </c>
      <c r="K239" s="16" t="s">
        <v>282</v>
      </c>
      <c r="L239" t="s">
        <v>305</v>
      </c>
      <c r="M239" s="16" t="s">
        <v>152</v>
      </c>
      <c r="N239" s="16" t="s">
        <v>153</v>
      </c>
      <c r="O239" t="s">
        <v>1614</v>
      </c>
      <c r="P239" s="18">
        <v>12142</v>
      </c>
      <c r="Q239" s="21">
        <v>18</v>
      </c>
      <c r="R239" s="21" t="str">
        <f t="shared" si="63"/>
        <v>15-30 days</v>
      </c>
      <c r="S239" s="16" t="s">
        <v>145</v>
      </c>
      <c r="T239" s="16" t="s">
        <v>186</v>
      </c>
      <c r="U239" s="16" t="s">
        <v>164</v>
      </c>
      <c r="V239" t="str">
        <f>IF(U239="","",IFERROR(VLOOKUP(U239,Hotels!A:B,2,FALSE),"Not Found"))</f>
        <v>Marriott</v>
      </c>
      <c r="W239" s="14">
        <v>1413.49</v>
      </c>
      <c r="X239" s="14">
        <v>0</v>
      </c>
      <c r="Y239" s="21">
        <v>4</v>
      </c>
      <c r="Z239" s="29">
        <f t="shared" si="64"/>
        <v>197.38</v>
      </c>
      <c r="AA239" s="14">
        <v>789.52</v>
      </c>
      <c r="AB239" s="14">
        <v>139.44</v>
      </c>
      <c r="AC239" s="14">
        <v>2342.4499999999998</v>
      </c>
      <c r="AD239" s="16" t="s">
        <v>147</v>
      </c>
      <c r="AE239" s="16" t="s">
        <v>148</v>
      </c>
      <c r="AF239" s="14">
        <f>SUMIF('Trip Changes'!$B:$B,A239,'Trip Changes'!$E:$E)</f>
        <v>0</v>
      </c>
      <c r="AG239" s="23">
        <f>SUMIF('Trip Cancellations'!$B:$B,A239,'Trip Cancellations'!$E:$E)</f>
        <v>52.31</v>
      </c>
      <c r="AH239" s="14">
        <f>SUMIF('Trip Cancellations'!$B:$B,A239,'Trip Cancellations'!$F:$F)</f>
        <v>1101.51</v>
      </c>
      <c r="AI239" s="14">
        <f t="shared" si="65"/>
        <v>1293.2499999999998</v>
      </c>
      <c r="AJ239" s="14" t="str">
        <f t="shared" si="66"/>
        <v>No</v>
      </c>
      <c r="AK239" s="14" t="str">
        <f>IF(Y239=0,"N/A",
IF(_xlfn.XLOOKUP(U239,Hotels!A:A,Hotels!C:C)=TRUE,"Yes","No"))</f>
        <v>Yes</v>
      </c>
      <c r="AL239" s="14" t="str">
        <f>IF(N239="Rail","N/A",IF(_xlfn.XLOOKUP(T239,Airlines!A:A,Airlines!C:C)=TRUE,"Yes","No"))</f>
        <v>Yes</v>
      </c>
      <c r="AM239" s="14" t="str">
        <f t="shared" si="67"/>
        <v>Yes</v>
      </c>
      <c r="AN239" s="14" t="str">
        <f t="shared" si="68"/>
        <v>Yes</v>
      </c>
      <c r="AO239" s="14" t="str">
        <f t="shared" si="69"/>
        <v>Yes</v>
      </c>
      <c r="AP239" s="16" t="s">
        <v>148</v>
      </c>
      <c r="AQ239" t="str">
        <f t="shared" si="70"/>
        <v>No</v>
      </c>
      <c r="AR239" s="21">
        <v>3</v>
      </c>
      <c r="AS239" s="5">
        <v>1821.3</v>
      </c>
      <c r="AT239" s="5" t="str">
        <f>IF(T239="","",_xlfn.XLOOKUP(T239,Airlines!A:A,Airlines!B:B,"Not Found"))</f>
        <v>Virgin Atlantic</v>
      </c>
      <c r="AU239" s="5" t="str">
        <f>IF(U239="","",_xlfn.XLOOKUP(U239,Hotels!A:A,Hotels!B:B,"Not found"))</f>
        <v>Marriott</v>
      </c>
      <c r="AV239" t="s">
        <v>147</v>
      </c>
      <c r="AW239" s="16" t="str">
        <f t="shared" si="71"/>
        <v>OK</v>
      </c>
      <c r="AX239" s="16" t="str">
        <f t="shared" si="72"/>
        <v>OK</v>
      </c>
      <c r="AY239" s="16" t="str">
        <f t="shared" si="73"/>
        <v>OK</v>
      </c>
      <c r="AZ239" s="16" t="str">
        <f t="shared" si="74"/>
        <v>OK</v>
      </c>
      <c r="BA239" s="16" t="str">
        <f t="shared" si="78"/>
        <v>OK</v>
      </c>
      <c r="BB239" s="21">
        <f>COUNTIF('Trip Changes'!B:B,A239)</f>
        <v>0</v>
      </c>
      <c r="BC239" s="16" t="str">
        <f>IF(OR(AND(AD239="Yes",COUNTIF('Trip Changes'!B:B,A239)&gt;0),AND(AD239="No",COUNTIF('Trip Changes'!B:B,A239)=0)),"OK","Check")</f>
        <v>OK</v>
      </c>
      <c r="BD239" t="str">
        <f t="shared" si="79"/>
        <v>OK</v>
      </c>
      <c r="BE239" t="str">
        <f t="shared" si="80"/>
        <v>OK</v>
      </c>
      <c r="BF239" t="str">
        <f t="shared" si="81"/>
        <v>OK</v>
      </c>
      <c r="BG239" t="str">
        <f t="shared" si="82"/>
        <v>OK</v>
      </c>
      <c r="BH239" t="str">
        <f t="shared" si="83"/>
        <v>OK</v>
      </c>
      <c r="BI239" t="str">
        <f t="shared" si="75"/>
        <v>OK</v>
      </c>
      <c r="BJ239" t="str">
        <f t="shared" si="76"/>
        <v>OK</v>
      </c>
      <c r="BK239" t="str">
        <f t="shared" si="77"/>
        <v>OK</v>
      </c>
    </row>
    <row r="240" spans="1:63">
      <c r="A240" s="16" t="s">
        <v>512</v>
      </c>
      <c r="B240" s="16" t="s">
        <v>511</v>
      </c>
      <c r="C240" s="16" t="s">
        <v>282</v>
      </c>
      <c r="D240" s="16" t="s">
        <v>168</v>
      </c>
      <c r="E240" s="16" t="s">
        <v>268</v>
      </c>
      <c r="F240" s="16" t="s">
        <v>207</v>
      </c>
      <c r="G240" s="15">
        <v>46214</v>
      </c>
      <c r="H240" s="15">
        <v>46224</v>
      </c>
      <c r="I240" s="15">
        <v>46228</v>
      </c>
      <c r="J240" s="15" t="s">
        <v>150</v>
      </c>
      <c r="K240" s="16" t="s">
        <v>282</v>
      </c>
      <c r="L240" t="s">
        <v>225</v>
      </c>
      <c r="M240" s="16" t="s">
        <v>152</v>
      </c>
      <c r="N240" s="16" t="s">
        <v>153</v>
      </c>
      <c r="O240" t="s">
        <v>1614</v>
      </c>
      <c r="P240" s="18">
        <v>2754</v>
      </c>
      <c r="Q240" s="21">
        <v>10</v>
      </c>
      <c r="R240" s="21" t="str">
        <f t="shared" si="63"/>
        <v>8-14 days</v>
      </c>
      <c r="S240" s="16" t="s">
        <v>145</v>
      </c>
      <c r="T240" s="16" t="s">
        <v>154</v>
      </c>
      <c r="U240" s="16" t="s">
        <v>173</v>
      </c>
      <c r="V240" t="str">
        <f>IF(U240="","",IFERROR(VLOOKUP(U240,Hotels!A:B,2,FALSE),"Not Found"))</f>
        <v>Accor</v>
      </c>
      <c r="W240" s="14">
        <v>476.85</v>
      </c>
      <c r="X240" s="14">
        <v>0</v>
      </c>
      <c r="Y240" s="21">
        <v>3</v>
      </c>
      <c r="Z240" s="29">
        <f t="shared" si="64"/>
        <v>126.88</v>
      </c>
      <c r="AA240" s="14">
        <v>380.64</v>
      </c>
      <c r="AB240" s="14">
        <v>116.5</v>
      </c>
      <c r="AC240" s="14">
        <v>973.99</v>
      </c>
      <c r="AD240" s="16" t="s">
        <v>147</v>
      </c>
      <c r="AE240" s="16" t="s">
        <v>147</v>
      </c>
      <c r="AF240" s="14">
        <f>SUMIF('Trip Changes'!$B:$B,A240,'Trip Changes'!$E:$E)</f>
        <v>0</v>
      </c>
      <c r="AG240" s="23">
        <f>SUMIF('Trip Cancellations'!$B:$B,A240,'Trip Cancellations'!$E:$E)</f>
        <v>0</v>
      </c>
      <c r="AH240" s="14">
        <f>SUMIF('Trip Cancellations'!$B:$B,A240,'Trip Cancellations'!$F:$F)</f>
        <v>0</v>
      </c>
      <c r="AI240" s="14">
        <f t="shared" si="65"/>
        <v>973.99</v>
      </c>
      <c r="AJ240" s="14" t="str">
        <f t="shared" si="66"/>
        <v>Yes</v>
      </c>
      <c r="AK240" s="14" t="str">
        <f>IF(Y240=0,"N/A",
IF(_xlfn.XLOOKUP(U240,Hotels!A:A,Hotels!C:C)=TRUE,"Yes","No"))</f>
        <v>Yes</v>
      </c>
      <c r="AL240" s="14" t="str">
        <f>IF(N240="Rail","N/A",IF(_xlfn.XLOOKUP(T240,Airlines!A:A,Airlines!C:C)=TRUE,"Yes","No"))</f>
        <v>Yes</v>
      </c>
      <c r="AM240" s="14" t="str">
        <f t="shared" si="67"/>
        <v>Yes</v>
      </c>
      <c r="AN240" s="14" t="str">
        <f t="shared" si="68"/>
        <v>Yes</v>
      </c>
      <c r="AO240" s="14" t="str">
        <f t="shared" si="69"/>
        <v>Yes</v>
      </c>
      <c r="AP240" s="16" t="s">
        <v>148</v>
      </c>
      <c r="AQ240" t="str">
        <f t="shared" si="70"/>
        <v>Yes</v>
      </c>
      <c r="AR240" s="21">
        <v>4</v>
      </c>
      <c r="AS240" s="5">
        <v>413.1</v>
      </c>
      <c r="AT240" s="5" t="str">
        <f>IF(T240="","",_xlfn.XLOOKUP(T240,Airlines!A:A,Airlines!B:B,"Not Found"))</f>
        <v>British Airways</v>
      </c>
      <c r="AU240" s="5" t="str">
        <f>IF(U240="","",_xlfn.XLOOKUP(U240,Hotels!A:A,Hotels!B:B,"Not found"))</f>
        <v>Accor</v>
      </c>
      <c r="AV240" t="s">
        <v>147</v>
      </c>
      <c r="AW240" s="16" t="str">
        <f t="shared" si="71"/>
        <v>OK</v>
      </c>
      <c r="AX240" s="16" t="str">
        <f t="shared" si="72"/>
        <v>OK</v>
      </c>
      <c r="AY240" s="16" t="str">
        <f t="shared" si="73"/>
        <v>OK</v>
      </c>
      <c r="AZ240" s="16" t="str">
        <f t="shared" si="74"/>
        <v>OK</v>
      </c>
      <c r="BA240" s="16" t="str">
        <f t="shared" si="78"/>
        <v>OK</v>
      </c>
      <c r="BB240" s="21">
        <f>COUNTIF('Trip Changes'!B:B,A240)</f>
        <v>0</v>
      </c>
      <c r="BC240" s="16" t="str">
        <f>IF(OR(AND(AD240="Yes",COUNTIF('Trip Changes'!B:B,A240)&gt;0),AND(AD240="No",COUNTIF('Trip Changes'!B:B,A240)=0)),"OK","Check")</f>
        <v>OK</v>
      </c>
      <c r="BD240" t="str">
        <f t="shared" si="79"/>
        <v>OK</v>
      </c>
      <c r="BE240" t="str">
        <f t="shared" si="80"/>
        <v>OK</v>
      </c>
      <c r="BF240" t="str">
        <f t="shared" si="81"/>
        <v>OK</v>
      </c>
      <c r="BG240" t="str">
        <f t="shared" si="82"/>
        <v>OK</v>
      </c>
      <c r="BH240" t="str">
        <f t="shared" si="83"/>
        <v>OK</v>
      </c>
      <c r="BI240" t="str">
        <f t="shared" si="75"/>
        <v>OK</v>
      </c>
      <c r="BJ240" t="str">
        <f t="shared" si="76"/>
        <v>OK</v>
      </c>
      <c r="BK240" t="str">
        <f t="shared" si="77"/>
        <v>OK</v>
      </c>
    </row>
    <row r="241" spans="1:63">
      <c r="A241" s="16" t="s">
        <v>513</v>
      </c>
      <c r="B241" s="16" t="s">
        <v>511</v>
      </c>
      <c r="C241" s="16" t="s">
        <v>282</v>
      </c>
      <c r="D241" s="16" t="s">
        <v>168</v>
      </c>
      <c r="E241" s="16" t="s">
        <v>268</v>
      </c>
      <c r="F241" s="16" t="s">
        <v>181</v>
      </c>
      <c r="G241" s="15">
        <v>46153</v>
      </c>
      <c r="H241" s="15">
        <v>46174</v>
      </c>
      <c r="I241" s="15">
        <v>46177</v>
      </c>
      <c r="J241" s="15" t="s">
        <v>141</v>
      </c>
      <c r="K241" s="16" t="s">
        <v>282</v>
      </c>
      <c r="L241" t="s">
        <v>151</v>
      </c>
      <c r="M241" s="16" t="s">
        <v>152</v>
      </c>
      <c r="N241" s="16" t="s">
        <v>153</v>
      </c>
      <c r="O241" t="s">
        <v>1614</v>
      </c>
      <c r="P241" s="18">
        <v>3264</v>
      </c>
      <c r="Q241" s="21">
        <v>21</v>
      </c>
      <c r="R241" s="21" t="str">
        <f t="shared" si="63"/>
        <v>15-30 days</v>
      </c>
      <c r="S241" s="16" t="s">
        <v>159</v>
      </c>
      <c r="T241" s="16" t="s">
        <v>172</v>
      </c>
      <c r="U241" s="16" t="s">
        <v>155</v>
      </c>
      <c r="V241" t="str">
        <f>IF(U241="","",IFERROR(VLOOKUP(U241,Hotels!A:B,2,FALSE),"Not Found"))</f>
        <v>Hilton</v>
      </c>
      <c r="W241" s="14">
        <v>328.93</v>
      </c>
      <c r="X241" s="14">
        <v>0</v>
      </c>
      <c r="Y241" s="21">
        <v>2</v>
      </c>
      <c r="Z241" s="29">
        <f t="shared" si="64"/>
        <v>186.14</v>
      </c>
      <c r="AA241" s="14">
        <v>372.28</v>
      </c>
      <c r="AB241" s="14">
        <v>68.180000000000007</v>
      </c>
      <c r="AC241" s="14">
        <v>769.39</v>
      </c>
      <c r="AD241" s="16" t="s">
        <v>147</v>
      </c>
      <c r="AE241" s="16" t="s">
        <v>147</v>
      </c>
      <c r="AF241" s="14">
        <f>SUMIF('Trip Changes'!$B:$B,A241,'Trip Changes'!$E:$E)</f>
        <v>0</v>
      </c>
      <c r="AG241" s="23">
        <f>SUMIF('Trip Cancellations'!$B:$B,A241,'Trip Cancellations'!$E:$E)</f>
        <v>0</v>
      </c>
      <c r="AH241" s="14">
        <f>SUMIF('Trip Cancellations'!$B:$B,A241,'Trip Cancellations'!$F:$F)</f>
        <v>0</v>
      </c>
      <c r="AI241" s="14">
        <f t="shared" si="65"/>
        <v>769.39</v>
      </c>
      <c r="AJ241" s="14" t="str">
        <f t="shared" si="66"/>
        <v>No</v>
      </c>
      <c r="AK241" s="14" t="str">
        <f>IF(Y241=0,"N/A",
IF(_xlfn.XLOOKUP(U241,Hotels!A:A,Hotels!C:C)=TRUE,"Yes","No"))</f>
        <v>Yes</v>
      </c>
      <c r="AL241" s="14" t="str">
        <f>IF(N241="Rail","N/A",IF(_xlfn.XLOOKUP(T241,Airlines!A:A,Airlines!C:C)=TRUE,"Yes","No"))</f>
        <v>Yes</v>
      </c>
      <c r="AM241" s="14" t="str">
        <f t="shared" si="67"/>
        <v>Yes</v>
      </c>
      <c r="AN241" s="14" t="str">
        <f t="shared" si="68"/>
        <v>Yes</v>
      </c>
      <c r="AO241" s="14" t="str">
        <f t="shared" si="69"/>
        <v>Yes</v>
      </c>
      <c r="AP241" s="16" t="s">
        <v>148</v>
      </c>
      <c r="AQ241" t="str">
        <f t="shared" si="70"/>
        <v>No</v>
      </c>
      <c r="AR241" s="21">
        <v>4</v>
      </c>
      <c r="AS241" s="5">
        <v>489.6</v>
      </c>
      <c r="AT241" s="5" t="str">
        <f>IF(T241="","",_xlfn.XLOOKUP(T241,Airlines!A:A,Airlines!B:B,"Not Found"))</f>
        <v>Lufthansa</v>
      </c>
      <c r="AU241" s="5" t="str">
        <f>IF(U241="","",_xlfn.XLOOKUP(U241,Hotels!A:A,Hotels!B:B,"Not found"))</f>
        <v>Hilton</v>
      </c>
      <c r="AV241" t="s">
        <v>147</v>
      </c>
      <c r="AW241" s="16" t="str">
        <f t="shared" si="71"/>
        <v>OK</v>
      </c>
      <c r="AX241" s="16" t="str">
        <f t="shared" si="72"/>
        <v>OK</v>
      </c>
      <c r="AY241" s="16" t="str">
        <f t="shared" si="73"/>
        <v>OK</v>
      </c>
      <c r="AZ241" s="16" t="str">
        <f t="shared" si="74"/>
        <v>OK</v>
      </c>
      <c r="BA241" s="16" t="str">
        <f t="shared" si="78"/>
        <v>OK</v>
      </c>
      <c r="BB241" s="21">
        <f>COUNTIF('Trip Changes'!B:B,A241)</f>
        <v>0</v>
      </c>
      <c r="BC241" s="16" t="str">
        <f>IF(OR(AND(AD241="Yes",COUNTIF('Trip Changes'!B:B,A241)&gt;0),AND(AD241="No",COUNTIF('Trip Changes'!B:B,A241)=0)),"OK","Check")</f>
        <v>OK</v>
      </c>
      <c r="BD241" t="str">
        <f t="shared" si="79"/>
        <v>OK</v>
      </c>
      <c r="BE241" t="str">
        <f t="shared" si="80"/>
        <v>OK</v>
      </c>
      <c r="BF241" t="str">
        <f t="shared" si="81"/>
        <v>OK</v>
      </c>
      <c r="BG241" t="str">
        <f t="shared" si="82"/>
        <v>OK</v>
      </c>
      <c r="BH241" t="str">
        <f t="shared" si="83"/>
        <v>OK</v>
      </c>
      <c r="BI241" t="str">
        <f t="shared" si="75"/>
        <v>OK</v>
      </c>
      <c r="BJ241" t="str">
        <f t="shared" si="76"/>
        <v>OK</v>
      </c>
      <c r="BK241" t="str">
        <f t="shared" si="77"/>
        <v>OK</v>
      </c>
    </row>
    <row r="242" spans="1:63">
      <c r="A242" s="16" t="s">
        <v>514</v>
      </c>
      <c r="B242" s="16" t="s">
        <v>515</v>
      </c>
      <c r="C242" s="16" t="s">
        <v>137</v>
      </c>
      <c r="D242" s="16" t="s">
        <v>168</v>
      </c>
      <c r="E242" s="16" t="s">
        <v>268</v>
      </c>
      <c r="F242" s="16" t="s">
        <v>162</v>
      </c>
      <c r="G242" s="15">
        <v>46174</v>
      </c>
      <c r="H242" s="15">
        <v>46198</v>
      </c>
      <c r="I242" s="15">
        <v>46203</v>
      </c>
      <c r="J242" s="15" t="s">
        <v>141</v>
      </c>
      <c r="K242" s="16" t="s">
        <v>137</v>
      </c>
      <c r="L242" t="s">
        <v>233</v>
      </c>
      <c r="M242" s="16" t="s">
        <v>152</v>
      </c>
      <c r="N242" s="16" t="s">
        <v>153</v>
      </c>
      <c r="O242" t="s">
        <v>1614</v>
      </c>
      <c r="P242" s="18">
        <v>2954</v>
      </c>
      <c r="Q242" s="21">
        <v>24</v>
      </c>
      <c r="R242" s="21" t="str">
        <f t="shared" si="63"/>
        <v>15-30 days</v>
      </c>
      <c r="S242" s="16" t="s">
        <v>159</v>
      </c>
      <c r="T242" s="16" t="s">
        <v>160</v>
      </c>
      <c r="U242" s="16" t="s">
        <v>164</v>
      </c>
      <c r="V242" t="str">
        <f>IF(U242="","",IFERROR(VLOOKUP(U242,Hotels!A:B,2,FALSE),"Not Found"))</f>
        <v>Marriott</v>
      </c>
      <c r="W242" s="14">
        <v>455.83</v>
      </c>
      <c r="X242" s="14">
        <v>0</v>
      </c>
      <c r="Y242" s="21">
        <v>4</v>
      </c>
      <c r="Z242" s="29">
        <f t="shared" si="64"/>
        <v>233.04499999999999</v>
      </c>
      <c r="AA242" s="14">
        <v>932.18</v>
      </c>
      <c r="AB242" s="14">
        <v>118.12</v>
      </c>
      <c r="AC242" s="14">
        <v>1506.13</v>
      </c>
      <c r="AD242" s="16" t="s">
        <v>147</v>
      </c>
      <c r="AE242" s="16" t="s">
        <v>147</v>
      </c>
      <c r="AF242" s="14">
        <f>SUMIF('Trip Changes'!$B:$B,A242,'Trip Changes'!$E:$E)</f>
        <v>0</v>
      </c>
      <c r="AG242" s="23">
        <f>SUMIF('Trip Cancellations'!$B:$B,A242,'Trip Cancellations'!$E:$E)</f>
        <v>0</v>
      </c>
      <c r="AH242" s="14">
        <f>SUMIF('Trip Cancellations'!$B:$B,A242,'Trip Cancellations'!$F:$F)</f>
        <v>0</v>
      </c>
      <c r="AI242" s="14">
        <f t="shared" si="65"/>
        <v>1506.13</v>
      </c>
      <c r="AJ242" s="14" t="str">
        <f t="shared" si="66"/>
        <v>No</v>
      </c>
      <c r="AK242" s="14" t="str">
        <f>IF(Y242=0,"N/A",
IF(_xlfn.XLOOKUP(U242,Hotels!A:A,Hotels!C:C)=TRUE,"Yes","No"))</f>
        <v>Yes</v>
      </c>
      <c r="AL242" s="14" t="str">
        <f>IF(N242="Rail","N/A",IF(_xlfn.XLOOKUP(T242,Airlines!A:A,Airlines!C:C)=TRUE,"Yes","No"))</f>
        <v>Yes</v>
      </c>
      <c r="AM242" s="14" t="str">
        <f t="shared" si="67"/>
        <v>Yes</v>
      </c>
      <c r="AN242" s="14" t="str">
        <f t="shared" si="68"/>
        <v>Yes</v>
      </c>
      <c r="AO242" s="14" t="str">
        <f t="shared" si="69"/>
        <v>Yes</v>
      </c>
      <c r="AP242" s="16" t="s">
        <v>147</v>
      </c>
      <c r="AQ242" t="str">
        <f t="shared" si="70"/>
        <v>No</v>
      </c>
      <c r="AR242" s="21">
        <v>4</v>
      </c>
      <c r="AS242" s="5">
        <v>443.1</v>
      </c>
      <c r="AT242" s="5" t="str">
        <f>IF(T242="","",_xlfn.XLOOKUP(T242,Airlines!A:A,Airlines!B:B,"Not Found"))</f>
        <v>Air France</v>
      </c>
      <c r="AU242" s="5" t="str">
        <f>IF(U242="","",_xlfn.XLOOKUP(U242,Hotels!A:A,Hotels!B:B,"Not found"))</f>
        <v>Marriott</v>
      </c>
      <c r="AV242" t="s">
        <v>147</v>
      </c>
      <c r="AW242" s="16" t="str">
        <f t="shared" si="71"/>
        <v>OK</v>
      </c>
      <c r="AX242" s="16" t="str">
        <f t="shared" si="72"/>
        <v>OK</v>
      </c>
      <c r="AY242" s="16" t="str">
        <f t="shared" si="73"/>
        <v>OK</v>
      </c>
      <c r="AZ242" s="16" t="str">
        <f t="shared" si="74"/>
        <v>OK</v>
      </c>
      <c r="BA242" s="16" t="str">
        <f t="shared" si="78"/>
        <v>OK</v>
      </c>
      <c r="BB242" s="21">
        <f>COUNTIF('Trip Changes'!B:B,A242)</f>
        <v>0</v>
      </c>
      <c r="BC242" s="16" t="str">
        <f>IF(OR(AND(AD242="Yes",COUNTIF('Trip Changes'!B:B,A242)&gt;0),AND(AD242="No",COUNTIF('Trip Changes'!B:B,A242)=0)),"OK","Check")</f>
        <v>OK</v>
      </c>
      <c r="BD242" t="str">
        <f t="shared" si="79"/>
        <v>OK</v>
      </c>
      <c r="BE242" t="str">
        <f t="shared" si="80"/>
        <v>OK</v>
      </c>
      <c r="BF242" t="str">
        <f t="shared" si="81"/>
        <v>OK</v>
      </c>
      <c r="BG242" t="str">
        <f t="shared" si="82"/>
        <v>OK</v>
      </c>
      <c r="BH242" t="str">
        <f t="shared" si="83"/>
        <v>OK</v>
      </c>
      <c r="BI242" t="str">
        <f t="shared" si="75"/>
        <v>OK</v>
      </c>
      <c r="BJ242" t="str">
        <f t="shared" si="76"/>
        <v>OK</v>
      </c>
      <c r="BK242" t="str">
        <f t="shared" si="77"/>
        <v>OK</v>
      </c>
    </row>
    <row r="243" spans="1:63">
      <c r="A243" s="16" t="s">
        <v>516</v>
      </c>
      <c r="B243" s="16" t="s">
        <v>515</v>
      </c>
      <c r="C243" s="16" t="s">
        <v>137</v>
      </c>
      <c r="D243" s="16" t="s">
        <v>168</v>
      </c>
      <c r="E243" s="16" t="s">
        <v>268</v>
      </c>
      <c r="F243" s="16" t="s">
        <v>157</v>
      </c>
      <c r="G243" s="15">
        <v>46179</v>
      </c>
      <c r="H243" s="15">
        <v>46189</v>
      </c>
      <c r="I243" s="15">
        <v>46192</v>
      </c>
      <c r="J243" s="15" t="s">
        <v>141</v>
      </c>
      <c r="K243" s="16" t="s">
        <v>137</v>
      </c>
      <c r="L243" t="s">
        <v>193</v>
      </c>
      <c r="M243" s="16" t="s">
        <v>143</v>
      </c>
      <c r="N243" s="16" t="s">
        <v>144</v>
      </c>
      <c r="O243" t="s">
        <v>1630</v>
      </c>
      <c r="P243" s="18">
        <v>900</v>
      </c>
      <c r="Q243" s="21">
        <v>10</v>
      </c>
      <c r="R243" s="21" t="str">
        <f t="shared" si="63"/>
        <v>8-14 days</v>
      </c>
      <c r="S243" s="16" t="s">
        <v>145</v>
      </c>
      <c r="U243" s="16" t="s">
        <v>146</v>
      </c>
      <c r="V243" t="str">
        <f>IF(U243="","",IFERROR(VLOOKUP(U243,Hotels!A:B,2,FALSE),"Not Found"))</f>
        <v>Premier Inn</v>
      </c>
      <c r="W243" s="14">
        <v>0</v>
      </c>
      <c r="X243" s="14">
        <v>238.63</v>
      </c>
      <c r="Y243" s="21">
        <v>2</v>
      </c>
      <c r="Z243" s="29">
        <f t="shared" si="64"/>
        <v>151.965</v>
      </c>
      <c r="AA243" s="14">
        <v>303.93</v>
      </c>
      <c r="AB243" s="14">
        <v>45.49</v>
      </c>
      <c r="AC243" s="14">
        <v>588.04999999999995</v>
      </c>
      <c r="AD243" s="16" t="s">
        <v>147</v>
      </c>
      <c r="AE243" s="16" t="s">
        <v>147</v>
      </c>
      <c r="AF243" s="14">
        <f>SUMIF('Trip Changes'!$B:$B,A243,'Trip Changes'!$E:$E)</f>
        <v>0</v>
      </c>
      <c r="AG243" s="23">
        <f>SUMIF('Trip Cancellations'!$B:$B,A243,'Trip Cancellations'!$E:$E)</f>
        <v>0</v>
      </c>
      <c r="AH243" s="14">
        <f>SUMIF('Trip Cancellations'!$B:$B,A243,'Trip Cancellations'!$F:$F)</f>
        <v>0</v>
      </c>
      <c r="AI243" s="14">
        <f t="shared" si="65"/>
        <v>588.04999999999995</v>
      </c>
      <c r="AJ243" s="14" t="str">
        <f t="shared" si="66"/>
        <v>Yes</v>
      </c>
      <c r="AK243" s="14" t="str">
        <f>IF(Y243=0,"N/A",
IF(_xlfn.XLOOKUP(U243,Hotels!A:A,Hotels!C:C)=TRUE,"Yes","No"))</f>
        <v>Yes</v>
      </c>
      <c r="AL243" s="14" t="str">
        <f>IF(N243="Rail","N/A",IF(_xlfn.XLOOKUP(T243,Airlines!A:A,Airlines!C:C)=TRUE,"Yes","No"))</f>
        <v>N/A</v>
      </c>
      <c r="AM243" s="14" t="str">
        <f t="shared" si="67"/>
        <v>Yes</v>
      </c>
      <c r="AN243" s="14" t="str">
        <f t="shared" si="68"/>
        <v>Yes</v>
      </c>
      <c r="AO243" s="14" t="str">
        <f t="shared" si="69"/>
        <v>Yes</v>
      </c>
      <c r="AP243" s="16" t="s">
        <v>148</v>
      </c>
      <c r="AQ243" t="str">
        <f t="shared" si="70"/>
        <v>Yes</v>
      </c>
      <c r="AR243" s="21">
        <v>4</v>
      </c>
      <c r="AS243" s="5">
        <v>36</v>
      </c>
      <c r="AT243" s="5" t="str">
        <f>IF(T243="","",_xlfn.XLOOKUP(T243,Airlines!A:A,Airlines!B:B,"Not Found"))</f>
        <v/>
      </c>
      <c r="AU243" s="5" t="str">
        <f>IF(U243="","",_xlfn.XLOOKUP(U243,Hotels!A:A,Hotels!B:B,"Not found"))</f>
        <v>Premier Inn</v>
      </c>
      <c r="AV243" t="s">
        <v>147</v>
      </c>
      <c r="AW243" s="16" t="str">
        <f t="shared" si="71"/>
        <v>OK</v>
      </c>
      <c r="AX243" s="16" t="str">
        <f t="shared" si="72"/>
        <v>OK</v>
      </c>
      <c r="AY243" s="16" t="str">
        <f t="shared" si="73"/>
        <v>OK</v>
      </c>
      <c r="AZ243" s="16" t="str">
        <f t="shared" si="74"/>
        <v>OK</v>
      </c>
      <c r="BA243" s="16" t="str">
        <f t="shared" si="78"/>
        <v>OK</v>
      </c>
      <c r="BB243" s="21">
        <f>COUNTIF('Trip Changes'!B:B,A243)</f>
        <v>0</v>
      </c>
      <c r="BC243" s="16" t="str">
        <f>IF(OR(AND(AD243="Yes",COUNTIF('Trip Changes'!B:B,A243)&gt;0),AND(AD243="No",COUNTIF('Trip Changes'!B:B,A243)=0)),"OK","Check")</f>
        <v>OK</v>
      </c>
      <c r="BD243" t="str">
        <f t="shared" si="79"/>
        <v>OK</v>
      </c>
      <c r="BE243" t="str">
        <f t="shared" si="80"/>
        <v>OK</v>
      </c>
      <c r="BF243" t="str">
        <f t="shared" si="81"/>
        <v>OK</v>
      </c>
      <c r="BG243" t="str">
        <f t="shared" si="82"/>
        <v>OK</v>
      </c>
      <c r="BH243" t="str">
        <f t="shared" si="83"/>
        <v>OK</v>
      </c>
      <c r="BI243" t="str">
        <f t="shared" si="75"/>
        <v>OK</v>
      </c>
      <c r="BJ243" t="str">
        <f t="shared" si="76"/>
        <v>OK</v>
      </c>
      <c r="BK243" t="str">
        <f t="shared" si="77"/>
        <v>OK</v>
      </c>
    </row>
    <row r="244" spans="1:63">
      <c r="A244" s="16" t="s">
        <v>517</v>
      </c>
      <c r="B244" s="16" t="s">
        <v>518</v>
      </c>
      <c r="C244" s="16" t="s">
        <v>142</v>
      </c>
      <c r="D244" s="16" t="s">
        <v>168</v>
      </c>
      <c r="E244" s="16" t="s">
        <v>262</v>
      </c>
      <c r="F244" s="16" t="s">
        <v>157</v>
      </c>
      <c r="G244" s="15">
        <v>46152</v>
      </c>
      <c r="H244" s="15">
        <v>46162</v>
      </c>
      <c r="I244" s="15">
        <v>46168</v>
      </c>
      <c r="J244" s="15" t="s">
        <v>163</v>
      </c>
      <c r="K244" s="16" t="s">
        <v>142</v>
      </c>
      <c r="L244" t="s">
        <v>179</v>
      </c>
      <c r="M244" s="16" t="s">
        <v>152</v>
      </c>
      <c r="N244" s="16" t="s">
        <v>153</v>
      </c>
      <c r="O244" t="s">
        <v>1614</v>
      </c>
      <c r="P244" s="18">
        <v>11950</v>
      </c>
      <c r="Q244" s="21">
        <v>10</v>
      </c>
      <c r="R244" s="21" t="str">
        <f t="shared" si="63"/>
        <v>8-14 days</v>
      </c>
      <c r="S244" s="16" t="s">
        <v>145</v>
      </c>
      <c r="T244" s="16" t="s">
        <v>441</v>
      </c>
      <c r="U244" s="16" t="s">
        <v>187</v>
      </c>
      <c r="V244" t="str">
        <f>IF(U244="","",IFERROR(VLOOKUP(U244,Hotels!A:B,2,FALSE),"Not Found"))</f>
        <v>IHG Hotels &amp; Resorts</v>
      </c>
      <c r="W244" s="14">
        <v>1270.32</v>
      </c>
      <c r="X244" s="14">
        <v>0</v>
      </c>
      <c r="Y244" s="21">
        <v>5</v>
      </c>
      <c r="Z244" s="29">
        <f t="shared" si="64"/>
        <v>106.122</v>
      </c>
      <c r="AA244" s="14">
        <v>530.61</v>
      </c>
      <c r="AB244" s="14">
        <v>100.32</v>
      </c>
      <c r="AC244" s="14">
        <v>1901.25</v>
      </c>
      <c r="AD244" s="16" t="s">
        <v>147</v>
      </c>
      <c r="AE244" s="16" t="s">
        <v>147</v>
      </c>
      <c r="AF244" s="14">
        <f>SUMIF('Trip Changes'!$B:$B,A244,'Trip Changes'!$E:$E)</f>
        <v>0</v>
      </c>
      <c r="AG244" s="23">
        <f>SUMIF('Trip Cancellations'!$B:$B,A244,'Trip Cancellations'!$E:$E)</f>
        <v>0</v>
      </c>
      <c r="AH244" s="14">
        <f>SUMIF('Trip Cancellations'!$B:$B,A244,'Trip Cancellations'!$F:$F)</f>
        <v>0</v>
      </c>
      <c r="AI244" s="14">
        <f t="shared" si="65"/>
        <v>1901.25</v>
      </c>
      <c r="AJ244" s="14" t="str">
        <f t="shared" si="66"/>
        <v>Yes</v>
      </c>
      <c r="AK244" s="14" t="str">
        <f>IF(Y244=0,"N/A",
IF(_xlfn.XLOOKUP(U244,Hotels!A:A,Hotels!C:C)=TRUE,"Yes","No"))</f>
        <v>Yes</v>
      </c>
      <c r="AL244" s="14" t="str">
        <f>IF(N244="Rail","N/A",IF(_xlfn.XLOOKUP(T244,Airlines!A:A,Airlines!C:C)=TRUE,"Yes","No"))</f>
        <v>Yes</v>
      </c>
      <c r="AM244" s="14" t="str">
        <f t="shared" si="67"/>
        <v>Yes</v>
      </c>
      <c r="AN244" s="14" t="str">
        <f t="shared" si="68"/>
        <v>Yes</v>
      </c>
      <c r="AO244" s="14" t="str">
        <f t="shared" si="69"/>
        <v>Yes</v>
      </c>
      <c r="AP244" s="16" t="s">
        <v>148</v>
      </c>
      <c r="AQ244" t="str">
        <f t="shared" si="70"/>
        <v>Yes</v>
      </c>
      <c r="AR244" s="21">
        <v>5</v>
      </c>
      <c r="AS244" s="5">
        <v>1792.5</v>
      </c>
      <c r="AT244" s="5" t="str">
        <f>IF(T244="","",_xlfn.XLOOKUP(T244,Airlines!A:A,Airlines!B:B,"Not Found"))</f>
        <v>Emirates</v>
      </c>
      <c r="AU244" s="5" t="str">
        <f>IF(U244="","",_xlfn.XLOOKUP(U244,Hotels!A:A,Hotels!B:B,"Not found"))</f>
        <v>IHG Hotels &amp; Resorts</v>
      </c>
      <c r="AV244" t="s">
        <v>148</v>
      </c>
      <c r="AW244" s="16" t="str">
        <f t="shared" si="71"/>
        <v>OK</v>
      </c>
      <c r="AX244" s="16" t="str">
        <f t="shared" si="72"/>
        <v>OK</v>
      </c>
      <c r="AY244" s="16" t="str">
        <f t="shared" si="73"/>
        <v>OK</v>
      </c>
      <c r="AZ244" s="16" t="str">
        <f t="shared" si="74"/>
        <v>OK</v>
      </c>
      <c r="BA244" s="16" t="str">
        <f t="shared" si="78"/>
        <v>OK</v>
      </c>
      <c r="BB244" s="21">
        <f>COUNTIF('Trip Changes'!B:B,A244)</f>
        <v>0</v>
      </c>
      <c r="BC244" s="16" t="str">
        <f>IF(OR(AND(AD244="Yes",COUNTIF('Trip Changes'!B:B,A244)&gt;0),AND(AD244="No",COUNTIF('Trip Changes'!B:B,A244)=0)),"OK","Check")</f>
        <v>OK</v>
      </c>
      <c r="BD244" t="str">
        <f t="shared" si="79"/>
        <v>OK</v>
      </c>
      <c r="BE244" t="str">
        <f t="shared" si="80"/>
        <v>OK</v>
      </c>
      <c r="BF244" t="str">
        <f t="shared" si="81"/>
        <v>OK</v>
      </c>
      <c r="BG244" t="str">
        <f t="shared" si="82"/>
        <v>OK</v>
      </c>
      <c r="BH244" t="str">
        <f t="shared" si="83"/>
        <v>OK</v>
      </c>
      <c r="BI244" t="str">
        <f t="shared" si="75"/>
        <v>OK</v>
      </c>
      <c r="BJ244" t="str">
        <f t="shared" si="76"/>
        <v>OK</v>
      </c>
      <c r="BK244" t="str">
        <f t="shared" si="77"/>
        <v>OK</v>
      </c>
    </row>
    <row r="245" spans="1:63">
      <c r="A245" s="16" t="s">
        <v>519</v>
      </c>
      <c r="B245" s="16" t="s">
        <v>518</v>
      </c>
      <c r="C245" s="16" t="s">
        <v>142</v>
      </c>
      <c r="D245" s="16" t="s">
        <v>168</v>
      </c>
      <c r="E245" s="16" t="s">
        <v>262</v>
      </c>
      <c r="F245" s="16" t="s">
        <v>170</v>
      </c>
      <c r="G245" s="15">
        <v>46182</v>
      </c>
      <c r="H245" s="15">
        <v>46221</v>
      </c>
      <c r="I245" s="15">
        <v>46223</v>
      </c>
      <c r="J245" s="15" t="s">
        <v>150</v>
      </c>
      <c r="K245" s="16" t="s">
        <v>142</v>
      </c>
      <c r="L245" t="s">
        <v>199</v>
      </c>
      <c r="M245" s="16" t="s">
        <v>152</v>
      </c>
      <c r="N245" s="16" t="s">
        <v>153</v>
      </c>
      <c r="O245" t="s">
        <v>1614</v>
      </c>
      <c r="P245" s="18">
        <v>2580</v>
      </c>
      <c r="Q245" s="21">
        <v>39</v>
      </c>
      <c r="R245" s="21" t="str">
        <f t="shared" si="63"/>
        <v>31+ days</v>
      </c>
      <c r="S245" s="16" t="s">
        <v>145</v>
      </c>
      <c r="T245" s="16" t="s">
        <v>291</v>
      </c>
      <c r="U245" s="16" t="s">
        <v>155</v>
      </c>
      <c r="V245" t="str">
        <f>IF(U245="","",IFERROR(VLOOKUP(U245,Hotels!A:B,2,FALSE),"Not Found"))</f>
        <v>Hilton</v>
      </c>
      <c r="W245" s="14">
        <v>312.72000000000003</v>
      </c>
      <c r="X245" s="14">
        <v>0</v>
      </c>
      <c r="Y245" s="21">
        <v>1</v>
      </c>
      <c r="Z245" s="29">
        <f t="shared" si="64"/>
        <v>191.22</v>
      </c>
      <c r="AA245" s="14">
        <v>191.22</v>
      </c>
      <c r="AB245" s="14">
        <v>107.41</v>
      </c>
      <c r="AC245" s="14">
        <v>611.35</v>
      </c>
      <c r="AD245" s="16" t="s">
        <v>147</v>
      </c>
      <c r="AE245" s="16" t="s">
        <v>147</v>
      </c>
      <c r="AF245" s="14">
        <f>SUMIF('Trip Changes'!$B:$B,A245,'Trip Changes'!$E:$E)</f>
        <v>0</v>
      </c>
      <c r="AG245" s="23">
        <f>SUMIF('Trip Cancellations'!$B:$B,A245,'Trip Cancellations'!$E:$E)</f>
        <v>0</v>
      </c>
      <c r="AH245" s="14">
        <f>SUMIF('Trip Cancellations'!$B:$B,A245,'Trip Cancellations'!$F:$F)</f>
        <v>0</v>
      </c>
      <c r="AI245" s="14">
        <f t="shared" si="65"/>
        <v>611.35</v>
      </c>
      <c r="AJ245" s="14" t="str">
        <f t="shared" si="66"/>
        <v>No</v>
      </c>
      <c r="AK245" s="14" t="str">
        <f>IF(Y245=0,"N/A",
IF(_xlfn.XLOOKUP(U245,Hotels!A:A,Hotels!C:C)=TRUE,"Yes","No"))</f>
        <v>Yes</v>
      </c>
      <c r="AL245" s="14" t="str">
        <f>IF(N245="Rail","N/A",IF(_xlfn.XLOOKUP(T245,Airlines!A:A,Airlines!C:C)=TRUE,"Yes","No"))</f>
        <v>No</v>
      </c>
      <c r="AM245" s="14" t="str">
        <f t="shared" si="67"/>
        <v>Yes</v>
      </c>
      <c r="AN245" s="14" t="str">
        <f t="shared" si="68"/>
        <v>Yes</v>
      </c>
      <c r="AO245" s="14" t="str">
        <f t="shared" si="69"/>
        <v>No</v>
      </c>
      <c r="AP245" s="16" t="s">
        <v>148</v>
      </c>
      <c r="AQ245" t="str">
        <f t="shared" si="70"/>
        <v>No</v>
      </c>
      <c r="AR245" s="21">
        <v>5</v>
      </c>
      <c r="AS245" s="5">
        <v>387</v>
      </c>
      <c r="AT245" s="5" t="str">
        <f>IF(T245="","",_xlfn.XLOOKUP(T245,Airlines!A:A,Airlines!B:B,"Not Found"))</f>
        <v>Ryanair</v>
      </c>
      <c r="AU245" s="5" t="str">
        <f>IF(U245="","",_xlfn.XLOOKUP(U245,Hotels!A:A,Hotels!B:B,"Not found"))</f>
        <v>Hilton</v>
      </c>
      <c r="AV245" t="s">
        <v>148</v>
      </c>
      <c r="AW245" s="16" t="str">
        <f t="shared" si="71"/>
        <v>OK</v>
      </c>
      <c r="AX245" s="16" t="str">
        <f t="shared" si="72"/>
        <v>OK</v>
      </c>
      <c r="AY245" s="16" t="str">
        <f t="shared" si="73"/>
        <v>OK</v>
      </c>
      <c r="AZ245" s="16" t="str">
        <f t="shared" si="74"/>
        <v>OK</v>
      </c>
      <c r="BA245" s="16" t="str">
        <f t="shared" si="78"/>
        <v>OK</v>
      </c>
      <c r="BB245" s="21">
        <f>COUNTIF('Trip Changes'!B:B,A245)</f>
        <v>0</v>
      </c>
      <c r="BC245" s="16" t="str">
        <f>IF(OR(AND(AD245="Yes",COUNTIF('Trip Changes'!B:B,A245)&gt;0),AND(AD245="No",COUNTIF('Trip Changes'!B:B,A245)=0)),"OK","Check")</f>
        <v>OK</v>
      </c>
      <c r="BD245" t="str">
        <f t="shared" si="79"/>
        <v>OK</v>
      </c>
      <c r="BE245" t="str">
        <f t="shared" si="80"/>
        <v>OK</v>
      </c>
      <c r="BF245" t="str">
        <f t="shared" si="81"/>
        <v>OK</v>
      </c>
      <c r="BG245" t="str">
        <f t="shared" si="82"/>
        <v>OK</v>
      </c>
      <c r="BH245" t="str">
        <f t="shared" si="83"/>
        <v>OK</v>
      </c>
      <c r="BI245" t="str">
        <f t="shared" si="75"/>
        <v>OK</v>
      </c>
      <c r="BJ245" t="str">
        <f t="shared" si="76"/>
        <v>OK</v>
      </c>
      <c r="BK245" t="str">
        <f t="shared" si="77"/>
        <v>OK</v>
      </c>
    </row>
    <row r="246" spans="1:63">
      <c r="A246" s="16" t="s">
        <v>520</v>
      </c>
      <c r="B246" s="16" t="s">
        <v>518</v>
      </c>
      <c r="C246" s="16" t="s">
        <v>142</v>
      </c>
      <c r="D246" s="16" t="s">
        <v>168</v>
      </c>
      <c r="E246" s="16" t="s">
        <v>262</v>
      </c>
      <c r="F246" s="16" t="s">
        <v>140</v>
      </c>
      <c r="G246" s="15">
        <v>46140</v>
      </c>
      <c r="H246" s="15">
        <v>46157</v>
      </c>
      <c r="I246" s="15">
        <v>46159</v>
      </c>
      <c r="J246" s="15" t="s">
        <v>163</v>
      </c>
      <c r="K246" s="16" t="s">
        <v>142</v>
      </c>
      <c r="L246" t="s">
        <v>199</v>
      </c>
      <c r="M246" s="16" t="s">
        <v>152</v>
      </c>
      <c r="N246" s="16" t="s">
        <v>153</v>
      </c>
      <c r="O246" t="s">
        <v>1614</v>
      </c>
      <c r="P246" s="18">
        <v>3208</v>
      </c>
      <c r="Q246" s="21">
        <v>17</v>
      </c>
      <c r="R246" s="21" t="str">
        <f t="shared" si="63"/>
        <v>15-30 days</v>
      </c>
      <c r="S246" s="16" t="s">
        <v>216</v>
      </c>
      <c r="T246" s="16" t="s">
        <v>200</v>
      </c>
      <c r="U246" s="16" t="s">
        <v>173</v>
      </c>
      <c r="V246" t="str">
        <f>IF(U246="","",IFERROR(VLOOKUP(U246,Hotels!A:B,2,FALSE),"Not Found"))</f>
        <v>Accor</v>
      </c>
      <c r="W246" s="14">
        <v>380.84</v>
      </c>
      <c r="X246" s="14">
        <v>0</v>
      </c>
      <c r="Y246" s="21">
        <v>1</v>
      </c>
      <c r="Z246" s="29">
        <f t="shared" si="64"/>
        <v>155.21</v>
      </c>
      <c r="AA246" s="14">
        <v>155.21</v>
      </c>
      <c r="AB246" s="14">
        <v>72.849999999999994</v>
      </c>
      <c r="AC246" s="14">
        <v>608.9</v>
      </c>
      <c r="AD246" s="16" t="s">
        <v>148</v>
      </c>
      <c r="AE246" s="16" t="s">
        <v>147</v>
      </c>
      <c r="AF246" s="14">
        <f>SUMIF('Trip Changes'!$B:$B,A246,'Trip Changes'!$E:$E)</f>
        <v>323.71000000000004</v>
      </c>
      <c r="AG246" s="23">
        <f>SUMIF('Trip Cancellations'!$B:$B,A246,'Trip Cancellations'!$E:$E)</f>
        <v>0</v>
      </c>
      <c r="AH246" s="14">
        <f>SUMIF('Trip Cancellations'!$B:$B,A246,'Trip Cancellations'!$F:$F)</f>
        <v>0</v>
      </c>
      <c r="AI246" s="14">
        <f t="shared" si="65"/>
        <v>932.61</v>
      </c>
      <c r="AJ246" s="14" t="str">
        <f t="shared" si="66"/>
        <v>Yes</v>
      </c>
      <c r="AK246" s="14" t="str">
        <f>IF(Y246=0,"N/A",
IF(_xlfn.XLOOKUP(U246,Hotels!A:A,Hotels!C:C)=TRUE,"Yes","No"))</f>
        <v>Yes</v>
      </c>
      <c r="AL246" s="14" t="str">
        <f>IF(N246="Rail","N/A",IF(_xlfn.XLOOKUP(T246,Airlines!A:A,Airlines!C:C)=TRUE,"Yes","No"))</f>
        <v>Yes</v>
      </c>
      <c r="AM246" s="14" t="str">
        <f t="shared" si="67"/>
        <v>Yes</v>
      </c>
      <c r="AN246" s="14" t="str">
        <f t="shared" si="68"/>
        <v>No</v>
      </c>
      <c r="AO246" s="14" t="str">
        <f t="shared" si="69"/>
        <v>Yes</v>
      </c>
      <c r="AP246" s="16" t="s">
        <v>148</v>
      </c>
      <c r="AQ246" t="str">
        <f t="shared" si="70"/>
        <v>No</v>
      </c>
      <c r="AR246" s="21">
        <v>4</v>
      </c>
      <c r="AS246" s="5">
        <v>481.2</v>
      </c>
      <c r="AT246" s="5" t="str">
        <f>IF(T246="","",_xlfn.XLOOKUP(T246,Airlines!A:A,Airlines!B:B,"Not Found"))</f>
        <v>Aer Lingus</v>
      </c>
      <c r="AU246" s="5" t="str">
        <f>IF(U246="","",_xlfn.XLOOKUP(U246,Hotels!A:A,Hotels!B:B,"Not found"))</f>
        <v>Accor</v>
      </c>
      <c r="AV246" t="s">
        <v>148</v>
      </c>
      <c r="AW246" s="16" t="str">
        <f t="shared" si="71"/>
        <v>OK</v>
      </c>
      <c r="AX246" s="16" t="str">
        <f t="shared" si="72"/>
        <v>OK</v>
      </c>
      <c r="AY246" s="16" t="str">
        <f t="shared" si="73"/>
        <v>OK</v>
      </c>
      <c r="AZ246" s="16" t="str">
        <f t="shared" si="74"/>
        <v>OK</v>
      </c>
      <c r="BA246" s="16" t="str">
        <f t="shared" si="78"/>
        <v>OK</v>
      </c>
      <c r="BB246" s="21">
        <f>COUNTIF('Trip Changes'!B:B,A246)</f>
        <v>2</v>
      </c>
      <c r="BC246" s="16" t="str">
        <f>IF(OR(AND(AD246="Yes",COUNTIF('Trip Changes'!B:B,A246)&gt;0),AND(AD246="No",COUNTIF('Trip Changes'!B:B,A246)=0)),"OK","Check")</f>
        <v>OK</v>
      </c>
      <c r="BD246" t="str">
        <f t="shared" si="79"/>
        <v>OK</v>
      </c>
      <c r="BE246" t="str">
        <f t="shared" si="80"/>
        <v>OK</v>
      </c>
      <c r="BF246" t="str">
        <f t="shared" si="81"/>
        <v>OK</v>
      </c>
      <c r="BG246" t="str">
        <f t="shared" si="82"/>
        <v>OK</v>
      </c>
      <c r="BH246" t="str">
        <f t="shared" si="83"/>
        <v>OK</v>
      </c>
      <c r="BI246" t="str">
        <f t="shared" si="75"/>
        <v>OK</v>
      </c>
      <c r="BJ246" t="str">
        <f t="shared" si="76"/>
        <v>OK</v>
      </c>
      <c r="BK246" t="str">
        <f t="shared" si="77"/>
        <v>OK</v>
      </c>
    </row>
    <row r="247" spans="1:63">
      <c r="A247" s="16" t="s">
        <v>521</v>
      </c>
      <c r="B247" s="16" t="s">
        <v>518</v>
      </c>
      <c r="C247" s="16" t="s">
        <v>142</v>
      </c>
      <c r="D247" s="16" t="s">
        <v>168</v>
      </c>
      <c r="E247" s="16" t="s">
        <v>262</v>
      </c>
      <c r="F247" s="16" t="s">
        <v>157</v>
      </c>
      <c r="G247" s="15">
        <v>46185</v>
      </c>
      <c r="H247" s="15">
        <v>46196</v>
      </c>
      <c r="I247" s="15">
        <v>46199</v>
      </c>
      <c r="J247" s="15" t="s">
        <v>141</v>
      </c>
      <c r="K247" s="16" t="s">
        <v>142</v>
      </c>
      <c r="L247" t="s">
        <v>227</v>
      </c>
      <c r="M247" s="16" t="s">
        <v>152</v>
      </c>
      <c r="N247" s="16" t="s">
        <v>153</v>
      </c>
      <c r="O247" t="s">
        <v>1614</v>
      </c>
      <c r="P247" s="18">
        <v>2676</v>
      </c>
      <c r="Q247" s="21">
        <v>11</v>
      </c>
      <c r="R247" s="21" t="str">
        <f t="shared" si="63"/>
        <v>8-14 days</v>
      </c>
      <c r="S247" s="16" t="s">
        <v>159</v>
      </c>
      <c r="T247" s="16" t="s">
        <v>176</v>
      </c>
      <c r="U247" s="16" t="s">
        <v>187</v>
      </c>
      <c r="V247" t="str">
        <f>IF(U247="","",IFERROR(VLOOKUP(U247,Hotels!A:B,2,FALSE),"Not Found"))</f>
        <v>IHG Hotels &amp; Resorts</v>
      </c>
      <c r="W247" s="14">
        <v>322.93</v>
      </c>
      <c r="X247" s="14">
        <v>0</v>
      </c>
      <c r="Y247" s="21">
        <v>2</v>
      </c>
      <c r="Z247" s="29">
        <f t="shared" si="64"/>
        <v>178.27500000000001</v>
      </c>
      <c r="AA247" s="14">
        <v>356.55</v>
      </c>
      <c r="AB247" s="14">
        <v>95.94</v>
      </c>
      <c r="AC247" s="14">
        <v>775.42</v>
      </c>
      <c r="AD247" s="16" t="s">
        <v>147</v>
      </c>
      <c r="AE247" s="16" t="s">
        <v>147</v>
      </c>
      <c r="AF247" s="14">
        <f>SUMIF('Trip Changes'!$B:$B,A247,'Trip Changes'!$E:$E)</f>
        <v>0</v>
      </c>
      <c r="AG247" s="23">
        <f>SUMIF('Trip Cancellations'!$B:$B,A247,'Trip Cancellations'!$E:$E)</f>
        <v>0</v>
      </c>
      <c r="AH247" s="14">
        <f>SUMIF('Trip Cancellations'!$B:$B,A247,'Trip Cancellations'!$F:$F)</f>
        <v>0</v>
      </c>
      <c r="AI247" s="14">
        <f t="shared" si="65"/>
        <v>775.42</v>
      </c>
      <c r="AJ247" s="14" t="str">
        <f t="shared" si="66"/>
        <v>Yes</v>
      </c>
      <c r="AK247" s="14" t="str">
        <f>IF(Y247=0,"N/A",
IF(_xlfn.XLOOKUP(U247,Hotels!A:A,Hotels!C:C)=TRUE,"Yes","No"))</f>
        <v>Yes</v>
      </c>
      <c r="AL247" s="14" t="str">
        <f>IF(N247="Rail","N/A",IF(_xlfn.XLOOKUP(T247,Airlines!A:A,Airlines!C:C)=TRUE,"Yes","No"))</f>
        <v>Yes</v>
      </c>
      <c r="AM247" s="14" t="str">
        <f t="shared" si="67"/>
        <v>Yes</v>
      </c>
      <c r="AN247" s="14" t="str">
        <f t="shared" si="68"/>
        <v>Yes</v>
      </c>
      <c r="AO247" s="14" t="str">
        <f t="shared" si="69"/>
        <v>Yes</v>
      </c>
      <c r="AP247" s="16" t="s">
        <v>148</v>
      </c>
      <c r="AQ247" t="str">
        <f t="shared" si="70"/>
        <v>Yes</v>
      </c>
      <c r="AR247" s="21">
        <v>4</v>
      </c>
      <c r="AS247" s="5">
        <v>401.4</v>
      </c>
      <c r="AT247" s="5" t="str">
        <f>IF(T247="","",_xlfn.XLOOKUP(T247,Airlines!A:A,Airlines!B:B,"Not Found"))</f>
        <v>easyJet</v>
      </c>
      <c r="AU247" s="5" t="str">
        <f>IF(U247="","",_xlfn.XLOOKUP(U247,Hotels!A:A,Hotels!B:B,"Not found"))</f>
        <v>IHG Hotels &amp; Resorts</v>
      </c>
      <c r="AV247" t="s">
        <v>148</v>
      </c>
      <c r="AW247" s="16" t="str">
        <f t="shared" si="71"/>
        <v>OK</v>
      </c>
      <c r="AX247" s="16" t="str">
        <f t="shared" si="72"/>
        <v>OK</v>
      </c>
      <c r="AY247" s="16" t="str">
        <f t="shared" si="73"/>
        <v>OK</v>
      </c>
      <c r="AZ247" s="16" t="str">
        <f t="shared" si="74"/>
        <v>OK</v>
      </c>
      <c r="BA247" s="16" t="str">
        <f t="shared" si="78"/>
        <v>OK</v>
      </c>
      <c r="BB247" s="21">
        <f>COUNTIF('Trip Changes'!B:B,A247)</f>
        <v>0</v>
      </c>
      <c r="BC247" s="16" t="str">
        <f>IF(OR(AND(AD247="Yes",COUNTIF('Trip Changes'!B:B,A247)&gt;0),AND(AD247="No",COUNTIF('Trip Changes'!B:B,A247)=0)),"OK","Check")</f>
        <v>OK</v>
      </c>
      <c r="BD247" t="str">
        <f t="shared" si="79"/>
        <v>OK</v>
      </c>
      <c r="BE247" t="str">
        <f t="shared" si="80"/>
        <v>OK</v>
      </c>
      <c r="BF247" t="str">
        <f t="shared" si="81"/>
        <v>OK</v>
      </c>
      <c r="BG247" t="str">
        <f t="shared" si="82"/>
        <v>OK</v>
      </c>
      <c r="BH247" t="str">
        <f t="shared" si="83"/>
        <v>OK</v>
      </c>
      <c r="BI247" t="str">
        <f t="shared" si="75"/>
        <v>OK</v>
      </c>
      <c r="BJ247" t="str">
        <f t="shared" si="76"/>
        <v>OK</v>
      </c>
      <c r="BK247" t="str">
        <f t="shared" si="77"/>
        <v>OK</v>
      </c>
    </row>
    <row r="248" spans="1:63">
      <c r="A248" s="16" t="s">
        <v>522</v>
      </c>
      <c r="B248" s="16" t="s">
        <v>518</v>
      </c>
      <c r="C248" s="16" t="s">
        <v>142</v>
      </c>
      <c r="D248" s="16" t="s">
        <v>168</v>
      </c>
      <c r="E248" s="16" t="s">
        <v>262</v>
      </c>
      <c r="F248" s="16" t="s">
        <v>157</v>
      </c>
      <c r="G248" s="15">
        <v>46189</v>
      </c>
      <c r="H248" s="15">
        <v>46201</v>
      </c>
      <c r="I248" s="15">
        <v>46204</v>
      </c>
      <c r="J248" s="15" t="s">
        <v>141</v>
      </c>
      <c r="K248" s="16" t="s">
        <v>142</v>
      </c>
      <c r="L248" t="s">
        <v>362</v>
      </c>
      <c r="M248" s="16" t="s">
        <v>152</v>
      </c>
      <c r="N248" s="16" t="s">
        <v>153</v>
      </c>
      <c r="O248" t="s">
        <v>1614</v>
      </c>
      <c r="P248" s="18">
        <v>3332</v>
      </c>
      <c r="Q248" s="21">
        <v>12</v>
      </c>
      <c r="R248" s="21" t="str">
        <f t="shared" si="63"/>
        <v>8-14 days</v>
      </c>
      <c r="S248" s="16" t="s">
        <v>145</v>
      </c>
      <c r="T248" s="16" t="s">
        <v>176</v>
      </c>
      <c r="U248" s="16" t="s">
        <v>164</v>
      </c>
      <c r="V248" t="str">
        <f>IF(U248="","",IFERROR(VLOOKUP(U248,Hotels!A:B,2,FALSE),"Not Found"))</f>
        <v>Marriott</v>
      </c>
      <c r="W248" s="14">
        <v>287.5</v>
      </c>
      <c r="X248" s="14">
        <v>0</v>
      </c>
      <c r="Y248" s="21">
        <v>2</v>
      </c>
      <c r="Z248" s="29">
        <f t="shared" si="64"/>
        <v>166.45</v>
      </c>
      <c r="AA248" s="14">
        <v>332.9</v>
      </c>
      <c r="AB248" s="14">
        <v>59.76</v>
      </c>
      <c r="AC248" s="14">
        <v>680.16</v>
      </c>
      <c r="AD248" s="16" t="s">
        <v>147</v>
      </c>
      <c r="AE248" s="16" t="s">
        <v>147</v>
      </c>
      <c r="AF248" s="14">
        <f>SUMIF('Trip Changes'!$B:$B,A248,'Trip Changes'!$E:$E)</f>
        <v>0</v>
      </c>
      <c r="AG248" s="23">
        <f>SUMIF('Trip Cancellations'!$B:$B,A248,'Trip Cancellations'!$E:$E)</f>
        <v>0</v>
      </c>
      <c r="AH248" s="14">
        <f>SUMIF('Trip Cancellations'!$B:$B,A248,'Trip Cancellations'!$F:$F)</f>
        <v>0</v>
      </c>
      <c r="AI248" s="14">
        <f t="shared" si="65"/>
        <v>680.16</v>
      </c>
      <c r="AJ248" s="14" t="str">
        <f t="shared" si="66"/>
        <v>Yes</v>
      </c>
      <c r="AK248" s="14" t="str">
        <f>IF(Y248=0,"N/A",
IF(_xlfn.XLOOKUP(U248,Hotels!A:A,Hotels!C:C)=TRUE,"Yes","No"))</f>
        <v>Yes</v>
      </c>
      <c r="AL248" s="14" t="str">
        <f>IF(N248="Rail","N/A",IF(_xlfn.XLOOKUP(T248,Airlines!A:A,Airlines!C:C)=TRUE,"Yes","No"))</f>
        <v>Yes</v>
      </c>
      <c r="AM248" s="14" t="str">
        <f t="shared" si="67"/>
        <v>Yes</v>
      </c>
      <c r="AN248" s="14" t="str">
        <f t="shared" si="68"/>
        <v>Yes</v>
      </c>
      <c r="AO248" s="14" t="str">
        <f t="shared" si="69"/>
        <v>Yes</v>
      </c>
      <c r="AP248" s="16" t="s">
        <v>148</v>
      </c>
      <c r="AQ248" t="str">
        <f t="shared" si="70"/>
        <v>Yes</v>
      </c>
      <c r="AR248" s="21">
        <v>4</v>
      </c>
      <c r="AS248" s="5">
        <v>499.8</v>
      </c>
      <c r="AT248" s="5" t="str">
        <f>IF(T248="","",_xlfn.XLOOKUP(T248,Airlines!A:A,Airlines!B:B,"Not Found"))</f>
        <v>easyJet</v>
      </c>
      <c r="AU248" s="5" t="str">
        <f>IF(U248="","",_xlfn.XLOOKUP(U248,Hotels!A:A,Hotels!B:B,"Not found"))</f>
        <v>Marriott</v>
      </c>
      <c r="AV248" t="s">
        <v>148</v>
      </c>
      <c r="AW248" s="16" t="str">
        <f t="shared" si="71"/>
        <v>OK</v>
      </c>
      <c r="AX248" s="16" t="str">
        <f t="shared" si="72"/>
        <v>OK</v>
      </c>
      <c r="AY248" s="16" t="str">
        <f t="shared" si="73"/>
        <v>OK</v>
      </c>
      <c r="AZ248" s="16" t="str">
        <f t="shared" si="74"/>
        <v>OK</v>
      </c>
      <c r="BA248" s="16" t="str">
        <f t="shared" si="78"/>
        <v>OK</v>
      </c>
      <c r="BB248" s="21">
        <f>COUNTIF('Trip Changes'!B:B,A248)</f>
        <v>0</v>
      </c>
      <c r="BC248" s="16" t="str">
        <f>IF(OR(AND(AD248="Yes",COUNTIF('Trip Changes'!B:B,A248)&gt;0),AND(AD248="No",COUNTIF('Trip Changes'!B:B,A248)=0)),"OK","Check")</f>
        <v>OK</v>
      </c>
      <c r="BD248" t="str">
        <f t="shared" si="79"/>
        <v>OK</v>
      </c>
      <c r="BE248" t="str">
        <f t="shared" si="80"/>
        <v>OK</v>
      </c>
      <c r="BF248" t="str">
        <f t="shared" si="81"/>
        <v>OK</v>
      </c>
      <c r="BG248" t="str">
        <f t="shared" si="82"/>
        <v>OK</v>
      </c>
      <c r="BH248" t="str">
        <f t="shared" si="83"/>
        <v>OK</v>
      </c>
      <c r="BI248" t="str">
        <f t="shared" si="75"/>
        <v>OK</v>
      </c>
      <c r="BJ248" t="str">
        <f t="shared" si="76"/>
        <v>OK</v>
      </c>
      <c r="BK248" t="str">
        <f t="shared" si="77"/>
        <v>OK</v>
      </c>
    </row>
    <row r="249" spans="1:63">
      <c r="A249" s="16" t="s">
        <v>523</v>
      </c>
      <c r="B249" s="16" t="s">
        <v>518</v>
      </c>
      <c r="C249" s="16" t="s">
        <v>142</v>
      </c>
      <c r="D249" s="16" t="s">
        <v>168</v>
      </c>
      <c r="E249" s="16" t="s">
        <v>262</v>
      </c>
      <c r="F249" s="16" t="s">
        <v>170</v>
      </c>
      <c r="G249" s="15">
        <v>46205</v>
      </c>
      <c r="H249" s="15">
        <v>46226</v>
      </c>
      <c r="I249" s="15">
        <v>46228</v>
      </c>
      <c r="J249" s="15" t="s">
        <v>150</v>
      </c>
      <c r="K249" s="16" t="s">
        <v>142</v>
      </c>
      <c r="L249" t="s">
        <v>182</v>
      </c>
      <c r="M249" s="16" t="s">
        <v>143</v>
      </c>
      <c r="N249" s="16" t="s">
        <v>144</v>
      </c>
      <c r="O249" t="s">
        <v>1630</v>
      </c>
      <c r="P249" s="18">
        <v>1040</v>
      </c>
      <c r="Q249" s="21">
        <v>21</v>
      </c>
      <c r="R249" s="21" t="str">
        <f t="shared" si="63"/>
        <v>15-30 days</v>
      </c>
      <c r="S249" s="16" t="s">
        <v>145</v>
      </c>
      <c r="U249" s="16" t="s">
        <v>146</v>
      </c>
      <c r="V249" t="str">
        <f>IF(U249="","",IFERROR(VLOOKUP(U249,Hotels!A:B,2,FALSE),"Not Found"))</f>
        <v>Premier Inn</v>
      </c>
      <c r="W249" s="14">
        <v>0</v>
      </c>
      <c r="X249" s="14">
        <v>90</v>
      </c>
      <c r="Y249" s="21">
        <v>1</v>
      </c>
      <c r="Z249" s="29">
        <f t="shared" si="64"/>
        <v>140.77000000000001</v>
      </c>
      <c r="AA249" s="14">
        <v>140.77000000000001</v>
      </c>
      <c r="AB249" s="14">
        <v>20</v>
      </c>
      <c r="AC249" s="14">
        <v>250.77</v>
      </c>
      <c r="AD249" s="16" t="s">
        <v>148</v>
      </c>
      <c r="AE249" s="16" t="s">
        <v>147</v>
      </c>
      <c r="AF249" s="14">
        <f>SUMIF('Trip Changes'!$B:$B,A249,'Trip Changes'!$E:$E)</f>
        <v>15</v>
      </c>
      <c r="AG249" s="23">
        <f>SUMIF('Trip Cancellations'!$B:$B,A249,'Trip Cancellations'!$E:$E)</f>
        <v>0</v>
      </c>
      <c r="AH249" s="14">
        <f>SUMIF('Trip Cancellations'!$B:$B,A249,'Trip Cancellations'!$F:$F)</f>
        <v>0</v>
      </c>
      <c r="AI249" s="14">
        <f t="shared" si="65"/>
        <v>265.77</v>
      </c>
      <c r="AJ249" s="14" t="str">
        <f t="shared" si="66"/>
        <v>Yes</v>
      </c>
      <c r="AK249" s="14" t="str">
        <f>IF(Y249=0,"N/A",
IF(_xlfn.XLOOKUP(U249,Hotels!A:A,Hotels!C:C)=TRUE,"Yes","No"))</f>
        <v>Yes</v>
      </c>
      <c r="AL249" s="14" t="str">
        <f>IF(N249="Rail","N/A",IF(_xlfn.XLOOKUP(T249,Airlines!A:A,Airlines!C:C)=TRUE,"Yes","No"))</f>
        <v>N/A</v>
      </c>
      <c r="AM249" s="14" t="str">
        <f t="shared" si="67"/>
        <v>Yes</v>
      </c>
      <c r="AN249" s="14" t="str">
        <f t="shared" si="68"/>
        <v>Yes</v>
      </c>
      <c r="AO249" s="14" t="str">
        <f t="shared" si="69"/>
        <v>Yes</v>
      </c>
      <c r="AP249" s="16" t="s">
        <v>148</v>
      </c>
      <c r="AQ249" t="str">
        <f t="shared" si="70"/>
        <v>Yes</v>
      </c>
      <c r="AR249" s="21">
        <v>5</v>
      </c>
      <c r="AS249" s="5">
        <v>41.6</v>
      </c>
      <c r="AT249" s="5" t="str">
        <f>IF(T249="","",_xlfn.XLOOKUP(T249,Airlines!A:A,Airlines!B:B,"Not Found"))</f>
        <v/>
      </c>
      <c r="AU249" s="5" t="str">
        <f>IF(U249="","",_xlfn.XLOOKUP(U249,Hotels!A:A,Hotels!B:B,"Not found"))</f>
        <v>Premier Inn</v>
      </c>
      <c r="AV249" t="s">
        <v>148</v>
      </c>
      <c r="AW249" s="16" t="str">
        <f t="shared" si="71"/>
        <v>OK</v>
      </c>
      <c r="AX249" s="16" t="str">
        <f t="shared" si="72"/>
        <v>OK</v>
      </c>
      <c r="AY249" s="16" t="str">
        <f t="shared" si="73"/>
        <v>OK</v>
      </c>
      <c r="AZ249" s="16" t="str">
        <f t="shared" si="74"/>
        <v>OK</v>
      </c>
      <c r="BA249" s="16" t="str">
        <f t="shared" si="78"/>
        <v>OK</v>
      </c>
      <c r="BB249" s="21">
        <f>COUNTIF('Trip Changes'!B:B,A249)</f>
        <v>1</v>
      </c>
      <c r="BC249" s="16" t="str">
        <f>IF(OR(AND(AD249="Yes",COUNTIF('Trip Changes'!B:B,A249)&gt;0),AND(AD249="No",COUNTIF('Trip Changes'!B:B,A249)=0)),"OK","Check")</f>
        <v>OK</v>
      </c>
      <c r="BD249" t="str">
        <f t="shared" si="79"/>
        <v>OK</v>
      </c>
      <c r="BE249" t="str">
        <f t="shared" si="80"/>
        <v>OK</v>
      </c>
      <c r="BF249" t="str">
        <f t="shared" si="81"/>
        <v>OK</v>
      </c>
      <c r="BG249" t="str">
        <f t="shared" si="82"/>
        <v>OK</v>
      </c>
      <c r="BH249" t="str">
        <f t="shared" si="83"/>
        <v>OK</v>
      </c>
      <c r="BI249" t="str">
        <f t="shared" si="75"/>
        <v>OK</v>
      </c>
      <c r="BJ249" t="str">
        <f t="shared" si="76"/>
        <v>OK</v>
      </c>
      <c r="BK249" t="str">
        <f t="shared" si="77"/>
        <v>OK</v>
      </c>
    </row>
    <row r="250" spans="1:63">
      <c r="A250" s="16" t="s">
        <v>524</v>
      </c>
      <c r="B250" s="16" t="s">
        <v>525</v>
      </c>
      <c r="C250" s="16" t="s">
        <v>182</v>
      </c>
      <c r="D250" s="16" t="s">
        <v>138</v>
      </c>
      <c r="E250" s="16" t="s">
        <v>139</v>
      </c>
      <c r="F250" s="16" t="s">
        <v>181</v>
      </c>
      <c r="G250" s="15">
        <v>46188</v>
      </c>
      <c r="H250" s="15">
        <v>46211</v>
      </c>
      <c r="I250" s="15">
        <v>46215</v>
      </c>
      <c r="J250" s="15" t="s">
        <v>150</v>
      </c>
      <c r="K250" s="16" t="s">
        <v>182</v>
      </c>
      <c r="L250" t="s">
        <v>225</v>
      </c>
      <c r="M250" s="16" t="s">
        <v>152</v>
      </c>
      <c r="N250" s="16" t="s">
        <v>153</v>
      </c>
      <c r="O250" t="s">
        <v>1614</v>
      </c>
      <c r="P250" s="18">
        <v>2158</v>
      </c>
      <c r="Q250" s="21">
        <v>23</v>
      </c>
      <c r="R250" s="21" t="str">
        <f t="shared" si="63"/>
        <v>15-30 days</v>
      </c>
      <c r="S250" s="16" t="s">
        <v>216</v>
      </c>
      <c r="T250" s="16" t="s">
        <v>236</v>
      </c>
      <c r="U250" s="16" t="s">
        <v>173</v>
      </c>
      <c r="V250" t="str">
        <f>IF(U250="","",IFERROR(VLOOKUP(U250,Hotels!A:B,2,FALSE),"Not Found"))</f>
        <v>Accor</v>
      </c>
      <c r="W250" s="14">
        <v>339.73</v>
      </c>
      <c r="X250" s="14">
        <v>0</v>
      </c>
      <c r="Y250" s="21">
        <v>3</v>
      </c>
      <c r="Z250" s="29">
        <f t="shared" si="64"/>
        <v>208.07333333333335</v>
      </c>
      <c r="AA250" s="14">
        <v>624.22</v>
      </c>
      <c r="AB250" s="14">
        <v>81.459999999999994</v>
      </c>
      <c r="AC250" s="14">
        <v>1045.4100000000001</v>
      </c>
      <c r="AD250" s="16" t="s">
        <v>147</v>
      </c>
      <c r="AE250" s="16" t="s">
        <v>147</v>
      </c>
      <c r="AF250" s="14">
        <f>SUMIF('Trip Changes'!$B:$B,A250,'Trip Changes'!$E:$E)</f>
        <v>0</v>
      </c>
      <c r="AG250" s="23">
        <f>SUMIF('Trip Cancellations'!$B:$B,A250,'Trip Cancellations'!$E:$E)</f>
        <v>0</v>
      </c>
      <c r="AH250" s="14">
        <f>SUMIF('Trip Cancellations'!$B:$B,A250,'Trip Cancellations'!$F:$F)</f>
        <v>0</v>
      </c>
      <c r="AI250" s="14">
        <f t="shared" si="65"/>
        <v>1045.4100000000001</v>
      </c>
      <c r="AJ250" s="14" t="str">
        <f t="shared" si="66"/>
        <v>No</v>
      </c>
      <c r="AK250" s="14" t="str">
        <f>IF(Y250=0,"N/A",
IF(_xlfn.XLOOKUP(U250,Hotels!A:A,Hotels!C:C)=TRUE,"Yes","No"))</f>
        <v>Yes</v>
      </c>
      <c r="AL250" s="14" t="str">
        <f>IF(N250="Rail","N/A",IF(_xlfn.XLOOKUP(T250,Airlines!A:A,Airlines!C:C)=TRUE,"Yes","No"))</f>
        <v>Yes</v>
      </c>
      <c r="AM250" s="14" t="str">
        <f t="shared" si="67"/>
        <v>Yes</v>
      </c>
      <c r="AN250" s="14" t="str">
        <f t="shared" si="68"/>
        <v>No</v>
      </c>
      <c r="AO250" s="14" t="str">
        <f t="shared" si="69"/>
        <v>Yes</v>
      </c>
      <c r="AP250" s="16" t="s">
        <v>148</v>
      </c>
      <c r="AQ250" t="str">
        <f t="shared" si="70"/>
        <v>No</v>
      </c>
      <c r="AR250" s="21">
        <v>3</v>
      </c>
      <c r="AS250" s="5">
        <v>323.7</v>
      </c>
      <c r="AT250" s="5" t="str">
        <f>IF(T250="","",_xlfn.XLOOKUP(T250,Airlines!A:A,Airlines!B:B,"Not Found"))</f>
        <v>KLM</v>
      </c>
      <c r="AU250" s="5" t="str">
        <f>IF(U250="","",_xlfn.XLOOKUP(U250,Hotels!A:A,Hotels!B:B,"Not found"))</f>
        <v>Accor</v>
      </c>
      <c r="AV250" t="s">
        <v>147</v>
      </c>
      <c r="AW250" s="16" t="str">
        <f t="shared" si="71"/>
        <v>OK</v>
      </c>
      <c r="AX250" s="16" t="str">
        <f t="shared" si="72"/>
        <v>OK</v>
      </c>
      <c r="AY250" s="16" t="str">
        <f t="shared" si="73"/>
        <v>OK</v>
      </c>
      <c r="AZ250" s="16" t="str">
        <f t="shared" si="74"/>
        <v>OK</v>
      </c>
      <c r="BA250" s="16" t="str">
        <f t="shared" si="78"/>
        <v>OK</v>
      </c>
      <c r="BB250" s="21">
        <f>COUNTIF('Trip Changes'!B:B,A250)</f>
        <v>0</v>
      </c>
      <c r="BC250" s="16" t="str">
        <f>IF(OR(AND(AD250="Yes",COUNTIF('Trip Changes'!B:B,A250)&gt;0),AND(AD250="No",COUNTIF('Trip Changes'!B:B,A250)=0)),"OK","Check")</f>
        <v>OK</v>
      </c>
      <c r="BD250" t="str">
        <f t="shared" si="79"/>
        <v>OK</v>
      </c>
      <c r="BE250" t="str">
        <f t="shared" si="80"/>
        <v>OK</v>
      </c>
      <c r="BF250" t="str">
        <f t="shared" si="81"/>
        <v>OK</v>
      </c>
      <c r="BG250" t="str">
        <f t="shared" si="82"/>
        <v>OK</v>
      </c>
      <c r="BH250" t="str">
        <f t="shared" si="83"/>
        <v>OK</v>
      </c>
      <c r="BI250" t="str">
        <f t="shared" si="75"/>
        <v>OK</v>
      </c>
      <c r="BJ250" t="str">
        <f t="shared" si="76"/>
        <v>OK</v>
      </c>
      <c r="BK250" t="str">
        <f t="shared" si="77"/>
        <v>OK</v>
      </c>
    </row>
    <row r="251" spans="1:63">
      <c r="A251" s="16" t="s">
        <v>526</v>
      </c>
      <c r="B251" s="16" t="s">
        <v>525</v>
      </c>
      <c r="C251" s="16" t="s">
        <v>182</v>
      </c>
      <c r="D251" s="16" t="s">
        <v>138</v>
      </c>
      <c r="E251" s="16" t="s">
        <v>139</v>
      </c>
      <c r="F251" s="16" t="s">
        <v>181</v>
      </c>
      <c r="G251" s="15">
        <v>46211</v>
      </c>
      <c r="H251" s="15">
        <v>46232</v>
      </c>
      <c r="I251" s="15">
        <v>46235</v>
      </c>
      <c r="J251" s="15" t="s">
        <v>150</v>
      </c>
      <c r="K251" s="16" t="s">
        <v>182</v>
      </c>
      <c r="L251" t="s">
        <v>283</v>
      </c>
      <c r="M251" s="16" t="s">
        <v>152</v>
      </c>
      <c r="N251" s="16" t="s">
        <v>153</v>
      </c>
      <c r="O251" t="s">
        <v>1614</v>
      </c>
      <c r="P251" s="18">
        <v>12516</v>
      </c>
      <c r="Q251" s="21">
        <v>21</v>
      </c>
      <c r="R251" s="21" t="str">
        <f t="shared" si="63"/>
        <v>15-30 days</v>
      </c>
      <c r="S251" s="16" t="s">
        <v>145</v>
      </c>
      <c r="T251" s="16" t="s">
        <v>186</v>
      </c>
      <c r="U251" s="16" t="s">
        <v>190</v>
      </c>
      <c r="V251" t="str">
        <f>IF(U251="","",IFERROR(VLOOKUP(U251,Hotels!A:B,2,FALSE),"Not Found"))</f>
        <v>Radisson Hotel Group</v>
      </c>
      <c r="W251" s="14">
        <v>943.94</v>
      </c>
      <c r="X251" s="14">
        <v>0</v>
      </c>
      <c r="Y251" s="21">
        <v>2</v>
      </c>
      <c r="Z251" s="29">
        <f t="shared" si="64"/>
        <v>152.24</v>
      </c>
      <c r="AA251" s="14">
        <v>304.48</v>
      </c>
      <c r="AB251" s="14">
        <v>133.06</v>
      </c>
      <c r="AC251" s="14">
        <v>1381.48</v>
      </c>
      <c r="AD251" s="16" t="s">
        <v>147</v>
      </c>
      <c r="AE251" s="16" t="s">
        <v>147</v>
      </c>
      <c r="AF251" s="14">
        <f>SUMIF('Trip Changes'!$B:$B,A251,'Trip Changes'!$E:$E)</f>
        <v>0</v>
      </c>
      <c r="AG251" s="23">
        <f>SUMIF('Trip Cancellations'!$B:$B,A251,'Trip Cancellations'!$E:$E)</f>
        <v>0</v>
      </c>
      <c r="AH251" s="14">
        <f>SUMIF('Trip Cancellations'!$B:$B,A251,'Trip Cancellations'!$F:$F)</f>
        <v>0</v>
      </c>
      <c r="AI251" s="14">
        <f t="shared" si="65"/>
        <v>1381.48</v>
      </c>
      <c r="AJ251" s="14" t="str">
        <f t="shared" si="66"/>
        <v>Yes</v>
      </c>
      <c r="AK251" s="14" t="str">
        <f>IF(Y251=0,"N/A",
IF(_xlfn.XLOOKUP(U251,Hotels!A:A,Hotels!C:C)=TRUE,"Yes","No"))</f>
        <v>No</v>
      </c>
      <c r="AL251" s="14" t="str">
        <f>IF(N251="Rail","N/A",IF(_xlfn.XLOOKUP(T251,Airlines!A:A,Airlines!C:C)=TRUE,"Yes","No"))</f>
        <v>Yes</v>
      </c>
      <c r="AM251" s="14" t="str">
        <f t="shared" si="67"/>
        <v>Yes</v>
      </c>
      <c r="AN251" s="14" t="str">
        <f t="shared" si="68"/>
        <v>Yes</v>
      </c>
      <c r="AO251" s="14" t="str">
        <f t="shared" si="69"/>
        <v>No</v>
      </c>
      <c r="AP251" s="16" t="s">
        <v>148</v>
      </c>
      <c r="AQ251" t="str">
        <f t="shared" si="70"/>
        <v>No</v>
      </c>
      <c r="AR251" s="21">
        <v>5</v>
      </c>
      <c r="AS251" s="5">
        <v>1877.4</v>
      </c>
      <c r="AT251" s="5" t="str">
        <f>IF(T251="","",_xlfn.XLOOKUP(T251,Airlines!A:A,Airlines!B:B,"Not Found"))</f>
        <v>Virgin Atlantic</v>
      </c>
      <c r="AU251" s="5" t="str">
        <f>IF(U251="","",_xlfn.XLOOKUP(U251,Hotels!A:A,Hotels!B:B,"Not found"))</f>
        <v>Radisson Hotel Group</v>
      </c>
      <c r="AV251" t="s">
        <v>147</v>
      </c>
      <c r="AW251" s="16" t="str">
        <f t="shared" si="71"/>
        <v>OK</v>
      </c>
      <c r="AX251" s="16" t="str">
        <f t="shared" si="72"/>
        <v>OK</v>
      </c>
      <c r="AY251" s="16" t="str">
        <f t="shared" si="73"/>
        <v>OK</v>
      </c>
      <c r="AZ251" s="16" t="str">
        <f t="shared" si="74"/>
        <v>OK</v>
      </c>
      <c r="BA251" s="16" t="str">
        <f t="shared" si="78"/>
        <v>OK</v>
      </c>
      <c r="BB251" s="21">
        <f>COUNTIF('Trip Changes'!B:B,A251)</f>
        <v>0</v>
      </c>
      <c r="BC251" s="16" t="str">
        <f>IF(OR(AND(AD251="Yes",COUNTIF('Trip Changes'!B:B,A251)&gt;0),AND(AD251="No",COUNTIF('Trip Changes'!B:B,A251)=0)),"OK","Check")</f>
        <v>OK</v>
      </c>
      <c r="BD251" t="str">
        <f t="shared" si="79"/>
        <v>OK</v>
      </c>
      <c r="BE251" t="str">
        <f t="shared" si="80"/>
        <v>OK</v>
      </c>
      <c r="BF251" t="str">
        <f t="shared" si="81"/>
        <v>OK</v>
      </c>
      <c r="BG251" t="str">
        <f t="shared" si="82"/>
        <v>OK</v>
      </c>
      <c r="BH251" t="str">
        <f t="shared" si="83"/>
        <v>OK</v>
      </c>
      <c r="BI251" t="str">
        <f t="shared" si="75"/>
        <v>OK</v>
      </c>
      <c r="BJ251" t="str">
        <f t="shared" si="76"/>
        <v>OK</v>
      </c>
      <c r="BK251" t="str">
        <f t="shared" si="77"/>
        <v>OK</v>
      </c>
    </row>
    <row r="252" spans="1:63">
      <c r="A252" s="16" t="s">
        <v>527</v>
      </c>
      <c r="B252" s="16" t="s">
        <v>525</v>
      </c>
      <c r="C252" s="16" t="s">
        <v>182</v>
      </c>
      <c r="D252" s="16" t="s">
        <v>138</v>
      </c>
      <c r="E252" s="16" t="s">
        <v>139</v>
      </c>
      <c r="F252" s="16" t="s">
        <v>181</v>
      </c>
      <c r="G252" s="15">
        <v>46177</v>
      </c>
      <c r="H252" s="15">
        <v>46185</v>
      </c>
      <c r="I252" s="15">
        <v>46190</v>
      </c>
      <c r="J252" s="15" t="s">
        <v>141</v>
      </c>
      <c r="K252" s="16" t="s">
        <v>182</v>
      </c>
      <c r="L252" t="s">
        <v>175</v>
      </c>
      <c r="M252" s="16" t="s">
        <v>152</v>
      </c>
      <c r="N252" s="16" t="s">
        <v>153</v>
      </c>
      <c r="O252" t="s">
        <v>1614</v>
      </c>
      <c r="P252" s="18">
        <v>3312</v>
      </c>
      <c r="Q252" s="21">
        <v>8</v>
      </c>
      <c r="R252" s="21" t="str">
        <f t="shared" si="63"/>
        <v>8-14 days</v>
      </c>
      <c r="S252" s="16" t="s">
        <v>207</v>
      </c>
      <c r="T252" s="16" t="s">
        <v>236</v>
      </c>
      <c r="U252" s="16" t="s">
        <v>155</v>
      </c>
      <c r="V252" t="str">
        <f>IF(U252="","",IFERROR(VLOOKUP(U252,Hotels!A:B,2,FALSE),"Not Found"))</f>
        <v>Hilton</v>
      </c>
      <c r="W252" s="14">
        <v>405.89</v>
      </c>
      <c r="X252" s="14">
        <v>0</v>
      </c>
      <c r="Y252" s="21">
        <v>4</v>
      </c>
      <c r="Z252" s="29">
        <f t="shared" si="64"/>
        <v>151.96</v>
      </c>
      <c r="AA252" s="14">
        <v>607.84</v>
      </c>
      <c r="AB252" s="14">
        <v>110.06</v>
      </c>
      <c r="AC252" s="14">
        <v>1123.79</v>
      </c>
      <c r="AD252" s="16" t="s">
        <v>147</v>
      </c>
      <c r="AE252" s="16" t="s">
        <v>147</v>
      </c>
      <c r="AF252" s="14">
        <f>SUMIF('Trip Changes'!$B:$B,A252,'Trip Changes'!$E:$E)</f>
        <v>0</v>
      </c>
      <c r="AG252" s="23">
        <f>SUMIF('Trip Cancellations'!$B:$B,A252,'Trip Cancellations'!$E:$E)</f>
        <v>0</v>
      </c>
      <c r="AH252" s="14">
        <f>SUMIF('Trip Cancellations'!$B:$B,A252,'Trip Cancellations'!$F:$F)</f>
        <v>0</v>
      </c>
      <c r="AI252" s="14">
        <f t="shared" si="65"/>
        <v>1123.79</v>
      </c>
      <c r="AJ252" s="14" t="str">
        <f t="shared" si="66"/>
        <v>Yes</v>
      </c>
      <c r="AK252" s="14" t="str">
        <f>IF(Y252=0,"N/A",
IF(_xlfn.XLOOKUP(U252,Hotels!A:A,Hotels!C:C)=TRUE,"Yes","No"))</f>
        <v>Yes</v>
      </c>
      <c r="AL252" s="14" t="str">
        <f>IF(N252="Rail","N/A",IF(_xlfn.XLOOKUP(T252,Airlines!A:A,Airlines!C:C)=TRUE,"Yes","No"))</f>
        <v>Yes</v>
      </c>
      <c r="AM252" s="14" t="str">
        <f t="shared" si="67"/>
        <v>Yes</v>
      </c>
      <c r="AN252" s="14" t="str">
        <f t="shared" si="68"/>
        <v>No</v>
      </c>
      <c r="AO252" s="14" t="str">
        <f t="shared" si="69"/>
        <v>Yes</v>
      </c>
      <c r="AP252" s="16" t="s">
        <v>147</v>
      </c>
      <c r="AQ252" t="str">
        <f t="shared" si="70"/>
        <v>No</v>
      </c>
      <c r="AR252" s="21">
        <v>4</v>
      </c>
      <c r="AS252" s="5">
        <v>496.8</v>
      </c>
      <c r="AT252" s="5" t="str">
        <f>IF(T252="","",_xlfn.XLOOKUP(T252,Airlines!A:A,Airlines!B:B,"Not Found"))</f>
        <v>KLM</v>
      </c>
      <c r="AU252" s="5" t="str">
        <f>IF(U252="","",_xlfn.XLOOKUP(U252,Hotels!A:A,Hotels!B:B,"Not found"))</f>
        <v>Hilton</v>
      </c>
      <c r="AV252" t="s">
        <v>148</v>
      </c>
      <c r="AW252" s="16" t="str">
        <f t="shared" si="71"/>
        <v>OK</v>
      </c>
      <c r="AX252" s="16" t="str">
        <f t="shared" si="72"/>
        <v>OK</v>
      </c>
      <c r="AY252" s="16" t="str">
        <f t="shared" si="73"/>
        <v>OK</v>
      </c>
      <c r="AZ252" s="16" t="str">
        <f t="shared" si="74"/>
        <v>OK</v>
      </c>
      <c r="BA252" s="16" t="str">
        <f t="shared" si="78"/>
        <v>OK</v>
      </c>
      <c r="BB252" s="21">
        <f>COUNTIF('Trip Changes'!B:B,A252)</f>
        <v>0</v>
      </c>
      <c r="BC252" s="16" t="str">
        <f>IF(OR(AND(AD252="Yes",COUNTIF('Trip Changes'!B:B,A252)&gt;0),AND(AD252="No",COUNTIF('Trip Changes'!B:B,A252)=0)),"OK","Check")</f>
        <v>OK</v>
      </c>
      <c r="BD252" t="str">
        <f t="shared" si="79"/>
        <v>OK</v>
      </c>
      <c r="BE252" t="str">
        <f t="shared" si="80"/>
        <v>OK</v>
      </c>
      <c r="BF252" t="str">
        <f t="shared" si="81"/>
        <v>OK</v>
      </c>
      <c r="BG252" t="str">
        <f t="shared" si="82"/>
        <v>OK</v>
      </c>
      <c r="BH252" t="str">
        <f t="shared" si="83"/>
        <v>OK</v>
      </c>
      <c r="BI252" t="str">
        <f t="shared" si="75"/>
        <v>OK</v>
      </c>
      <c r="BJ252" t="str">
        <f t="shared" si="76"/>
        <v>OK</v>
      </c>
      <c r="BK252" t="str">
        <f t="shared" si="77"/>
        <v>OK</v>
      </c>
    </row>
    <row r="253" spans="1:63">
      <c r="A253" s="16" t="s">
        <v>528</v>
      </c>
      <c r="B253" s="16" t="s">
        <v>525</v>
      </c>
      <c r="C253" s="16" t="s">
        <v>182</v>
      </c>
      <c r="D253" s="16" t="s">
        <v>138</v>
      </c>
      <c r="E253" s="16" t="s">
        <v>139</v>
      </c>
      <c r="F253" s="16" t="s">
        <v>162</v>
      </c>
      <c r="G253" s="15">
        <v>46123</v>
      </c>
      <c r="H253" s="15">
        <v>46152</v>
      </c>
      <c r="I253" s="15">
        <v>46156</v>
      </c>
      <c r="J253" s="15" t="s">
        <v>163</v>
      </c>
      <c r="K253" s="16" t="s">
        <v>182</v>
      </c>
      <c r="L253" t="s">
        <v>233</v>
      </c>
      <c r="M253" s="16" t="s">
        <v>152</v>
      </c>
      <c r="N253" s="16" t="s">
        <v>153</v>
      </c>
      <c r="O253" t="s">
        <v>1614</v>
      </c>
      <c r="P253" s="18">
        <v>1964</v>
      </c>
      <c r="Q253" s="21">
        <v>29</v>
      </c>
      <c r="R253" s="21" t="str">
        <f t="shared" si="63"/>
        <v>15-30 days</v>
      </c>
      <c r="S253" s="16" t="s">
        <v>145</v>
      </c>
      <c r="T253" s="16" t="s">
        <v>160</v>
      </c>
      <c r="U253" s="16" t="s">
        <v>187</v>
      </c>
      <c r="V253" t="str">
        <f>IF(U253="","",IFERROR(VLOOKUP(U253,Hotels!A:B,2,FALSE),"Not Found"))</f>
        <v>IHG Hotels &amp; Resorts</v>
      </c>
      <c r="W253" s="14">
        <v>265.31</v>
      </c>
      <c r="X253" s="14">
        <v>0</v>
      </c>
      <c r="Y253" s="21">
        <v>3</v>
      </c>
      <c r="Z253" s="29">
        <f t="shared" si="64"/>
        <v>198.96333333333334</v>
      </c>
      <c r="AA253" s="14">
        <v>596.89</v>
      </c>
      <c r="AB253" s="14">
        <v>61.92</v>
      </c>
      <c r="AC253" s="14">
        <v>924.12</v>
      </c>
      <c r="AD253" s="16" t="s">
        <v>147</v>
      </c>
      <c r="AE253" s="16" t="s">
        <v>147</v>
      </c>
      <c r="AF253" s="14">
        <f>SUMIF('Trip Changes'!$B:$B,A253,'Trip Changes'!$E:$E)</f>
        <v>0</v>
      </c>
      <c r="AG253" s="23">
        <f>SUMIF('Trip Cancellations'!$B:$B,A253,'Trip Cancellations'!$E:$E)</f>
        <v>0</v>
      </c>
      <c r="AH253" s="14">
        <f>SUMIF('Trip Cancellations'!$B:$B,A253,'Trip Cancellations'!$F:$F)</f>
        <v>0</v>
      </c>
      <c r="AI253" s="14">
        <f t="shared" si="65"/>
        <v>924.12</v>
      </c>
      <c r="AJ253" s="14" t="str">
        <f t="shared" si="66"/>
        <v>No</v>
      </c>
      <c r="AK253" s="14" t="str">
        <f>IF(Y253=0,"N/A",
IF(_xlfn.XLOOKUP(U253,Hotels!A:A,Hotels!C:C)=TRUE,"Yes","No"))</f>
        <v>Yes</v>
      </c>
      <c r="AL253" s="14" t="str">
        <f>IF(N253="Rail","N/A",IF(_xlfn.XLOOKUP(T253,Airlines!A:A,Airlines!C:C)=TRUE,"Yes","No"))</f>
        <v>Yes</v>
      </c>
      <c r="AM253" s="14" t="str">
        <f t="shared" si="67"/>
        <v>Yes</v>
      </c>
      <c r="AN253" s="14" t="str">
        <f t="shared" si="68"/>
        <v>Yes</v>
      </c>
      <c r="AO253" s="14" t="str">
        <f t="shared" si="69"/>
        <v>Yes</v>
      </c>
      <c r="AP253" s="16" t="s">
        <v>148</v>
      </c>
      <c r="AQ253" t="str">
        <f t="shared" si="70"/>
        <v>No</v>
      </c>
      <c r="AR253" s="21">
        <v>5</v>
      </c>
      <c r="AS253" s="5">
        <v>294.60000000000002</v>
      </c>
      <c r="AT253" s="5" t="str">
        <f>IF(T253="","",_xlfn.XLOOKUP(T253,Airlines!A:A,Airlines!B:B,"Not Found"))</f>
        <v>Air France</v>
      </c>
      <c r="AU253" s="5" t="str">
        <f>IF(U253="","",_xlfn.XLOOKUP(U253,Hotels!A:A,Hotels!B:B,"Not found"))</f>
        <v>IHG Hotels &amp; Resorts</v>
      </c>
      <c r="AV253" t="s">
        <v>147</v>
      </c>
      <c r="AW253" s="16" t="str">
        <f t="shared" si="71"/>
        <v>OK</v>
      </c>
      <c r="AX253" s="16" t="str">
        <f t="shared" si="72"/>
        <v>OK</v>
      </c>
      <c r="AY253" s="16" t="str">
        <f t="shared" si="73"/>
        <v>OK</v>
      </c>
      <c r="AZ253" s="16" t="str">
        <f t="shared" si="74"/>
        <v>OK</v>
      </c>
      <c r="BA253" s="16" t="str">
        <f t="shared" si="78"/>
        <v>OK</v>
      </c>
      <c r="BB253" s="21">
        <f>COUNTIF('Trip Changes'!B:B,A253)</f>
        <v>0</v>
      </c>
      <c r="BC253" s="16" t="str">
        <f>IF(OR(AND(AD253="Yes",COUNTIF('Trip Changes'!B:B,A253)&gt;0),AND(AD253="No",COUNTIF('Trip Changes'!B:B,A253)=0)),"OK","Check")</f>
        <v>OK</v>
      </c>
      <c r="BD253" t="str">
        <f t="shared" si="79"/>
        <v>OK</v>
      </c>
      <c r="BE253" t="str">
        <f t="shared" si="80"/>
        <v>OK</v>
      </c>
      <c r="BF253" t="str">
        <f t="shared" si="81"/>
        <v>OK</v>
      </c>
      <c r="BG253" t="str">
        <f t="shared" si="82"/>
        <v>OK</v>
      </c>
      <c r="BH253" t="str">
        <f t="shared" si="83"/>
        <v>OK</v>
      </c>
      <c r="BI253" t="str">
        <f t="shared" si="75"/>
        <v>OK</v>
      </c>
      <c r="BJ253" t="str">
        <f t="shared" si="76"/>
        <v>OK</v>
      </c>
      <c r="BK253" t="str">
        <f t="shared" si="77"/>
        <v>OK</v>
      </c>
    </row>
    <row r="254" spans="1:63">
      <c r="A254" s="16" t="s">
        <v>529</v>
      </c>
      <c r="B254" s="16" t="s">
        <v>530</v>
      </c>
      <c r="C254" s="16" t="s">
        <v>193</v>
      </c>
      <c r="D254" s="16" t="s">
        <v>204</v>
      </c>
      <c r="E254" s="16" t="s">
        <v>139</v>
      </c>
      <c r="F254" s="16" t="s">
        <v>189</v>
      </c>
      <c r="G254" s="15">
        <v>46203</v>
      </c>
      <c r="H254" s="15">
        <v>46232</v>
      </c>
      <c r="I254" s="15">
        <v>46235</v>
      </c>
      <c r="J254" s="15" t="s">
        <v>150</v>
      </c>
      <c r="K254" s="16" t="s">
        <v>193</v>
      </c>
      <c r="L254" t="s">
        <v>225</v>
      </c>
      <c r="M254" s="16" t="s">
        <v>152</v>
      </c>
      <c r="N254" s="16" t="s">
        <v>153</v>
      </c>
      <c r="O254" t="s">
        <v>1614</v>
      </c>
      <c r="P254" s="18">
        <v>2692</v>
      </c>
      <c r="Q254" s="21">
        <v>29</v>
      </c>
      <c r="R254" s="21" t="str">
        <f t="shared" si="63"/>
        <v>15-30 days</v>
      </c>
      <c r="S254" s="16" t="s">
        <v>159</v>
      </c>
      <c r="T254" s="16" t="s">
        <v>176</v>
      </c>
      <c r="U254" s="16" t="s">
        <v>187</v>
      </c>
      <c r="V254" t="str">
        <f>IF(U254="","",IFERROR(VLOOKUP(U254,Hotels!A:B,2,FALSE),"Not Found"))</f>
        <v>IHG Hotels &amp; Resorts</v>
      </c>
      <c r="W254" s="14">
        <v>335.29</v>
      </c>
      <c r="X254" s="14">
        <v>0</v>
      </c>
      <c r="Y254" s="21">
        <v>2</v>
      </c>
      <c r="Z254" s="29">
        <f t="shared" si="64"/>
        <v>184.85</v>
      </c>
      <c r="AA254" s="14">
        <v>369.7</v>
      </c>
      <c r="AB254" s="14">
        <v>61.17</v>
      </c>
      <c r="AC254" s="14">
        <v>766.16</v>
      </c>
      <c r="AD254" s="16" t="s">
        <v>147</v>
      </c>
      <c r="AE254" s="16" t="s">
        <v>147</v>
      </c>
      <c r="AF254" s="14">
        <f>SUMIF('Trip Changes'!$B:$B,A254,'Trip Changes'!$E:$E)</f>
        <v>0</v>
      </c>
      <c r="AG254" s="23">
        <f>SUMIF('Trip Cancellations'!$B:$B,A254,'Trip Cancellations'!$E:$E)</f>
        <v>0</v>
      </c>
      <c r="AH254" s="14">
        <f>SUMIF('Trip Cancellations'!$B:$B,A254,'Trip Cancellations'!$F:$F)</f>
        <v>0</v>
      </c>
      <c r="AI254" s="14">
        <f t="shared" si="65"/>
        <v>766.16</v>
      </c>
      <c r="AJ254" s="14" t="str">
        <f t="shared" si="66"/>
        <v>No</v>
      </c>
      <c r="AK254" s="14" t="str">
        <f>IF(Y254=0,"N/A",
IF(_xlfn.XLOOKUP(U254,Hotels!A:A,Hotels!C:C)=TRUE,"Yes","No"))</f>
        <v>Yes</v>
      </c>
      <c r="AL254" s="14" t="str">
        <f>IF(N254="Rail","N/A",IF(_xlfn.XLOOKUP(T254,Airlines!A:A,Airlines!C:C)=TRUE,"Yes","No"))</f>
        <v>Yes</v>
      </c>
      <c r="AM254" s="14" t="str">
        <f t="shared" si="67"/>
        <v>Yes</v>
      </c>
      <c r="AN254" s="14" t="str">
        <f t="shared" si="68"/>
        <v>Yes</v>
      </c>
      <c r="AO254" s="14" t="str">
        <f t="shared" si="69"/>
        <v>Yes</v>
      </c>
      <c r="AP254" s="16" t="s">
        <v>147</v>
      </c>
      <c r="AQ254" t="str">
        <f t="shared" si="70"/>
        <v>No</v>
      </c>
      <c r="AR254" s="21">
        <v>4</v>
      </c>
      <c r="AS254" s="5">
        <v>403.8</v>
      </c>
      <c r="AT254" s="5" t="str">
        <f>IF(T254="","",_xlfn.XLOOKUP(T254,Airlines!A:A,Airlines!B:B,"Not Found"))</f>
        <v>easyJet</v>
      </c>
      <c r="AU254" s="5" t="str">
        <f>IF(U254="","",_xlfn.XLOOKUP(U254,Hotels!A:A,Hotels!B:B,"Not found"))</f>
        <v>IHG Hotels &amp; Resorts</v>
      </c>
      <c r="AV254" t="s">
        <v>147</v>
      </c>
      <c r="AW254" s="16" t="str">
        <f t="shared" si="71"/>
        <v>OK</v>
      </c>
      <c r="AX254" s="16" t="str">
        <f t="shared" si="72"/>
        <v>OK</v>
      </c>
      <c r="AY254" s="16" t="str">
        <f t="shared" si="73"/>
        <v>OK</v>
      </c>
      <c r="AZ254" s="16" t="str">
        <f t="shared" si="74"/>
        <v>OK</v>
      </c>
      <c r="BA254" s="16" t="str">
        <f t="shared" si="78"/>
        <v>OK</v>
      </c>
      <c r="BB254" s="21">
        <f>COUNTIF('Trip Changes'!B:B,A254)</f>
        <v>0</v>
      </c>
      <c r="BC254" s="16" t="str">
        <f>IF(OR(AND(AD254="Yes",COUNTIF('Trip Changes'!B:B,A254)&gt;0),AND(AD254="No",COUNTIF('Trip Changes'!B:B,A254)=0)),"OK","Check")</f>
        <v>OK</v>
      </c>
      <c r="BD254" t="str">
        <f t="shared" si="79"/>
        <v>OK</v>
      </c>
      <c r="BE254" t="str">
        <f t="shared" si="80"/>
        <v>OK</v>
      </c>
      <c r="BF254" t="str">
        <f t="shared" si="81"/>
        <v>OK</v>
      </c>
      <c r="BG254" t="str">
        <f t="shared" si="82"/>
        <v>OK</v>
      </c>
      <c r="BH254" t="str">
        <f t="shared" si="83"/>
        <v>OK</v>
      </c>
      <c r="BI254" t="str">
        <f t="shared" si="75"/>
        <v>OK</v>
      </c>
      <c r="BJ254" t="str">
        <f t="shared" si="76"/>
        <v>OK</v>
      </c>
      <c r="BK254" t="str">
        <f t="shared" si="77"/>
        <v>OK</v>
      </c>
    </row>
    <row r="255" spans="1:63">
      <c r="A255" s="16" t="s">
        <v>531</v>
      </c>
      <c r="B255" s="16" t="s">
        <v>530</v>
      </c>
      <c r="C255" s="16" t="s">
        <v>193</v>
      </c>
      <c r="D255" s="16" t="s">
        <v>204</v>
      </c>
      <c r="E255" s="16" t="s">
        <v>139</v>
      </c>
      <c r="F255" s="16" t="s">
        <v>140</v>
      </c>
      <c r="G255" s="15">
        <v>46222</v>
      </c>
      <c r="H255" s="15">
        <v>46230</v>
      </c>
      <c r="I255" s="15">
        <v>46234</v>
      </c>
      <c r="J255" s="15" t="s">
        <v>150</v>
      </c>
      <c r="K255" s="16" t="s">
        <v>193</v>
      </c>
      <c r="L255" t="s">
        <v>233</v>
      </c>
      <c r="M255" s="16" t="s">
        <v>152</v>
      </c>
      <c r="N255" s="16" t="s">
        <v>153</v>
      </c>
      <c r="O255" t="s">
        <v>1614</v>
      </c>
      <c r="P255" s="18">
        <v>3492</v>
      </c>
      <c r="Q255" s="21">
        <v>8</v>
      </c>
      <c r="R255" s="21" t="str">
        <f t="shared" si="63"/>
        <v>8-14 days</v>
      </c>
      <c r="S255" s="16" t="s">
        <v>159</v>
      </c>
      <c r="T255" s="16" t="s">
        <v>160</v>
      </c>
      <c r="U255" s="16" t="s">
        <v>155</v>
      </c>
      <c r="V255" t="str">
        <f>IF(U255="","",IFERROR(VLOOKUP(U255,Hotels!A:B,2,FALSE),"Not Found"))</f>
        <v>Hilton</v>
      </c>
      <c r="W255" s="14">
        <v>714.4</v>
      </c>
      <c r="X255" s="14">
        <v>0</v>
      </c>
      <c r="Y255" s="21">
        <v>3</v>
      </c>
      <c r="Z255" s="29">
        <f t="shared" si="64"/>
        <v>192.07000000000002</v>
      </c>
      <c r="AA255" s="14">
        <v>576.21</v>
      </c>
      <c r="AB255" s="14">
        <v>36.729999999999997</v>
      </c>
      <c r="AC255" s="14">
        <v>1327.34</v>
      </c>
      <c r="AD255" s="16" t="s">
        <v>147</v>
      </c>
      <c r="AE255" s="16" t="s">
        <v>148</v>
      </c>
      <c r="AF255" s="14">
        <f>SUMIF('Trip Changes'!$B:$B,A255,'Trip Changes'!$E:$E)</f>
        <v>0</v>
      </c>
      <c r="AG255" s="23">
        <f>SUMIF('Trip Cancellations'!$B:$B,A255,'Trip Cancellations'!$E:$E)</f>
        <v>120.12</v>
      </c>
      <c r="AH255" s="14">
        <f>SUMIF('Trip Cancellations'!$B:$B,A255,'Trip Cancellations'!$F:$F)</f>
        <v>645.30999999999995</v>
      </c>
      <c r="AI255" s="14">
        <f t="shared" si="65"/>
        <v>802.15000000000009</v>
      </c>
      <c r="AJ255" s="14" t="str">
        <f t="shared" si="66"/>
        <v>No</v>
      </c>
      <c r="AK255" s="14" t="str">
        <f>IF(Y255=0,"N/A",
IF(_xlfn.XLOOKUP(U255,Hotels!A:A,Hotels!C:C)=TRUE,"Yes","No"))</f>
        <v>Yes</v>
      </c>
      <c r="AL255" s="14" t="str">
        <f>IF(N255="Rail","N/A",IF(_xlfn.XLOOKUP(T255,Airlines!A:A,Airlines!C:C)=TRUE,"Yes","No"))</f>
        <v>Yes</v>
      </c>
      <c r="AM255" s="14" t="str">
        <f t="shared" si="67"/>
        <v>Yes</v>
      </c>
      <c r="AN255" s="14" t="str">
        <f t="shared" si="68"/>
        <v>Yes</v>
      </c>
      <c r="AO255" s="14" t="str">
        <f t="shared" si="69"/>
        <v>Yes</v>
      </c>
      <c r="AP255" s="16" t="s">
        <v>148</v>
      </c>
      <c r="AQ255" t="str">
        <f t="shared" si="70"/>
        <v>No</v>
      </c>
      <c r="AR255" s="21">
        <v>3</v>
      </c>
      <c r="AS255" s="5">
        <v>523.79999999999995</v>
      </c>
      <c r="AT255" s="5" t="str">
        <f>IF(T255="","",_xlfn.XLOOKUP(T255,Airlines!A:A,Airlines!B:B,"Not Found"))</f>
        <v>Air France</v>
      </c>
      <c r="AU255" s="5" t="str">
        <f>IF(U255="","",_xlfn.XLOOKUP(U255,Hotels!A:A,Hotels!B:B,"Not found"))</f>
        <v>Hilton</v>
      </c>
      <c r="AV255" t="s">
        <v>148</v>
      </c>
      <c r="AW255" s="16" t="str">
        <f t="shared" si="71"/>
        <v>OK</v>
      </c>
      <c r="AX255" s="16" t="str">
        <f t="shared" si="72"/>
        <v>OK</v>
      </c>
      <c r="AY255" s="16" t="str">
        <f t="shared" si="73"/>
        <v>OK</v>
      </c>
      <c r="AZ255" s="16" t="str">
        <f t="shared" si="74"/>
        <v>OK</v>
      </c>
      <c r="BA255" s="16" t="str">
        <f t="shared" si="78"/>
        <v>OK</v>
      </c>
      <c r="BB255" s="21">
        <f>COUNTIF('Trip Changes'!B:B,A255)</f>
        <v>0</v>
      </c>
      <c r="BC255" s="16" t="str">
        <f>IF(OR(AND(AD255="Yes",COUNTIF('Trip Changes'!B:B,A255)&gt;0),AND(AD255="No",COUNTIF('Trip Changes'!B:B,A255)=0)),"OK","Check")</f>
        <v>OK</v>
      </c>
      <c r="BD255" t="str">
        <f t="shared" si="79"/>
        <v>OK</v>
      </c>
      <c r="BE255" t="str">
        <f t="shared" si="80"/>
        <v>OK</v>
      </c>
      <c r="BF255" t="str">
        <f t="shared" si="81"/>
        <v>OK</v>
      </c>
      <c r="BG255" t="str">
        <f t="shared" si="82"/>
        <v>OK</v>
      </c>
      <c r="BH255" t="str">
        <f t="shared" si="83"/>
        <v>OK</v>
      </c>
      <c r="BI255" t="str">
        <f t="shared" si="75"/>
        <v>OK</v>
      </c>
      <c r="BJ255" t="str">
        <f t="shared" si="76"/>
        <v>OK</v>
      </c>
      <c r="BK255" t="str">
        <f t="shared" si="77"/>
        <v>OK</v>
      </c>
    </row>
    <row r="256" spans="1:63">
      <c r="A256" s="16" t="s">
        <v>532</v>
      </c>
      <c r="B256" s="16" t="s">
        <v>530</v>
      </c>
      <c r="C256" s="16" t="s">
        <v>193</v>
      </c>
      <c r="D256" s="16" t="s">
        <v>204</v>
      </c>
      <c r="E256" s="16" t="s">
        <v>139</v>
      </c>
      <c r="F256" s="16" t="s">
        <v>140</v>
      </c>
      <c r="G256" s="15">
        <v>46172</v>
      </c>
      <c r="H256" s="15">
        <v>46186</v>
      </c>
      <c r="I256" s="15">
        <v>46190</v>
      </c>
      <c r="J256" s="15" t="s">
        <v>141</v>
      </c>
      <c r="K256" s="16" t="s">
        <v>193</v>
      </c>
      <c r="L256" t="s">
        <v>175</v>
      </c>
      <c r="M256" s="16" t="s">
        <v>152</v>
      </c>
      <c r="N256" s="16" t="s">
        <v>153</v>
      </c>
      <c r="O256" t="s">
        <v>1614</v>
      </c>
      <c r="P256" s="18">
        <v>1066</v>
      </c>
      <c r="Q256" s="21">
        <v>14</v>
      </c>
      <c r="R256" s="21" t="str">
        <f t="shared" si="63"/>
        <v>8-14 days</v>
      </c>
      <c r="S256" s="16" t="s">
        <v>145</v>
      </c>
      <c r="T256" s="16" t="s">
        <v>160</v>
      </c>
      <c r="U256" s="16" t="s">
        <v>155</v>
      </c>
      <c r="V256" t="str">
        <f>IF(U256="","",IFERROR(VLOOKUP(U256,Hotels!A:B,2,FALSE),"Not Found"))</f>
        <v>Hilton</v>
      </c>
      <c r="W256" s="14">
        <v>569.67999999999995</v>
      </c>
      <c r="X256" s="14">
        <v>0</v>
      </c>
      <c r="Y256" s="21">
        <v>3</v>
      </c>
      <c r="Z256" s="29">
        <f t="shared" si="64"/>
        <v>113.11</v>
      </c>
      <c r="AA256" s="14">
        <v>339.33</v>
      </c>
      <c r="AB256" s="14">
        <v>71.209999999999994</v>
      </c>
      <c r="AC256" s="14">
        <v>980.22</v>
      </c>
      <c r="AD256" s="16" t="s">
        <v>148</v>
      </c>
      <c r="AE256" s="16" t="s">
        <v>147</v>
      </c>
      <c r="AF256" s="14">
        <f>SUMIF('Trip Changes'!$B:$B,A256,'Trip Changes'!$E:$E)</f>
        <v>55.11</v>
      </c>
      <c r="AG256" s="23">
        <f>SUMIF('Trip Cancellations'!$B:$B,A256,'Trip Cancellations'!$E:$E)</f>
        <v>0</v>
      </c>
      <c r="AH256" s="14">
        <f>SUMIF('Trip Cancellations'!$B:$B,A256,'Trip Cancellations'!$F:$F)</f>
        <v>0</v>
      </c>
      <c r="AI256" s="14">
        <f t="shared" si="65"/>
        <v>1035.33</v>
      </c>
      <c r="AJ256" s="14" t="str">
        <f t="shared" si="66"/>
        <v>Yes</v>
      </c>
      <c r="AK256" s="14" t="str">
        <f>IF(Y256=0,"N/A",
IF(_xlfn.XLOOKUP(U256,Hotels!A:A,Hotels!C:C)=TRUE,"Yes","No"))</f>
        <v>Yes</v>
      </c>
      <c r="AL256" s="14" t="str">
        <f>IF(N256="Rail","N/A",IF(_xlfn.XLOOKUP(T256,Airlines!A:A,Airlines!C:C)=TRUE,"Yes","No"))</f>
        <v>Yes</v>
      </c>
      <c r="AM256" s="14" t="str">
        <f t="shared" si="67"/>
        <v>Yes</v>
      </c>
      <c r="AN256" s="14" t="str">
        <f t="shared" si="68"/>
        <v>Yes</v>
      </c>
      <c r="AO256" s="14" t="str">
        <f t="shared" si="69"/>
        <v>Yes</v>
      </c>
      <c r="AP256" s="16" t="s">
        <v>148</v>
      </c>
      <c r="AQ256" t="str">
        <f t="shared" si="70"/>
        <v>Yes</v>
      </c>
      <c r="AR256" s="21">
        <v>3</v>
      </c>
      <c r="AS256" s="5">
        <v>159.9</v>
      </c>
      <c r="AT256" s="5" t="str">
        <f>IF(T256="","",_xlfn.XLOOKUP(T256,Airlines!A:A,Airlines!B:B,"Not Found"))</f>
        <v>Air France</v>
      </c>
      <c r="AU256" s="5" t="str">
        <f>IF(U256="","",_xlfn.XLOOKUP(U256,Hotels!A:A,Hotels!B:B,"Not found"))</f>
        <v>Hilton</v>
      </c>
      <c r="AV256" t="s">
        <v>147</v>
      </c>
      <c r="AW256" s="16" t="str">
        <f t="shared" si="71"/>
        <v>OK</v>
      </c>
      <c r="AX256" s="16" t="str">
        <f t="shared" si="72"/>
        <v>OK</v>
      </c>
      <c r="AY256" s="16" t="str">
        <f t="shared" si="73"/>
        <v>OK</v>
      </c>
      <c r="AZ256" s="16" t="str">
        <f t="shared" si="74"/>
        <v>OK</v>
      </c>
      <c r="BA256" s="16" t="str">
        <f t="shared" si="78"/>
        <v>OK</v>
      </c>
      <c r="BB256" s="21">
        <f>COUNTIF('Trip Changes'!B:B,A256)</f>
        <v>1</v>
      </c>
      <c r="BC256" s="16" t="str">
        <f>IF(OR(AND(AD256="Yes",COUNTIF('Trip Changes'!B:B,A256)&gt;0),AND(AD256="No",COUNTIF('Trip Changes'!B:B,A256)=0)),"OK","Check")</f>
        <v>OK</v>
      </c>
      <c r="BD256" t="str">
        <f t="shared" si="79"/>
        <v>OK</v>
      </c>
      <c r="BE256" t="str">
        <f t="shared" si="80"/>
        <v>OK</v>
      </c>
      <c r="BF256" t="str">
        <f t="shared" si="81"/>
        <v>OK</v>
      </c>
      <c r="BG256" t="str">
        <f t="shared" si="82"/>
        <v>OK</v>
      </c>
      <c r="BH256" t="str">
        <f t="shared" si="83"/>
        <v>OK</v>
      </c>
      <c r="BI256" t="str">
        <f t="shared" si="75"/>
        <v>OK</v>
      </c>
      <c r="BJ256" t="str">
        <f t="shared" si="76"/>
        <v>OK</v>
      </c>
      <c r="BK256" t="str">
        <f t="shared" si="77"/>
        <v>OK</v>
      </c>
    </row>
    <row r="257" spans="1:63">
      <c r="A257" s="16" t="s">
        <v>533</v>
      </c>
      <c r="B257" s="16" t="s">
        <v>530</v>
      </c>
      <c r="C257" s="16" t="s">
        <v>193</v>
      </c>
      <c r="D257" s="16" t="s">
        <v>204</v>
      </c>
      <c r="E257" s="16" t="s">
        <v>139</v>
      </c>
      <c r="F257" s="16" t="s">
        <v>170</v>
      </c>
      <c r="G257" s="15">
        <v>46187</v>
      </c>
      <c r="H257" s="15">
        <v>46207</v>
      </c>
      <c r="I257" s="15">
        <v>46212</v>
      </c>
      <c r="J257" s="15" t="s">
        <v>150</v>
      </c>
      <c r="K257" s="16" t="s">
        <v>193</v>
      </c>
      <c r="L257" t="s">
        <v>225</v>
      </c>
      <c r="M257" s="16" t="s">
        <v>152</v>
      </c>
      <c r="N257" s="16" t="s">
        <v>153</v>
      </c>
      <c r="O257" t="s">
        <v>1614</v>
      </c>
      <c r="P257" s="18">
        <v>3502</v>
      </c>
      <c r="Q257" s="21">
        <v>20</v>
      </c>
      <c r="R257" s="21" t="str">
        <f t="shared" si="63"/>
        <v>15-30 days</v>
      </c>
      <c r="S257" s="16" t="s">
        <v>159</v>
      </c>
      <c r="T257" s="16" t="s">
        <v>154</v>
      </c>
      <c r="U257" s="16" t="s">
        <v>187</v>
      </c>
      <c r="V257" t="str">
        <f>IF(U257="","",IFERROR(VLOOKUP(U257,Hotels!A:B,2,FALSE),"Not Found"))</f>
        <v>IHG Hotels &amp; Resorts</v>
      </c>
      <c r="W257" s="14">
        <v>378.08</v>
      </c>
      <c r="X257" s="14">
        <v>0</v>
      </c>
      <c r="Y257" s="21">
        <v>4</v>
      </c>
      <c r="Z257" s="29">
        <f t="shared" si="64"/>
        <v>170.74</v>
      </c>
      <c r="AA257" s="14">
        <v>682.96</v>
      </c>
      <c r="AB257" s="14">
        <v>102.07</v>
      </c>
      <c r="AC257" s="14">
        <v>1163.1099999999999</v>
      </c>
      <c r="AD257" s="16" t="s">
        <v>147</v>
      </c>
      <c r="AE257" s="16" t="s">
        <v>147</v>
      </c>
      <c r="AF257" s="14">
        <f>SUMIF('Trip Changes'!$B:$B,A257,'Trip Changes'!$E:$E)</f>
        <v>0</v>
      </c>
      <c r="AG257" s="23">
        <f>SUMIF('Trip Cancellations'!$B:$B,A257,'Trip Cancellations'!$E:$E)</f>
        <v>0</v>
      </c>
      <c r="AH257" s="14">
        <f>SUMIF('Trip Cancellations'!$B:$B,A257,'Trip Cancellations'!$F:$F)</f>
        <v>0</v>
      </c>
      <c r="AI257" s="14">
        <f t="shared" si="65"/>
        <v>1163.1099999999999</v>
      </c>
      <c r="AJ257" s="14" t="str">
        <f t="shared" si="66"/>
        <v>Yes</v>
      </c>
      <c r="AK257" s="14" t="str">
        <f>IF(Y257=0,"N/A",
IF(_xlfn.XLOOKUP(U257,Hotels!A:A,Hotels!C:C)=TRUE,"Yes","No"))</f>
        <v>Yes</v>
      </c>
      <c r="AL257" s="14" t="str">
        <f>IF(N257="Rail","N/A",IF(_xlfn.XLOOKUP(T257,Airlines!A:A,Airlines!C:C)=TRUE,"Yes","No"))</f>
        <v>Yes</v>
      </c>
      <c r="AM257" s="14" t="str">
        <f t="shared" si="67"/>
        <v>Yes</v>
      </c>
      <c r="AN257" s="14" t="str">
        <f t="shared" si="68"/>
        <v>Yes</v>
      </c>
      <c r="AO257" s="14" t="str">
        <f t="shared" si="69"/>
        <v>Yes</v>
      </c>
      <c r="AP257" s="16" t="s">
        <v>148</v>
      </c>
      <c r="AQ257" t="str">
        <f t="shared" si="70"/>
        <v>Yes</v>
      </c>
      <c r="AR257" s="21">
        <v>5</v>
      </c>
      <c r="AS257" s="5">
        <v>525.29999999999995</v>
      </c>
      <c r="AT257" s="5" t="str">
        <f>IF(T257="","",_xlfn.XLOOKUP(T257,Airlines!A:A,Airlines!B:B,"Not Found"))</f>
        <v>British Airways</v>
      </c>
      <c r="AU257" s="5" t="str">
        <f>IF(U257="","",_xlfn.XLOOKUP(U257,Hotels!A:A,Hotels!B:B,"Not found"))</f>
        <v>IHG Hotels &amp; Resorts</v>
      </c>
      <c r="AV257" t="s">
        <v>147</v>
      </c>
      <c r="AW257" s="16" t="str">
        <f t="shared" si="71"/>
        <v>OK</v>
      </c>
      <c r="AX257" s="16" t="str">
        <f t="shared" si="72"/>
        <v>OK</v>
      </c>
      <c r="AY257" s="16" t="str">
        <f t="shared" si="73"/>
        <v>OK</v>
      </c>
      <c r="AZ257" s="16" t="str">
        <f t="shared" si="74"/>
        <v>OK</v>
      </c>
      <c r="BA257" s="16" t="str">
        <f t="shared" si="78"/>
        <v>OK</v>
      </c>
      <c r="BB257" s="21">
        <f>COUNTIF('Trip Changes'!B:B,A257)</f>
        <v>0</v>
      </c>
      <c r="BC257" s="16" t="str">
        <f>IF(OR(AND(AD257="Yes",COUNTIF('Trip Changes'!B:B,A257)&gt;0),AND(AD257="No",COUNTIF('Trip Changes'!B:B,A257)=0)),"OK","Check")</f>
        <v>OK</v>
      </c>
      <c r="BD257" t="str">
        <f t="shared" si="79"/>
        <v>OK</v>
      </c>
      <c r="BE257" t="str">
        <f t="shared" si="80"/>
        <v>OK</v>
      </c>
      <c r="BF257" t="str">
        <f t="shared" si="81"/>
        <v>OK</v>
      </c>
      <c r="BG257" t="str">
        <f t="shared" si="82"/>
        <v>OK</v>
      </c>
      <c r="BH257" t="str">
        <f t="shared" si="83"/>
        <v>OK</v>
      </c>
      <c r="BI257" t="str">
        <f t="shared" si="75"/>
        <v>OK</v>
      </c>
      <c r="BJ257" t="str">
        <f t="shared" si="76"/>
        <v>OK</v>
      </c>
      <c r="BK257" t="str">
        <f t="shared" si="77"/>
        <v>OK</v>
      </c>
    </row>
    <row r="258" spans="1:63">
      <c r="A258" s="16" t="s">
        <v>534</v>
      </c>
      <c r="B258" s="16" t="s">
        <v>535</v>
      </c>
      <c r="C258" s="16" t="s">
        <v>182</v>
      </c>
      <c r="D258" s="16" t="s">
        <v>204</v>
      </c>
      <c r="E258" s="16" t="s">
        <v>139</v>
      </c>
      <c r="F258" s="16" t="s">
        <v>189</v>
      </c>
      <c r="G258" s="15">
        <v>46198</v>
      </c>
      <c r="H258" s="15">
        <v>46214</v>
      </c>
      <c r="I258" s="15">
        <v>46218</v>
      </c>
      <c r="J258" s="15" t="s">
        <v>150</v>
      </c>
      <c r="K258" s="16" t="s">
        <v>182</v>
      </c>
      <c r="L258" t="s">
        <v>158</v>
      </c>
      <c r="M258" s="16" t="s">
        <v>152</v>
      </c>
      <c r="N258" s="16" t="s">
        <v>153</v>
      </c>
      <c r="O258" t="s">
        <v>1614</v>
      </c>
      <c r="P258" s="18">
        <v>1526</v>
      </c>
      <c r="Q258" s="21">
        <v>16</v>
      </c>
      <c r="R258" s="21" t="str">
        <f t="shared" ref="R258:R321" si="84">IF(Q258&lt;=3,"0-3 days",IF(Q258&lt;=7,"4-7 days",IF(Q258&lt;=14,"8-14 days",IF(Q258&lt;=30,"15-30 days","31+ days"))))</f>
        <v>15-30 days</v>
      </c>
      <c r="S258" s="16" t="s">
        <v>145</v>
      </c>
      <c r="T258" s="16" t="s">
        <v>154</v>
      </c>
      <c r="U258" s="16" t="s">
        <v>155</v>
      </c>
      <c r="V258" t="str">
        <f>IF(U258="","",IFERROR(VLOOKUP(U258,Hotels!A:B,2,FALSE),"Not Found"))</f>
        <v>Hilton</v>
      </c>
      <c r="W258" s="14">
        <v>644.83000000000004</v>
      </c>
      <c r="X258" s="14">
        <v>0</v>
      </c>
      <c r="Y258" s="21">
        <v>3</v>
      </c>
      <c r="Z258" s="29">
        <f t="shared" ref="Z258:Z321" si="85">IF(Y258&gt;0,AA258/Y258,0)</f>
        <v>188.31666666666669</v>
      </c>
      <c r="AA258" s="14">
        <v>564.95000000000005</v>
      </c>
      <c r="AB258" s="14">
        <v>84.83</v>
      </c>
      <c r="AC258" s="14">
        <v>1294.6099999999999</v>
      </c>
      <c r="AD258" s="16" t="s">
        <v>148</v>
      </c>
      <c r="AE258" s="16" t="s">
        <v>147</v>
      </c>
      <c r="AF258" s="14">
        <f>SUMIF('Trip Changes'!$B:$B,A258,'Trip Changes'!$E:$E)</f>
        <v>139.12</v>
      </c>
      <c r="AG258" s="23">
        <f>SUMIF('Trip Cancellations'!$B:$B,A258,'Trip Cancellations'!$E:$E)</f>
        <v>0</v>
      </c>
      <c r="AH258" s="14">
        <f>SUMIF('Trip Cancellations'!$B:$B,A258,'Trip Cancellations'!$F:$F)</f>
        <v>0</v>
      </c>
      <c r="AI258" s="14">
        <f t="shared" ref="AI258:AI321" si="86">AC258+AF258+AG258-AH258</f>
        <v>1433.73</v>
      </c>
      <c r="AJ258" s="14" t="str">
        <f t="shared" ref="AJ258:AJ321" si="87">IF(Y258=0,"N/A",
IF(OR(L258="London",L258="Manchester",L258="Birmingham",L258="Edinburgh",L258="Glasgow",
L258="New York",L258="Boston",L258="Chicago",L258="Zurich",L258="Singapore",L258="Hong Kong",L258="Dubai"),
IF(Z258&lt;=220,"Yes","No"),
IF(Z258&lt;=180,"Yes","No")))</f>
        <v>No</v>
      </c>
      <c r="AK258" s="14" t="str">
        <f>IF(Y258=0,"N/A",
IF(_xlfn.XLOOKUP(U258,Hotels!A:A,Hotels!C:C)=TRUE,"Yes","No"))</f>
        <v>Yes</v>
      </c>
      <c r="AL258" s="14" t="str">
        <f>IF(N258="Rail","N/A",IF(_xlfn.XLOOKUP(T258,Airlines!A:A,Airlines!C:C)=TRUE,"Yes","No"))</f>
        <v>Yes</v>
      </c>
      <c r="AM258" s="14" t="str">
        <f t="shared" ref="AM258:AM321" si="88">IF(OR(
AND(N258="Air",O258="Economy"),
AND(N258="Rail",O258="Standard / 2nd Class")
),"Yes","No")</f>
        <v>Yes</v>
      </c>
      <c r="AN258" s="14" t="str">
        <f t="shared" ref="AN258:AN321" si="89">IF(OR(S258="Online Booking Tool",S258="TMC Assisted"),"Yes","No")</f>
        <v>Yes</v>
      </c>
      <c r="AO258" s="14" t="str">
        <f t="shared" ref="AO258:AO321" si="90">IF(AND(OR(AK258="Yes",AK258="N/A"),OR(AL258="Yes",AL258="N/A")),"Yes","No")</f>
        <v>Yes</v>
      </c>
      <c r="AP258" s="16" t="s">
        <v>148</v>
      </c>
      <c r="AQ258" t="str">
        <f t="shared" ref="AQ258:AQ321" si="91">IF(AND(OR(AJ258="Yes",AJ258="N/A"),OR(AK258="Yes",AK258="N/A"),OR(AL258="Yes",AL258="N/A"),AM258="Yes",AN258="Yes"),"Yes","No")</f>
        <v>No</v>
      </c>
      <c r="AR258" s="21">
        <v>4</v>
      </c>
      <c r="AS258" s="5">
        <v>228.9</v>
      </c>
      <c r="AT258" s="5" t="str">
        <f>IF(T258="","",_xlfn.XLOOKUP(T258,Airlines!A:A,Airlines!B:B,"Not Found"))</f>
        <v>British Airways</v>
      </c>
      <c r="AU258" s="5" t="str">
        <f>IF(U258="","",_xlfn.XLOOKUP(U258,Hotels!A:A,Hotels!B:B,"Not found"))</f>
        <v>Hilton</v>
      </c>
      <c r="AV258" t="s">
        <v>147</v>
      </c>
      <c r="AW258" s="16" t="str">
        <f t="shared" ref="AW258:AW321" si="92">IF(OR(A258="",B258="",G258="",H258="",I258="",K258="",L258="",M258="",N258="",S258="",AC258="",AI258=""),"Check","OK")</f>
        <v>OK</v>
      </c>
      <c r="AX258" s="16" t="str">
        <f t="shared" ref="AX258:AX321" si="93">IF(AND(G258&lt;=H258, H258&lt;=I258),"OK","CHECK")</f>
        <v>OK</v>
      </c>
      <c r="AY258" s="16" t="str">
        <f t="shared" ref="AY258:AY321" si="94">IF(Q258=H258-G258,"OK","Check")</f>
        <v>OK</v>
      </c>
      <c r="AZ258" s="16" t="str">
        <f t="shared" ref="AZ258:AZ321" si="95">IF(ROUND(W258+X258+AA258+AB258,2)=ROUND(AC258,2),"OK","Check")</f>
        <v>OK</v>
      </c>
      <c r="BA258" s="16" t="str">
        <f t="shared" si="78"/>
        <v>OK</v>
      </c>
      <c r="BB258" s="21">
        <f>COUNTIF('Trip Changes'!B:B,A258)</f>
        <v>1</v>
      </c>
      <c r="BC258" s="16" t="str">
        <f>IF(OR(AND(AD258="Yes",COUNTIF('Trip Changes'!B:B,A258)&gt;0),AND(AD258="No",COUNTIF('Trip Changes'!B:B,A258)=0)),"OK","Check")</f>
        <v>OK</v>
      </c>
      <c r="BD258" t="str">
        <f t="shared" si="79"/>
        <v>OK</v>
      </c>
      <c r="BE258" t="str">
        <f t="shared" si="80"/>
        <v>OK</v>
      </c>
      <c r="BF258" t="str">
        <f t="shared" si="81"/>
        <v>OK</v>
      </c>
      <c r="BG258" t="str">
        <f t="shared" si="82"/>
        <v>OK</v>
      </c>
      <c r="BH258" t="str">
        <f t="shared" si="83"/>
        <v>OK</v>
      </c>
      <c r="BI258" t="str">
        <f t="shared" ref="BI258:BI321" si="96">IF(OR(N258="Air",N258="Rail"),"OK","Check")</f>
        <v>OK</v>
      </c>
      <c r="BJ258" t="str">
        <f t="shared" ref="BJ258:BJ321" si="97">IF(OR(M258="Domestic",M258="International"),"OK","Check")</f>
        <v>OK</v>
      </c>
      <c r="BK258" t="str">
        <f t="shared" ref="BK258:BK321" si="98">IF(OR(S258="Online Booking Tool",S258="TMC Assisted",S258="Direct Supplier",S258="Other"),"OK","Check")</f>
        <v>OK</v>
      </c>
    </row>
    <row r="259" spans="1:63">
      <c r="A259" s="16" t="s">
        <v>536</v>
      </c>
      <c r="B259" s="16" t="s">
        <v>535</v>
      </c>
      <c r="C259" s="16" t="s">
        <v>182</v>
      </c>
      <c r="D259" s="16" t="s">
        <v>204</v>
      </c>
      <c r="E259" s="16" t="s">
        <v>139</v>
      </c>
      <c r="F259" s="16" t="s">
        <v>189</v>
      </c>
      <c r="G259" s="15">
        <v>46217</v>
      </c>
      <c r="H259" s="15">
        <v>46218</v>
      </c>
      <c r="I259" s="15">
        <v>46222</v>
      </c>
      <c r="J259" s="15" t="s">
        <v>150</v>
      </c>
      <c r="K259" s="16" t="s">
        <v>182</v>
      </c>
      <c r="L259" t="s">
        <v>305</v>
      </c>
      <c r="M259" s="16" t="s">
        <v>152</v>
      </c>
      <c r="N259" s="16" t="s">
        <v>153</v>
      </c>
      <c r="O259" t="s">
        <v>1614</v>
      </c>
      <c r="P259" s="18">
        <v>11958</v>
      </c>
      <c r="Q259" s="21">
        <v>1</v>
      </c>
      <c r="R259" s="21" t="str">
        <f t="shared" si="84"/>
        <v>0-3 days</v>
      </c>
      <c r="S259" s="16" t="s">
        <v>159</v>
      </c>
      <c r="T259" s="16" t="s">
        <v>186</v>
      </c>
      <c r="U259" s="16" t="s">
        <v>173</v>
      </c>
      <c r="V259" t="str">
        <f>IF(U259="","",IFERROR(VLOOKUP(U259,Hotels!A:B,2,FALSE),"Not Found"))</f>
        <v>Accor</v>
      </c>
      <c r="W259" s="14">
        <v>1629.93</v>
      </c>
      <c r="X259" s="14">
        <v>0</v>
      </c>
      <c r="Y259" s="21">
        <v>3</v>
      </c>
      <c r="Z259" s="29">
        <f t="shared" si="85"/>
        <v>167.87666666666667</v>
      </c>
      <c r="AA259" s="14">
        <v>503.63</v>
      </c>
      <c r="AB259" s="14">
        <v>93.29</v>
      </c>
      <c r="AC259" s="14">
        <v>2226.85</v>
      </c>
      <c r="AD259" s="16" t="s">
        <v>148</v>
      </c>
      <c r="AE259" s="16" t="s">
        <v>147</v>
      </c>
      <c r="AF259" s="14">
        <f>SUMIF('Trip Changes'!$B:$B,A259,'Trip Changes'!$E:$E)</f>
        <v>317.31</v>
      </c>
      <c r="AG259" s="23">
        <f>SUMIF('Trip Cancellations'!$B:$B,A259,'Trip Cancellations'!$E:$E)</f>
        <v>0</v>
      </c>
      <c r="AH259" s="14">
        <f>SUMIF('Trip Cancellations'!$B:$B,A259,'Trip Cancellations'!$F:$F)</f>
        <v>0</v>
      </c>
      <c r="AI259" s="14">
        <f t="shared" si="86"/>
        <v>2544.16</v>
      </c>
      <c r="AJ259" s="14" t="str">
        <f t="shared" si="87"/>
        <v>Yes</v>
      </c>
      <c r="AK259" s="14" t="str">
        <f>IF(Y259=0,"N/A",
IF(_xlfn.XLOOKUP(U259,Hotels!A:A,Hotels!C:C)=TRUE,"Yes","No"))</f>
        <v>Yes</v>
      </c>
      <c r="AL259" s="14" t="str">
        <f>IF(N259="Rail","N/A",IF(_xlfn.XLOOKUP(T259,Airlines!A:A,Airlines!C:C)=TRUE,"Yes","No"))</f>
        <v>Yes</v>
      </c>
      <c r="AM259" s="14" t="str">
        <f t="shared" si="88"/>
        <v>Yes</v>
      </c>
      <c r="AN259" s="14" t="str">
        <f t="shared" si="89"/>
        <v>Yes</v>
      </c>
      <c r="AO259" s="14" t="str">
        <f t="shared" si="90"/>
        <v>Yes</v>
      </c>
      <c r="AP259" s="16" t="s">
        <v>148</v>
      </c>
      <c r="AQ259" t="str">
        <f t="shared" si="91"/>
        <v>Yes</v>
      </c>
      <c r="AR259" s="21">
        <v>5</v>
      </c>
      <c r="AS259" s="5">
        <v>1793.7</v>
      </c>
      <c r="AT259" s="5" t="str">
        <f>IF(T259="","",_xlfn.XLOOKUP(T259,Airlines!A:A,Airlines!B:B,"Not Found"))</f>
        <v>Virgin Atlantic</v>
      </c>
      <c r="AU259" s="5" t="str">
        <f>IF(U259="","",_xlfn.XLOOKUP(U259,Hotels!A:A,Hotels!B:B,"Not found"))</f>
        <v>Accor</v>
      </c>
      <c r="AV259" t="s">
        <v>147</v>
      </c>
      <c r="AW259" s="16" t="str">
        <f t="shared" si="92"/>
        <v>OK</v>
      </c>
      <c r="AX259" s="16" t="str">
        <f t="shared" si="93"/>
        <v>OK</v>
      </c>
      <c r="AY259" s="16" t="str">
        <f t="shared" si="94"/>
        <v>OK</v>
      </c>
      <c r="AZ259" s="16" t="str">
        <f t="shared" si="95"/>
        <v>OK</v>
      </c>
      <c r="BA259" s="16" t="str">
        <f t="shared" ref="BA259:BA322" si="99">IF(ROUND(AC259+AF259+AG259-AH259,2)=ROUND(AI259,2),"OK","Check")</f>
        <v>OK</v>
      </c>
      <c r="BB259" s="21">
        <f>COUNTIF('Trip Changes'!B:B,A259)</f>
        <v>2</v>
      </c>
      <c r="BC259" s="16" t="str">
        <f>IF(OR(AND(AD259="Yes",COUNTIF('Trip Changes'!B:B,A259)&gt;0),AND(AD259="No",COUNTIF('Trip Changes'!B:B,A259)=0)),"OK","Check")</f>
        <v>OK</v>
      </c>
      <c r="BD259" t="str">
        <f t="shared" ref="BD259:BD322" si="100">IF(OR(AD259="Yes",AD259="No"),"OK","Check")</f>
        <v>OK</v>
      </c>
      <c r="BE259" t="str">
        <f t="shared" ref="BE259:BE322" si="101">IF(OR(AE259="Yes",AE259="No"),"OK","Check")</f>
        <v>OK</v>
      </c>
      <c r="BF259" t="str">
        <f t="shared" ref="BF259:BF322" si="102">IF(OR(AP259="Yes",AP259="No"),"OK","Check")</f>
        <v>OK</v>
      </c>
      <c r="BG259" t="str">
        <f t="shared" ref="BG259:BG322" si="103">IF(OR(AV259="Yes",AV259="No"),"OK","Check")</f>
        <v>OK</v>
      </c>
      <c r="BH259" t="str">
        <f t="shared" ref="BH259:BH322" si="104">IF(AND(ISNUMBER(AR259),AR259&gt;=1,AR259&lt;=5),"OK","Check")</f>
        <v>OK</v>
      </c>
      <c r="BI259" t="str">
        <f t="shared" si="96"/>
        <v>OK</v>
      </c>
      <c r="BJ259" t="str">
        <f t="shared" si="97"/>
        <v>OK</v>
      </c>
      <c r="BK259" t="str">
        <f t="shared" si="98"/>
        <v>OK</v>
      </c>
    </row>
    <row r="260" spans="1:63">
      <c r="A260" s="16" t="s">
        <v>537</v>
      </c>
      <c r="B260" s="16" t="s">
        <v>535</v>
      </c>
      <c r="C260" s="16" t="s">
        <v>182</v>
      </c>
      <c r="D260" s="16" t="s">
        <v>204</v>
      </c>
      <c r="E260" s="16" t="s">
        <v>139</v>
      </c>
      <c r="F260" s="16" t="s">
        <v>170</v>
      </c>
      <c r="G260" s="15">
        <v>46150</v>
      </c>
      <c r="H260" s="15">
        <v>46163</v>
      </c>
      <c r="I260" s="15">
        <v>46167</v>
      </c>
      <c r="J260" s="15" t="s">
        <v>163</v>
      </c>
      <c r="K260" s="16" t="s">
        <v>182</v>
      </c>
      <c r="L260" t="s">
        <v>175</v>
      </c>
      <c r="M260" s="16" t="s">
        <v>152</v>
      </c>
      <c r="N260" s="16" t="s">
        <v>153</v>
      </c>
      <c r="O260" t="s">
        <v>1614</v>
      </c>
      <c r="P260" s="18">
        <v>2422</v>
      </c>
      <c r="Q260" s="21">
        <v>13</v>
      </c>
      <c r="R260" s="21" t="str">
        <f t="shared" si="84"/>
        <v>8-14 days</v>
      </c>
      <c r="S260" s="16" t="s">
        <v>145</v>
      </c>
      <c r="T260" s="16" t="s">
        <v>172</v>
      </c>
      <c r="U260" s="16" t="s">
        <v>155</v>
      </c>
      <c r="V260" t="str">
        <f>IF(U260="","",IFERROR(VLOOKUP(U260,Hotels!A:B,2,FALSE),"Not Found"))</f>
        <v>Hilton</v>
      </c>
      <c r="W260" s="14">
        <v>353.38</v>
      </c>
      <c r="X260" s="14">
        <v>0</v>
      </c>
      <c r="Y260" s="21">
        <v>3</v>
      </c>
      <c r="Z260" s="29">
        <f t="shared" si="85"/>
        <v>205.75333333333333</v>
      </c>
      <c r="AA260" s="14">
        <v>617.26</v>
      </c>
      <c r="AB260" s="14">
        <v>105.58</v>
      </c>
      <c r="AC260" s="14">
        <v>1076.22</v>
      </c>
      <c r="AD260" s="16" t="s">
        <v>147</v>
      </c>
      <c r="AE260" s="16" t="s">
        <v>147</v>
      </c>
      <c r="AF260" s="14">
        <f>SUMIF('Trip Changes'!$B:$B,A260,'Trip Changes'!$E:$E)</f>
        <v>0</v>
      </c>
      <c r="AG260" s="23">
        <f>SUMIF('Trip Cancellations'!$B:$B,A260,'Trip Cancellations'!$E:$E)</f>
        <v>0</v>
      </c>
      <c r="AH260" s="14">
        <f>SUMIF('Trip Cancellations'!$B:$B,A260,'Trip Cancellations'!$F:$F)</f>
        <v>0</v>
      </c>
      <c r="AI260" s="14">
        <f t="shared" si="86"/>
        <v>1076.22</v>
      </c>
      <c r="AJ260" s="14" t="str">
        <f t="shared" si="87"/>
        <v>Yes</v>
      </c>
      <c r="AK260" s="14" t="str">
        <f>IF(Y260=0,"N/A",
IF(_xlfn.XLOOKUP(U260,Hotels!A:A,Hotels!C:C)=TRUE,"Yes","No"))</f>
        <v>Yes</v>
      </c>
      <c r="AL260" s="14" t="str">
        <f>IF(N260="Rail","N/A",IF(_xlfn.XLOOKUP(T260,Airlines!A:A,Airlines!C:C)=TRUE,"Yes","No"))</f>
        <v>Yes</v>
      </c>
      <c r="AM260" s="14" t="str">
        <f t="shared" si="88"/>
        <v>Yes</v>
      </c>
      <c r="AN260" s="14" t="str">
        <f t="shared" si="89"/>
        <v>Yes</v>
      </c>
      <c r="AO260" s="14" t="str">
        <f t="shared" si="90"/>
        <v>Yes</v>
      </c>
      <c r="AP260" s="16" t="s">
        <v>148</v>
      </c>
      <c r="AQ260" t="str">
        <f t="shared" si="91"/>
        <v>Yes</v>
      </c>
      <c r="AR260" s="21">
        <v>4</v>
      </c>
      <c r="AS260" s="5">
        <v>363.3</v>
      </c>
      <c r="AT260" s="5" t="str">
        <f>IF(T260="","",_xlfn.XLOOKUP(T260,Airlines!A:A,Airlines!B:B,"Not Found"))</f>
        <v>Lufthansa</v>
      </c>
      <c r="AU260" s="5" t="str">
        <f>IF(U260="","",_xlfn.XLOOKUP(U260,Hotels!A:A,Hotels!B:B,"Not found"))</f>
        <v>Hilton</v>
      </c>
      <c r="AV260" t="s">
        <v>147</v>
      </c>
      <c r="AW260" s="16" t="str">
        <f t="shared" si="92"/>
        <v>OK</v>
      </c>
      <c r="AX260" s="16" t="str">
        <f t="shared" si="93"/>
        <v>OK</v>
      </c>
      <c r="AY260" s="16" t="str">
        <f t="shared" si="94"/>
        <v>OK</v>
      </c>
      <c r="AZ260" s="16" t="str">
        <f t="shared" si="95"/>
        <v>OK</v>
      </c>
      <c r="BA260" s="16" t="str">
        <f t="shared" si="99"/>
        <v>OK</v>
      </c>
      <c r="BB260" s="21">
        <f>COUNTIF('Trip Changes'!B:B,A260)</f>
        <v>0</v>
      </c>
      <c r="BC260" s="16" t="str">
        <f>IF(OR(AND(AD260="Yes",COUNTIF('Trip Changes'!B:B,A260)&gt;0),AND(AD260="No",COUNTIF('Trip Changes'!B:B,A260)=0)),"OK","Check")</f>
        <v>OK</v>
      </c>
      <c r="BD260" t="str">
        <f t="shared" si="100"/>
        <v>OK</v>
      </c>
      <c r="BE260" t="str">
        <f t="shared" si="101"/>
        <v>OK</v>
      </c>
      <c r="BF260" t="str">
        <f t="shared" si="102"/>
        <v>OK</v>
      </c>
      <c r="BG260" t="str">
        <f t="shared" si="103"/>
        <v>OK</v>
      </c>
      <c r="BH260" t="str">
        <f t="shared" si="104"/>
        <v>OK</v>
      </c>
      <c r="BI260" t="str">
        <f t="shared" si="96"/>
        <v>OK</v>
      </c>
      <c r="BJ260" t="str">
        <f t="shared" si="97"/>
        <v>OK</v>
      </c>
      <c r="BK260" t="str">
        <f t="shared" si="98"/>
        <v>OK</v>
      </c>
    </row>
    <row r="261" spans="1:63">
      <c r="A261" s="16" t="s">
        <v>538</v>
      </c>
      <c r="B261" s="16" t="s">
        <v>535</v>
      </c>
      <c r="C261" s="16" t="s">
        <v>182</v>
      </c>
      <c r="D261" s="16" t="s">
        <v>204</v>
      </c>
      <c r="E261" s="16" t="s">
        <v>139</v>
      </c>
      <c r="F261" s="16" t="s">
        <v>207</v>
      </c>
      <c r="G261" s="15">
        <v>46169</v>
      </c>
      <c r="H261" s="15">
        <v>46188</v>
      </c>
      <c r="I261" s="15">
        <v>46192</v>
      </c>
      <c r="J261" s="15" t="s">
        <v>141</v>
      </c>
      <c r="K261" s="16" t="s">
        <v>182</v>
      </c>
      <c r="L261" t="s">
        <v>225</v>
      </c>
      <c r="M261" s="16" t="s">
        <v>152</v>
      </c>
      <c r="N261" s="16" t="s">
        <v>153</v>
      </c>
      <c r="O261" t="s">
        <v>1614</v>
      </c>
      <c r="P261" s="18">
        <v>2304</v>
      </c>
      <c r="Q261" s="21">
        <v>19</v>
      </c>
      <c r="R261" s="21" t="str">
        <f t="shared" si="84"/>
        <v>15-30 days</v>
      </c>
      <c r="S261" s="16" t="s">
        <v>159</v>
      </c>
      <c r="T261" s="16" t="s">
        <v>176</v>
      </c>
      <c r="U261" s="16" t="s">
        <v>190</v>
      </c>
      <c r="V261" t="str">
        <f>IF(U261="","",IFERROR(VLOOKUP(U261,Hotels!A:B,2,FALSE),"Not Found"))</f>
        <v>Radisson Hotel Group</v>
      </c>
      <c r="W261" s="14">
        <v>415.68</v>
      </c>
      <c r="X261" s="14">
        <v>0</v>
      </c>
      <c r="Y261" s="21">
        <v>3</v>
      </c>
      <c r="Z261" s="29">
        <f t="shared" si="85"/>
        <v>162.41666666666666</v>
      </c>
      <c r="AA261" s="14">
        <v>487.25</v>
      </c>
      <c r="AB261" s="14">
        <v>107.3</v>
      </c>
      <c r="AC261" s="14">
        <v>1010.23</v>
      </c>
      <c r="AD261" s="16" t="s">
        <v>147</v>
      </c>
      <c r="AE261" s="16" t="s">
        <v>147</v>
      </c>
      <c r="AF261" s="14">
        <f>SUMIF('Trip Changes'!$B:$B,A261,'Trip Changes'!$E:$E)</f>
        <v>0</v>
      </c>
      <c r="AG261" s="23">
        <f>SUMIF('Trip Cancellations'!$B:$B,A261,'Trip Cancellations'!$E:$E)</f>
        <v>0</v>
      </c>
      <c r="AH261" s="14">
        <f>SUMIF('Trip Cancellations'!$B:$B,A261,'Trip Cancellations'!$F:$F)</f>
        <v>0</v>
      </c>
      <c r="AI261" s="14">
        <f t="shared" si="86"/>
        <v>1010.23</v>
      </c>
      <c r="AJ261" s="14" t="str">
        <f t="shared" si="87"/>
        <v>Yes</v>
      </c>
      <c r="AK261" s="14" t="str">
        <f>IF(Y261=0,"N/A",
IF(_xlfn.XLOOKUP(U261,Hotels!A:A,Hotels!C:C)=TRUE,"Yes","No"))</f>
        <v>No</v>
      </c>
      <c r="AL261" s="14" t="str">
        <f>IF(N261="Rail","N/A",IF(_xlfn.XLOOKUP(T261,Airlines!A:A,Airlines!C:C)=TRUE,"Yes","No"))</f>
        <v>Yes</v>
      </c>
      <c r="AM261" s="14" t="str">
        <f t="shared" si="88"/>
        <v>Yes</v>
      </c>
      <c r="AN261" s="14" t="str">
        <f t="shared" si="89"/>
        <v>Yes</v>
      </c>
      <c r="AO261" s="14" t="str">
        <f t="shared" si="90"/>
        <v>No</v>
      </c>
      <c r="AP261" s="16" t="s">
        <v>148</v>
      </c>
      <c r="AQ261" t="str">
        <f t="shared" si="91"/>
        <v>No</v>
      </c>
      <c r="AR261" s="21">
        <v>5</v>
      </c>
      <c r="AS261" s="5">
        <v>345.6</v>
      </c>
      <c r="AT261" s="5" t="str">
        <f>IF(T261="","",_xlfn.XLOOKUP(T261,Airlines!A:A,Airlines!B:B,"Not Found"))</f>
        <v>easyJet</v>
      </c>
      <c r="AU261" s="5" t="str">
        <f>IF(U261="","",_xlfn.XLOOKUP(U261,Hotels!A:A,Hotels!B:B,"Not found"))</f>
        <v>Radisson Hotel Group</v>
      </c>
      <c r="AV261" t="s">
        <v>147</v>
      </c>
      <c r="AW261" s="16" t="str">
        <f t="shared" si="92"/>
        <v>OK</v>
      </c>
      <c r="AX261" s="16" t="str">
        <f t="shared" si="93"/>
        <v>OK</v>
      </c>
      <c r="AY261" s="16" t="str">
        <f t="shared" si="94"/>
        <v>OK</v>
      </c>
      <c r="AZ261" s="16" t="str">
        <f t="shared" si="95"/>
        <v>OK</v>
      </c>
      <c r="BA261" s="16" t="str">
        <f t="shared" si="99"/>
        <v>OK</v>
      </c>
      <c r="BB261" s="21">
        <f>COUNTIF('Trip Changes'!B:B,A261)</f>
        <v>0</v>
      </c>
      <c r="BC261" s="16" t="str">
        <f>IF(OR(AND(AD261="Yes",COUNTIF('Trip Changes'!B:B,A261)&gt;0),AND(AD261="No",COUNTIF('Trip Changes'!B:B,A261)=0)),"OK","Check")</f>
        <v>OK</v>
      </c>
      <c r="BD261" t="str">
        <f t="shared" si="100"/>
        <v>OK</v>
      </c>
      <c r="BE261" t="str">
        <f t="shared" si="101"/>
        <v>OK</v>
      </c>
      <c r="BF261" t="str">
        <f t="shared" si="102"/>
        <v>OK</v>
      </c>
      <c r="BG261" t="str">
        <f t="shared" si="103"/>
        <v>OK</v>
      </c>
      <c r="BH261" t="str">
        <f t="shared" si="104"/>
        <v>OK</v>
      </c>
      <c r="BI261" t="str">
        <f t="shared" si="96"/>
        <v>OK</v>
      </c>
      <c r="BJ261" t="str">
        <f t="shared" si="97"/>
        <v>OK</v>
      </c>
      <c r="BK261" t="str">
        <f t="shared" si="98"/>
        <v>OK</v>
      </c>
    </row>
    <row r="262" spans="1:63">
      <c r="A262" s="16" t="s">
        <v>539</v>
      </c>
      <c r="B262" s="16" t="s">
        <v>535</v>
      </c>
      <c r="C262" s="16" t="s">
        <v>182</v>
      </c>
      <c r="D262" s="16" t="s">
        <v>204</v>
      </c>
      <c r="E262" s="16" t="s">
        <v>139</v>
      </c>
      <c r="F262" s="16" t="s">
        <v>189</v>
      </c>
      <c r="G262" s="15">
        <v>46138</v>
      </c>
      <c r="H262" s="15">
        <v>46158</v>
      </c>
      <c r="I262" s="15">
        <v>46160</v>
      </c>
      <c r="J262" s="15" t="s">
        <v>163</v>
      </c>
      <c r="K262" s="16" t="s">
        <v>182</v>
      </c>
      <c r="L262" t="s">
        <v>209</v>
      </c>
      <c r="M262" s="16" t="s">
        <v>152</v>
      </c>
      <c r="N262" s="16" t="s">
        <v>153</v>
      </c>
      <c r="O262" t="s">
        <v>1614</v>
      </c>
      <c r="P262" s="18">
        <v>1620</v>
      </c>
      <c r="Q262" s="21">
        <v>20</v>
      </c>
      <c r="R262" s="21" t="str">
        <f t="shared" si="84"/>
        <v>15-30 days</v>
      </c>
      <c r="S262" s="16" t="s">
        <v>159</v>
      </c>
      <c r="T262" s="16" t="s">
        <v>154</v>
      </c>
      <c r="U262" s="16" t="s">
        <v>187</v>
      </c>
      <c r="V262" t="str">
        <f>IF(U262="","",IFERROR(VLOOKUP(U262,Hotels!A:B,2,FALSE),"Not Found"))</f>
        <v>IHG Hotels &amp; Resorts</v>
      </c>
      <c r="W262" s="14">
        <v>290.87</v>
      </c>
      <c r="X262" s="14">
        <v>0</v>
      </c>
      <c r="Y262" s="21">
        <v>1</v>
      </c>
      <c r="Z262" s="29">
        <f t="shared" si="85"/>
        <v>132.54</v>
      </c>
      <c r="AA262" s="14">
        <v>132.54</v>
      </c>
      <c r="AB262" s="14">
        <v>129.12</v>
      </c>
      <c r="AC262" s="14">
        <v>552.53</v>
      </c>
      <c r="AD262" s="16" t="s">
        <v>147</v>
      </c>
      <c r="AE262" s="16" t="s">
        <v>147</v>
      </c>
      <c r="AF262" s="14">
        <f>SUMIF('Trip Changes'!$B:$B,A262,'Trip Changes'!$E:$E)</f>
        <v>0</v>
      </c>
      <c r="AG262" s="23">
        <f>SUMIF('Trip Cancellations'!$B:$B,A262,'Trip Cancellations'!$E:$E)</f>
        <v>0</v>
      </c>
      <c r="AH262" s="14">
        <f>SUMIF('Trip Cancellations'!$B:$B,A262,'Trip Cancellations'!$F:$F)</f>
        <v>0</v>
      </c>
      <c r="AI262" s="14">
        <f t="shared" si="86"/>
        <v>552.53</v>
      </c>
      <c r="AJ262" s="14" t="str">
        <f t="shared" si="87"/>
        <v>Yes</v>
      </c>
      <c r="AK262" s="14" t="str">
        <f>IF(Y262=0,"N/A",
IF(_xlfn.XLOOKUP(U262,Hotels!A:A,Hotels!C:C)=TRUE,"Yes","No"))</f>
        <v>Yes</v>
      </c>
      <c r="AL262" s="14" t="str">
        <f>IF(N262="Rail","N/A",IF(_xlfn.XLOOKUP(T262,Airlines!A:A,Airlines!C:C)=TRUE,"Yes","No"))</f>
        <v>Yes</v>
      </c>
      <c r="AM262" s="14" t="str">
        <f t="shared" si="88"/>
        <v>Yes</v>
      </c>
      <c r="AN262" s="14" t="str">
        <f t="shared" si="89"/>
        <v>Yes</v>
      </c>
      <c r="AO262" s="14" t="str">
        <f t="shared" si="90"/>
        <v>Yes</v>
      </c>
      <c r="AP262" s="16" t="s">
        <v>148</v>
      </c>
      <c r="AQ262" t="str">
        <f t="shared" si="91"/>
        <v>Yes</v>
      </c>
      <c r="AR262" s="21">
        <v>4</v>
      </c>
      <c r="AS262" s="5">
        <v>243</v>
      </c>
      <c r="AT262" s="5" t="str">
        <f>IF(T262="","",_xlfn.XLOOKUP(T262,Airlines!A:A,Airlines!B:B,"Not Found"))</f>
        <v>British Airways</v>
      </c>
      <c r="AU262" s="5" t="str">
        <f>IF(U262="","",_xlfn.XLOOKUP(U262,Hotels!A:A,Hotels!B:B,"Not found"))</f>
        <v>IHG Hotels &amp; Resorts</v>
      </c>
      <c r="AV262" t="s">
        <v>147</v>
      </c>
      <c r="AW262" s="16" t="str">
        <f t="shared" si="92"/>
        <v>OK</v>
      </c>
      <c r="AX262" s="16" t="str">
        <f t="shared" si="93"/>
        <v>OK</v>
      </c>
      <c r="AY262" s="16" t="str">
        <f t="shared" si="94"/>
        <v>OK</v>
      </c>
      <c r="AZ262" s="16" t="str">
        <f t="shared" si="95"/>
        <v>OK</v>
      </c>
      <c r="BA262" s="16" t="str">
        <f t="shared" si="99"/>
        <v>OK</v>
      </c>
      <c r="BB262" s="21">
        <f>COUNTIF('Trip Changes'!B:B,A262)</f>
        <v>0</v>
      </c>
      <c r="BC262" s="16" t="str">
        <f>IF(OR(AND(AD262="Yes",COUNTIF('Trip Changes'!B:B,A262)&gt;0),AND(AD262="No",COUNTIF('Trip Changes'!B:B,A262)=0)),"OK","Check")</f>
        <v>OK</v>
      </c>
      <c r="BD262" t="str">
        <f t="shared" si="100"/>
        <v>OK</v>
      </c>
      <c r="BE262" t="str">
        <f t="shared" si="101"/>
        <v>OK</v>
      </c>
      <c r="BF262" t="str">
        <f t="shared" si="102"/>
        <v>OK</v>
      </c>
      <c r="BG262" t="str">
        <f t="shared" si="103"/>
        <v>OK</v>
      </c>
      <c r="BH262" t="str">
        <f t="shared" si="104"/>
        <v>OK</v>
      </c>
      <c r="BI262" t="str">
        <f t="shared" si="96"/>
        <v>OK</v>
      </c>
      <c r="BJ262" t="str">
        <f t="shared" si="97"/>
        <v>OK</v>
      </c>
      <c r="BK262" t="str">
        <f t="shared" si="98"/>
        <v>OK</v>
      </c>
    </row>
    <row r="263" spans="1:63">
      <c r="A263" s="16" t="s">
        <v>540</v>
      </c>
      <c r="B263" s="16" t="s">
        <v>535</v>
      </c>
      <c r="C263" s="16" t="s">
        <v>182</v>
      </c>
      <c r="D263" s="16" t="s">
        <v>204</v>
      </c>
      <c r="E263" s="16" t="s">
        <v>139</v>
      </c>
      <c r="F263" s="16" t="s">
        <v>162</v>
      </c>
      <c r="G263" s="15">
        <v>46198</v>
      </c>
      <c r="H263" s="15">
        <v>46211</v>
      </c>
      <c r="I263" s="15">
        <v>46214</v>
      </c>
      <c r="J263" s="15" t="s">
        <v>150</v>
      </c>
      <c r="K263" s="16" t="s">
        <v>182</v>
      </c>
      <c r="L263" t="s">
        <v>199</v>
      </c>
      <c r="M263" s="16" t="s">
        <v>152</v>
      </c>
      <c r="N263" s="16" t="s">
        <v>153</v>
      </c>
      <c r="O263" t="s">
        <v>1614</v>
      </c>
      <c r="P263" s="18">
        <v>1372</v>
      </c>
      <c r="Q263" s="21">
        <v>13</v>
      </c>
      <c r="R263" s="21" t="str">
        <f t="shared" si="84"/>
        <v>8-14 days</v>
      </c>
      <c r="S263" s="16" t="s">
        <v>145</v>
      </c>
      <c r="T263" s="16" t="s">
        <v>200</v>
      </c>
      <c r="U263" s="16" t="s">
        <v>164</v>
      </c>
      <c r="V263" t="str">
        <f>IF(U263="","",IFERROR(VLOOKUP(U263,Hotels!A:B,2,FALSE),"Not Found"))</f>
        <v>Marriott</v>
      </c>
      <c r="W263" s="14">
        <v>162</v>
      </c>
      <c r="X263" s="14">
        <v>0</v>
      </c>
      <c r="Y263" s="21">
        <v>2</v>
      </c>
      <c r="Z263" s="29">
        <f t="shared" si="85"/>
        <v>159.11500000000001</v>
      </c>
      <c r="AA263" s="14">
        <v>318.23</v>
      </c>
      <c r="AB263" s="14">
        <v>88.59</v>
      </c>
      <c r="AC263" s="14">
        <v>568.82000000000005</v>
      </c>
      <c r="AD263" s="16" t="s">
        <v>147</v>
      </c>
      <c r="AE263" s="16" t="s">
        <v>147</v>
      </c>
      <c r="AF263" s="14">
        <f>SUMIF('Trip Changes'!$B:$B,A263,'Trip Changes'!$E:$E)</f>
        <v>0</v>
      </c>
      <c r="AG263" s="23">
        <f>SUMIF('Trip Cancellations'!$B:$B,A263,'Trip Cancellations'!$E:$E)</f>
        <v>0</v>
      </c>
      <c r="AH263" s="14">
        <f>SUMIF('Trip Cancellations'!$B:$B,A263,'Trip Cancellations'!$F:$F)</f>
        <v>0</v>
      </c>
      <c r="AI263" s="14">
        <f t="shared" si="86"/>
        <v>568.82000000000005</v>
      </c>
      <c r="AJ263" s="14" t="str">
        <f t="shared" si="87"/>
        <v>Yes</v>
      </c>
      <c r="AK263" s="14" t="str">
        <f>IF(Y263=0,"N/A",
IF(_xlfn.XLOOKUP(U263,Hotels!A:A,Hotels!C:C)=TRUE,"Yes","No"))</f>
        <v>Yes</v>
      </c>
      <c r="AL263" s="14" t="str">
        <f>IF(N263="Rail","N/A",IF(_xlfn.XLOOKUP(T263,Airlines!A:A,Airlines!C:C)=TRUE,"Yes","No"))</f>
        <v>Yes</v>
      </c>
      <c r="AM263" s="14" t="str">
        <f t="shared" si="88"/>
        <v>Yes</v>
      </c>
      <c r="AN263" s="14" t="str">
        <f t="shared" si="89"/>
        <v>Yes</v>
      </c>
      <c r="AO263" s="14" t="str">
        <f t="shared" si="90"/>
        <v>Yes</v>
      </c>
      <c r="AP263" s="16" t="s">
        <v>148</v>
      </c>
      <c r="AQ263" t="str">
        <f t="shared" si="91"/>
        <v>Yes</v>
      </c>
      <c r="AR263" s="21">
        <v>3</v>
      </c>
      <c r="AS263" s="5">
        <v>205.8</v>
      </c>
      <c r="AT263" s="5" t="str">
        <f>IF(T263="","",_xlfn.XLOOKUP(T263,Airlines!A:A,Airlines!B:B,"Not Found"))</f>
        <v>Aer Lingus</v>
      </c>
      <c r="AU263" s="5" t="str">
        <f>IF(U263="","",_xlfn.XLOOKUP(U263,Hotels!A:A,Hotels!B:B,"Not found"))</f>
        <v>Marriott</v>
      </c>
      <c r="AV263" t="s">
        <v>147</v>
      </c>
      <c r="AW263" s="16" t="str">
        <f t="shared" si="92"/>
        <v>OK</v>
      </c>
      <c r="AX263" s="16" t="str">
        <f t="shared" si="93"/>
        <v>OK</v>
      </c>
      <c r="AY263" s="16" t="str">
        <f t="shared" si="94"/>
        <v>OK</v>
      </c>
      <c r="AZ263" s="16" t="str">
        <f t="shared" si="95"/>
        <v>OK</v>
      </c>
      <c r="BA263" s="16" t="str">
        <f t="shared" si="99"/>
        <v>OK</v>
      </c>
      <c r="BB263" s="21">
        <f>COUNTIF('Trip Changes'!B:B,A263)</f>
        <v>0</v>
      </c>
      <c r="BC263" s="16" t="str">
        <f>IF(OR(AND(AD263="Yes",COUNTIF('Trip Changes'!B:B,A263)&gt;0),AND(AD263="No",COUNTIF('Trip Changes'!B:B,A263)=0)),"OK","Check")</f>
        <v>OK</v>
      </c>
      <c r="BD263" t="str">
        <f t="shared" si="100"/>
        <v>OK</v>
      </c>
      <c r="BE263" t="str">
        <f t="shared" si="101"/>
        <v>OK</v>
      </c>
      <c r="BF263" t="str">
        <f t="shared" si="102"/>
        <v>OK</v>
      </c>
      <c r="BG263" t="str">
        <f t="shared" si="103"/>
        <v>OK</v>
      </c>
      <c r="BH263" t="str">
        <f t="shared" si="104"/>
        <v>OK</v>
      </c>
      <c r="BI263" t="str">
        <f t="shared" si="96"/>
        <v>OK</v>
      </c>
      <c r="BJ263" t="str">
        <f t="shared" si="97"/>
        <v>OK</v>
      </c>
      <c r="BK263" t="str">
        <f t="shared" si="98"/>
        <v>OK</v>
      </c>
    </row>
    <row r="264" spans="1:63">
      <c r="A264" s="16" t="s">
        <v>541</v>
      </c>
      <c r="B264" s="16" t="s">
        <v>535</v>
      </c>
      <c r="C264" s="16" t="s">
        <v>182</v>
      </c>
      <c r="D264" s="16" t="s">
        <v>204</v>
      </c>
      <c r="E264" s="16" t="s">
        <v>139</v>
      </c>
      <c r="F264" s="16" t="s">
        <v>181</v>
      </c>
      <c r="G264" s="15">
        <v>46187</v>
      </c>
      <c r="H264" s="15">
        <v>46203</v>
      </c>
      <c r="I264" s="15">
        <v>46205</v>
      </c>
      <c r="J264" s="15" t="s">
        <v>141</v>
      </c>
      <c r="K264" s="16" t="s">
        <v>182</v>
      </c>
      <c r="L264" t="s">
        <v>193</v>
      </c>
      <c r="M264" s="16" t="s">
        <v>143</v>
      </c>
      <c r="N264" s="16" t="s">
        <v>144</v>
      </c>
      <c r="O264" t="s">
        <v>1630</v>
      </c>
      <c r="P264" s="18">
        <v>834</v>
      </c>
      <c r="Q264" s="21">
        <v>16</v>
      </c>
      <c r="R264" s="21" t="str">
        <f t="shared" si="84"/>
        <v>15-30 days</v>
      </c>
      <c r="S264" s="16" t="s">
        <v>207</v>
      </c>
      <c r="U264" s="16" t="s">
        <v>146</v>
      </c>
      <c r="V264" t="str">
        <f>IF(U264="","",IFERROR(VLOOKUP(U264,Hotels!A:B,2,FALSE),"Not Found"))</f>
        <v>Premier Inn</v>
      </c>
      <c r="W264" s="14">
        <v>0</v>
      </c>
      <c r="X264" s="14">
        <v>162.58000000000001</v>
      </c>
      <c r="Y264" s="21">
        <v>1</v>
      </c>
      <c r="Z264" s="29">
        <f t="shared" si="85"/>
        <v>163.22</v>
      </c>
      <c r="AA264" s="14">
        <v>163.22</v>
      </c>
      <c r="AB264" s="14">
        <v>50.74</v>
      </c>
      <c r="AC264" s="14">
        <v>376.54</v>
      </c>
      <c r="AD264" s="16" t="s">
        <v>147</v>
      </c>
      <c r="AE264" s="16" t="s">
        <v>147</v>
      </c>
      <c r="AF264" s="14">
        <f>SUMIF('Trip Changes'!$B:$B,A264,'Trip Changes'!$E:$E)</f>
        <v>0</v>
      </c>
      <c r="AG264" s="23">
        <f>SUMIF('Trip Cancellations'!$B:$B,A264,'Trip Cancellations'!$E:$E)</f>
        <v>0</v>
      </c>
      <c r="AH264" s="14">
        <f>SUMIF('Trip Cancellations'!$B:$B,A264,'Trip Cancellations'!$F:$F)</f>
        <v>0</v>
      </c>
      <c r="AI264" s="14">
        <f t="shared" si="86"/>
        <v>376.54</v>
      </c>
      <c r="AJ264" s="14" t="str">
        <f t="shared" si="87"/>
        <v>Yes</v>
      </c>
      <c r="AK264" s="14" t="str">
        <f>IF(Y264=0,"N/A",
IF(_xlfn.XLOOKUP(U264,Hotels!A:A,Hotels!C:C)=TRUE,"Yes","No"))</f>
        <v>Yes</v>
      </c>
      <c r="AL264" s="14" t="str">
        <f>IF(N264="Rail","N/A",IF(_xlfn.XLOOKUP(T264,Airlines!A:A,Airlines!C:C)=TRUE,"Yes","No"))</f>
        <v>N/A</v>
      </c>
      <c r="AM264" s="14" t="str">
        <f t="shared" si="88"/>
        <v>Yes</v>
      </c>
      <c r="AN264" s="14" t="str">
        <f t="shared" si="89"/>
        <v>No</v>
      </c>
      <c r="AO264" s="14" t="str">
        <f t="shared" si="90"/>
        <v>Yes</v>
      </c>
      <c r="AP264" s="16" t="s">
        <v>148</v>
      </c>
      <c r="AQ264" t="str">
        <f t="shared" si="91"/>
        <v>No</v>
      </c>
      <c r="AR264" s="21">
        <v>4</v>
      </c>
      <c r="AS264" s="5">
        <v>33.4</v>
      </c>
      <c r="AT264" s="5" t="str">
        <f>IF(T264="","",_xlfn.XLOOKUP(T264,Airlines!A:A,Airlines!B:B,"Not Found"))</f>
        <v/>
      </c>
      <c r="AU264" s="5" t="str">
        <f>IF(U264="","",_xlfn.XLOOKUP(U264,Hotels!A:A,Hotels!B:B,"Not found"))</f>
        <v>Premier Inn</v>
      </c>
      <c r="AV264" t="s">
        <v>147</v>
      </c>
      <c r="AW264" s="16" t="str">
        <f t="shared" si="92"/>
        <v>OK</v>
      </c>
      <c r="AX264" s="16" t="str">
        <f t="shared" si="93"/>
        <v>OK</v>
      </c>
      <c r="AY264" s="16" t="str">
        <f t="shared" si="94"/>
        <v>OK</v>
      </c>
      <c r="AZ264" s="16" t="str">
        <f t="shared" si="95"/>
        <v>OK</v>
      </c>
      <c r="BA264" s="16" t="str">
        <f t="shared" si="99"/>
        <v>OK</v>
      </c>
      <c r="BB264" s="21">
        <f>COUNTIF('Trip Changes'!B:B,A264)</f>
        <v>0</v>
      </c>
      <c r="BC264" s="16" t="str">
        <f>IF(OR(AND(AD264="Yes",COUNTIF('Trip Changes'!B:B,A264)&gt;0),AND(AD264="No",COUNTIF('Trip Changes'!B:B,A264)=0)),"OK","Check")</f>
        <v>OK</v>
      </c>
      <c r="BD264" t="str">
        <f t="shared" si="100"/>
        <v>OK</v>
      </c>
      <c r="BE264" t="str">
        <f t="shared" si="101"/>
        <v>OK</v>
      </c>
      <c r="BF264" t="str">
        <f t="shared" si="102"/>
        <v>OK</v>
      </c>
      <c r="BG264" t="str">
        <f t="shared" si="103"/>
        <v>OK</v>
      </c>
      <c r="BH264" t="str">
        <f t="shared" si="104"/>
        <v>OK</v>
      </c>
      <c r="BI264" t="str">
        <f t="shared" si="96"/>
        <v>OK</v>
      </c>
      <c r="BJ264" t="str">
        <f t="shared" si="97"/>
        <v>OK</v>
      </c>
      <c r="BK264" t="str">
        <f t="shared" si="98"/>
        <v>OK</v>
      </c>
    </row>
    <row r="265" spans="1:63">
      <c r="A265" s="16" t="s">
        <v>542</v>
      </c>
      <c r="B265" s="16" t="s">
        <v>543</v>
      </c>
      <c r="C265" s="16" t="s">
        <v>307</v>
      </c>
      <c r="D265" s="16" t="s">
        <v>138</v>
      </c>
      <c r="E265" s="16" t="s">
        <v>169</v>
      </c>
      <c r="F265" s="16" t="s">
        <v>140</v>
      </c>
      <c r="G265" s="15">
        <v>46190</v>
      </c>
      <c r="H265" s="15">
        <v>46229</v>
      </c>
      <c r="I265" s="15">
        <v>46231</v>
      </c>
      <c r="J265" s="15" t="s">
        <v>150</v>
      </c>
      <c r="K265" s="16" t="s">
        <v>307</v>
      </c>
      <c r="L265" t="s">
        <v>142</v>
      </c>
      <c r="M265" s="16" t="s">
        <v>143</v>
      </c>
      <c r="N265" s="16" t="s">
        <v>144</v>
      </c>
      <c r="O265" t="s">
        <v>1630</v>
      </c>
      <c r="P265" s="18">
        <v>578</v>
      </c>
      <c r="Q265" s="21">
        <v>39</v>
      </c>
      <c r="R265" s="21" t="str">
        <f t="shared" si="84"/>
        <v>31+ days</v>
      </c>
      <c r="S265" s="16" t="s">
        <v>145</v>
      </c>
      <c r="U265" s="16" t="s">
        <v>195</v>
      </c>
      <c r="V265" t="str">
        <f>IF(U265="","",IFERROR(VLOOKUP(U265,Hotels!A:B,2,FALSE),"Not Found"))</f>
        <v>Travelodge</v>
      </c>
      <c r="W265" s="14">
        <v>0</v>
      </c>
      <c r="X265" s="14">
        <v>237.56</v>
      </c>
      <c r="Y265" s="21">
        <v>1</v>
      </c>
      <c r="Z265" s="29">
        <f t="shared" si="85"/>
        <v>193.64</v>
      </c>
      <c r="AA265" s="14">
        <v>193.64</v>
      </c>
      <c r="AB265" s="14">
        <v>20.36</v>
      </c>
      <c r="AC265" s="14">
        <v>451.56</v>
      </c>
      <c r="AD265" s="16" t="s">
        <v>148</v>
      </c>
      <c r="AE265" s="16" t="s">
        <v>147</v>
      </c>
      <c r="AF265" s="14">
        <f>SUMIF('Trip Changes'!$B:$B,A265,'Trip Changes'!$E:$E)</f>
        <v>63.44</v>
      </c>
      <c r="AG265" s="23">
        <f>SUMIF('Trip Cancellations'!$B:$B,A265,'Trip Cancellations'!$E:$E)</f>
        <v>0</v>
      </c>
      <c r="AH265" s="14">
        <f>SUMIF('Trip Cancellations'!$B:$B,A265,'Trip Cancellations'!$F:$F)</f>
        <v>0</v>
      </c>
      <c r="AI265" s="14">
        <f t="shared" si="86"/>
        <v>515</v>
      </c>
      <c r="AJ265" s="14" t="str">
        <f t="shared" si="87"/>
        <v>Yes</v>
      </c>
      <c r="AK265" s="14" t="str">
        <f>IF(Y265=0,"N/A",
IF(_xlfn.XLOOKUP(U265,Hotels!A:A,Hotels!C:C)=TRUE,"Yes","No"))</f>
        <v>No</v>
      </c>
      <c r="AL265" s="14" t="str">
        <f>IF(N265="Rail","N/A",IF(_xlfn.XLOOKUP(T265,Airlines!A:A,Airlines!C:C)=TRUE,"Yes","No"))</f>
        <v>N/A</v>
      </c>
      <c r="AM265" s="14" t="str">
        <f t="shared" si="88"/>
        <v>Yes</v>
      </c>
      <c r="AN265" s="14" t="str">
        <f t="shared" si="89"/>
        <v>Yes</v>
      </c>
      <c r="AO265" s="14" t="str">
        <f t="shared" si="90"/>
        <v>No</v>
      </c>
      <c r="AP265" s="16" t="s">
        <v>148</v>
      </c>
      <c r="AQ265" t="str">
        <f t="shared" si="91"/>
        <v>No</v>
      </c>
      <c r="AR265" s="21">
        <v>5</v>
      </c>
      <c r="AS265" s="5">
        <v>23.1</v>
      </c>
      <c r="AT265" s="5" t="str">
        <f>IF(T265="","",_xlfn.XLOOKUP(T265,Airlines!A:A,Airlines!B:B,"Not Found"))</f>
        <v/>
      </c>
      <c r="AU265" s="5" t="str">
        <f>IF(U265="","",_xlfn.XLOOKUP(U265,Hotels!A:A,Hotels!B:B,"Not found"))</f>
        <v>Travelodge</v>
      </c>
      <c r="AV265" t="s">
        <v>147</v>
      </c>
      <c r="AW265" s="16" t="str">
        <f t="shared" si="92"/>
        <v>OK</v>
      </c>
      <c r="AX265" s="16" t="str">
        <f t="shared" si="93"/>
        <v>OK</v>
      </c>
      <c r="AY265" s="16" t="str">
        <f t="shared" si="94"/>
        <v>OK</v>
      </c>
      <c r="AZ265" s="16" t="str">
        <f t="shared" si="95"/>
        <v>OK</v>
      </c>
      <c r="BA265" s="16" t="str">
        <f t="shared" si="99"/>
        <v>OK</v>
      </c>
      <c r="BB265" s="21">
        <f>COUNTIF('Trip Changes'!B:B,A265)</f>
        <v>1</v>
      </c>
      <c r="BC265" s="16" t="str">
        <f>IF(OR(AND(AD265="Yes",COUNTIF('Trip Changes'!B:B,A265)&gt;0),AND(AD265="No",COUNTIF('Trip Changes'!B:B,A265)=0)),"OK","Check")</f>
        <v>OK</v>
      </c>
      <c r="BD265" t="str">
        <f t="shared" si="100"/>
        <v>OK</v>
      </c>
      <c r="BE265" t="str">
        <f t="shared" si="101"/>
        <v>OK</v>
      </c>
      <c r="BF265" t="str">
        <f t="shared" si="102"/>
        <v>OK</v>
      </c>
      <c r="BG265" t="str">
        <f t="shared" si="103"/>
        <v>OK</v>
      </c>
      <c r="BH265" t="str">
        <f t="shared" si="104"/>
        <v>OK</v>
      </c>
      <c r="BI265" t="str">
        <f t="shared" si="96"/>
        <v>OK</v>
      </c>
      <c r="BJ265" t="str">
        <f t="shared" si="97"/>
        <v>OK</v>
      </c>
      <c r="BK265" t="str">
        <f t="shared" si="98"/>
        <v>OK</v>
      </c>
    </row>
    <row r="266" spans="1:63">
      <c r="A266" s="16" t="s">
        <v>544</v>
      </c>
      <c r="B266" s="16" t="s">
        <v>543</v>
      </c>
      <c r="C266" s="16" t="s">
        <v>307</v>
      </c>
      <c r="D266" s="16" t="s">
        <v>138</v>
      </c>
      <c r="E266" s="16" t="s">
        <v>169</v>
      </c>
      <c r="F266" s="16" t="s">
        <v>178</v>
      </c>
      <c r="G266" s="15">
        <v>46111</v>
      </c>
      <c r="H266" s="15">
        <v>46154</v>
      </c>
      <c r="I266" s="15">
        <v>46158</v>
      </c>
      <c r="J266" s="15" t="s">
        <v>163</v>
      </c>
      <c r="K266" s="16" t="s">
        <v>307</v>
      </c>
      <c r="L266" t="s">
        <v>199</v>
      </c>
      <c r="M266" s="16" t="s">
        <v>152</v>
      </c>
      <c r="N266" s="16" t="s">
        <v>153</v>
      </c>
      <c r="O266" t="s">
        <v>1614</v>
      </c>
      <c r="P266" s="18">
        <v>1550</v>
      </c>
      <c r="Q266" s="21">
        <v>43</v>
      </c>
      <c r="R266" s="21" t="str">
        <f t="shared" si="84"/>
        <v>31+ days</v>
      </c>
      <c r="S266" s="16" t="s">
        <v>207</v>
      </c>
      <c r="T266" s="16" t="s">
        <v>154</v>
      </c>
      <c r="U266" s="16" t="s">
        <v>173</v>
      </c>
      <c r="V266" t="str">
        <f>IF(U266="","",IFERROR(VLOOKUP(U266,Hotels!A:B,2,FALSE),"Not Found"))</f>
        <v>Accor</v>
      </c>
      <c r="W266" s="14">
        <v>432.76</v>
      </c>
      <c r="X266" s="14">
        <v>0</v>
      </c>
      <c r="Y266" s="21">
        <v>3</v>
      </c>
      <c r="Z266" s="29">
        <f t="shared" si="85"/>
        <v>178.10666666666668</v>
      </c>
      <c r="AA266" s="14">
        <v>534.32000000000005</v>
      </c>
      <c r="AB266" s="14">
        <v>129.4</v>
      </c>
      <c r="AC266" s="14">
        <v>1096.48</v>
      </c>
      <c r="AD266" s="16" t="s">
        <v>147</v>
      </c>
      <c r="AE266" s="16" t="s">
        <v>147</v>
      </c>
      <c r="AF266" s="14">
        <f>SUMIF('Trip Changes'!$B:$B,A266,'Trip Changes'!$E:$E)</f>
        <v>0</v>
      </c>
      <c r="AG266" s="23">
        <f>SUMIF('Trip Cancellations'!$B:$B,A266,'Trip Cancellations'!$E:$E)</f>
        <v>0</v>
      </c>
      <c r="AH266" s="14">
        <f>SUMIF('Trip Cancellations'!$B:$B,A266,'Trip Cancellations'!$F:$F)</f>
        <v>0</v>
      </c>
      <c r="AI266" s="14">
        <f t="shared" si="86"/>
        <v>1096.48</v>
      </c>
      <c r="AJ266" s="14" t="str">
        <f t="shared" si="87"/>
        <v>Yes</v>
      </c>
      <c r="AK266" s="14" t="str">
        <f>IF(Y266=0,"N/A",
IF(_xlfn.XLOOKUP(U266,Hotels!A:A,Hotels!C:C)=TRUE,"Yes","No"))</f>
        <v>Yes</v>
      </c>
      <c r="AL266" s="14" t="str">
        <f>IF(N266="Rail","N/A",IF(_xlfn.XLOOKUP(T266,Airlines!A:A,Airlines!C:C)=TRUE,"Yes","No"))</f>
        <v>Yes</v>
      </c>
      <c r="AM266" s="14" t="str">
        <f t="shared" si="88"/>
        <v>Yes</v>
      </c>
      <c r="AN266" s="14" t="str">
        <f t="shared" si="89"/>
        <v>No</v>
      </c>
      <c r="AO266" s="14" t="str">
        <f t="shared" si="90"/>
        <v>Yes</v>
      </c>
      <c r="AP266" s="16" t="s">
        <v>148</v>
      </c>
      <c r="AQ266" t="str">
        <f t="shared" si="91"/>
        <v>No</v>
      </c>
      <c r="AR266" s="21">
        <v>4</v>
      </c>
      <c r="AS266" s="5">
        <v>232.5</v>
      </c>
      <c r="AT266" s="5" t="str">
        <f>IF(T266="","",_xlfn.XLOOKUP(T266,Airlines!A:A,Airlines!B:B,"Not Found"))</f>
        <v>British Airways</v>
      </c>
      <c r="AU266" s="5" t="str">
        <f>IF(U266="","",_xlfn.XLOOKUP(U266,Hotels!A:A,Hotels!B:B,"Not found"))</f>
        <v>Accor</v>
      </c>
      <c r="AV266" t="s">
        <v>148</v>
      </c>
      <c r="AW266" s="16" t="str">
        <f t="shared" si="92"/>
        <v>OK</v>
      </c>
      <c r="AX266" s="16" t="str">
        <f t="shared" si="93"/>
        <v>OK</v>
      </c>
      <c r="AY266" s="16" t="str">
        <f t="shared" si="94"/>
        <v>OK</v>
      </c>
      <c r="AZ266" s="16" t="str">
        <f t="shared" si="95"/>
        <v>OK</v>
      </c>
      <c r="BA266" s="16" t="str">
        <f t="shared" si="99"/>
        <v>OK</v>
      </c>
      <c r="BB266" s="21">
        <f>COUNTIF('Trip Changes'!B:B,A266)</f>
        <v>0</v>
      </c>
      <c r="BC266" s="16" t="str">
        <f>IF(OR(AND(AD266="Yes",COUNTIF('Trip Changes'!B:B,A266)&gt;0),AND(AD266="No",COUNTIF('Trip Changes'!B:B,A266)=0)),"OK","Check")</f>
        <v>OK</v>
      </c>
      <c r="BD266" t="str">
        <f t="shared" si="100"/>
        <v>OK</v>
      </c>
      <c r="BE266" t="str">
        <f t="shared" si="101"/>
        <v>OK</v>
      </c>
      <c r="BF266" t="str">
        <f t="shared" si="102"/>
        <v>OK</v>
      </c>
      <c r="BG266" t="str">
        <f t="shared" si="103"/>
        <v>OK</v>
      </c>
      <c r="BH266" t="str">
        <f t="shared" si="104"/>
        <v>OK</v>
      </c>
      <c r="BI266" t="str">
        <f t="shared" si="96"/>
        <v>OK</v>
      </c>
      <c r="BJ266" t="str">
        <f t="shared" si="97"/>
        <v>OK</v>
      </c>
      <c r="BK266" t="str">
        <f t="shared" si="98"/>
        <v>OK</v>
      </c>
    </row>
    <row r="267" spans="1:63">
      <c r="A267" s="16" t="s">
        <v>545</v>
      </c>
      <c r="B267" s="16" t="s">
        <v>543</v>
      </c>
      <c r="C267" s="16" t="s">
        <v>307</v>
      </c>
      <c r="D267" s="16" t="s">
        <v>138</v>
      </c>
      <c r="E267" s="16" t="s">
        <v>169</v>
      </c>
      <c r="F267" s="16" t="s">
        <v>162</v>
      </c>
      <c r="G267" s="15">
        <v>46155</v>
      </c>
      <c r="H267" s="15">
        <v>46162</v>
      </c>
      <c r="I267" s="15">
        <v>46164</v>
      </c>
      <c r="J267" s="15" t="s">
        <v>163</v>
      </c>
      <c r="K267" s="16" t="s">
        <v>307</v>
      </c>
      <c r="L267" t="s">
        <v>151</v>
      </c>
      <c r="M267" s="16" t="s">
        <v>152</v>
      </c>
      <c r="N267" s="16" t="s">
        <v>153</v>
      </c>
      <c r="O267" t="s">
        <v>1614</v>
      </c>
      <c r="P267" s="18">
        <v>3022</v>
      </c>
      <c r="Q267" s="21">
        <v>7</v>
      </c>
      <c r="R267" s="21" t="str">
        <f t="shared" si="84"/>
        <v>4-7 days</v>
      </c>
      <c r="S267" s="16" t="s">
        <v>216</v>
      </c>
      <c r="T267" s="16" t="s">
        <v>172</v>
      </c>
      <c r="U267" s="16" t="s">
        <v>173</v>
      </c>
      <c r="V267" t="str">
        <f>IF(U267="","",IFERROR(VLOOKUP(U267,Hotels!A:B,2,FALSE),"Not Found"))</f>
        <v>Accor</v>
      </c>
      <c r="W267" s="14">
        <v>418.18</v>
      </c>
      <c r="X267" s="14">
        <v>0</v>
      </c>
      <c r="Y267" s="21">
        <v>1</v>
      </c>
      <c r="Z267" s="29">
        <f t="shared" si="85"/>
        <v>183.44</v>
      </c>
      <c r="AA267" s="14">
        <v>183.44</v>
      </c>
      <c r="AB267" s="14">
        <v>122.51</v>
      </c>
      <c r="AC267" s="14">
        <v>724.13</v>
      </c>
      <c r="AD267" s="16" t="s">
        <v>147</v>
      </c>
      <c r="AE267" s="16" t="s">
        <v>147</v>
      </c>
      <c r="AF267" s="14">
        <f>SUMIF('Trip Changes'!$B:$B,A267,'Trip Changes'!$E:$E)</f>
        <v>0</v>
      </c>
      <c r="AG267" s="23">
        <f>SUMIF('Trip Cancellations'!$B:$B,A267,'Trip Cancellations'!$E:$E)</f>
        <v>0</v>
      </c>
      <c r="AH267" s="14">
        <f>SUMIF('Trip Cancellations'!$B:$B,A267,'Trip Cancellations'!$F:$F)</f>
        <v>0</v>
      </c>
      <c r="AI267" s="14">
        <f t="shared" si="86"/>
        <v>724.13</v>
      </c>
      <c r="AJ267" s="14" t="str">
        <f t="shared" si="87"/>
        <v>No</v>
      </c>
      <c r="AK267" s="14" t="str">
        <f>IF(Y267=0,"N/A",
IF(_xlfn.XLOOKUP(U267,Hotels!A:A,Hotels!C:C)=TRUE,"Yes","No"))</f>
        <v>Yes</v>
      </c>
      <c r="AL267" s="14" t="str">
        <f>IF(N267="Rail","N/A",IF(_xlfn.XLOOKUP(T267,Airlines!A:A,Airlines!C:C)=TRUE,"Yes","No"))</f>
        <v>Yes</v>
      </c>
      <c r="AM267" s="14" t="str">
        <f t="shared" si="88"/>
        <v>Yes</v>
      </c>
      <c r="AN267" s="14" t="str">
        <f t="shared" si="89"/>
        <v>No</v>
      </c>
      <c r="AO267" s="14" t="str">
        <f t="shared" si="90"/>
        <v>Yes</v>
      </c>
      <c r="AP267" s="16" t="s">
        <v>148</v>
      </c>
      <c r="AQ267" t="str">
        <f t="shared" si="91"/>
        <v>No</v>
      </c>
      <c r="AR267" s="21">
        <v>2</v>
      </c>
      <c r="AS267" s="5">
        <v>453.3</v>
      </c>
      <c r="AT267" s="5" t="str">
        <f>IF(T267="","",_xlfn.XLOOKUP(T267,Airlines!A:A,Airlines!B:B,"Not Found"))</f>
        <v>Lufthansa</v>
      </c>
      <c r="AU267" s="5" t="str">
        <f>IF(U267="","",_xlfn.XLOOKUP(U267,Hotels!A:A,Hotels!B:B,"Not found"))</f>
        <v>Accor</v>
      </c>
      <c r="AV267" t="s">
        <v>147</v>
      </c>
      <c r="AW267" s="16" t="str">
        <f t="shared" si="92"/>
        <v>OK</v>
      </c>
      <c r="AX267" s="16" t="str">
        <f t="shared" si="93"/>
        <v>OK</v>
      </c>
      <c r="AY267" s="16" t="str">
        <f t="shared" si="94"/>
        <v>OK</v>
      </c>
      <c r="AZ267" s="16" t="str">
        <f t="shared" si="95"/>
        <v>OK</v>
      </c>
      <c r="BA267" s="16" t="str">
        <f t="shared" si="99"/>
        <v>OK</v>
      </c>
      <c r="BB267" s="21">
        <f>COUNTIF('Trip Changes'!B:B,A267)</f>
        <v>0</v>
      </c>
      <c r="BC267" s="16" t="str">
        <f>IF(OR(AND(AD267="Yes",COUNTIF('Trip Changes'!B:B,A267)&gt;0),AND(AD267="No",COUNTIF('Trip Changes'!B:B,A267)=0)),"OK","Check")</f>
        <v>OK</v>
      </c>
      <c r="BD267" t="str">
        <f t="shared" si="100"/>
        <v>OK</v>
      </c>
      <c r="BE267" t="str">
        <f t="shared" si="101"/>
        <v>OK</v>
      </c>
      <c r="BF267" t="str">
        <f t="shared" si="102"/>
        <v>OK</v>
      </c>
      <c r="BG267" t="str">
        <f t="shared" si="103"/>
        <v>OK</v>
      </c>
      <c r="BH267" t="str">
        <f t="shared" si="104"/>
        <v>OK</v>
      </c>
      <c r="BI267" t="str">
        <f t="shared" si="96"/>
        <v>OK</v>
      </c>
      <c r="BJ267" t="str">
        <f t="shared" si="97"/>
        <v>OK</v>
      </c>
      <c r="BK267" t="str">
        <f t="shared" si="98"/>
        <v>OK</v>
      </c>
    </row>
    <row r="268" spans="1:63">
      <c r="A268" s="16" t="s">
        <v>546</v>
      </c>
      <c r="B268" s="16" t="s">
        <v>543</v>
      </c>
      <c r="C268" s="16" t="s">
        <v>307</v>
      </c>
      <c r="D268" s="16" t="s">
        <v>138</v>
      </c>
      <c r="E268" s="16" t="s">
        <v>169</v>
      </c>
      <c r="F268" s="16" t="s">
        <v>189</v>
      </c>
      <c r="G268" s="15">
        <v>46136</v>
      </c>
      <c r="H268" s="15">
        <v>46158</v>
      </c>
      <c r="I268" s="15">
        <v>46160</v>
      </c>
      <c r="J268" s="15" t="s">
        <v>163</v>
      </c>
      <c r="K268" s="16" t="s">
        <v>307</v>
      </c>
      <c r="L268" t="s">
        <v>215</v>
      </c>
      <c r="M268" s="16" t="s">
        <v>152</v>
      </c>
      <c r="N268" s="16" t="s">
        <v>153</v>
      </c>
      <c r="O268" t="s">
        <v>1614</v>
      </c>
      <c r="P268" s="18">
        <v>1522</v>
      </c>
      <c r="Q268" s="21">
        <v>22</v>
      </c>
      <c r="R268" s="21" t="str">
        <f t="shared" si="84"/>
        <v>15-30 days</v>
      </c>
      <c r="S268" s="16" t="s">
        <v>145</v>
      </c>
      <c r="T268" s="16" t="s">
        <v>236</v>
      </c>
      <c r="U268" s="16" t="s">
        <v>155</v>
      </c>
      <c r="V268" t="str">
        <f>IF(U268="","",IFERROR(VLOOKUP(U268,Hotels!A:B,2,FALSE),"Not Found"))</f>
        <v>Hilton</v>
      </c>
      <c r="W268" s="14">
        <v>524.12</v>
      </c>
      <c r="X268" s="14">
        <v>0</v>
      </c>
      <c r="Y268" s="21">
        <v>1</v>
      </c>
      <c r="Z268" s="29">
        <f t="shared" si="85"/>
        <v>147.29</v>
      </c>
      <c r="AA268" s="14">
        <v>147.29</v>
      </c>
      <c r="AB268" s="14">
        <v>92.95</v>
      </c>
      <c r="AC268" s="14">
        <v>764.36</v>
      </c>
      <c r="AD268" s="16" t="s">
        <v>147</v>
      </c>
      <c r="AE268" s="16" t="s">
        <v>147</v>
      </c>
      <c r="AF268" s="14">
        <f>SUMIF('Trip Changes'!$B:$B,A268,'Trip Changes'!$E:$E)</f>
        <v>0</v>
      </c>
      <c r="AG268" s="23">
        <f>SUMIF('Trip Cancellations'!$B:$B,A268,'Trip Cancellations'!$E:$E)</f>
        <v>0</v>
      </c>
      <c r="AH268" s="14">
        <f>SUMIF('Trip Cancellations'!$B:$B,A268,'Trip Cancellations'!$F:$F)</f>
        <v>0</v>
      </c>
      <c r="AI268" s="14">
        <f t="shared" si="86"/>
        <v>764.36</v>
      </c>
      <c r="AJ268" s="14" t="str">
        <f t="shared" si="87"/>
        <v>Yes</v>
      </c>
      <c r="AK268" s="14" t="str">
        <f>IF(Y268=0,"N/A",
IF(_xlfn.XLOOKUP(U268,Hotels!A:A,Hotels!C:C)=TRUE,"Yes","No"))</f>
        <v>Yes</v>
      </c>
      <c r="AL268" s="14" t="str">
        <f>IF(N268="Rail","N/A",IF(_xlfn.XLOOKUP(T268,Airlines!A:A,Airlines!C:C)=TRUE,"Yes","No"))</f>
        <v>Yes</v>
      </c>
      <c r="AM268" s="14" t="str">
        <f t="shared" si="88"/>
        <v>Yes</v>
      </c>
      <c r="AN268" s="14" t="str">
        <f t="shared" si="89"/>
        <v>Yes</v>
      </c>
      <c r="AO268" s="14" t="str">
        <f t="shared" si="90"/>
        <v>Yes</v>
      </c>
      <c r="AP268" s="16" t="s">
        <v>148</v>
      </c>
      <c r="AQ268" t="str">
        <f t="shared" si="91"/>
        <v>Yes</v>
      </c>
      <c r="AR268" s="21">
        <v>4</v>
      </c>
      <c r="AS268" s="5">
        <v>228.3</v>
      </c>
      <c r="AT268" s="5" t="str">
        <f>IF(T268="","",_xlfn.XLOOKUP(T268,Airlines!A:A,Airlines!B:B,"Not Found"))</f>
        <v>KLM</v>
      </c>
      <c r="AU268" s="5" t="str">
        <f>IF(U268="","",_xlfn.XLOOKUP(U268,Hotels!A:A,Hotels!B:B,"Not found"))</f>
        <v>Hilton</v>
      </c>
      <c r="AV268" t="s">
        <v>147</v>
      </c>
      <c r="AW268" s="16" t="str">
        <f t="shared" si="92"/>
        <v>OK</v>
      </c>
      <c r="AX268" s="16" t="str">
        <f t="shared" si="93"/>
        <v>OK</v>
      </c>
      <c r="AY268" s="16" t="str">
        <f t="shared" si="94"/>
        <v>OK</v>
      </c>
      <c r="AZ268" s="16" t="str">
        <f t="shared" si="95"/>
        <v>OK</v>
      </c>
      <c r="BA268" s="16" t="str">
        <f t="shared" si="99"/>
        <v>OK</v>
      </c>
      <c r="BB268" s="21">
        <f>COUNTIF('Trip Changes'!B:B,A268)</f>
        <v>0</v>
      </c>
      <c r="BC268" s="16" t="str">
        <f>IF(OR(AND(AD268="Yes",COUNTIF('Trip Changes'!B:B,A268)&gt;0),AND(AD268="No",COUNTIF('Trip Changes'!B:B,A268)=0)),"OK","Check")</f>
        <v>OK</v>
      </c>
      <c r="BD268" t="str">
        <f t="shared" si="100"/>
        <v>OK</v>
      </c>
      <c r="BE268" t="str">
        <f t="shared" si="101"/>
        <v>OK</v>
      </c>
      <c r="BF268" t="str">
        <f t="shared" si="102"/>
        <v>OK</v>
      </c>
      <c r="BG268" t="str">
        <f t="shared" si="103"/>
        <v>OK</v>
      </c>
      <c r="BH268" t="str">
        <f t="shared" si="104"/>
        <v>OK</v>
      </c>
      <c r="BI268" t="str">
        <f t="shared" si="96"/>
        <v>OK</v>
      </c>
      <c r="BJ268" t="str">
        <f t="shared" si="97"/>
        <v>OK</v>
      </c>
      <c r="BK268" t="str">
        <f t="shared" si="98"/>
        <v>OK</v>
      </c>
    </row>
    <row r="269" spans="1:63">
      <c r="A269" s="16" t="s">
        <v>547</v>
      </c>
      <c r="B269" s="16" t="s">
        <v>543</v>
      </c>
      <c r="C269" s="16" t="s">
        <v>307</v>
      </c>
      <c r="D269" s="16" t="s">
        <v>138</v>
      </c>
      <c r="E269" s="16" t="s">
        <v>169</v>
      </c>
      <c r="F269" s="16" t="s">
        <v>140</v>
      </c>
      <c r="G269" s="15">
        <v>46172</v>
      </c>
      <c r="H269" s="15">
        <v>46185</v>
      </c>
      <c r="I269" s="15">
        <v>46190</v>
      </c>
      <c r="J269" s="15" t="s">
        <v>141</v>
      </c>
      <c r="K269" s="16" t="s">
        <v>307</v>
      </c>
      <c r="L269" t="s">
        <v>199</v>
      </c>
      <c r="M269" s="16" t="s">
        <v>152</v>
      </c>
      <c r="N269" s="16" t="s">
        <v>153</v>
      </c>
      <c r="O269" t="s">
        <v>1614</v>
      </c>
      <c r="P269" s="18">
        <v>1574</v>
      </c>
      <c r="Q269" s="21">
        <v>13</v>
      </c>
      <c r="R269" s="21" t="str">
        <f t="shared" si="84"/>
        <v>8-14 days</v>
      </c>
      <c r="S269" s="16" t="s">
        <v>145</v>
      </c>
      <c r="T269" s="16" t="s">
        <v>200</v>
      </c>
      <c r="U269" s="16" t="s">
        <v>164</v>
      </c>
      <c r="V269" t="str">
        <f>IF(U269="","",IFERROR(VLOOKUP(U269,Hotels!A:B,2,FALSE),"Not Found"))</f>
        <v>Marriott</v>
      </c>
      <c r="W269" s="14">
        <v>700.48</v>
      </c>
      <c r="X269" s="14">
        <v>0</v>
      </c>
      <c r="Y269" s="21">
        <v>4</v>
      </c>
      <c r="Z269" s="29">
        <f t="shared" si="85"/>
        <v>131.72749999999999</v>
      </c>
      <c r="AA269" s="14">
        <v>526.91</v>
      </c>
      <c r="AB269" s="14">
        <v>85.49</v>
      </c>
      <c r="AC269" s="14">
        <v>1312.88</v>
      </c>
      <c r="AD269" s="16" t="s">
        <v>147</v>
      </c>
      <c r="AE269" s="16" t="s">
        <v>147</v>
      </c>
      <c r="AF269" s="14">
        <f>SUMIF('Trip Changes'!$B:$B,A269,'Trip Changes'!$E:$E)</f>
        <v>0</v>
      </c>
      <c r="AG269" s="23">
        <f>SUMIF('Trip Cancellations'!$B:$B,A269,'Trip Cancellations'!$E:$E)</f>
        <v>0</v>
      </c>
      <c r="AH269" s="14">
        <f>SUMIF('Trip Cancellations'!$B:$B,A269,'Trip Cancellations'!$F:$F)</f>
        <v>0</v>
      </c>
      <c r="AI269" s="14">
        <f t="shared" si="86"/>
        <v>1312.88</v>
      </c>
      <c r="AJ269" s="14" t="str">
        <f t="shared" si="87"/>
        <v>Yes</v>
      </c>
      <c r="AK269" s="14" t="str">
        <f>IF(Y269=0,"N/A",
IF(_xlfn.XLOOKUP(U269,Hotels!A:A,Hotels!C:C)=TRUE,"Yes","No"))</f>
        <v>Yes</v>
      </c>
      <c r="AL269" s="14" t="str">
        <f>IF(N269="Rail","N/A",IF(_xlfn.XLOOKUP(T269,Airlines!A:A,Airlines!C:C)=TRUE,"Yes","No"))</f>
        <v>Yes</v>
      </c>
      <c r="AM269" s="14" t="str">
        <f t="shared" si="88"/>
        <v>Yes</v>
      </c>
      <c r="AN269" s="14" t="str">
        <f t="shared" si="89"/>
        <v>Yes</v>
      </c>
      <c r="AO269" s="14" t="str">
        <f t="shared" si="90"/>
        <v>Yes</v>
      </c>
      <c r="AP269" s="16" t="s">
        <v>148</v>
      </c>
      <c r="AQ269" t="str">
        <f t="shared" si="91"/>
        <v>Yes</v>
      </c>
      <c r="AR269" s="21">
        <v>5</v>
      </c>
      <c r="AS269" s="5">
        <v>236.1</v>
      </c>
      <c r="AT269" s="5" t="str">
        <f>IF(T269="","",_xlfn.XLOOKUP(T269,Airlines!A:A,Airlines!B:B,"Not Found"))</f>
        <v>Aer Lingus</v>
      </c>
      <c r="AU269" s="5" t="str">
        <f>IF(U269="","",_xlfn.XLOOKUP(U269,Hotels!A:A,Hotels!B:B,"Not found"))</f>
        <v>Marriott</v>
      </c>
      <c r="AV269" t="s">
        <v>147</v>
      </c>
      <c r="AW269" s="16" t="str">
        <f t="shared" si="92"/>
        <v>OK</v>
      </c>
      <c r="AX269" s="16" t="str">
        <f t="shared" si="93"/>
        <v>OK</v>
      </c>
      <c r="AY269" s="16" t="str">
        <f t="shared" si="94"/>
        <v>OK</v>
      </c>
      <c r="AZ269" s="16" t="str">
        <f t="shared" si="95"/>
        <v>OK</v>
      </c>
      <c r="BA269" s="16" t="str">
        <f t="shared" si="99"/>
        <v>OK</v>
      </c>
      <c r="BB269" s="21">
        <f>COUNTIF('Trip Changes'!B:B,A269)</f>
        <v>0</v>
      </c>
      <c r="BC269" s="16" t="str">
        <f>IF(OR(AND(AD269="Yes",COUNTIF('Trip Changes'!B:B,A269)&gt;0),AND(AD269="No",COUNTIF('Trip Changes'!B:B,A269)=0)),"OK","Check")</f>
        <v>OK</v>
      </c>
      <c r="BD269" t="str">
        <f t="shared" si="100"/>
        <v>OK</v>
      </c>
      <c r="BE269" t="str">
        <f t="shared" si="101"/>
        <v>OK</v>
      </c>
      <c r="BF269" t="str">
        <f t="shared" si="102"/>
        <v>OK</v>
      </c>
      <c r="BG269" t="str">
        <f t="shared" si="103"/>
        <v>OK</v>
      </c>
      <c r="BH269" t="str">
        <f t="shared" si="104"/>
        <v>OK</v>
      </c>
      <c r="BI269" t="str">
        <f t="shared" si="96"/>
        <v>OK</v>
      </c>
      <c r="BJ269" t="str">
        <f t="shared" si="97"/>
        <v>OK</v>
      </c>
      <c r="BK269" t="str">
        <f t="shared" si="98"/>
        <v>OK</v>
      </c>
    </row>
    <row r="270" spans="1:63">
      <c r="A270" s="16" t="s">
        <v>548</v>
      </c>
      <c r="B270" s="16" t="s">
        <v>543</v>
      </c>
      <c r="C270" s="16" t="s">
        <v>307</v>
      </c>
      <c r="D270" s="16" t="s">
        <v>138</v>
      </c>
      <c r="E270" s="16" t="s">
        <v>169</v>
      </c>
      <c r="F270" s="16" t="s">
        <v>162</v>
      </c>
      <c r="G270" s="15">
        <v>46127</v>
      </c>
      <c r="H270" s="15">
        <v>46162</v>
      </c>
      <c r="I270" s="15">
        <v>46165</v>
      </c>
      <c r="J270" s="15" t="s">
        <v>163</v>
      </c>
      <c r="K270" s="16" t="s">
        <v>307</v>
      </c>
      <c r="L270" t="s">
        <v>182</v>
      </c>
      <c r="M270" s="16" t="s">
        <v>143</v>
      </c>
      <c r="N270" s="16" t="s">
        <v>144</v>
      </c>
      <c r="O270" t="s">
        <v>1630</v>
      </c>
      <c r="P270" s="18">
        <v>998</v>
      </c>
      <c r="Q270" s="21">
        <v>35</v>
      </c>
      <c r="R270" s="21" t="str">
        <f t="shared" si="84"/>
        <v>31+ days</v>
      </c>
      <c r="S270" s="16" t="s">
        <v>145</v>
      </c>
      <c r="U270" s="16" t="s">
        <v>146</v>
      </c>
      <c r="V270" t="str">
        <f>IF(U270="","",IFERROR(VLOOKUP(U270,Hotels!A:B,2,FALSE),"Not Found"))</f>
        <v>Premier Inn</v>
      </c>
      <c r="W270" s="14">
        <v>0</v>
      </c>
      <c r="X270" s="14">
        <v>105.14</v>
      </c>
      <c r="Y270" s="21">
        <v>2</v>
      </c>
      <c r="Z270" s="29">
        <f t="shared" si="85"/>
        <v>112.265</v>
      </c>
      <c r="AA270" s="14">
        <v>224.53</v>
      </c>
      <c r="AB270" s="14">
        <v>37.54</v>
      </c>
      <c r="AC270" s="14">
        <v>367.21</v>
      </c>
      <c r="AD270" s="16" t="s">
        <v>147</v>
      </c>
      <c r="AE270" s="16" t="s">
        <v>147</v>
      </c>
      <c r="AF270" s="14">
        <f>SUMIF('Trip Changes'!$B:$B,A270,'Trip Changes'!$E:$E)</f>
        <v>0</v>
      </c>
      <c r="AG270" s="23">
        <f>SUMIF('Trip Cancellations'!$B:$B,A270,'Trip Cancellations'!$E:$E)</f>
        <v>0</v>
      </c>
      <c r="AH270" s="14">
        <f>SUMIF('Trip Cancellations'!$B:$B,A270,'Trip Cancellations'!$F:$F)</f>
        <v>0</v>
      </c>
      <c r="AI270" s="14">
        <f t="shared" si="86"/>
        <v>367.21</v>
      </c>
      <c r="AJ270" s="14" t="str">
        <f t="shared" si="87"/>
        <v>Yes</v>
      </c>
      <c r="AK270" s="14" t="str">
        <f>IF(Y270=0,"N/A",
IF(_xlfn.XLOOKUP(U270,Hotels!A:A,Hotels!C:C)=TRUE,"Yes","No"))</f>
        <v>Yes</v>
      </c>
      <c r="AL270" s="14" t="str">
        <f>IF(N270="Rail","N/A",IF(_xlfn.XLOOKUP(T270,Airlines!A:A,Airlines!C:C)=TRUE,"Yes","No"))</f>
        <v>N/A</v>
      </c>
      <c r="AM270" s="14" t="str">
        <f t="shared" si="88"/>
        <v>Yes</v>
      </c>
      <c r="AN270" s="14" t="str">
        <f t="shared" si="89"/>
        <v>Yes</v>
      </c>
      <c r="AO270" s="14" t="str">
        <f t="shared" si="90"/>
        <v>Yes</v>
      </c>
      <c r="AP270" s="16" t="s">
        <v>147</v>
      </c>
      <c r="AQ270" t="str">
        <f t="shared" si="91"/>
        <v>Yes</v>
      </c>
      <c r="AR270" s="21">
        <v>5</v>
      </c>
      <c r="AS270" s="5">
        <v>39.9</v>
      </c>
      <c r="AT270" s="5" t="str">
        <f>IF(T270="","",_xlfn.XLOOKUP(T270,Airlines!A:A,Airlines!B:B,"Not Found"))</f>
        <v/>
      </c>
      <c r="AU270" s="5" t="str">
        <f>IF(U270="","",_xlfn.XLOOKUP(U270,Hotels!A:A,Hotels!B:B,"Not found"))</f>
        <v>Premier Inn</v>
      </c>
      <c r="AV270" t="s">
        <v>148</v>
      </c>
      <c r="AW270" s="16" t="str">
        <f t="shared" si="92"/>
        <v>OK</v>
      </c>
      <c r="AX270" s="16" t="str">
        <f t="shared" si="93"/>
        <v>OK</v>
      </c>
      <c r="AY270" s="16" t="str">
        <f t="shared" si="94"/>
        <v>OK</v>
      </c>
      <c r="AZ270" s="16" t="str">
        <f t="shared" si="95"/>
        <v>OK</v>
      </c>
      <c r="BA270" s="16" t="str">
        <f t="shared" si="99"/>
        <v>OK</v>
      </c>
      <c r="BB270" s="21">
        <f>COUNTIF('Trip Changes'!B:B,A270)</f>
        <v>0</v>
      </c>
      <c r="BC270" s="16" t="str">
        <f>IF(OR(AND(AD270="Yes",COUNTIF('Trip Changes'!B:B,A270)&gt;0),AND(AD270="No",COUNTIF('Trip Changes'!B:B,A270)=0)),"OK","Check")</f>
        <v>OK</v>
      </c>
      <c r="BD270" t="str">
        <f t="shared" si="100"/>
        <v>OK</v>
      </c>
      <c r="BE270" t="str">
        <f t="shared" si="101"/>
        <v>OK</v>
      </c>
      <c r="BF270" t="str">
        <f t="shared" si="102"/>
        <v>OK</v>
      </c>
      <c r="BG270" t="str">
        <f t="shared" si="103"/>
        <v>OK</v>
      </c>
      <c r="BH270" t="str">
        <f t="shared" si="104"/>
        <v>OK</v>
      </c>
      <c r="BI270" t="str">
        <f t="shared" si="96"/>
        <v>OK</v>
      </c>
      <c r="BJ270" t="str">
        <f t="shared" si="97"/>
        <v>OK</v>
      </c>
      <c r="BK270" t="str">
        <f t="shared" si="98"/>
        <v>OK</v>
      </c>
    </row>
    <row r="271" spans="1:63">
      <c r="A271" s="16" t="s">
        <v>549</v>
      </c>
      <c r="B271" s="16" t="s">
        <v>550</v>
      </c>
      <c r="C271" s="16" t="s">
        <v>182</v>
      </c>
      <c r="D271" s="16" t="s">
        <v>248</v>
      </c>
      <c r="E271" s="16" t="s">
        <v>169</v>
      </c>
      <c r="F271" s="16" t="s">
        <v>162</v>
      </c>
      <c r="G271" s="15">
        <v>46143</v>
      </c>
      <c r="H271" s="15">
        <v>46183</v>
      </c>
      <c r="I271" s="15">
        <v>46184</v>
      </c>
      <c r="J271" s="15" t="s">
        <v>141</v>
      </c>
      <c r="K271" s="16" t="s">
        <v>182</v>
      </c>
      <c r="L271" t="s">
        <v>193</v>
      </c>
      <c r="M271" s="16" t="s">
        <v>143</v>
      </c>
      <c r="N271" s="16" t="s">
        <v>144</v>
      </c>
      <c r="O271" t="s">
        <v>1630</v>
      </c>
      <c r="P271" s="18">
        <v>1066</v>
      </c>
      <c r="Q271" s="21">
        <v>40</v>
      </c>
      <c r="R271" s="21" t="str">
        <f t="shared" si="84"/>
        <v>31+ days</v>
      </c>
      <c r="S271" s="16" t="s">
        <v>159</v>
      </c>
      <c r="V271" t="str">
        <f>IF(U271="","",IFERROR(VLOOKUP(U271,Hotels!A:B,2,FALSE),"Not Found"))</f>
        <v/>
      </c>
      <c r="W271" s="14">
        <v>0</v>
      </c>
      <c r="X271" s="14">
        <v>90</v>
      </c>
      <c r="Y271" s="21">
        <v>0</v>
      </c>
      <c r="Z271" s="29">
        <f t="shared" si="85"/>
        <v>0</v>
      </c>
      <c r="AA271" s="14">
        <v>0</v>
      </c>
      <c r="AB271" s="14">
        <v>34.659999999999997</v>
      </c>
      <c r="AC271" s="14">
        <v>124.66</v>
      </c>
      <c r="AD271" s="16" t="s">
        <v>147</v>
      </c>
      <c r="AE271" s="16" t="s">
        <v>147</v>
      </c>
      <c r="AF271" s="14">
        <f>SUMIF('Trip Changes'!$B:$B,A271,'Trip Changes'!$E:$E)</f>
        <v>0</v>
      </c>
      <c r="AG271" s="23">
        <f>SUMIF('Trip Cancellations'!$B:$B,A271,'Trip Cancellations'!$E:$E)</f>
        <v>0</v>
      </c>
      <c r="AH271" s="14">
        <f>SUMIF('Trip Cancellations'!$B:$B,A271,'Trip Cancellations'!$F:$F)</f>
        <v>0</v>
      </c>
      <c r="AI271" s="14">
        <f t="shared" si="86"/>
        <v>124.66</v>
      </c>
      <c r="AJ271" s="14" t="str">
        <f t="shared" si="87"/>
        <v>N/A</v>
      </c>
      <c r="AK271" s="14" t="str">
        <f>IF(Y271=0,"N/A",
IF(_xlfn.XLOOKUP(U271,Hotels!A:A,Hotels!C:C)=TRUE,"Yes","No"))</f>
        <v>N/A</v>
      </c>
      <c r="AL271" s="14" t="str">
        <f>IF(N271="Rail","N/A",IF(_xlfn.XLOOKUP(T271,Airlines!A:A,Airlines!C:C)=TRUE,"Yes","No"))</f>
        <v>N/A</v>
      </c>
      <c r="AM271" s="14" t="str">
        <f t="shared" si="88"/>
        <v>Yes</v>
      </c>
      <c r="AN271" s="14" t="str">
        <f t="shared" si="89"/>
        <v>Yes</v>
      </c>
      <c r="AO271" s="14" t="str">
        <f t="shared" si="90"/>
        <v>Yes</v>
      </c>
      <c r="AP271" s="16" t="s">
        <v>148</v>
      </c>
      <c r="AQ271" t="str">
        <f t="shared" si="91"/>
        <v>Yes</v>
      </c>
      <c r="AR271" s="21">
        <v>4</v>
      </c>
      <c r="AS271" s="5">
        <v>42.6</v>
      </c>
      <c r="AT271" s="5" t="str">
        <f>IF(T271="","",_xlfn.XLOOKUP(T271,Airlines!A:A,Airlines!B:B,"Not Found"))</f>
        <v/>
      </c>
      <c r="AU271" s="5" t="str">
        <f>IF(U271="","",_xlfn.XLOOKUP(U271,Hotels!A:A,Hotels!B:B,"Not found"))</f>
        <v/>
      </c>
      <c r="AV271" t="s">
        <v>147</v>
      </c>
      <c r="AW271" s="16" t="str">
        <f t="shared" si="92"/>
        <v>OK</v>
      </c>
      <c r="AX271" s="16" t="str">
        <f t="shared" si="93"/>
        <v>OK</v>
      </c>
      <c r="AY271" s="16" t="str">
        <f t="shared" si="94"/>
        <v>OK</v>
      </c>
      <c r="AZ271" s="16" t="str">
        <f t="shared" si="95"/>
        <v>OK</v>
      </c>
      <c r="BA271" s="16" t="str">
        <f t="shared" si="99"/>
        <v>OK</v>
      </c>
      <c r="BB271" s="21">
        <f>COUNTIF('Trip Changes'!B:B,A271)</f>
        <v>0</v>
      </c>
      <c r="BC271" s="16" t="str">
        <f>IF(OR(AND(AD271="Yes",COUNTIF('Trip Changes'!B:B,A271)&gt;0),AND(AD271="No",COUNTIF('Trip Changes'!B:B,A271)=0)),"OK","Check")</f>
        <v>OK</v>
      </c>
      <c r="BD271" t="str">
        <f t="shared" si="100"/>
        <v>OK</v>
      </c>
      <c r="BE271" t="str">
        <f t="shared" si="101"/>
        <v>OK</v>
      </c>
      <c r="BF271" t="str">
        <f t="shared" si="102"/>
        <v>OK</v>
      </c>
      <c r="BG271" t="str">
        <f t="shared" si="103"/>
        <v>OK</v>
      </c>
      <c r="BH271" t="str">
        <f t="shared" si="104"/>
        <v>OK</v>
      </c>
      <c r="BI271" t="str">
        <f t="shared" si="96"/>
        <v>OK</v>
      </c>
      <c r="BJ271" t="str">
        <f t="shared" si="97"/>
        <v>OK</v>
      </c>
      <c r="BK271" t="str">
        <f t="shared" si="98"/>
        <v>OK</v>
      </c>
    </row>
    <row r="272" spans="1:63">
      <c r="A272" s="16" t="s">
        <v>551</v>
      </c>
      <c r="B272" s="16" t="s">
        <v>550</v>
      </c>
      <c r="C272" s="16" t="s">
        <v>182</v>
      </c>
      <c r="D272" s="16" t="s">
        <v>248</v>
      </c>
      <c r="E272" s="16" t="s">
        <v>169</v>
      </c>
      <c r="F272" s="16" t="s">
        <v>162</v>
      </c>
      <c r="G272" s="15">
        <v>46182</v>
      </c>
      <c r="H272" s="15">
        <v>46204</v>
      </c>
      <c r="I272" s="15">
        <v>46206</v>
      </c>
      <c r="J272" s="15" t="s">
        <v>150</v>
      </c>
      <c r="K272" s="16" t="s">
        <v>182</v>
      </c>
      <c r="L272" t="s">
        <v>225</v>
      </c>
      <c r="M272" s="16" t="s">
        <v>152</v>
      </c>
      <c r="N272" s="16" t="s">
        <v>153</v>
      </c>
      <c r="O272" t="s">
        <v>1614</v>
      </c>
      <c r="P272" s="18">
        <v>1706</v>
      </c>
      <c r="Q272" s="21">
        <v>22</v>
      </c>
      <c r="R272" s="21" t="str">
        <f t="shared" si="84"/>
        <v>15-30 days</v>
      </c>
      <c r="S272" s="16" t="s">
        <v>216</v>
      </c>
      <c r="T272" s="16" t="s">
        <v>154</v>
      </c>
      <c r="U272" s="16" t="s">
        <v>190</v>
      </c>
      <c r="V272" t="str">
        <f>IF(U272="","",IFERROR(VLOOKUP(U272,Hotels!A:B,2,FALSE),"Not Found"))</f>
        <v>Radisson Hotel Group</v>
      </c>
      <c r="W272" s="14">
        <v>311.88</v>
      </c>
      <c r="X272" s="14">
        <v>0</v>
      </c>
      <c r="Y272" s="21">
        <v>1</v>
      </c>
      <c r="Z272" s="29">
        <f t="shared" si="85"/>
        <v>219.56</v>
      </c>
      <c r="AA272" s="14">
        <v>219.56</v>
      </c>
      <c r="AB272" s="14">
        <v>46.45</v>
      </c>
      <c r="AC272" s="14">
        <v>577.89</v>
      </c>
      <c r="AD272" s="16" t="s">
        <v>147</v>
      </c>
      <c r="AE272" s="16" t="s">
        <v>147</v>
      </c>
      <c r="AF272" s="14">
        <f>SUMIF('Trip Changes'!$B:$B,A272,'Trip Changes'!$E:$E)</f>
        <v>0</v>
      </c>
      <c r="AG272" s="23">
        <f>SUMIF('Trip Cancellations'!$B:$B,A272,'Trip Cancellations'!$E:$E)</f>
        <v>0</v>
      </c>
      <c r="AH272" s="14">
        <f>SUMIF('Trip Cancellations'!$B:$B,A272,'Trip Cancellations'!$F:$F)</f>
        <v>0</v>
      </c>
      <c r="AI272" s="14">
        <f t="shared" si="86"/>
        <v>577.89</v>
      </c>
      <c r="AJ272" s="14" t="str">
        <f t="shared" si="87"/>
        <v>No</v>
      </c>
      <c r="AK272" s="14" t="str">
        <f>IF(Y272=0,"N/A",
IF(_xlfn.XLOOKUP(U272,Hotels!A:A,Hotels!C:C)=TRUE,"Yes","No"))</f>
        <v>No</v>
      </c>
      <c r="AL272" s="14" t="str">
        <f>IF(N272="Rail","N/A",IF(_xlfn.XLOOKUP(T272,Airlines!A:A,Airlines!C:C)=TRUE,"Yes","No"))</f>
        <v>Yes</v>
      </c>
      <c r="AM272" s="14" t="str">
        <f t="shared" si="88"/>
        <v>Yes</v>
      </c>
      <c r="AN272" s="14" t="str">
        <f t="shared" si="89"/>
        <v>No</v>
      </c>
      <c r="AO272" s="14" t="str">
        <f t="shared" si="90"/>
        <v>No</v>
      </c>
      <c r="AP272" s="16" t="s">
        <v>148</v>
      </c>
      <c r="AQ272" t="str">
        <f t="shared" si="91"/>
        <v>No</v>
      </c>
      <c r="AR272" s="21">
        <v>5</v>
      </c>
      <c r="AS272" s="5">
        <v>255.9</v>
      </c>
      <c r="AT272" s="5" t="str">
        <f>IF(T272="","",_xlfn.XLOOKUP(T272,Airlines!A:A,Airlines!B:B,"Not Found"))</f>
        <v>British Airways</v>
      </c>
      <c r="AU272" s="5" t="str">
        <f>IF(U272="","",_xlfn.XLOOKUP(U272,Hotels!A:A,Hotels!B:B,"Not found"))</f>
        <v>Radisson Hotel Group</v>
      </c>
      <c r="AV272" t="s">
        <v>148</v>
      </c>
      <c r="AW272" s="16" t="str">
        <f t="shared" si="92"/>
        <v>OK</v>
      </c>
      <c r="AX272" s="16" t="str">
        <f t="shared" si="93"/>
        <v>OK</v>
      </c>
      <c r="AY272" s="16" t="str">
        <f t="shared" si="94"/>
        <v>OK</v>
      </c>
      <c r="AZ272" s="16" t="str">
        <f t="shared" si="95"/>
        <v>OK</v>
      </c>
      <c r="BA272" s="16" t="str">
        <f t="shared" si="99"/>
        <v>OK</v>
      </c>
      <c r="BB272" s="21">
        <f>COUNTIF('Trip Changes'!B:B,A272)</f>
        <v>0</v>
      </c>
      <c r="BC272" s="16" t="str">
        <f>IF(OR(AND(AD272="Yes",COUNTIF('Trip Changes'!B:B,A272)&gt;0),AND(AD272="No",COUNTIF('Trip Changes'!B:B,A272)=0)),"OK","Check")</f>
        <v>OK</v>
      </c>
      <c r="BD272" t="str">
        <f t="shared" si="100"/>
        <v>OK</v>
      </c>
      <c r="BE272" t="str">
        <f t="shared" si="101"/>
        <v>OK</v>
      </c>
      <c r="BF272" t="str">
        <f t="shared" si="102"/>
        <v>OK</v>
      </c>
      <c r="BG272" t="str">
        <f t="shared" si="103"/>
        <v>OK</v>
      </c>
      <c r="BH272" t="str">
        <f t="shared" si="104"/>
        <v>OK</v>
      </c>
      <c r="BI272" t="str">
        <f t="shared" si="96"/>
        <v>OK</v>
      </c>
      <c r="BJ272" t="str">
        <f t="shared" si="97"/>
        <v>OK</v>
      </c>
      <c r="BK272" t="str">
        <f t="shared" si="98"/>
        <v>OK</v>
      </c>
    </row>
    <row r="273" spans="1:63">
      <c r="A273" s="16" t="s">
        <v>552</v>
      </c>
      <c r="B273" s="16" t="s">
        <v>550</v>
      </c>
      <c r="C273" s="16" t="s">
        <v>182</v>
      </c>
      <c r="D273" s="16" t="s">
        <v>248</v>
      </c>
      <c r="E273" s="16" t="s">
        <v>169</v>
      </c>
      <c r="F273" s="16" t="s">
        <v>178</v>
      </c>
      <c r="G273" s="15">
        <v>46211</v>
      </c>
      <c r="H273" s="15">
        <v>46215</v>
      </c>
      <c r="I273" s="15">
        <v>46218</v>
      </c>
      <c r="J273" s="15" t="s">
        <v>150</v>
      </c>
      <c r="K273" s="16" t="s">
        <v>182</v>
      </c>
      <c r="L273" t="s">
        <v>182</v>
      </c>
      <c r="M273" s="16" t="s">
        <v>143</v>
      </c>
      <c r="N273" s="16" t="s">
        <v>144</v>
      </c>
      <c r="O273" t="s">
        <v>1630</v>
      </c>
      <c r="P273" s="18">
        <v>482</v>
      </c>
      <c r="Q273" s="21">
        <v>4</v>
      </c>
      <c r="R273" s="21" t="str">
        <f t="shared" si="84"/>
        <v>4-7 days</v>
      </c>
      <c r="S273" s="16" t="s">
        <v>145</v>
      </c>
      <c r="U273" s="16" t="s">
        <v>146</v>
      </c>
      <c r="V273" t="str">
        <f>IF(U273="","",IFERROR(VLOOKUP(U273,Hotels!A:B,2,FALSE),"Not Found"))</f>
        <v>Premier Inn</v>
      </c>
      <c r="W273" s="14">
        <v>0</v>
      </c>
      <c r="X273" s="14">
        <v>198.76</v>
      </c>
      <c r="Y273" s="21">
        <v>2</v>
      </c>
      <c r="Z273" s="29">
        <f t="shared" si="85"/>
        <v>130.63</v>
      </c>
      <c r="AA273" s="14">
        <v>261.26</v>
      </c>
      <c r="AB273" s="14">
        <v>32.57</v>
      </c>
      <c r="AC273" s="14">
        <v>492.59</v>
      </c>
      <c r="AD273" s="16" t="s">
        <v>147</v>
      </c>
      <c r="AE273" s="16" t="s">
        <v>147</v>
      </c>
      <c r="AF273" s="14">
        <f>SUMIF('Trip Changes'!$B:$B,A273,'Trip Changes'!$E:$E)</f>
        <v>0</v>
      </c>
      <c r="AG273" s="23">
        <f>SUMIF('Trip Cancellations'!$B:$B,A273,'Trip Cancellations'!$E:$E)</f>
        <v>0</v>
      </c>
      <c r="AH273" s="14">
        <f>SUMIF('Trip Cancellations'!$B:$B,A273,'Trip Cancellations'!$F:$F)</f>
        <v>0</v>
      </c>
      <c r="AI273" s="14">
        <f t="shared" si="86"/>
        <v>492.59</v>
      </c>
      <c r="AJ273" s="14" t="str">
        <f t="shared" si="87"/>
        <v>Yes</v>
      </c>
      <c r="AK273" s="14" t="str">
        <f>IF(Y273=0,"N/A",
IF(_xlfn.XLOOKUP(U273,Hotels!A:A,Hotels!C:C)=TRUE,"Yes","No"))</f>
        <v>Yes</v>
      </c>
      <c r="AL273" s="14" t="str">
        <f>IF(N273="Rail","N/A",IF(_xlfn.XLOOKUP(T273,Airlines!A:A,Airlines!C:C)=TRUE,"Yes","No"))</f>
        <v>N/A</v>
      </c>
      <c r="AM273" s="14" t="str">
        <f t="shared" si="88"/>
        <v>Yes</v>
      </c>
      <c r="AN273" s="14" t="str">
        <f t="shared" si="89"/>
        <v>Yes</v>
      </c>
      <c r="AO273" s="14" t="str">
        <f t="shared" si="90"/>
        <v>Yes</v>
      </c>
      <c r="AP273" s="16" t="s">
        <v>148</v>
      </c>
      <c r="AQ273" t="str">
        <f t="shared" si="91"/>
        <v>Yes</v>
      </c>
      <c r="AR273" s="21">
        <v>4</v>
      </c>
      <c r="AS273" s="5">
        <v>19.3</v>
      </c>
      <c r="AT273" s="5" t="str">
        <f>IF(T273="","",_xlfn.XLOOKUP(T273,Airlines!A:A,Airlines!B:B,"Not Found"))</f>
        <v/>
      </c>
      <c r="AU273" s="5" t="str">
        <f>IF(U273="","",_xlfn.XLOOKUP(U273,Hotels!A:A,Hotels!B:B,"Not found"))</f>
        <v>Premier Inn</v>
      </c>
      <c r="AV273" t="s">
        <v>147</v>
      </c>
      <c r="AW273" s="16" t="str">
        <f t="shared" si="92"/>
        <v>OK</v>
      </c>
      <c r="AX273" s="16" t="str">
        <f t="shared" si="93"/>
        <v>OK</v>
      </c>
      <c r="AY273" s="16" t="str">
        <f t="shared" si="94"/>
        <v>OK</v>
      </c>
      <c r="AZ273" s="16" t="str">
        <f t="shared" si="95"/>
        <v>OK</v>
      </c>
      <c r="BA273" s="16" t="str">
        <f t="shared" si="99"/>
        <v>OK</v>
      </c>
      <c r="BB273" s="21">
        <f>COUNTIF('Trip Changes'!B:B,A273)</f>
        <v>0</v>
      </c>
      <c r="BC273" s="16" t="str">
        <f>IF(OR(AND(AD273="Yes",COUNTIF('Trip Changes'!B:B,A273)&gt;0),AND(AD273="No",COUNTIF('Trip Changes'!B:B,A273)=0)),"OK","Check")</f>
        <v>OK</v>
      </c>
      <c r="BD273" t="str">
        <f t="shared" si="100"/>
        <v>OK</v>
      </c>
      <c r="BE273" t="str">
        <f t="shared" si="101"/>
        <v>OK</v>
      </c>
      <c r="BF273" t="str">
        <f t="shared" si="102"/>
        <v>OK</v>
      </c>
      <c r="BG273" t="str">
        <f t="shared" si="103"/>
        <v>OK</v>
      </c>
      <c r="BH273" t="str">
        <f t="shared" si="104"/>
        <v>OK</v>
      </c>
      <c r="BI273" t="str">
        <f t="shared" si="96"/>
        <v>OK</v>
      </c>
      <c r="BJ273" t="str">
        <f t="shared" si="97"/>
        <v>OK</v>
      </c>
      <c r="BK273" t="str">
        <f t="shared" si="98"/>
        <v>OK</v>
      </c>
    </row>
    <row r="274" spans="1:63">
      <c r="A274" s="16" t="s">
        <v>553</v>
      </c>
      <c r="B274" s="16" t="s">
        <v>550</v>
      </c>
      <c r="C274" s="16" t="s">
        <v>182</v>
      </c>
      <c r="D274" s="16" t="s">
        <v>248</v>
      </c>
      <c r="E274" s="16" t="s">
        <v>169</v>
      </c>
      <c r="F274" s="16" t="s">
        <v>140</v>
      </c>
      <c r="G274" s="15">
        <v>46199</v>
      </c>
      <c r="H274" s="15">
        <v>46200</v>
      </c>
      <c r="I274" s="15">
        <v>46201</v>
      </c>
      <c r="J274" s="15" t="s">
        <v>141</v>
      </c>
      <c r="K274" s="16" t="s">
        <v>182</v>
      </c>
      <c r="L274" t="s">
        <v>203</v>
      </c>
      <c r="M274" s="16" t="s">
        <v>143</v>
      </c>
      <c r="N274" s="16" t="s">
        <v>144</v>
      </c>
      <c r="O274" t="s">
        <v>1630</v>
      </c>
      <c r="P274" s="18">
        <v>768</v>
      </c>
      <c r="Q274" s="21">
        <v>1</v>
      </c>
      <c r="R274" s="21" t="str">
        <f t="shared" si="84"/>
        <v>0-3 days</v>
      </c>
      <c r="S274" s="16" t="s">
        <v>159</v>
      </c>
      <c r="V274" t="str">
        <f>IF(U274="","",IFERROR(VLOOKUP(U274,Hotels!A:B,2,FALSE),"Not Found"))</f>
        <v/>
      </c>
      <c r="W274" s="14">
        <v>0</v>
      </c>
      <c r="X274" s="14">
        <v>189.97</v>
      </c>
      <c r="Y274" s="21">
        <v>0</v>
      </c>
      <c r="Z274" s="29">
        <f t="shared" si="85"/>
        <v>0</v>
      </c>
      <c r="AA274" s="14">
        <v>0</v>
      </c>
      <c r="AB274" s="14">
        <v>79.31</v>
      </c>
      <c r="AC274" s="14">
        <v>269.27999999999997</v>
      </c>
      <c r="AD274" s="16" t="s">
        <v>147</v>
      </c>
      <c r="AE274" s="16" t="s">
        <v>147</v>
      </c>
      <c r="AF274" s="14">
        <f>SUMIF('Trip Changes'!$B:$B,A274,'Trip Changes'!$E:$E)</f>
        <v>0</v>
      </c>
      <c r="AG274" s="23">
        <f>SUMIF('Trip Cancellations'!$B:$B,A274,'Trip Cancellations'!$E:$E)</f>
        <v>0</v>
      </c>
      <c r="AH274" s="14">
        <f>SUMIF('Trip Cancellations'!$B:$B,A274,'Trip Cancellations'!$F:$F)</f>
        <v>0</v>
      </c>
      <c r="AI274" s="14">
        <f t="shared" si="86"/>
        <v>269.27999999999997</v>
      </c>
      <c r="AJ274" s="14" t="str">
        <f t="shared" si="87"/>
        <v>N/A</v>
      </c>
      <c r="AK274" s="14" t="str">
        <f>IF(Y274=0,"N/A",
IF(_xlfn.XLOOKUP(U274,Hotels!A:A,Hotels!C:C)=TRUE,"Yes","No"))</f>
        <v>N/A</v>
      </c>
      <c r="AL274" s="14" t="str">
        <f>IF(N274="Rail","N/A",IF(_xlfn.XLOOKUP(T274,Airlines!A:A,Airlines!C:C)=TRUE,"Yes","No"))</f>
        <v>N/A</v>
      </c>
      <c r="AM274" s="14" t="str">
        <f t="shared" si="88"/>
        <v>Yes</v>
      </c>
      <c r="AN274" s="14" t="str">
        <f t="shared" si="89"/>
        <v>Yes</v>
      </c>
      <c r="AO274" s="14" t="str">
        <f t="shared" si="90"/>
        <v>Yes</v>
      </c>
      <c r="AP274" s="16" t="s">
        <v>148</v>
      </c>
      <c r="AQ274" t="str">
        <f t="shared" si="91"/>
        <v>Yes</v>
      </c>
      <c r="AR274" s="21">
        <v>5</v>
      </c>
      <c r="AS274" s="5">
        <v>30.7</v>
      </c>
      <c r="AT274" s="5" t="str">
        <f>IF(T274="","",_xlfn.XLOOKUP(T274,Airlines!A:A,Airlines!B:B,"Not Found"))</f>
        <v/>
      </c>
      <c r="AU274" s="5" t="str">
        <f>IF(U274="","",_xlfn.XLOOKUP(U274,Hotels!A:A,Hotels!B:B,"Not found"))</f>
        <v/>
      </c>
      <c r="AV274" t="s">
        <v>148</v>
      </c>
      <c r="AW274" s="16" t="str">
        <f t="shared" si="92"/>
        <v>OK</v>
      </c>
      <c r="AX274" s="16" t="str">
        <f t="shared" si="93"/>
        <v>OK</v>
      </c>
      <c r="AY274" s="16" t="str">
        <f t="shared" si="94"/>
        <v>OK</v>
      </c>
      <c r="AZ274" s="16" t="str">
        <f t="shared" si="95"/>
        <v>OK</v>
      </c>
      <c r="BA274" s="16" t="str">
        <f t="shared" si="99"/>
        <v>OK</v>
      </c>
      <c r="BB274" s="21">
        <f>COUNTIF('Trip Changes'!B:B,A274)</f>
        <v>0</v>
      </c>
      <c r="BC274" s="16" t="str">
        <f>IF(OR(AND(AD274="Yes",COUNTIF('Trip Changes'!B:B,A274)&gt;0),AND(AD274="No",COUNTIF('Trip Changes'!B:B,A274)=0)),"OK","Check")</f>
        <v>OK</v>
      </c>
      <c r="BD274" t="str">
        <f t="shared" si="100"/>
        <v>OK</v>
      </c>
      <c r="BE274" t="str">
        <f t="shared" si="101"/>
        <v>OK</v>
      </c>
      <c r="BF274" t="str">
        <f t="shared" si="102"/>
        <v>OK</v>
      </c>
      <c r="BG274" t="str">
        <f t="shared" si="103"/>
        <v>OK</v>
      </c>
      <c r="BH274" t="str">
        <f t="shared" si="104"/>
        <v>OK</v>
      </c>
      <c r="BI274" t="str">
        <f t="shared" si="96"/>
        <v>OK</v>
      </c>
      <c r="BJ274" t="str">
        <f t="shared" si="97"/>
        <v>OK</v>
      </c>
      <c r="BK274" t="str">
        <f t="shared" si="98"/>
        <v>OK</v>
      </c>
    </row>
    <row r="275" spans="1:63">
      <c r="A275" s="16" t="s">
        <v>554</v>
      </c>
      <c r="B275" s="16" t="s">
        <v>550</v>
      </c>
      <c r="C275" s="16" t="s">
        <v>182</v>
      </c>
      <c r="D275" s="16" t="s">
        <v>248</v>
      </c>
      <c r="E275" s="16" t="s">
        <v>169</v>
      </c>
      <c r="F275" s="16" t="s">
        <v>189</v>
      </c>
      <c r="G275" s="15">
        <v>46157</v>
      </c>
      <c r="H275" s="15">
        <v>46174</v>
      </c>
      <c r="I275" s="15">
        <v>46178</v>
      </c>
      <c r="J275" s="15" t="s">
        <v>141</v>
      </c>
      <c r="K275" s="16" t="s">
        <v>182</v>
      </c>
      <c r="L275" t="s">
        <v>175</v>
      </c>
      <c r="M275" s="16" t="s">
        <v>152</v>
      </c>
      <c r="N275" s="16" t="s">
        <v>153</v>
      </c>
      <c r="O275" t="s">
        <v>1614</v>
      </c>
      <c r="P275" s="18">
        <v>1932</v>
      </c>
      <c r="Q275" s="21">
        <v>17</v>
      </c>
      <c r="R275" s="21" t="str">
        <f t="shared" si="84"/>
        <v>15-30 days</v>
      </c>
      <c r="S275" s="16" t="s">
        <v>145</v>
      </c>
      <c r="T275" s="16" t="s">
        <v>154</v>
      </c>
      <c r="U275" s="16" t="s">
        <v>155</v>
      </c>
      <c r="V275" t="str">
        <f>IF(U275="","",IFERROR(VLOOKUP(U275,Hotels!A:B,2,FALSE),"Not Found"))</f>
        <v>Hilton</v>
      </c>
      <c r="W275" s="14">
        <v>159.47</v>
      </c>
      <c r="X275" s="14">
        <v>0</v>
      </c>
      <c r="Y275" s="21">
        <v>3</v>
      </c>
      <c r="Z275" s="29">
        <f t="shared" si="85"/>
        <v>159.99333333333334</v>
      </c>
      <c r="AA275" s="14">
        <v>479.98</v>
      </c>
      <c r="AB275" s="14">
        <v>86.52</v>
      </c>
      <c r="AC275" s="14">
        <v>725.97</v>
      </c>
      <c r="AD275" s="16" t="s">
        <v>147</v>
      </c>
      <c r="AE275" s="16" t="s">
        <v>147</v>
      </c>
      <c r="AF275" s="14">
        <f>SUMIF('Trip Changes'!$B:$B,A275,'Trip Changes'!$E:$E)</f>
        <v>0</v>
      </c>
      <c r="AG275" s="23">
        <f>SUMIF('Trip Cancellations'!$B:$B,A275,'Trip Cancellations'!$E:$E)</f>
        <v>0</v>
      </c>
      <c r="AH275" s="14">
        <f>SUMIF('Trip Cancellations'!$B:$B,A275,'Trip Cancellations'!$F:$F)</f>
        <v>0</v>
      </c>
      <c r="AI275" s="14">
        <f t="shared" si="86"/>
        <v>725.97</v>
      </c>
      <c r="AJ275" s="14" t="str">
        <f t="shared" si="87"/>
        <v>Yes</v>
      </c>
      <c r="AK275" s="14" t="str">
        <f>IF(Y275=0,"N/A",
IF(_xlfn.XLOOKUP(U275,Hotels!A:A,Hotels!C:C)=TRUE,"Yes","No"))</f>
        <v>Yes</v>
      </c>
      <c r="AL275" s="14" t="str">
        <f>IF(N275="Rail","N/A",IF(_xlfn.XLOOKUP(T275,Airlines!A:A,Airlines!C:C)=TRUE,"Yes","No"))</f>
        <v>Yes</v>
      </c>
      <c r="AM275" s="14" t="str">
        <f t="shared" si="88"/>
        <v>Yes</v>
      </c>
      <c r="AN275" s="14" t="str">
        <f t="shared" si="89"/>
        <v>Yes</v>
      </c>
      <c r="AO275" s="14" t="str">
        <f t="shared" si="90"/>
        <v>Yes</v>
      </c>
      <c r="AP275" s="16" t="s">
        <v>148</v>
      </c>
      <c r="AQ275" t="str">
        <f t="shared" si="91"/>
        <v>Yes</v>
      </c>
      <c r="AR275" s="21">
        <v>4</v>
      </c>
      <c r="AS275" s="5">
        <v>289.8</v>
      </c>
      <c r="AT275" s="5" t="str">
        <f>IF(T275="","",_xlfn.XLOOKUP(T275,Airlines!A:A,Airlines!B:B,"Not Found"))</f>
        <v>British Airways</v>
      </c>
      <c r="AU275" s="5" t="str">
        <f>IF(U275="","",_xlfn.XLOOKUP(U275,Hotels!A:A,Hotels!B:B,"Not found"))</f>
        <v>Hilton</v>
      </c>
      <c r="AV275" t="s">
        <v>148</v>
      </c>
      <c r="AW275" s="16" t="str">
        <f t="shared" si="92"/>
        <v>OK</v>
      </c>
      <c r="AX275" s="16" t="str">
        <f t="shared" si="93"/>
        <v>OK</v>
      </c>
      <c r="AY275" s="16" t="str">
        <f t="shared" si="94"/>
        <v>OK</v>
      </c>
      <c r="AZ275" s="16" t="str">
        <f t="shared" si="95"/>
        <v>OK</v>
      </c>
      <c r="BA275" s="16" t="str">
        <f t="shared" si="99"/>
        <v>OK</v>
      </c>
      <c r="BB275" s="21">
        <f>COUNTIF('Trip Changes'!B:B,A275)</f>
        <v>0</v>
      </c>
      <c r="BC275" s="16" t="str">
        <f>IF(OR(AND(AD275="Yes",COUNTIF('Trip Changes'!B:B,A275)&gt;0),AND(AD275="No",COUNTIF('Trip Changes'!B:B,A275)=0)),"OK","Check")</f>
        <v>OK</v>
      </c>
      <c r="BD275" t="str">
        <f t="shared" si="100"/>
        <v>OK</v>
      </c>
      <c r="BE275" t="str">
        <f t="shared" si="101"/>
        <v>OK</v>
      </c>
      <c r="BF275" t="str">
        <f t="shared" si="102"/>
        <v>OK</v>
      </c>
      <c r="BG275" t="str">
        <f t="shared" si="103"/>
        <v>OK</v>
      </c>
      <c r="BH275" t="str">
        <f t="shared" si="104"/>
        <v>OK</v>
      </c>
      <c r="BI275" t="str">
        <f t="shared" si="96"/>
        <v>OK</v>
      </c>
      <c r="BJ275" t="str">
        <f t="shared" si="97"/>
        <v>OK</v>
      </c>
      <c r="BK275" t="str">
        <f t="shared" si="98"/>
        <v>OK</v>
      </c>
    </row>
    <row r="276" spans="1:63">
      <c r="A276" s="16" t="s">
        <v>555</v>
      </c>
      <c r="B276" s="16" t="s">
        <v>556</v>
      </c>
      <c r="C276" s="16" t="s">
        <v>282</v>
      </c>
      <c r="D276" s="16" t="s">
        <v>248</v>
      </c>
      <c r="E276" s="16" t="s">
        <v>169</v>
      </c>
      <c r="F276" s="16" t="s">
        <v>170</v>
      </c>
      <c r="G276" s="15">
        <v>46205</v>
      </c>
      <c r="H276" s="15">
        <v>46219</v>
      </c>
      <c r="I276" s="15">
        <v>46221</v>
      </c>
      <c r="J276" s="15" t="s">
        <v>150</v>
      </c>
      <c r="K276" s="16" t="s">
        <v>282</v>
      </c>
      <c r="L276" t="s">
        <v>182</v>
      </c>
      <c r="M276" s="16" t="s">
        <v>143</v>
      </c>
      <c r="N276" s="16" t="s">
        <v>144</v>
      </c>
      <c r="O276" t="s">
        <v>1630</v>
      </c>
      <c r="P276" s="18">
        <v>528</v>
      </c>
      <c r="Q276" s="21">
        <v>14</v>
      </c>
      <c r="R276" s="21" t="str">
        <f t="shared" si="84"/>
        <v>8-14 days</v>
      </c>
      <c r="S276" s="16" t="s">
        <v>145</v>
      </c>
      <c r="U276" s="16" t="s">
        <v>164</v>
      </c>
      <c r="V276" t="str">
        <f>IF(U276="","",IFERROR(VLOOKUP(U276,Hotels!A:B,2,FALSE),"Not Found"))</f>
        <v>Marriott</v>
      </c>
      <c r="W276" s="14">
        <v>0</v>
      </c>
      <c r="X276" s="14">
        <v>260.55</v>
      </c>
      <c r="Y276" s="21">
        <v>1</v>
      </c>
      <c r="Z276" s="29">
        <f t="shared" si="85"/>
        <v>135.62</v>
      </c>
      <c r="AA276" s="14">
        <v>135.62</v>
      </c>
      <c r="AB276" s="14">
        <v>60.42</v>
      </c>
      <c r="AC276" s="14">
        <v>456.59</v>
      </c>
      <c r="AD276" s="16" t="s">
        <v>147</v>
      </c>
      <c r="AE276" s="16" t="s">
        <v>147</v>
      </c>
      <c r="AF276" s="14">
        <f>SUMIF('Trip Changes'!$B:$B,A276,'Trip Changes'!$E:$E)</f>
        <v>0</v>
      </c>
      <c r="AG276" s="23">
        <f>SUMIF('Trip Cancellations'!$B:$B,A276,'Trip Cancellations'!$E:$E)</f>
        <v>0</v>
      </c>
      <c r="AH276" s="14">
        <f>SUMIF('Trip Cancellations'!$B:$B,A276,'Trip Cancellations'!$F:$F)</f>
        <v>0</v>
      </c>
      <c r="AI276" s="14">
        <f t="shared" si="86"/>
        <v>456.59</v>
      </c>
      <c r="AJ276" s="14" t="str">
        <f t="shared" si="87"/>
        <v>Yes</v>
      </c>
      <c r="AK276" s="14" t="str">
        <f>IF(Y276=0,"N/A",
IF(_xlfn.XLOOKUP(U276,Hotels!A:A,Hotels!C:C)=TRUE,"Yes","No"))</f>
        <v>Yes</v>
      </c>
      <c r="AL276" s="14" t="str">
        <f>IF(N276="Rail","N/A",IF(_xlfn.XLOOKUP(T276,Airlines!A:A,Airlines!C:C)=TRUE,"Yes","No"))</f>
        <v>N/A</v>
      </c>
      <c r="AM276" s="14" t="str">
        <f t="shared" si="88"/>
        <v>Yes</v>
      </c>
      <c r="AN276" s="14" t="str">
        <f t="shared" si="89"/>
        <v>Yes</v>
      </c>
      <c r="AO276" s="14" t="str">
        <f t="shared" si="90"/>
        <v>Yes</v>
      </c>
      <c r="AP276" s="16" t="s">
        <v>148</v>
      </c>
      <c r="AQ276" t="str">
        <f t="shared" si="91"/>
        <v>Yes</v>
      </c>
      <c r="AR276" s="21">
        <v>4</v>
      </c>
      <c r="AS276" s="5">
        <v>21.1</v>
      </c>
      <c r="AT276" s="5" t="str">
        <f>IF(T276="","",_xlfn.XLOOKUP(T276,Airlines!A:A,Airlines!B:B,"Not Found"))</f>
        <v/>
      </c>
      <c r="AU276" s="5" t="str">
        <f>IF(U276="","",_xlfn.XLOOKUP(U276,Hotels!A:A,Hotels!B:B,"Not found"))</f>
        <v>Marriott</v>
      </c>
      <c r="AV276" t="s">
        <v>147</v>
      </c>
      <c r="AW276" s="16" t="str">
        <f t="shared" si="92"/>
        <v>OK</v>
      </c>
      <c r="AX276" s="16" t="str">
        <f t="shared" si="93"/>
        <v>OK</v>
      </c>
      <c r="AY276" s="16" t="str">
        <f t="shared" si="94"/>
        <v>OK</v>
      </c>
      <c r="AZ276" s="16" t="str">
        <f t="shared" si="95"/>
        <v>OK</v>
      </c>
      <c r="BA276" s="16" t="str">
        <f t="shared" si="99"/>
        <v>OK</v>
      </c>
      <c r="BB276" s="21">
        <f>COUNTIF('Trip Changes'!B:B,A276)</f>
        <v>0</v>
      </c>
      <c r="BC276" s="16" t="str">
        <f>IF(OR(AND(AD276="Yes",COUNTIF('Trip Changes'!B:B,A276)&gt;0),AND(AD276="No",COUNTIF('Trip Changes'!B:B,A276)=0)),"OK","Check")</f>
        <v>OK</v>
      </c>
      <c r="BD276" t="str">
        <f t="shared" si="100"/>
        <v>OK</v>
      </c>
      <c r="BE276" t="str">
        <f t="shared" si="101"/>
        <v>OK</v>
      </c>
      <c r="BF276" t="str">
        <f t="shared" si="102"/>
        <v>OK</v>
      </c>
      <c r="BG276" t="str">
        <f t="shared" si="103"/>
        <v>OK</v>
      </c>
      <c r="BH276" t="str">
        <f t="shared" si="104"/>
        <v>OK</v>
      </c>
      <c r="BI276" t="str">
        <f t="shared" si="96"/>
        <v>OK</v>
      </c>
      <c r="BJ276" t="str">
        <f t="shared" si="97"/>
        <v>OK</v>
      </c>
      <c r="BK276" t="str">
        <f t="shared" si="98"/>
        <v>OK</v>
      </c>
    </row>
    <row r="277" spans="1:63">
      <c r="A277" s="16" t="s">
        <v>557</v>
      </c>
      <c r="B277" s="16" t="s">
        <v>556</v>
      </c>
      <c r="C277" s="16" t="s">
        <v>282</v>
      </c>
      <c r="D277" s="16" t="s">
        <v>248</v>
      </c>
      <c r="E277" s="16" t="s">
        <v>169</v>
      </c>
      <c r="F277" s="16" t="s">
        <v>157</v>
      </c>
      <c r="G277" s="15">
        <v>46220</v>
      </c>
      <c r="H277" s="15">
        <v>46229</v>
      </c>
      <c r="I277" s="15">
        <v>46235</v>
      </c>
      <c r="J277" s="15" t="s">
        <v>150</v>
      </c>
      <c r="K277" s="16" t="s">
        <v>282</v>
      </c>
      <c r="L277" t="s">
        <v>185</v>
      </c>
      <c r="M277" s="16" t="s">
        <v>152</v>
      </c>
      <c r="N277" s="16" t="s">
        <v>153</v>
      </c>
      <c r="O277" t="s">
        <v>1614</v>
      </c>
      <c r="P277" s="18">
        <v>12772</v>
      </c>
      <c r="Q277" s="21">
        <v>9</v>
      </c>
      <c r="R277" s="21" t="str">
        <f t="shared" si="84"/>
        <v>8-14 days</v>
      </c>
      <c r="S277" s="16" t="s">
        <v>145</v>
      </c>
      <c r="T277" s="16" t="s">
        <v>154</v>
      </c>
      <c r="U277" s="16" t="s">
        <v>164</v>
      </c>
      <c r="V277" t="str">
        <f>IF(U277="","",IFERROR(VLOOKUP(U277,Hotels!A:B,2,FALSE),"Not Found"))</f>
        <v>Marriott</v>
      </c>
      <c r="W277" s="14">
        <v>1533.08</v>
      </c>
      <c r="X277" s="14">
        <v>0</v>
      </c>
      <c r="Y277" s="21">
        <v>5</v>
      </c>
      <c r="Z277" s="29">
        <f t="shared" si="85"/>
        <v>141.39600000000002</v>
      </c>
      <c r="AA277" s="14">
        <v>706.98</v>
      </c>
      <c r="AB277" s="14">
        <v>87.14</v>
      </c>
      <c r="AC277" s="14">
        <v>2327.1999999999998</v>
      </c>
      <c r="AD277" s="16" t="s">
        <v>147</v>
      </c>
      <c r="AE277" s="16" t="s">
        <v>147</v>
      </c>
      <c r="AF277" s="14">
        <f>SUMIF('Trip Changes'!$B:$B,A277,'Trip Changes'!$E:$E)</f>
        <v>0</v>
      </c>
      <c r="AG277" s="23">
        <f>SUMIF('Trip Cancellations'!$B:$B,A277,'Trip Cancellations'!$E:$E)</f>
        <v>0</v>
      </c>
      <c r="AH277" s="14">
        <f>SUMIF('Trip Cancellations'!$B:$B,A277,'Trip Cancellations'!$F:$F)</f>
        <v>0</v>
      </c>
      <c r="AI277" s="14">
        <f t="shared" si="86"/>
        <v>2327.1999999999998</v>
      </c>
      <c r="AJ277" s="14" t="str">
        <f t="shared" si="87"/>
        <v>Yes</v>
      </c>
      <c r="AK277" s="14" t="str">
        <f>IF(Y277=0,"N/A",
IF(_xlfn.XLOOKUP(U277,Hotels!A:A,Hotels!C:C)=TRUE,"Yes","No"))</f>
        <v>Yes</v>
      </c>
      <c r="AL277" s="14" t="str">
        <f>IF(N277="Rail","N/A",IF(_xlfn.XLOOKUP(T277,Airlines!A:A,Airlines!C:C)=TRUE,"Yes","No"))</f>
        <v>Yes</v>
      </c>
      <c r="AM277" s="14" t="str">
        <f t="shared" si="88"/>
        <v>Yes</v>
      </c>
      <c r="AN277" s="14" t="str">
        <f t="shared" si="89"/>
        <v>Yes</v>
      </c>
      <c r="AO277" s="14" t="str">
        <f t="shared" si="90"/>
        <v>Yes</v>
      </c>
      <c r="AP277" s="16" t="s">
        <v>148</v>
      </c>
      <c r="AQ277" t="str">
        <f t="shared" si="91"/>
        <v>Yes</v>
      </c>
      <c r="AR277" s="21">
        <v>5</v>
      </c>
      <c r="AS277" s="5">
        <v>1915.8</v>
      </c>
      <c r="AT277" s="5" t="str">
        <f>IF(T277="","",_xlfn.XLOOKUP(T277,Airlines!A:A,Airlines!B:B,"Not Found"))</f>
        <v>British Airways</v>
      </c>
      <c r="AU277" s="5" t="str">
        <f>IF(U277="","",_xlfn.XLOOKUP(U277,Hotels!A:A,Hotels!B:B,"Not found"))</f>
        <v>Marriott</v>
      </c>
      <c r="AV277" t="s">
        <v>147</v>
      </c>
      <c r="AW277" s="16" t="str">
        <f t="shared" si="92"/>
        <v>OK</v>
      </c>
      <c r="AX277" s="16" t="str">
        <f t="shared" si="93"/>
        <v>OK</v>
      </c>
      <c r="AY277" s="16" t="str">
        <f t="shared" si="94"/>
        <v>OK</v>
      </c>
      <c r="AZ277" s="16" t="str">
        <f t="shared" si="95"/>
        <v>OK</v>
      </c>
      <c r="BA277" s="16" t="str">
        <f t="shared" si="99"/>
        <v>OK</v>
      </c>
      <c r="BB277" s="21">
        <f>COUNTIF('Trip Changes'!B:B,A277)</f>
        <v>0</v>
      </c>
      <c r="BC277" s="16" t="str">
        <f>IF(OR(AND(AD277="Yes",COUNTIF('Trip Changes'!B:B,A277)&gt;0),AND(AD277="No",COUNTIF('Trip Changes'!B:B,A277)=0)),"OK","Check")</f>
        <v>OK</v>
      </c>
      <c r="BD277" t="str">
        <f t="shared" si="100"/>
        <v>OK</v>
      </c>
      <c r="BE277" t="str">
        <f t="shared" si="101"/>
        <v>OK</v>
      </c>
      <c r="BF277" t="str">
        <f t="shared" si="102"/>
        <v>OK</v>
      </c>
      <c r="BG277" t="str">
        <f t="shared" si="103"/>
        <v>OK</v>
      </c>
      <c r="BH277" t="str">
        <f t="shared" si="104"/>
        <v>OK</v>
      </c>
      <c r="BI277" t="str">
        <f t="shared" si="96"/>
        <v>OK</v>
      </c>
      <c r="BJ277" t="str">
        <f t="shared" si="97"/>
        <v>OK</v>
      </c>
      <c r="BK277" t="str">
        <f t="shared" si="98"/>
        <v>OK</v>
      </c>
    </row>
    <row r="278" spans="1:63">
      <c r="A278" s="16" t="s">
        <v>558</v>
      </c>
      <c r="B278" s="16" t="s">
        <v>559</v>
      </c>
      <c r="C278" s="16" t="s">
        <v>182</v>
      </c>
      <c r="D278" s="16" t="s">
        <v>204</v>
      </c>
      <c r="E278" s="16" t="s">
        <v>139</v>
      </c>
      <c r="F278" s="16" t="s">
        <v>181</v>
      </c>
      <c r="G278" s="15">
        <v>46159</v>
      </c>
      <c r="H278" s="15">
        <v>46173</v>
      </c>
      <c r="I278" s="15">
        <v>46179</v>
      </c>
      <c r="J278" s="15" t="s">
        <v>163</v>
      </c>
      <c r="K278" s="16" t="s">
        <v>182</v>
      </c>
      <c r="L278" t="s">
        <v>179</v>
      </c>
      <c r="M278" s="16" t="s">
        <v>152</v>
      </c>
      <c r="N278" s="16" t="s">
        <v>153</v>
      </c>
      <c r="O278" t="s">
        <v>1614</v>
      </c>
      <c r="P278" s="18">
        <v>17320</v>
      </c>
      <c r="Q278" s="21">
        <v>14</v>
      </c>
      <c r="R278" s="21" t="str">
        <f t="shared" si="84"/>
        <v>8-14 days</v>
      </c>
      <c r="S278" s="16" t="s">
        <v>145</v>
      </c>
      <c r="T278" s="16" t="s">
        <v>154</v>
      </c>
      <c r="U278" s="16" t="s">
        <v>187</v>
      </c>
      <c r="V278" t="str">
        <f>IF(U278="","",IFERROR(VLOOKUP(U278,Hotels!A:B,2,FALSE),"Not Found"))</f>
        <v>IHG Hotels &amp; Resorts</v>
      </c>
      <c r="W278" s="14">
        <v>650</v>
      </c>
      <c r="X278" s="14">
        <v>0</v>
      </c>
      <c r="Y278" s="21">
        <v>5</v>
      </c>
      <c r="Z278" s="29">
        <f t="shared" si="85"/>
        <v>172.988</v>
      </c>
      <c r="AA278" s="14">
        <v>864.94</v>
      </c>
      <c r="AB278" s="14">
        <v>20.63</v>
      </c>
      <c r="AC278" s="14">
        <v>1535.57</v>
      </c>
      <c r="AD278" s="16" t="s">
        <v>147</v>
      </c>
      <c r="AE278" s="16" t="s">
        <v>147</v>
      </c>
      <c r="AF278" s="14">
        <f>SUMIF('Trip Changes'!$B:$B,A278,'Trip Changes'!$E:$E)</f>
        <v>0</v>
      </c>
      <c r="AG278" s="23">
        <f>SUMIF('Trip Cancellations'!$B:$B,A278,'Trip Cancellations'!$E:$E)</f>
        <v>0</v>
      </c>
      <c r="AH278" s="14">
        <f>SUMIF('Trip Cancellations'!$B:$B,A278,'Trip Cancellations'!$F:$F)</f>
        <v>0</v>
      </c>
      <c r="AI278" s="14">
        <f t="shared" si="86"/>
        <v>1535.57</v>
      </c>
      <c r="AJ278" s="14" t="str">
        <f t="shared" si="87"/>
        <v>Yes</v>
      </c>
      <c r="AK278" s="14" t="str">
        <f>IF(Y278=0,"N/A",
IF(_xlfn.XLOOKUP(U278,Hotels!A:A,Hotels!C:C)=TRUE,"Yes","No"))</f>
        <v>Yes</v>
      </c>
      <c r="AL278" s="14" t="str">
        <f>IF(N278="Rail","N/A",IF(_xlfn.XLOOKUP(T278,Airlines!A:A,Airlines!C:C)=TRUE,"Yes","No"))</f>
        <v>Yes</v>
      </c>
      <c r="AM278" s="14" t="str">
        <f t="shared" si="88"/>
        <v>Yes</v>
      </c>
      <c r="AN278" s="14" t="str">
        <f t="shared" si="89"/>
        <v>Yes</v>
      </c>
      <c r="AO278" s="14" t="str">
        <f t="shared" si="90"/>
        <v>Yes</v>
      </c>
      <c r="AP278" s="16" t="s">
        <v>148</v>
      </c>
      <c r="AQ278" t="str">
        <f t="shared" si="91"/>
        <v>Yes</v>
      </c>
      <c r="AR278" s="21">
        <v>4</v>
      </c>
      <c r="AS278" s="5">
        <v>2598</v>
      </c>
      <c r="AT278" s="5" t="str">
        <f>IF(T278="","",_xlfn.XLOOKUP(T278,Airlines!A:A,Airlines!B:B,"Not Found"))</f>
        <v>British Airways</v>
      </c>
      <c r="AU278" s="5" t="str">
        <f>IF(U278="","",_xlfn.XLOOKUP(U278,Hotels!A:A,Hotels!B:B,"Not found"))</f>
        <v>IHG Hotels &amp; Resorts</v>
      </c>
      <c r="AV278" t="s">
        <v>147</v>
      </c>
      <c r="AW278" s="16" t="str">
        <f t="shared" si="92"/>
        <v>OK</v>
      </c>
      <c r="AX278" s="16" t="str">
        <f t="shared" si="93"/>
        <v>OK</v>
      </c>
      <c r="AY278" s="16" t="str">
        <f t="shared" si="94"/>
        <v>OK</v>
      </c>
      <c r="AZ278" s="16" t="str">
        <f t="shared" si="95"/>
        <v>OK</v>
      </c>
      <c r="BA278" s="16" t="str">
        <f t="shared" si="99"/>
        <v>OK</v>
      </c>
      <c r="BB278" s="21">
        <f>COUNTIF('Trip Changes'!B:B,A278)</f>
        <v>0</v>
      </c>
      <c r="BC278" s="16" t="str">
        <f>IF(OR(AND(AD278="Yes",COUNTIF('Trip Changes'!B:B,A278)&gt;0),AND(AD278="No",COUNTIF('Trip Changes'!B:B,A278)=0)),"OK","Check")</f>
        <v>OK</v>
      </c>
      <c r="BD278" t="str">
        <f t="shared" si="100"/>
        <v>OK</v>
      </c>
      <c r="BE278" t="str">
        <f t="shared" si="101"/>
        <v>OK</v>
      </c>
      <c r="BF278" t="str">
        <f t="shared" si="102"/>
        <v>OK</v>
      </c>
      <c r="BG278" t="str">
        <f t="shared" si="103"/>
        <v>OK</v>
      </c>
      <c r="BH278" t="str">
        <f t="shared" si="104"/>
        <v>OK</v>
      </c>
      <c r="BI278" t="str">
        <f t="shared" si="96"/>
        <v>OK</v>
      </c>
      <c r="BJ278" t="str">
        <f t="shared" si="97"/>
        <v>OK</v>
      </c>
      <c r="BK278" t="str">
        <f t="shared" si="98"/>
        <v>OK</v>
      </c>
    </row>
    <row r="279" spans="1:63">
      <c r="A279" s="16" t="s">
        <v>560</v>
      </c>
      <c r="B279" s="16" t="s">
        <v>561</v>
      </c>
      <c r="C279" s="16" t="s">
        <v>182</v>
      </c>
      <c r="D279" s="16" t="s">
        <v>168</v>
      </c>
      <c r="E279" s="16" t="s">
        <v>169</v>
      </c>
      <c r="F279" s="16" t="s">
        <v>189</v>
      </c>
      <c r="G279" s="15">
        <v>46177</v>
      </c>
      <c r="H279" s="15">
        <v>46188</v>
      </c>
      <c r="I279" s="15">
        <v>46196</v>
      </c>
      <c r="J279" s="15" t="s">
        <v>141</v>
      </c>
      <c r="K279" s="16" t="s">
        <v>182</v>
      </c>
      <c r="L279" t="s">
        <v>179</v>
      </c>
      <c r="M279" s="16" t="s">
        <v>152</v>
      </c>
      <c r="N279" s="16" t="s">
        <v>153</v>
      </c>
      <c r="O279" t="s">
        <v>1614</v>
      </c>
      <c r="P279" s="18">
        <v>20818</v>
      </c>
      <c r="Q279" s="21">
        <v>11</v>
      </c>
      <c r="R279" s="21" t="str">
        <f t="shared" si="84"/>
        <v>8-14 days</v>
      </c>
      <c r="S279" s="16" t="s">
        <v>207</v>
      </c>
      <c r="T279" s="16" t="s">
        <v>154</v>
      </c>
      <c r="U279" s="16" t="s">
        <v>164</v>
      </c>
      <c r="V279" t="str">
        <f>IF(U279="","",IFERROR(VLOOKUP(U279,Hotels!A:B,2,FALSE),"Not Found"))</f>
        <v>Marriott</v>
      </c>
      <c r="W279" s="14">
        <v>2147.48</v>
      </c>
      <c r="X279" s="14">
        <v>0</v>
      </c>
      <c r="Y279" s="21">
        <v>7</v>
      </c>
      <c r="Z279" s="29">
        <f t="shared" si="85"/>
        <v>170.78857142857143</v>
      </c>
      <c r="AA279" s="14">
        <v>1195.52</v>
      </c>
      <c r="AB279" s="14">
        <v>38.15</v>
      </c>
      <c r="AC279" s="14">
        <v>3381.15</v>
      </c>
      <c r="AD279" s="16" t="s">
        <v>147</v>
      </c>
      <c r="AE279" s="16" t="s">
        <v>147</v>
      </c>
      <c r="AF279" s="14">
        <f>SUMIF('Trip Changes'!$B:$B,A279,'Trip Changes'!$E:$E)</f>
        <v>0</v>
      </c>
      <c r="AG279" s="23">
        <f>SUMIF('Trip Cancellations'!$B:$B,A279,'Trip Cancellations'!$E:$E)</f>
        <v>0</v>
      </c>
      <c r="AH279" s="14">
        <f>SUMIF('Trip Cancellations'!$B:$B,A279,'Trip Cancellations'!$F:$F)</f>
        <v>0</v>
      </c>
      <c r="AI279" s="14">
        <f t="shared" si="86"/>
        <v>3381.15</v>
      </c>
      <c r="AJ279" s="14" t="str">
        <f t="shared" si="87"/>
        <v>Yes</v>
      </c>
      <c r="AK279" s="14" t="str">
        <f>IF(Y279=0,"N/A",
IF(_xlfn.XLOOKUP(U279,Hotels!A:A,Hotels!C:C)=TRUE,"Yes","No"))</f>
        <v>Yes</v>
      </c>
      <c r="AL279" s="14" t="str">
        <f>IF(N279="Rail","N/A",IF(_xlfn.XLOOKUP(T279,Airlines!A:A,Airlines!C:C)=TRUE,"Yes","No"))</f>
        <v>Yes</v>
      </c>
      <c r="AM279" s="14" t="str">
        <f t="shared" si="88"/>
        <v>Yes</v>
      </c>
      <c r="AN279" s="14" t="str">
        <f t="shared" si="89"/>
        <v>No</v>
      </c>
      <c r="AO279" s="14" t="str">
        <f t="shared" si="90"/>
        <v>Yes</v>
      </c>
      <c r="AP279" s="16" t="s">
        <v>148</v>
      </c>
      <c r="AQ279" t="str">
        <f t="shared" si="91"/>
        <v>No</v>
      </c>
      <c r="AR279" s="21">
        <v>3</v>
      </c>
      <c r="AS279" s="5">
        <v>3122.7</v>
      </c>
      <c r="AT279" s="5" t="str">
        <f>IF(T279="","",_xlfn.XLOOKUP(T279,Airlines!A:A,Airlines!B:B,"Not Found"))</f>
        <v>British Airways</v>
      </c>
      <c r="AU279" s="5" t="str">
        <f>IF(U279="","",_xlfn.XLOOKUP(U279,Hotels!A:A,Hotels!B:B,"Not found"))</f>
        <v>Marriott</v>
      </c>
      <c r="AV279" t="s">
        <v>147</v>
      </c>
      <c r="AW279" s="16" t="str">
        <f t="shared" si="92"/>
        <v>OK</v>
      </c>
      <c r="AX279" s="16" t="str">
        <f t="shared" si="93"/>
        <v>OK</v>
      </c>
      <c r="AY279" s="16" t="str">
        <f t="shared" si="94"/>
        <v>OK</v>
      </c>
      <c r="AZ279" s="16" t="str">
        <f t="shared" si="95"/>
        <v>OK</v>
      </c>
      <c r="BA279" s="16" t="str">
        <f t="shared" si="99"/>
        <v>OK</v>
      </c>
      <c r="BB279" s="21">
        <f>COUNTIF('Trip Changes'!B:B,A279)</f>
        <v>0</v>
      </c>
      <c r="BC279" s="16" t="str">
        <f>IF(OR(AND(AD279="Yes",COUNTIF('Trip Changes'!B:B,A279)&gt;0),AND(AD279="No",COUNTIF('Trip Changes'!B:B,A279)=0)),"OK","Check")</f>
        <v>OK</v>
      </c>
      <c r="BD279" t="str">
        <f t="shared" si="100"/>
        <v>OK</v>
      </c>
      <c r="BE279" t="str">
        <f t="shared" si="101"/>
        <v>OK</v>
      </c>
      <c r="BF279" t="str">
        <f t="shared" si="102"/>
        <v>OK</v>
      </c>
      <c r="BG279" t="str">
        <f t="shared" si="103"/>
        <v>OK</v>
      </c>
      <c r="BH279" t="str">
        <f t="shared" si="104"/>
        <v>OK</v>
      </c>
      <c r="BI279" t="str">
        <f t="shared" si="96"/>
        <v>OK</v>
      </c>
      <c r="BJ279" t="str">
        <f t="shared" si="97"/>
        <v>OK</v>
      </c>
      <c r="BK279" t="str">
        <f t="shared" si="98"/>
        <v>OK</v>
      </c>
    </row>
    <row r="280" spans="1:63">
      <c r="A280" s="16" t="s">
        <v>562</v>
      </c>
      <c r="B280" s="16" t="s">
        <v>561</v>
      </c>
      <c r="C280" s="16" t="s">
        <v>182</v>
      </c>
      <c r="D280" s="16" t="s">
        <v>168</v>
      </c>
      <c r="E280" s="16" t="s">
        <v>169</v>
      </c>
      <c r="F280" s="16" t="s">
        <v>170</v>
      </c>
      <c r="G280" s="15">
        <v>46152</v>
      </c>
      <c r="H280" s="15">
        <v>46165</v>
      </c>
      <c r="I280" s="15">
        <v>46168</v>
      </c>
      <c r="J280" s="15" t="s">
        <v>163</v>
      </c>
      <c r="K280" s="16" t="s">
        <v>182</v>
      </c>
      <c r="L280" t="s">
        <v>233</v>
      </c>
      <c r="M280" s="16" t="s">
        <v>152</v>
      </c>
      <c r="N280" s="16" t="s">
        <v>153</v>
      </c>
      <c r="O280" t="s">
        <v>1614</v>
      </c>
      <c r="P280" s="18">
        <v>1486</v>
      </c>
      <c r="Q280" s="21">
        <v>13</v>
      </c>
      <c r="R280" s="21" t="str">
        <f t="shared" si="84"/>
        <v>8-14 days</v>
      </c>
      <c r="S280" s="16" t="s">
        <v>145</v>
      </c>
      <c r="T280" s="16" t="s">
        <v>154</v>
      </c>
      <c r="U280" s="16" t="s">
        <v>190</v>
      </c>
      <c r="V280" t="str">
        <f>IF(U280="","",IFERROR(VLOOKUP(U280,Hotels!A:B,2,FALSE),"Not Found"))</f>
        <v>Radisson Hotel Group</v>
      </c>
      <c r="W280" s="14">
        <v>509.58</v>
      </c>
      <c r="X280" s="14">
        <v>0</v>
      </c>
      <c r="Y280" s="21">
        <v>2</v>
      </c>
      <c r="Z280" s="29">
        <f t="shared" si="85"/>
        <v>185.36</v>
      </c>
      <c r="AA280" s="14">
        <v>370.72</v>
      </c>
      <c r="AB280" s="14">
        <v>30.5</v>
      </c>
      <c r="AC280" s="14">
        <v>910.8</v>
      </c>
      <c r="AD280" s="16" t="s">
        <v>147</v>
      </c>
      <c r="AE280" s="16" t="s">
        <v>147</v>
      </c>
      <c r="AF280" s="14">
        <f>SUMIF('Trip Changes'!$B:$B,A280,'Trip Changes'!$E:$E)</f>
        <v>0</v>
      </c>
      <c r="AG280" s="23">
        <f>SUMIF('Trip Cancellations'!$B:$B,A280,'Trip Cancellations'!$E:$E)</f>
        <v>0</v>
      </c>
      <c r="AH280" s="14">
        <f>SUMIF('Trip Cancellations'!$B:$B,A280,'Trip Cancellations'!$F:$F)</f>
        <v>0</v>
      </c>
      <c r="AI280" s="14">
        <f t="shared" si="86"/>
        <v>910.8</v>
      </c>
      <c r="AJ280" s="14" t="str">
        <f t="shared" si="87"/>
        <v>No</v>
      </c>
      <c r="AK280" s="14" t="str">
        <f>IF(Y280=0,"N/A",
IF(_xlfn.XLOOKUP(U280,Hotels!A:A,Hotels!C:C)=TRUE,"Yes","No"))</f>
        <v>No</v>
      </c>
      <c r="AL280" s="14" t="str">
        <f>IF(N280="Rail","N/A",IF(_xlfn.XLOOKUP(T280,Airlines!A:A,Airlines!C:C)=TRUE,"Yes","No"))</f>
        <v>Yes</v>
      </c>
      <c r="AM280" s="14" t="str">
        <f t="shared" si="88"/>
        <v>Yes</v>
      </c>
      <c r="AN280" s="14" t="str">
        <f t="shared" si="89"/>
        <v>Yes</v>
      </c>
      <c r="AO280" s="14" t="str">
        <f t="shared" si="90"/>
        <v>No</v>
      </c>
      <c r="AP280" s="16" t="s">
        <v>148</v>
      </c>
      <c r="AQ280" t="str">
        <f t="shared" si="91"/>
        <v>No</v>
      </c>
      <c r="AR280" s="21">
        <v>4</v>
      </c>
      <c r="AS280" s="5">
        <v>222.9</v>
      </c>
      <c r="AT280" s="5" t="str">
        <f>IF(T280="","",_xlfn.XLOOKUP(T280,Airlines!A:A,Airlines!B:B,"Not Found"))</f>
        <v>British Airways</v>
      </c>
      <c r="AU280" s="5" t="str">
        <f>IF(U280="","",_xlfn.XLOOKUP(U280,Hotels!A:A,Hotels!B:B,"Not found"))</f>
        <v>Radisson Hotel Group</v>
      </c>
      <c r="AV280" t="s">
        <v>148</v>
      </c>
      <c r="AW280" s="16" t="str">
        <f t="shared" si="92"/>
        <v>OK</v>
      </c>
      <c r="AX280" s="16" t="str">
        <f t="shared" si="93"/>
        <v>OK</v>
      </c>
      <c r="AY280" s="16" t="str">
        <f t="shared" si="94"/>
        <v>OK</v>
      </c>
      <c r="AZ280" s="16" t="str">
        <f t="shared" si="95"/>
        <v>OK</v>
      </c>
      <c r="BA280" s="16" t="str">
        <f t="shared" si="99"/>
        <v>OK</v>
      </c>
      <c r="BB280" s="21">
        <f>COUNTIF('Trip Changes'!B:B,A280)</f>
        <v>0</v>
      </c>
      <c r="BC280" s="16" t="str">
        <f>IF(OR(AND(AD280="Yes",COUNTIF('Trip Changes'!B:B,A280)&gt;0),AND(AD280="No",COUNTIF('Trip Changes'!B:B,A280)=0)),"OK","Check")</f>
        <v>OK</v>
      </c>
      <c r="BD280" t="str">
        <f t="shared" si="100"/>
        <v>OK</v>
      </c>
      <c r="BE280" t="str">
        <f t="shared" si="101"/>
        <v>OK</v>
      </c>
      <c r="BF280" t="str">
        <f t="shared" si="102"/>
        <v>OK</v>
      </c>
      <c r="BG280" t="str">
        <f t="shared" si="103"/>
        <v>OK</v>
      </c>
      <c r="BH280" t="str">
        <f t="shared" si="104"/>
        <v>OK</v>
      </c>
      <c r="BI280" t="str">
        <f t="shared" si="96"/>
        <v>OK</v>
      </c>
      <c r="BJ280" t="str">
        <f t="shared" si="97"/>
        <v>OK</v>
      </c>
      <c r="BK280" t="str">
        <f t="shared" si="98"/>
        <v>OK</v>
      </c>
    </row>
    <row r="281" spans="1:63">
      <c r="A281" s="16" t="s">
        <v>563</v>
      </c>
      <c r="B281" s="16" t="s">
        <v>564</v>
      </c>
      <c r="C281" s="16" t="s">
        <v>182</v>
      </c>
      <c r="D281" s="16" t="s">
        <v>248</v>
      </c>
      <c r="E281" s="16" t="s">
        <v>249</v>
      </c>
      <c r="F281" s="16" t="s">
        <v>207</v>
      </c>
      <c r="G281" s="15">
        <v>46169</v>
      </c>
      <c r="H281" s="15">
        <v>46183</v>
      </c>
      <c r="I281" s="15">
        <v>46185</v>
      </c>
      <c r="J281" s="15" t="s">
        <v>141</v>
      </c>
      <c r="K281" s="16" t="s">
        <v>182</v>
      </c>
      <c r="L281" t="s">
        <v>233</v>
      </c>
      <c r="M281" s="16" t="s">
        <v>152</v>
      </c>
      <c r="N281" s="16" t="s">
        <v>153</v>
      </c>
      <c r="O281" t="s">
        <v>1614</v>
      </c>
      <c r="P281" s="18">
        <v>3326</v>
      </c>
      <c r="Q281" s="21">
        <v>14</v>
      </c>
      <c r="R281" s="21" t="str">
        <f t="shared" si="84"/>
        <v>8-14 days</v>
      </c>
      <c r="S281" s="16" t="s">
        <v>207</v>
      </c>
      <c r="T281" s="16" t="s">
        <v>160</v>
      </c>
      <c r="U281" s="16" t="s">
        <v>164</v>
      </c>
      <c r="V281" t="str">
        <f>IF(U281="","",IFERROR(VLOOKUP(U281,Hotels!A:B,2,FALSE),"Not Found"))</f>
        <v>Marriott</v>
      </c>
      <c r="W281" s="14">
        <v>156.02000000000001</v>
      </c>
      <c r="X281" s="14">
        <v>0</v>
      </c>
      <c r="Y281" s="21">
        <v>1</v>
      </c>
      <c r="Z281" s="29">
        <f t="shared" si="85"/>
        <v>174.72</v>
      </c>
      <c r="AA281" s="14">
        <v>174.72</v>
      </c>
      <c r="AB281" s="14">
        <v>134.77000000000001</v>
      </c>
      <c r="AC281" s="14">
        <v>465.51</v>
      </c>
      <c r="AD281" s="16" t="s">
        <v>147</v>
      </c>
      <c r="AE281" s="16" t="s">
        <v>147</v>
      </c>
      <c r="AF281" s="14">
        <f>SUMIF('Trip Changes'!$B:$B,A281,'Trip Changes'!$E:$E)</f>
        <v>0</v>
      </c>
      <c r="AG281" s="23">
        <f>SUMIF('Trip Cancellations'!$B:$B,A281,'Trip Cancellations'!$E:$E)</f>
        <v>0</v>
      </c>
      <c r="AH281" s="14">
        <f>SUMIF('Trip Cancellations'!$B:$B,A281,'Trip Cancellations'!$F:$F)</f>
        <v>0</v>
      </c>
      <c r="AI281" s="14">
        <f t="shared" si="86"/>
        <v>465.51</v>
      </c>
      <c r="AJ281" s="14" t="str">
        <f t="shared" si="87"/>
        <v>Yes</v>
      </c>
      <c r="AK281" s="14" t="str">
        <f>IF(Y281=0,"N/A",
IF(_xlfn.XLOOKUP(U281,Hotels!A:A,Hotels!C:C)=TRUE,"Yes","No"))</f>
        <v>Yes</v>
      </c>
      <c r="AL281" s="14" t="str">
        <f>IF(N281="Rail","N/A",IF(_xlfn.XLOOKUP(T281,Airlines!A:A,Airlines!C:C)=TRUE,"Yes","No"))</f>
        <v>Yes</v>
      </c>
      <c r="AM281" s="14" t="str">
        <f t="shared" si="88"/>
        <v>Yes</v>
      </c>
      <c r="AN281" s="14" t="str">
        <f t="shared" si="89"/>
        <v>No</v>
      </c>
      <c r="AO281" s="14" t="str">
        <f t="shared" si="90"/>
        <v>Yes</v>
      </c>
      <c r="AP281" s="16" t="s">
        <v>148</v>
      </c>
      <c r="AQ281" t="str">
        <f t="shared" si="91"/>
        <v>No</v>
      </c>
      <c r="AR281" s="21">
        <v>4</v>
      </c>
      <c r="AS281" s="5">
        <v>498.9</v>
      </c>
      <c r="AT281" s="5" t="str">
        <f>IF(T281="","",_xlfn.XLOOKUP(T281,Airlines!A:A,Airlines!B:B,"Not Found"))</f>
        <v>Air France</v>
      </c>
      <c r="AU281" s="5" t="str">
        <f>IF(U281="","",_xlfn.XLOOKUP(U281,Hotels!A:A,Hotels!B:B,"Not found"))</f>
        <v>Marriott</v>
      </c>
      <c r="AV281" t="s">
        <v>147</v>
      </c>
      <c r="AW281" s="16" t="str">
        <f t="shared" si="92"/>
        <v>OK</v>
      </c>
      <c r="AX281" s="16" t="str">
        <f t="shared" si="93"/>
        <v>OK</v>
      </c>
      <c r="AY281" s="16" t="str">
        <f t="shared" si="94"/>
        <v>OK</v>
      </c>
      <c r="AZ281" s="16" t="str">
        <f t="shared" si="95"/>
        <v>OK</v>
      </c>
      <c r="BA281" s="16" t="str">
        <f t="shared" si="99"/>
        <v>OK</v>
      </c>
      <c r="BB281" s="21">
        <f>COUNTIF('Trip Changes'!B:B,A281)</f>
        <v>0</v>
      </c>
      <c r="BC281" s="16" t="str">
        <f>IF(OR(AND(AD281="Yes",COUNTIF('Trip Changes'!B:B,A281)&gt;0),AND(AD281="No",COUNTIF('Trip Changes'!B:B,A281)=0)),"OK","Check")</f>
        <v>OK</v>
      </c>
      <c r="BD281" t="str">
        <f t="shared" si="100"/>
        <v>OK</v>
      </c>
      <c r="BE281" t="str">
        <f t="shared" si="101"/>
        <v>OK</v>
      </c>
      <c r="BF281" t="str">
        <f t="shared" si="102"/>
        <v>OK</v>
      </c>
      <c r="BG281" t="str">
        <f t="shared" si="103"/>
        <v>OK</v>
      </c>
      <c r="BH281" t="str">
        <f t="shared" si="104"/>
        <v>OK</v>
      </c>
      <c r="BI281" t="str">
        <f t="shared" si="96"/>
        <v>OK</v>
      </c>
      <c r="BJ281" t="str">
        <f t="shared" si="97"/>
        <v>OK</v>
      </c>
      <c r="BK281" t="str">
        <f t="shared" si="98"/>
        <v>OK</v>
      </c>
    </row>
    <row r="282" spans="1:63">
      <c r="A282" s="16" t="s">
        <v>565</v>
      </c>
      <c r="B282" s="16" t="s">
        <v>564</v>
      </c>
      <c r="C282" s="16" t="s">
        <v>182</v>
      </c>
      <c r="D282" s="16" t="s">
        <v>248</v>
      </c>
      <c r="E282" s="16" t="s">
        <v>249</v>
      </c>
      <c r="F282" s="16" t="s">
        <v>157</v>
      </c>
      <c r="G282" s="15">
        <v>46213</v>
      </c>
      <c r="H282" s="15">
        <v>46234</v>
      </c>
      <c r="I282" s="15">
        <v>46236</v>
      </c>
      <c r="J282" s="15" t="s">
        <v>150</v>
      </c>
      <c r="K282" s="16" t="s">
        <v>182</v>
      </c>
      <c r="L282" t="s">
        <v>225</v>
      </c>
      <c r="M282" s="16" t="s">
        <v>152</v>
      </c>
      <c r="N282" s="16" t="s">
        <v>153</v>
      </c>
      <c r="O282" t="s">
        <v>1614</v>
      </c>
      <c r="P282" s="18">
        <v>2298</v>
      </c>
      <c r="Q282" s="21">
        <v>21</v>
      </c>
      <c r="R282" s="21" t="str">
        <f t="shared" si="84"/>
        <v>15-30 days</v>
      </c>
      <c r="S282" s="16" t="s">
        <v>159</v>
      </c>
      <c r="T282" s="16" t="s">
        <v>154</v>
      </c>
      <c r="U282" s="16" t="s">
        <v>155</v>
      </c>
      <c r="V282" t="str">
        <f>IF(U282="","",IFERROR(VLOOKUP(U282,Hotels!A:B,2,FALSE),"Not Found"))</f>
        <v>Hilton</v>
      </c>
      <c r="W282" s="14">
        <v>351.88</v>
      </c>
      <c r="X282" s="14">
        <v>0</v>
      </c>
      <c r="Y282" s="21">
        <v>1</v>
      </c>
      <c r="Z282" s="29">
        <f t="shared" si="85"/>
        <v>198.05</v>
      </c>
      <c r="AA282" s="14">
        <v>198.05</v>
      </c>
      <c r="AB282" s="14">
        <v>76.540000000000006</v>
      </c>
      <c r="AC282" s="14">
        <v>626.47</v>
      </c>
      <c r="AD282" s="16" t="s">
        <v>147</v>
      </c>
      <c r="AE282" s="16" t="s">
        <v>147</v>
      </c>
      <c r="AF282" s="14">
        <f>SUMIF('Trip Changes'!$B:$B,A282,'Trip Changes'!$E:$E)</f>
        <v>0</v>
      </c>
      <c r="AG282" s="23">
        <f>SUMIF('Trip Cancellations'!$B:$B,A282,'Trip Cancellations'!$E:$E)</f>
        <v>0</v>
      </c>
      <c r="AH282" s="14">
        <f>SUMIF('Trip Cancellations'!$B:$B,A282,'Trip Cancellations'!$F:$F)</f>
        <v>0</v>
      </c>
      <c r="AI282" s="14">
        <f t="shared" si="86"/>
        <v>626.47</v>
      </c>
      <c r="AJ282" s="14" t="str">
        <f t="shared" si="87"/>
        <v>No</v>
      </c>
      <c r="AK282" s="14" t="str">
        <f>IF(Y282=0,"N/A",
IF(_xlfn.XLOOKUP(U282,Hotels!A:A,Hotels!C:C)=TRUE,"Yes","No"))</f>
        <v>Yes</v>
      </c>
      <c r="AL282" s="14" t="str">
        <f>IF(N282="Rail","N/A",IF(_xlfn.XLOOKUP(T282,Airlines!A:A,Airlines!C:C)=TRUE,"Yes","No"))</f>
        <v>Yes</v>
      </c>
      <c r="AM282" s="14" t="str">
        <f t="shared" si="88"/>
        <v>Yes</v>
      </c>
      <c r="AN282" s="14" t="str">
        <f t="shared" si="89"/>
        <v>Yes</v>
      </c>
      <c r="AO282" s="14" t="str">
        <f t="shared" si="90"/>
        <v>Yes</v>
      </c>
      <c r="AP282" s="16" t="s">
        <v>148</v>
      </c>
      <c r="AQ282" t="str">
        <f t="shared" si="91"/>
        <v>No</v>
      </c>
      <c r="AR282" s="21">
        <v>5</v>
      </c>
      <c r="AS282" s="5">
        <v>344.7</v>
      </c>
      <c r="AT282" s="5" t="str">
        <f>IF(T282="","",_xlfn.XLOOKUP(T282,Airlines!A:A,Airlines!B:B,"Not Found"))</f>
        <v>British Airways</v>
      </c>
      <c r="AU282" s="5" t="str">
        <f>IF(U282="","",_xlfn.XLOOKUP(U282,Hotels!A:A,Hotels!B:B,"Not found"))</f>
        <v>Hilton</v>
      </c>
      <c r="AV282" t="s">
        <v>147</v>
      </c>
      <c r="AW282" s="16" t="str">
        <f t="shared" si="92"/>
        <v>OK</v>
      </c>
      <c r="AX282" s="16" t="str">
        <f t="shared" si="93"/>
        <v>OK</v>
      </c>
      <c r="AY282" s="16" t="str">
        <f t="shared" si="94"/>
        <v>OK</v>
      </c>
      <c r="AZ282" s="16" t="str">
        <f t="shared" si="95"/>
        <v>OK</v>
      </c>
      <c r="BA282" s="16" t="str">
        <f t="shared" si="99"/>
        <v>OK</v>
      </c>
      <c r="BB282" s="21">
        <f>COUNTIF('Trip Changes'!B:B,A282)</f>
        <v>0</v>
      </c>
      <c r="BC282" s="16" t="str">
        <f>IF(OR(AND(AD282="Yes",COUNTIF('Trip Changes'!B:B,A282)&gt;0),AND(AD282="No",COUNTIF('Trip Changes'!B:B,A282)=0)),"OK","Check")</f>
        <v>OK</v>
      </c>
      <c r="BD282" t="str">
        <f t="shared" si="100"/>
        <v>OK</v>
      </c>
      <c r="BE282" t="str">
        <f t="shared" si="101"/>
        <v>OK</v>
      </c>
      <c r="BF282" t="str">
        <f t="shared" si="102"/>
        <v>OK</v>
      </c>
      <c r="BG282" t="str">
        <f t="shared" si="103"/>
        <v>OK</v>
      </c>
      <c r="BH282" t="str">
        <f t="shared" si="104"/>
        <v>OK</v>
      </c>
      <c r="BI282" t="str">
        <f t="shared" si="96"/>
        <v>OK</v>
      </c>
      <c r="BJ282" t="str">
        <f t="shared" si="97"/>
        <v>OK</v>
      </c>
      <c r="BK282" t="str">
        <f t="shared" si="98"/>
        <v>OK</v>
      </c>
    </row>
    <row r="283" spans="1:63">
      <c r="A283" s="16" t="s">
        <v>566</v>
      </c>
      <c r="B283" s="16" t="s">
        <v>564</v>
      </c>
      <c r="C283" s="16" t="s">
        <v>182</v>
      </c>
      <c r="D283" s="16" t="s">
        <v>248</v>
      </c>
      <c r="E283" s="16" t="s">
        <v>249</v>
      </c>
      <c r="F283" s="16" t="s">
        <v>140</v>
      </c>
      <c r="G283" s="15">
        <v>46165</v>
      </c>
      <c r="H283" s="15">
        <v>46179</v>
      </c>
      <c r="I283" s="15">
        <v>46181</v>
      </c>
      <c r="J283" s="15" t="s">
        <v>141</v>
      </c>
      <c r="K283" s="16" t="s">
        <v>182</v>
      </c>
      <c r="L283" t="s">
        <v>225</v>
      </c>
      <c r="M283" s="16" t="s">
        <v>152</v>
      </c>
      <c r="N283" s="16" t="s">
        <v>153</v>
      </c>
      <c r="O283" t="s">
        <v>1614</v>
      </c>
      <c r="P283" s="18">
        <v>2924</v>
      </c>
      <c r="Q283" s="21">
        <v>14</v>
      </c>
      <c r="R283" s="21" t="str">
        <f t="shared" si="84"/>
        <v>8-14 days</v>
      </c>
      <c r="S283" s="16" t="s">
        <v>145</v>
      </c>
      <c r="T283" s="16" t="s">
        <v>176</v>
      </c>
      <c r="U283" s="16" t="s">
        <v>164</v>
      </c>
      <c r="V283" t="str">
        <f>IF(U283="","",IFERROR(VLOOKUP(U283,Hotels!A:B,2,FALSE),"Not Found"))</f>
        <v>Marriott</v>
      </c>
      <c r="W283" s="14">
        <v>224.19</v>
      </c>
      <c r="X283" s="14">
        <v>0</v>
      </c>
      <c r="Y283" s="21">
        <v>1</v>
      </c>
      <c r="Z283" s="29">
        <f t="shared" si="85"/>
        <v>184.52</v>
      </c>
      <c r="AA283" s="14">
        <v>184.52</v>
      </c>
      <c r="AB283" s="14">
        <v>136.6</v>
      </c>
      <c r="AC283" s="14">
        <v>545.30999999999995</v>
      </c>
      <c r="AD283" s="16" t="s">
        <v>147</v>
      </c>
      <c r="AE283" s="16" t="s">
        <v>147</v>
      </c>
      <c r="AF283" s="14">
        <f>SUMIF('Trip Changes'!$B:$B,A283,'Trip Changes'!$E:$E)</f>
        <v>0</v>
      </c>
      <c r="AG283" s="23">
        <f>SUMIF('Trip Cancellations'!$B:$B,A283,'Trip Cancellations'!$E:$E)</f>
        <v>0</v>
      </c>
      <c r="AH283" s="14">
        <f>SUMIF('Trip Cancellations'!$B:$B,A283,'Trip Cancellations'!$F:$F)</f>
        <v>0</v>
      </c>
      <c r="AI283" s="14">
        <f t="shared" si="86"/>
        <v>545.30999999999995</v>
      </c>
      <c r="AJ283" s="14" t="str">
        <f t="shared" si="87"/>
        <v>No</v>
      </c>
      <c r="AK283" s="14" t="str">
        <f>IF(Y283=0,"N/A",
IF(_xlfn.XLOOKUP(U283,Hotels!A:A,Hotels!C:C)=TRUE,"Yes","No"))</f>
        <v>Yes</v>
      </c>
      <c r="AL283" s="14" t="str">
        <f>IF(N283="Rail","N/A",IF(_xlfn.XLOOKUP(T283,Airlines!A:A,Airlines!C:C)=TRUE,"Yes","No"))</f>
        <v>Yes</v>
      </c>
      <c r="AM283" s="14" t="str">
        <f t="shared" si="88"/>
        <v>Yes</v>
      </c>
      <c r="AN283" s="14" t="str">
        <f t="shared" si="89"/>
        <v>Yes</v>
      </c>
      <c r="AO283" s="14" t="str">
        <f t="shared" si="90"/>
        <v>Yes</v>
      </c>
      <c r="AP283" s="16" t="s">
        <v>148</v>
      </c>
      <c r="AQ283" t="str">
        <f t="shared" si="91"/>
        <v>No</v>
      </c>
      <c r="AR283" s="21">
        <v>4</v>
      </c>
      <c r="AS283" s="5">
        <v>438.6</v>
      </c>
      <c r="AT283" s="5" t="str">
        <f>IF(T283="","",_xlfn.XLOOKUP(T283,Airlines!A:A,Airlines!B:B,"Not Found"))</f>
        <v>easyJet</v>
      </c>
      <c r="AU283" s="5" t="str">
        <f>IF(U283="","",_xlfn.XLOOKUP(U283,Hotels!A:A,Hotels!B:B,"Not found"))</f>
        <v>Marriott</v>
      </c>
      <c r="AV283" t="s">
        <v>147</v>
      </c>
      <c r="AW283" s="16" t="str">
        <f t="shared" si="92"/>
        <v>OK</v>
      </c>
      <c r="AX283" s="16" t="str">
        <f t="shared" si="93"/>
        <v>OK</v>
      </c>
      <c r="AY283" s="16" t="str">
        <f t="shared" si="94"/>
        <v>OK</v>
      </c>
      <c r="AZ283" s="16" t="str">
        <f t="shared" si="95"/>
        <v>OK</v>
      </c>
      <c r="BA283" s="16" t="str">
        <f t="shared" si="99"/>
        <v>OK</v>
      </c>
      <c r="BB283" s="21">
        <f>COUNTIF('Trip Changes'!B:B,A283)</f>
        <v>0</v>
      </c>
      <c r="BC283" s="16" t="str">
        <f>IF(OR(AND(AD283="Yes",COUNTIF('Trip Changes'!B:B,A283)&gt;0),AND(AD283="No",COUNTIF('Trip Changes'!B:B,A283)=0)),"OK","Check")</f>
        <v>OK</v>
      </c>
      <c r="BD283" t="str">
        <f t="shared" si="100"/>
        <v>OK</v>
      </c>
      <c r="BE283" t="str">
        <f t="shared" si="101"/>
        <v>OK</v>
      </c>
      <c r="BF283" t="str">
        <f t="shared" si="102"/>
        <v>OK</v>
      </c>
      <c r="BG283" t="str">
        <f t="shared" si="103"/>
        <v>OK</v>
      </c>
      <c r="BH283" t="str">
        <f t="shared" si="104"/>
        <v>OK</v>
      </c>
      <c r="BI283" t="str">
        <f t="shared" si="96"/>
        <v>OK</v>
      </c>
      <c r="BJ283" t="str">
        <f t="shared" si="97"/>
        <v>OK</v>
      </c>
      <c r="BK283" t="str">
        <f t="shared" si="98"/>
        <v>OK</v>
      </c>
    </row>
    <row r="284" spans="1:63">
      <c r="A284" s="16" t="s">
        <v>567</v>
      </c>
      <c r="B284" s="16" t="s">
        <v>564</v>
      </c>
      <c r="C284" s="16" t="s">
        <v>182</v>
      </c>
      <c r="D284" s="16" t="s">
        <v>248</v>
      </c>
      <c r="E284" s="16" t="s">
        <v>249</v>
      </c>
      <c r="F284" s="16" t="s">
        <v>181</v>
      </c>
      <c r="G284" s="15">
        <v>46216</v>
      </c>
      <c r="H284" s="15">
        <v>46221</v>
      </c>
      <c r="I284" s="15">
        <v>46224</v>
      </c>
      <c r="J284" s="15" t="s">
        <v>150</v>
      </c>
      <c r="K284" s="16" t="s">
        <v>182</v>
      </c>
      <c r="L284" t="s">
        <v>185</v>
      </c>
      <c r="M284" s="16" t="s">
        <v>152</v>
      </c>
      <c r="N284" s="16" t="s">
        <v>153</v>
      </c>
      <c r="O284" t="s">
        <v>1631</v>
      </c>
      <c r="P284" s="18">
        <v>11688</v>
      </c>
      <c r="Q284" s="21">
        <v>5</v>
      </c>
      <c r="R284" s="21" t="str">
        <f t="shared" si="84"/>
        <v>4-7 days</v>
      </c>
      <c r="S284" s="16" t="s">
        <v>216</v>
      </c>
      <c r="T284" s="16" t="s">
        <v>154</v>
      </c>
      <c r="U284" s="16" t="s">
        <v>173</v>
      </c>
      <c r="V284" t="str">
        <f>IF(U284="","",IFERROR(VLOOKUP(U284,Hotels!A:B,2,FALSE),"Not Found"))</f>
        <v>Accor</v>
      </c>
      <c r="W284" s="14">
        <v>1232.75</v>
      </c>
      <c r="X284" s="14">
        <v>0</v>
      </c>
      <c r="Y284" s="21">
        <v>2</v>
      </c>
      <c r="Z284" s="29">
        <f t="shared" si="85"/>
        <v>131.76499999999999</v>
      </c>
      <c r="AA284" s="14">
        <v>263.52999999999997</v>
      </c>
      <c r="AB284" s="14">
        <v>88.13</v>
      </c>
      <c r="AC284" s="14">
        <v>1584.41</v>
      </c>
      <c r="AD284" s="16" t="s">
        <v>147</v>
      </c>
      <c r="AE284" s="16" t="s">
        <v>147</v>
      </c>
      <c r="AF284" s="14">
        <f>SUMIF('Trip Changes'!$B:$B,A284,'Trip Changes'!$E:$E)</f>
        <v>0</v>
      </c>
      <c r="AG284" s="23">
        <f>SUMIF('Trip Cancellations'!$B:$B,A284,'Trip Cancellations'!$E:$E)</f>
        <v>0</v>
      </c>
      <c r="AH284" s="14">
        <f>SUMIF('Trip Cancellations'!$B:$B,A284,'Trip Cancellations'!$F:$F)</f>
        <v>0</v>
      </c>
      <c r="AI284" s="14">
        <f t="shared" si="86"/>
        <v>1584.41</v>
      </c>
      <c r="AJ284" s="14" t="str">
        <f t="shared" si="87"/>
        <v>Yes</v>
      </c>
      <c r="AK284" s="14" t="str">
        <f>IF(Y284=0,"N/A",
IF(_xlfn.XLOOKUP(U284,Hotels!A:A,Hotels!C:C)=TRUE,"Yes","No"))</f>
        <v>Yes</v>
      </c>
      <c r="AL284" s="14" t="str">
        <f>IF(N284="Rail","N/A",IF(_xlfn.XLOOKUP(T284,Airlines!A:A,Airlines!C:C)=TRUE,"Yes","No"))</f>
        <v>Yes</v>
      </c>
      <c r="AM284" s="14" t="str">
        <f t="shared" si="88"/>
        <v>No</v>
      </c>
      <c r="AN284" s="14" t="str">
        <f t="shared" si="89"/>
        <v>No</v>
      </c>
      <c r="AO284" s="14" t="str">
        <f t="shared" si="90"/>
        <v>Yes</v>
      </c>
      <c r="AP284" s="16" t="s">
        <v>148</v>
      </c>
      <c r="AQ284" t="str">
        <f t="shared" si="91"/>
        <v>No</v>
      </c>
      <c r="AR284" s="21">
        <v>5</v>
      </c>
      <c r="AS284" s="5">
        <v>1753.2</v>
      </c>
      <c r="AT284" s="5" t="str">
        <f>IF(T284="","",_xlfn.XLOOKUP(T284,Airlines!A:A,Airlines!B:B,"Not Found"))</f>
        <v>British Airways</v>
      </c>
      <c r="AU284" s="5" t="str">
        <f>IF(U284="","",_xlfn.XLOOKUP(U284,Hotels!A:A,Hotels!B:B,"Not found"))</f>
        <v>Accor</v>
      </c>
      <c r="AV284" t="s">
        <v>147</v>
      </c>
      <c r="AW284" s="16" t="str">
        <f t="shared" si="92"/>
        <v>OK</v>
      </c>
      <c r="AX284" s="16" t="str">
        <f t="shared" si="93"/>
        <v>OK</v>
      </c>
      <c r="AY284" s="16" t="str">
        <f t="shared" si="94"/>
        <v>OK</v>
      </c>
      <c r="AZ284" s="16" t="str">
        <f t="shared" si="95"/>
        <v>OK</v>
      </c>
      <c r="BA284" s="16" t="str">
        <f t="shared" si="99"/>
        <v>OK</v>
      </c>
      <c r="BB284" s="21">
        <f>COUNTIF('Trip Changes'!B:B,A284)</f>
        <v>0</v>
      </c>
      <c r="BC284" s="16" t="str">
        <f>IF(OR(AND(AD284="Yes",COUNTIF('Trip Changes'!B:B,A284)&gt;0),AND(AD284="No",COUNTIF('Trip Changes'!B:B,A284)=0)),"OK","Check")</f>
        <v>OK</v>
      </c>
      <c r="BD284" t="str">
        <f t="shared" si="100"/>
        <v>OK</v>
      </c>
      <c r="BE284" t="str">
        <f t="shared" si="101"/>
        <v>OK</v>
      </c>
      <c r="BF284" t="str">
        <f t="shared" si="102"/>
        <v>OK</v>
      </c>
      <c r="BG284" t="str">
        <f t="shared" si="103"/>
        <v>OK</v>
      </c>
      <c r="BH284" t="str">
        <f t="shared" si="104"/>
        <v>OK</v>
      </c>
      <c r="BI284" t="str">
        <f t="shared" si="96"/>
        <v>OK</v>
      </c>
      <c r="BJ284" t="str">
        <f t="shared" si="97"/>
        <v>OK</v>
      </c>
      <c r="BK284" t="str">
        <f t="shared" si="98"/>
        <v>OK</v>
      </c>
    </row>
    <row r="285" spans="1:63">
      <c r="A285" s="16" t="s">
        <v>568</v>
      </c>
      <c r="B285" s="16" t="s">
        <v>569</v>
      </c>
      <c r="C285" s="16" t="s">
        <v>203</v>
      </c>
      <c r="D285" s="16" t="s">
        <v>230</v>
      </c>
      <c r="E285" s="16" t="s">
        <v>169</v>
      </c>
      <c r="F285" s="16" t="s">
        <v>162</v>
      </c>
      <c r="G285" s="15">
        <v>46188</v>
      </c>
      <c r="H285" s="15">
        <v>46213</v>
      </c>
      <c r="I285" s="15">
        <v>46215</v>
      </c>
      <c r="J285" s="15" t="s">
        <v>150</v>
      </c>
      <c r="K285" s="16" t="s">
        <v>203</v>
      </c>
      <c r="L285" t="s">
        <v>233</v>
      </c>
      <c r="M285" s="16" t="s">
        <v>152</v>
      </c>
      <c r="N285" s="16" t="s">
        <v>153</v>
      </c>
      <c r="O285" t="s">
        <v>1614</v>
      </c>
      <c r="P285" s="18">
        <v>2638</v>
      </c>
      <c r="Q285" s="21">
        <v>25</v>
      </c>
      <c r="R285" s="21" t="str">
        <f t="shared" si="84"/>
        <v>15-30 days</v>
      </c>
      <c r="S285" s="16" t="s">
        <v>145</v>
      </c>
      <c r="T285" s="16" t="s">
        <v>160</v>
      </c>
      <c r="U285" s="16" t="s">
        <v>173</v>
      </c>
      <c r="V285" t="str">
        <f>IF(U285="","",IFERROR(VLOOKUP(U285,Hotels!A:B,2,FALSE),"Not Found"))</f>
        <v>Accor</v>
      </c>
      <c r="W285" s="14">
        <v>249.21</v>
      </c>
      <c r="X285" s="14">
        <v>0</v>
      </c>
      <c r="Y285" s="21">
        <v>1</v>
      </c>
      <c r="Z285" s="29">
        <f t="shared" si="85"/>
        <v>255.29</v>
      </c>
      <c r="AA285" s="14">
        <v>255.29</v>
      </c>
      <c r="AB285" s="14">
        <v>103.47</v>
      </c>
      <c r="AC285" s="14">
        <v>607.97</v>
      </c>
      <c r="AD285" s="16" t="s">
        <v>147</v>
      </c>
      <c r="AE285" s="16" t="s">
        <v>147</v>
      </c>
      <c r="AF285" s="14">
        <f>SUMIF('Trip Changes'!$B:$B,A285,'Trip Changes'!$E:$E)</f>
        <v>0</v>
      </c>
      <c r="AG285" s="23">
        <f>SUMIF('Trip Cancellations'!$B:$B,A285,'Trip Cancellations'!$E:$E)</f>
        <v>0</v>
      </c>
      <c r="AH285" s="14">
        <f>SUMIF('Trip Cancellations'!$B:$B,A285,'Trip Cancellations'!$F:$F)</f>
        <v>0</v>
      </c>
      <c r="AI285" s="14">
        <f t="shared" si="86"/>
        <v>607.97</v>
      </c>
      <c r="AJ285" s="14" t="str">
        <f t="shared" si="87"/>
        <v>No</v>
      </c>
      <c r="AK285" s="14" t="str">
        <f>IF(Y285=0,"N/A",
IF(_xlfn.XLOOKUP(U285,Hotels!A:A,Hotels!C:C)=TRUE,"Yes","No"))</f>
        <v>Yes</v>
      </c>
      <c r="AL285" s="14" t="str">
        <f>IF(N285="Rail","N/A",IF(_xlfn.XLOOKUP(T285,Airlines!A:A,Airlines!C:C)=TRUE,"Yes","No"))</f>
        <v>Yes</v>
      </c>
      <c r="AM285" s="14" t="str">
        <f t="shared" si="88"/>
        <v>Yes</v>
      </c>
      <c r="AN285" s="14" t="str">
        <f t="shared" si="89"/>
        <v>Yes</v>
      </c>
      <c r="AO285" s="14" t="str">
        <f t="shared" si="90"/>
        <v>Yes</v>
      </c>
      <c r="AP285" s="16" t="s">
        <v>148</v>
      </c>
      <c r="AQ285" t="str">
        <f t="shared" si="91"/>
        <v>No</v>
      </c>
      <c r="AR285" s="21">
        <v>4</v>
      </c>
      <c r="AS285" s="5">
        <v>395.7</v>
      </c>
      <c r="AT285" s="5" t="str">
        <f>IF(T285="","",_xlfn.XLOOKUP(T285,Airlines!A:A,Airlines!B:B,"Not Found"))</f>
        <v>Air France</v>
      </c>
      <c r="AU285" s="5" t="str">
        <f>IF(U285="","",_xlfn.XLOOKUP(U285,Hotels!A:A,Hotels!B:B,"Not found"))</f>
        <v>Accor</v>
      </c>
      <c r="AV285" t="s">
        <v>148</v>
      </c>
      <c r="AW285" s="16" t="str">
        <f t="shared" si="92"/>
        <v>OK</v>
      </c>
      <c r="AX285" s="16" t="str">
        <f t="shared" si="93"/>
        <v>OK</v>
      </c>
      <c r="AY285" s="16" t="str">
        <f t="shared" si="94"/>
        <v>OK</v>
      </c>
      <c r="AZ285" s="16" t="str">
        <f t="shared" si="95"/>
        <v>OK</v>
      </c>
      <c r="BA285" s="16" t="str">
        <f t="shared" si="99"/>
        <v>OK</v>
      </c>
      <c r="BB285" s="21">
        <f>COUNTIF('Trip Changes'!B:B,A285)</f>
        <v>0</v>
      </c>
      <c r="BC285" s="16" t="str">
        <f>IF(OR(AND(AD285="Yes",COUNTIF('Trip Changes'!B:B,A285)&gt;0),AND(AD285="No",COUNTIF('Trip Changes'!B:B,A285)=0)),"OK","Check")</f>
        <v>OK</v>
      </c>
      <c r="BD285" t="str">
        <f t="shared" si="100"/>
        <v>OK</v>
      </c>
      <c r="BE285" t="str">
        <f t="shared" si="101"/>
        <v>OK</v>
      </c>
      <c r="BF285" t="str">
        <f t="shared" si="102"/>
        <v>OK</v>
      </c>
      <c r="BG285" t="str">
        <f t="shared" si="103"/>
        <v>OK</v>
      </c>
      <c r="BH285" t="str">
        <f t="shared" si="104"/>
        <v>OK</v>
      </c>
      <c r="BI285" t="str">
        <f t="shared" si="96"/>
        <v>OK</v>
      </c>
      <c r="BJ285" t="str">
        <f t="shared" si="97"/>
        <v>OK</v>
      </c>
      <c r="BK285" t="str">
        <f t="shared" si="98"/>
        <v>OK</v>
      </c>
    </row>
    <row r="286" spans="1:63">
      <c r="A286" s="16" t="s">
        <v>570</v>
      </c>
      <c r="B286" s="16" t="s">
        <v>569</v>
      </c>
      <c r="C286" s="16" t="s">
        <v>203</v>
      </c>
      <c r="D286" s="16" t="s">
        <v>230</v>
      </c>
      <c r="E286" s="16" t="s">
        <v>169</v>
      </c>
      <c r="F286" s="16" t="s">
        <v>140</v>
      </c>
      <c r="G286" s="15">
        <v>46153</v>
      </c>
      <c r="H286" s="15">
        <v>46162</v>
      </c>
      <c r="I286" s="15">
        <v>46167</v>
      </c>
      <c r="J286" s="15" t="s">
        <v>163</v>
      </c>
      <c r="K286" s="16" t="s">
        <v>203</v>
      </c>
      <c r="L286" t="s">
        <v>227</v>
      </c>
      <c r="M286" s="16" t="s">
        <v>152</v>
      </c>
      <c r="N286" s="16" t="s">
        <v>153</v>
      </c>
      <c r="O286" t="s">
        <v>1614</v>
      </c>
      <c r="P286" s="18">
        <v>3122</v>
      </c>
      <c r="Q286" s="21">
        <v>9</v>
      </c>
      <c r="R286" s="21" t="str">
        <f t="shared" si="84"/>
        <v>8-14 days</v>
      </c>
      <c r="S286" s="16" t="s">
        <v>145</v>
      </c>
      <c r="T286" s="16" t="s">
        <v>172</v>
      </c>
      <c r="U286" s="16" t="s">
        <v>173</v>
      </c>
      <c r="V286" t="str">
        <f>IF(U286="","",IFERROR(VLOOKUP(U286,Hotels!A:B,2,FALSE),"Not Found"))</f>
        <v>Accor</v>
      </c>
      <c r="W286" s="14">
        <v>368.85</v>
      </c>
      <c r="X286" s="14">
        <v>0</v>
      </c>
      <c r="Y286" s="21">
        <v>4</v>
      </c>
      <c r="Z286" s="29">
        <f t="shared" si="85"/>
        <v>222.91749999999999</v>
      </c>
      <c r="AA286" s="14">
        <v>891.67</v>
      </c>
      <c r="AB286" s="14">
        <v>34.630000000000003</v>
      </c>
      <c r="AC286" s="14">
        <v>1295.1500000000001</v>
      </c>
      <c r="AD286" s="16" t="s">
        <v>147</v>
      </c>
      <c r="AE286" s="16" t="s">
        <v>147</v>
      </c>
      <c r="AF286" s="14">
        <f>SUMIF('Trip Changes'!$B:$B,A286,'Trip Changes'!$E:$E)</f>
        <v>0</v>
      </c>
      <c r="AG286" s="23">
        <f>SUMIF('Trip Cancellations'!$B:$B,A286,'Trip Cancellations'!$E:$E)</f>
        <v>0</v>
      </c>
      <c r="AH286" s="14">
        <f>SUMIF('Trip Cancellations'!$B:$B,A286,'Trip Cancellations'!$F:$F)</f>
        <v>0</v>
      </c>
      <c r="AI286" s="14">
        <f t="shared" si="86"/>
        <v>1295.1500000000001</v>
      </c>
      <c r="AJ286" s="14" t="str">
        <f t="shared" si="87"/>
        <v>No</v>
      </c>
      <c r="AK286" s="14" t="str">
        <f>IF(Y286=0,"N/A",
IF(_xlfn.XLOOKUP(U286,Hotels!A:A,Hotels!C:C)=TRUE,"Yes","No"))</f>
        <v>Yes</v>
      </c>
      <c r="AL286" s="14" t="str">
        <f>IF(N286="Rail","N/A",IF(_xlfn.XLOOKUP(T286,Airlines!A:A,Airlines!C:C)=TRUE,"Yes","No"))</f>
        <v>Yes</v>
      </c>
      <c r="AM286" s="14" t="str">
        <f t="shared" si="88"/>
        <v>Yes</v>
      </c>
      <c r="AN286" s="14" t="str">
        <f t="shared" si="89"/>
        <v>Yes</v>
      </c>
      <c r="AO286" s="14" t="str">
        <f t="shared" si="90"/>
        <v>Yes</v>
      </c>
      <c r="AP286" s="16" t="s">
        <v>148</v>
      </c>
      <c r="AQ286" t="str">
        <f t="shared" si="91"/>
        <v>No</v>
      </c>
      <c r="AR286" s="21">
        <v>4</v>
      </c>
      <c r="AS286" s="5">
        <v>468.3</v>
      </c>
      <c r="AT286" s="5" t="str">
        <f>IF(T286="","",_xlfn.XLOOKUP(T286,Airlines!A:A,Airlines!B:B,"Not Found"))</f>
        <v>Lufthansa</v>
      </c>
      <c r="AU286" s="5" t="str">
        <f>IF(U286="","",_xlfn.XLOOKUP(U286,Hotels!A:A,Hotels!B:B,"Not found"))</f>
        <v>Accor</v>
      </c>
      <c r="AV286" t="s">
        <v>147</v>
      </c>
      <c r="AW286" s="16" t="str">
        <f t="shared" si="92"/>
        <v>OK</v>
      </c>
      <c r="AX286" s="16" t="str">
        <f t="shared" si="93"/>
        <v>OK</v>
      </c>
      <c r="AY286" s="16" t="str">
        <f t="shared" si="94"/>
        <v>OK</v>
      </c>
      <c r="AZ286" s="16" t="str">
        <f t="shared" si="95"/>
        <v>OK</v>
      </c>
      <c r="BA286" s="16" t="str">
        <f t="shared" si="99"/>
        <v>OK</v>
      </c>
      <c r="BB286" s="21">
        <f>COUNTIF('Trip Changes'!B:B,A286)</f>
        <v>0</v>
      </c>
      <c r="BC286" s="16" t="str">
        <f>IF(OR(AND(AD286="Yes",COUNTIF('Trip Changes'!B:B,A286)&gt;0),AND(AD286="No",COUNTIF('Trip Changes'!B:B,A286)=0)),"OK","Check")</f>
        <v>OK</v>
      </c>
      <c r="BD286" t="str">
        <f t="shared" si="100"/>
        <v>OK</v>
      </c>
      <c r="BE286" t="str">
        <f t="shared" si="101"/>
        <v>OK</v>
      </c>
      <c r="BF286" t="str">
        <f t="shared" si="102"/>
        <v>OK</v>
      </c>
      <c r="BG286" t="str">
        <f t="shared" si="103"/>
        <v>OK</v>
      </c>
      <c r="BH286" t="str">
        <f t="shared" si="104"/>
        <v>OK</v>
      </c>
      <c r="BI286" t="str">
        <f t="shared" si="96"/>
        <v>OK</v>
      </c>
      <c r="BJ286" t="str">
        <f t="shared" si="97"/>
        <v>OK</v>
      </c>
      <c r="BK286" t="str">
        <f t="shared" si="98"/>
        <v>OK</v>
      </c>
    </row>
    <row r="287" spans="1:63">
      <c r="A287" s="16" t="s">
        <v>571</v>
      </c>
      <c r="B287" s="16" t="s">
        <v>569</v>
      </c>
      <c r="C287" s="16" t="s">
        <v>203</v>
      </c>
      <c r="D287" s="16" t="s">
        <v>230</v>
      </c>
      <c r="E287" s="16" t="s">
        <v>169</v>
      </c>
      <c r="F287" s="16" t="s">
        <v>140</v>
      </c>
      <c r="G287" s="15">
        <v>46141</v>
      </c>
      <c r="H287" s="15">
        <v>46167</v>
      </c>
      <c r="I287" s="15">
        <v>46170</v>
      </c>
      <c r="J287" s="15" t="s">
        <v>163</v>
      </c>
      <c r="K287" s="16" t="s">
        <v>203</v>
      </c>
      <c r="L287" t="s">
        <v>151</v>
      </c>
      <c r="M287" s="16" t="s">
        <v>152</v>
      </c>
      <c r="N287" s="16" t="s">
        <v>153</v>
      </c>
      <c r="O287" t="s">
        <v>1614</v>
      </c>
      <c r="P287" s="18">
        <v>1784</v>
      </c>
      <c r="Q287" s="21">
        <v>26</v>
      </c>
      <c r="R287" s="21" t="str">
        <f t="shared" si="84"/>
        <v>15-30 days</v>
      </c>
      <c r="S287" s="16" t="s">
        <v>145</v>
      </c>
      <c r="T287" s="16" t="s">
        <v>172</v>
      </c>
      <c r="U287" s="16" t="s">
        <v>164</v>
      </c>
      <c r="V287" t="str">
        <f>IF(U287="","",IFERROR(VLOOKUP(U287,Hotels!A:B,2,FALSE),"Not Found"))</f>
        <v>Marriott</v>
      </c>
      <c r="W287" s="14">
        <v>362.75</v>
      </c>
      <c r="X287" s="14">
        <v>0</v>
      </c>
      <c r="Y287" s="21">
        <v>2</v>
      </c>
      <c r="Z287" s="29">
        <f t="shared" si="85"/>
        <v>189.55</v>
      </c>
      <c r="AA287" s="14">
        <v>379.1</v>
      </c>
      <c r="AB287" s="14">
        <v>107.32</v>
      </c>
      <c r="AC287" s="14">
        <v>849.17</v>
      </c>
      <c r="AD287" s="16" t="s">
        <v>147</v>
      </c>
      <c r="AE287" s="16" t="s">
        <v>148</v>
      </c>
      <c r="AF287" s="14">
        <f>SUMIF('Trip Changes'!$B:$B,A287,'Trip Changes'!$E:$E)</f>
        <v>0</v>
      </c>
      <c r="AG287" s="23">
        <f>SUMIF('Trip Cancellations'!$B:$B,A287,'Trip Cancellations'!$E:$E)</f>
        <v>38.340000000000003</v>
      </c>
      <c r="AH287" s="14">
        <f>SUMIF('Trip Cancellations'!$B:$B,A287,'Trip Cancellations'!$F:$F)</f>
        <v>0</v>
      </c>
      <c r="AI287" s="14">
        <f t="shared" si="86"/>
        <v>887.51</v>
      </c>
      <c r="AJ287" s="14" t="str">
        <f t="shared" si="87"/>
        <v>No</v>
      </c>
      <c r="AK287" s="14" t="str">
        <f>IF(Y287=0,"N/A",
IF(_xlfn.XLOOKUP(U287,Hotels!A:A,Hotels!C:C)=TRUE,"Yes","No"))</f>
        <v>Yes</v>
      </c>
      <c r="AL287" s="14" t="str">
        <f>IF(N287="Rail","N/A",IF(_xlfn.XLOOKUP(T287,Airlines!A:A,Airlines!C:C)=TRUE,"Yes","No"))</f>
        <v>Yes</v>
      </c>
      <c r="AM287" s="14" t="str">
        <f t="shared" si="88"/>
        <v>Yes</v>
      </c>
      <c r="AN287" s="14" t="str">
        <f t="shared" si="89"/>
        <v>Yes</v>
      </c>
      <c r="AO287" s="14" t="str">
        <f t="shared" si="90"/>
        <v>Yes</v>
      </c>
      <c r="AP287" s="16" t="s">
        <v>148</v>
      </c>
      <c r="AQ287" t="str">
        <f t="shared" si="91"/>
        <v>No</v>
      </c>
      <c r="AR287" s="21">
        <v>4</v>
      </c>
      <c r="AS287" s="5">
        <v>267.60000000000002</v>
      </c>
      <c r="AT287" s="5" t="str">
        <f>IF(T287="","",_xlfn.XLOOKUP(T287,Airlines!A:A,Airlines!B:B,"Not Found"))</f>
        <v>Lufthansa</v>
      </c>
      <c r="AU287" s="5" t="str">
        <f>IF(U287="","",_xlfn.XLOOKUP(U287,Hotels!A:A,Hotels!B:B,"Not found"))</f>
        <v>Marriott</v>
      </c>
      <c r="AV287" t="s">
        <v>148</v>
      </c>
      <c r="AW287" s="16" t="str">
        <f t="shared" si="92"/>
        <v>OK</v>
      </c>
      <c r="AX287" s="16" t="str">
        <f t="shared" si="93"/>
        <v>OK</v>
      </c>
      <c r="AY287" s="16" t="str">
        <f t="shared" si="94"/>
        <v>OK</v>
      </c>
      <c r="AZ287" s="16" t="str">
        <f t="shared" si="95"/>
        <v>OK</v>
      </c>
      <c r="BA287" s="16" t="str">
        <f t="shared" si="99"/>
        <v>OK</v>
      </c>
      <c r="BB287" s="21">
        <f>COUNTIF('Trip Changes'!B:B,A287)</f>
        <v>0</v>
      </c>
      <c r="BC287" s="16" t="str">
        <f>IF(OR(AND(AD287="Yes",COUNTIF('Trip Changes'!B:B,A287)&gt;0),AND(AD287="No",COUNTIF('Trip Changes'!B:B,A287)=0)),"OK","Check")</f>
        <v>OK</v>
      </c>
      <c r="BD287" t="str">
        <f t="shared" si="100"/>
        <v>OK</v>
      </c>
      <c r="BE287" t="str">
        <f t="shared" si="101"/>
        <v>OK</v>
      </c>
      <c r="BF287" t="str">
        <f t="shared" si="102"/>
        <v>OK</v>
      </c>
      <c r="BG287" t="str">
        <f t="shared" si="103"/>
        <v>OK</v>
      </c>
      <c r="BH287" t="str">
        <f t="shared" si="104"/>
        <v>OK</v>
      </c>
      <c r="BI287" t="str">
        <f t="shared" si="96"/>
        <v>OK</v>
      </c>
      <c r="BJ287" t="str">
        <f t="shared" si="97"/>
        <v>OK</v>
      </c>
      <c r="BK287" t="str">
        <f t="shared" si="98"/>
        <v>OK</v>
      </c>
    </row>
    <row r="288" spans="1:63">
      <c r="A288" s="16" t="s">
        <v>572</v>
      </c>
      <c r="B288" s="16" t="s">
        <v>569</v>
      </c>
      <c r="C288" s="16" t="s">
        <v>203</v>
      </c>
      <c r="D288" s="16" t="s">
        <v>230</v>
      </c>
      <c r="E288" s="16" t="s">
        <v>169</v>
      </c>
      <c r="F288" s="16" t="s">
        <v>207</v>
      </c>
      <c r="G288" s="15">
        <v>46219</v>
      </c>
      <c r="H288" s="15">
        <v>46221</v>
      </c>
      <c r="I288" s="15">
        <v>46224</v>
      </c>
      <c r="J288" s="15" t="s">
        <v>150</v>
      </c>
      <c r="K288" s="16" t="s">
        <v>203</v>
      </c>
      <c r="L288" t="s">
        <v>185</v>
      </c>
      <c r="M288" s="16" t="s">
        <v>152</v>
      </c>
      <c r="N288" s="16" t="s">
        <v>153</v>
      </c>
      <c r="O288" t="s">
        <v>1614</v>
      </c>
      <c r="P288" s="18">
        <v>12164</v>
      </c>
      <c r="Q288" s="21">
        <v>2</v>
      </c>
      <c r="R288" s="21" t="str">
        <f t="shared" si="84"/>
        <v>0-3 days</v>
      </c>
      <c r="S288" s="16" t="s">
        <v>145</v>
      </c>
      <c r="T288" s="16" t="s">
        <v>186</v>
      </c>
      <c r="U288" s="16" t="s">
        <v>155</v>
      </c>
      <c r="V288" t="str">
        <f>IF(U288="","",IFERROR(VLOOKUP(U288,Hotels!A:B,2,FALSE),"Not Found"))</f>
        <v>Hilton</v>
      </c>
      <c r="W288" s="14">
        <v>808.78</v>
      </c>
      <c r="X288" s="14">
        <v>0</v>
      </c>
      <c r="Y288" s="21">
        <v>2</v>
      </c>
      <c r="Z288" s="29">
        <f t="shared" si="85"/>
        <v>166.01499999999999</v>
      </c>
      <c r="AA288" s="14">
        <v>332.03</v>
      </c>
      <c r="AB288" s="14">
        <v>75.42</v>
      </c>
      <c r="AC288" s="14">
        <v>1216.23</v>
      </c>
      <c r="AD288" s="16" t="s">
        <v>147</v>
      </c>
      <c r="AE288" s="16" t="s">
        <v>147</v>
      </c>
      <c r="AF288" s="14">
        <f>SUMIF('Trip Changes'!$B:$B,A288,'Trip Changes'!$E:$E)</f>
        <v>0</v>
      </c>
      <c r="AG288" s="23">
        <f>SUMIF('Trip Cancellations'!$B:$B,A288,'Trip Cancellations'!$E:$E)</f>
        <v>0</v>
      </c>
      <c r="AH288" s="14">
        <f>SUMIF('Trip Cancellations'!$B:$B,A288,'Trip Cancellations'!$F:$F)</f>
        <v>0</v>
      </c>
      <c r="AI288" s="14">
        <f t="shared" si="86"/>
        <v>1216.23</v>
      </c>
      <c r="AJ288" s="14" t="str">
        <f t="shared" si="87"/>
        <v>Yes</v>
      </c>
      <c r="AK288" s="14" t="str">
        <f>IF(Y288=0,"N/A",
IF(_xlfn.XLOOKUP(U288,Hotels!A:A,Hotels!C:C)=TRUE,"Yes","No"))</f>
        <v>Yes</v>
      </c>
      <c r="AL288" s="14" t="str">
        <f>IF(N288="Rail","N/A",IF(_xlfn.XLOOKUP(T288,Airlines!A:A,Airlines!C:C)=TRUE,"Yes","No"))</f>
        <v>Yes</v>
      </c>
      <c r="AM288" s="14" t="str">
        <f t="shared" si="88"/>
        <v>Yes</v>
      </c>
      <c r="AN288" s="14" t="str">
        <f t="shared" si="89"/>
        <v>Yes</v>
      </c>
      <c r="AO288" s="14" t="str">
        <f t="shared" si="90"/>
        <v>Yes</v>
      </c>
      <c r="AP288" s="16" t="s">
        <v>148</v>
      </c>
      <c r="AQ288" t="str">
        <f t="shared" si="91"/>
        <v>Yes</v>
      </c>
      <c r="AR288" s="21">
        <v>4</v>
      </c>
      <c r="AS288" s="5">
        <v>1824.6</v>
      </c>
      <c r="AT288" s="5" t="str">
        <f>IF(T288="","",_xlfn.XLOOKUP(T288,Airlines!A:A,Airlines!B:B,"Not Found"))</f>
        <v>Virgin Atlantic</v>
      </c>
      <c r="AU288" s="5" t="str">
        <f>IF(U288="","",_xlfn.XLOOKUP(U288,Hotels!A:A,Hotels!B:B,"Not found"))</f>
        <v>Hilton</v>
      </c>
      <c r="AV288" t="s">
        <v>147</v>
      </c>
      <c r="AW288" s="16" t="str">
        <f t="shared" si="92"/>
        <v>OK</v>
      </c>
      <c r="AX288" s="16" t="str">
        <f t="shared" si="93"/>
        <v>OK</v>
      </c>
      <c r="AY288" s="16" t="str">
        <f t="shared" si="94"/>
        <v>OK</v>
      </c>
      <c r="AZ288" s="16" t="str">
        <f t="shared" si="95"/>
        <v>OK</v>
      </c>
      <c r="BA288" s="16" t="str">
        <f t="shared" si="99"/>
        <v>OK</v>
      </c>
      <c r="BB288" s="21">
        <f>COUNTIF('Trip Changes'!B:B,A288)</f>
        <v>0</v>
      </c>
      <c r="BC288" s="16" t="str">
        <f>IF(OR(AND(AD288="Yes",COUNTIF('Trip Changes'!B:B,A288)&gt;0),AND(AD288="No",COUNTIF('Trip Changes'!B:B,A288)=0)),"OK","Check")</f>
        <v>OK</v>
      </c>
      <c r="BD288" t="str">
        <f t="shared" si="100"/>
        <v>OK</v>
      </c>
      <c r="BE288" t="str">
        <f t="shared" si="101"/>
        <v>OK</v>
      </c>
      <c r="BF288" t="str">
        <f t="shared" si="102"/>
        <v>OK</v>
      </c>
      <c r="BG288" t="str">
        <f t="shared" si="103"/>
        <v>OK</v>
      </c>
      <c r="BH288" t="str">
        <f t="shared" si="104"/>
        <v>OK</v>
      </c>
      <c r="BI288" t="str">
        <f t="shared" si="96"/>
        <v>OK</v>
      </c>
      <c r="BJ288" t="str">
        <f t="shared" si="97"/>
        <v>OK</v>
      </c>
      <c r="BK288" t="str">
        <f t="shared" si="98"/>
        <v>OK</v>
      </c>
    </row>
    <row r="289" spans="1:63">
      <c r="A289" s="16" t="s">
        <v>573</v>
      </c>
      <c r="B289" s="16" t="s">
        <v>574</v>
      </c>
      <c r="C289" s="16" t="s">
        <v>182</v>
      </c>
      <c r="D289" s="16" t="s">
        <v>248</v>
      </c>
      <c r="E289" s="16" t="s">
        <v>268</v>
      </c>
      <c r="F289" s="16" t="s">
        <v>181</v>
      </c>
      <c r="G289" s="15">
        <v>46211</v>
      </c>
      <c r="H289" s="15">
        <v>46229</v>
      </c>
      <c r="I289" s="15">
        <v>46232</v>
      </c>
      <c r="J289" s="15" t="s">
        <v>150</v>
      </c>
      <c r="K289" s="16" t="s">
        <v>182</v>
      </c>
      <c r="L289" t="s">
        <v>215</v>
      </c>
      <c r="M289" s="16" t="s">
        <v>152</v>
      </c>
      <c r="N289" s="16" t="s">
        <v>153</v>
      </c>
      <c r="O289" t="s">
        <v>1614</v>
      </c>
      <c r="P289" s="18">
        <v>1292</v>
      </c>
      <c r="Q289" s="21">
        <v>18</v>
      </c>
      <c r="R289" s="21" t="str">
        <f t="shared" si="84"/>
        <v>15-30 days</v>
      </c>
      <c r="S289" s="16" t="s">
        <v>145</v>
      </c>
      <c r="T289" s="16" t="s">
        <v>176</v>
      </c>
      <c r="U289" s="16" t="s">
        <v>155</v>
      </c>
      <c r="V289" t="str">
        <f>IF(U289="","",IFERROR(VLOOKUP(U289,Hotels!A:B,2,FALSE),"Not Found"))</f>
        <v>Hilton</v>
      </c>
      <c r="W289" s="14">
        <v>304.7</v>
      </c>
      <c r="X289" s="14">
        <v>0</v>
      </c>
      <c r="Y289" s="21">
        <v>2</v>
      </c>
      <c r="Z289" s="29">
        <f t="shared" si="85"/>
        <v>158.84</v>
      </c>
      <c r="AA289" s="14">
        <v>317.68</v>
      </c>
      <c r="AB289" s="14">
        <v>65.62</v>
      </c>
      <c r="AC289" s="14">
        <v>688</v>
      </c>
      <c r="AD289" s="16" t="s">
        <v>147</v>
      </c>
      <c r="AE289" s="16" t="s">
        <v>147</v>
      </c>
      <c r="AF289" s="14">
        <f>SUMIF('Trip Changes'!$B:$B,A289,'Trip Changes'!$E:$E)</f>
        <v>0</v>
      </c>
      <c r="AG289" s="23">
        <f>SUMIF('Trip Cancellations'!$B:$B,A289,'Trip Cancellations'!$E:$E)</f>
        <v>0</v>
      </c>
      <c r="AH289" s="14">
        <f>SUMIF('Trip Cancellations'!$B:$B,A289,'Trip Cancellations'!$F:$F)</f>
        <v>0</v>
      </c>
      <c r="AI289" s="14">
        <f t="shared" si="86"/>
        <v>688</v>
      </c>
      <c r="AJ289" s="14" t="str">
        <f t="shared" si="87"/>
        <v>Yes</v>
      </c>
      <c r="AK289" s="14" t="str">
        <f>IF(Y289=0,"N/A",
IF(_xlfn.XLOOKUP(U289,Hotels!A:A,Hotels!C:C)=TRUE,"Yes","No"))</f>
        <v>Yes</v>
      </c>
      <c r="AL289" s="14" t="str">
        <f>IF(N289="Rail","N/A",IF(_xlfn.XLOOKUP(T289,Airlines!A:A,Airlines!C:C)=TRUE,"Yes","No"))</f>
        <v>Yes</v>
      </c>
      <c r="AM289" s="14" t="str">
        <f t="shared" si="88"/>
        <v>Yes</v>
      </c>
      <c r="AN289" s="14" t="str">
        <f t="shared" si="89"/>
        <v>Yes</v>
      </c>
      <c r="AO289" s="14" t="str">
        <f t="shared" si="90"/>
        <v>Yes</v>
      </c>
      <c r="AP289" s="16" t="s">
        <v>147</v>
      </c>
      <c r="AQ289" t="str">
        <f t="shared" si="91"/>
        <v>Yes</v>
      </c>
      <c r="AR289" s="21">
        <v>4</v>
      </c>
      <c r="AS289" s="5">
        <v>193.8</v>
      </c>
      <c r="AT289" s="5" t="str">
        <f>IF(T289="","",_xlfn.XLOOKUP(T289,Airlines!A:A,Airlines!B:B,"Not Found"))</f>
        <v>easyJet</v>
      </c>
      <c r="AU289" s="5" t="str">
        <f>IF(U289="","",_xlfn.XLOOKUP(U289,Hotels!A:A,Hotels!B:B,"Not found"))</f>
        <v>Hilton</v>
      </c>
      <c r="AV289" t="s">
        <v>147</v>
      </c>
      <c r="AW289" s="16" t="str">
        <f t="shared" si="92"/>
        <v>OK</v>
      </c>
      <c r="AX289" s="16" t="str">
        <f t="shared" si="93"/>
        <v>OK</v>
      </c>
      <c r="AY289" s="16" t="str">
        <f t="shared" si="94"/>
        <v>OK</v>
      </c>
      <c r="AZ289" s="16" t="str">
        <f t="shared" si="95"/>
        <v>OK</v>
      </c>
      <c r="BA289" s="16" t="str">
        <f t="shared" si="99"/>
        <v>OK</v>
      </c>
      <c r="BB289" s="21">
        <f>COUNTIF('Trip Changes'!B:B,A289)</f>
        <v>0</v>
      </c>
      <c r="BC289" s="16" t="str">
        <f>IF(OR(AND(AD289="Yes",COUNTIF('Trip Changes'!B:B,A289)&gt;0),AND(AD289="No",COUNTIF('Trip Changes'!B:B,A289)=0)),"OK","Check")</f>
        <v>OK</v>
      </c>
      <c r="BD289" t="str">
        <f t="shared" si="100"/>
        <v>OK</v>
      </c>
      <c r="BE289" t="str">
        <f t="shared" si="101"/>
        <v>OK</v>
      </c>
      <c r="BF289" t="str">
        <f t="shared" si="102"/>
        <v>OK</v>
      </c>
      <c r="BG289" t="str">
        <f t="shared" si="103"/>
        <v>OK</v>
      </c>
      <c r="BH289" t="str">
        <f t="shared" si="104"/>
        <v>OK</v>
      </c>
      <c r="BI289" t="str">
        <f t="shared" si="96"/>
        <v>OK</v>
      </c>
      <c r="BJ289" t="str">
        <f t="shared" si="97"/>
        <v>OK</v>
      </c>
      <c r="BK289" t="str">
        <f t="shared" si="98"/>
        <v>OK</v>
      </c>
    </row>
    <row r="290" spans="1:63">
      <c r="A290" s="16" t="s">
        <v>575</v>
      </c>
      <c r="B290" s="16" t="s">
        <v>576</v>
      </c>
      <c r="C290" s="16" t="s">
        <v>203</v>
      </c>
      <c r="D290" s="16" t="s">
        <v>168</v>
      </c>
      <c r="E290" s="16" t="s">
        <v>169</v>
      </c>
      <c r="F290" s="16" t="s">
        <v>189</v>
      </c>
      <c r="G290" s="15">
        <v>46163</v>
      </c>
      <c r="H290" s="15">
        <v>46174</v>
      </c>
      <c r="I290" s="15">
        <v>46178</v>
      </c>
      <c r="J290" s="15" t="s">
        <v>141</v>
      </c>
      <c r="K290" s="16" t="s">
        <v>203</v>
      </c>
      <c r="L290" t="s">
        <v>225</v>
      </c>
      <c r="M290" s="16" t="s">
        <v>152</v>
      </c>
      <c r="N290" s="16" t="s">
        <v>153</v>
      </c>
      <c r="O290" t="s">
        <v>1614</v>
      </c>
      <c r="P290" s="18">
        <v>2248</v>
      </c>
      <c r="Q290" s="21">
        <v>11</v>
      </c>
      <c r="R290" s="21" t="str">
        <f t="shared" si="84"/>
        <v>8-14 days</v>
      </c>
      <c r="S290" s="16" t="s">
        <v>159</v>
      </c>
      <c r="T290" s="16" t="s">
        <v>236</v>
      </c>
      <c r="U290" s="16" t="s">
        <v>164</v>
      </c>
      <c r="V290" t="str">
        <f>IF(U290="","",IFERROR(VLOOKUP(U290,Hotels!A:B,2,FALSE),"Not Found"))</f>
        <v>Marriott</v>
      </c>
      <c r="W290" s="14">
        <v>529.96</v>
      </c>
      <c r="X290" s="14">
        <v>0</v>
      </c>
      <c r="Y290" s="21">
        <v>3</v>
      </c>
      <c r="Z290" s="29">
        <f t="shared" si="85"/>
        <v>208.17333333333332</v>
      </c>
      <c r="AA290" s="14">
        <v>624.52</v>
      </c>
      <c r="AB290" s="14">
        <v>101.7</v>
      </c>
      <c r="AC290" s="14">
        <v>1256.18</v>
      </c>
      <c r="AD290" s="16" t="s">
        <v>147</v>
      </c>
      <c r="AE290" s="16" t="s">
        <v>147</v>
      </c>
      <c r="AF290" s="14">
        <f>SUMIF('Trip Changes'!$B:$B,A290,'Trip Changes'!$E:$E)</f>
        <v>0</v>
      </c>
      <c r="AG290" s="23">
        <f>SUMIF('Trip Cancellations'!$B:$B,A290,'Trip Cancellations'!$E:$E)</f>
        <v>0</v>
      </c>
      <c r="AH290" s="14">
        <f>SUMIF('Trip Cancellations'!$B:$B,A290,'Trip Cancellations'!$F:$F)</f>
        <v>0</v>
      </c>
      <c r="AI290" s="14">
        <f t="shared" si="86"/>
        <v>1256.18</v>
      </c>
      <c r="AJ290" s="14" t="str">
        <f t="shared" si="87"/>
        <v>No</v>
      </c>
      <c r="AK290" s="14" t="str">
        <f>IF(Y290=0,"N/A",
IF(_xlfn.XLOOKUP(U290,Hotels!A:A,Hotels!C:C)=TRUE,"Yes","No"))</f>
        <v>Yes</v>
      </c>
      <c r="AL290" s="14" t="str">
        <f>IF(N290="Rail","N/A",IF(_xlfn.XLOOKUP(T290,Airlines!A:A,Airlines!C:C)=TRUE,"Yes","No"))</f>
        <v>Yes</v>
      </c>
      <c r="AM290" s="14" t="str">
        <f t="shared" si="88"/>
        <v>Yes</v>
      </c>
      <c r="AN290" s="14" t="str">
        <f t="shared" si="89"/>
        <v>Yes</v>
      </c>
      <c r="AO290" s="14" t="str">
        <f t="shared" si="90"/>
        <v>Yes</v>
      </c>
      <c r="AP290" s="16" t="s">
        <v>148</v>
      </c>
      <c r="AQ290" t="str">
        <f t="shared" si="91"/>
        <v>No</v>
      </c>
      <c r="AR290" s="21">
        <v>5</v>
      </c>
      <c r="AS290" s="5">
        <v>337.2</v>
      </c>
      <c r="AT290" s="5" t="str">
        <f>IF(T290="","",_xlfn.XLOOKUP(T290,Airlines!A:A,Airlines!B:B,"Not Found"))</f>
        <v>KLM</v>
      </c>
      <c r="AU290" s="5" t="str">
        <f>IF(U290="","",_xlfn.XLOOKUP(U290,Hotels!A:A,Hotels!B:B,"Not found"))</f>
        <v>Marriott</v>
      </c>
      <c r="AV290" t="s">
        <v>147</v>
      </c>
      <c r="AW290" s="16" t="str">
        <f t="shared" si="92"/>
        <v>OK</v>
      </c>
      <c r="AX290" s="16" t="str">
        <f t="shared" si="93"/>
        <v>OK</v>
      </c>
      <c r="AY290" s="16" t="str">
        <f t="shared" si="94"/>
        <v>OK</v>
      </c>
      <c r="AZ290" s="16" t="str">
        <f t="shared" si="95"/>
        <v>OK</v>
      </c>
      <c r="BA290" s="16" t="str">
        <f t="shared" si="99"/>
        <v>OK</v>
      </c>
      <c r="BB290" s="21">
        <f>COUNTIF('Trip Changes'!B:B,A290)</f>
        <v>0</v>
      </c>
      <c r="BC290" s="16" t="str">
        <f>IF(OR(AND(AD290="Yes",COUNTIF('Trip Changes'!B:B,A290)&gt;0),AND(AD290="No",COUNTIF('Trip Changes'!B:B,A290)=0)),"OK","Check")</f>
        <v>OK</v>
      </c>
      <c r="BD290" t="str">
        <f t="shared" si="100"/>
        <v>OK</v>
      </c>
      <c r="BE290" t="str">
        <f t="shared" si="101"/>
        <v>OK</v>
      </c>
      <c r="BF290" t="str">
        <f t="shared" si="102"/>
        <v>OK</v>
      </c>
      <c r="BG290" t="str">
        <f t="shared" si="103"/>
        <v>OK</v>
      </c>
      <c r="BH290" t="str">
        <f t="shared" si="104"/>
        <v>OK</v>
      </c>
      <c r="BI290" t="str">
        <f t="shared" si="96"/>
        <v>OK</v>
      </c>
      <c r="BJ290" t="str">
        <f t="shared" si="97"/>
        <v>OK</v>
      </c>
      <c r="BK290" t="str">
        <f t="shared" si="98"/>
        <v>OK</v>
      </c>
    </row>
    <row r="291" spans="1:63">
      <c r="A291" s="16" t="s">
        <v>577</v>
      </c>
      <c r="B291" s="16" t="s">
        <v>576</v>
      </c>
      <c r="C291" s="16" t="s">
        <v>203</v>
      </c>
      <c r="D291" s="16" t="s">
        <v>168</v>
      </c>
      <c r="E291" s="16" t="s">
        <v>169</v>
      </c>
      <c r="F291" s="16" t="s">
        <v>170</v>
      </c>
      <c r="G291" s="15">
        <v>46219</v>
      </c>
      <c r="H291" s="15">
        <v>46233</v>
      </c>
      <c r="I291" s="15">
        <v>46237</v>
      </c>
      <c r="J291" s="15" t="s">
        <v>150</v>
      </c>
      <c r="K291" s="16" t="s">
        <v>203</v>
      </c>
      <c r="L291" t="s">
        <v>185</v>
      </c>
      <c r="M291" s="16" t="s">
        <v>152</v>
      </c>
      <c r="N291" s="16" t="s">
        <v>153</v>
      </c>
      <c r="O291" t="s">
        <v>1614</v>
      </c>
      <c r="P291" s="18">
        <v>10232</v>
      </c>
      <c r="Q291" s="21">
        <v>14</v>
      </c>
      <c r="R291" s="21" t="str">
        <f t="shared" si="84"/>
        <v>8-14 days</v>
      </c>
      <c r="S291" s="16" t="s">
        <v>145</v>
      </c>
      <c r="T291" s="16" t="s">
        <v>154</v>
      </c>
      <c r="U291" s="16" t="s">
        <v>173</v>
      </c>
      <c r="V291" t="str">
        <f>IF(U291="","",IFERROR(VLOOKUP(U291,Hotels!A:B,2,FALSE),"Not Found"))</f>
        <v>Accor</v>
      </c>
      <c r="W291" s="14">
        <v>1270.8800000000001</v>
      </c>
      <c r="X291" s="14">
        <v>0</v>
      </c>
      <c r="Y291" s="21">
        <v>3</v>
      </c>
      <c r="Z291" s="29">
        <f t="shared" si="85"/>
        <v>187.54</v>
      </c>
      <c r="AA291" s="14">
        <v>562.62</v>
      </c>
      <c r="AB291" s="14">
        <v>50.57</v>
      </c>
      <c r="AC291" s="14">
        <v>1884.07</v>
      </c>
      <c r="AD291" s="16" t="s">
        <v>147</v>
      </c>
      <c r="AE291" s="16" t="s">
        <v>147</v>
      </c>
      <c r="AF291" s="14">
        <f>SUMIF('Trip Changes'!$B:$B,A291,'Trip Changes'!$E:$E)</f>
        <v>0</v>
      </c>
      <c r="AG291" s="23">
        <f>SUMIF('Trip Cancellations'!$B:$B,A291,'Trip Cancellations'!$E:$E)</f>
        <v>0</v>
      </c>
      <c r="AH291" s="14">
        <f>SUMIF('Trip Cancellations'!$B:$B,A291,'Trip Cancellations'!$F:$F)</f>
        <v>0</v>
      </c>
      <c r="AI291" s="14">
        <f t="shared" si="86"/>
        <v>1884.07</v>
      </c>
      <c r="AJ291" s="14" t="str">
        <f t="shared" si="87"/>
        <v>Yes</v>
      </c>
      <c r="AK291" s="14" t="str">
        <f>IF(Y291=0,"N/A",
IF(_xlfn.XLOOKUP(U291,Hotels!A:A,Hotels!C:C)=TRUE,"Yes","No"))</f>
        <v>Yes</v>
      </c>
      <c r="AL291" s="14" t="str">
        <f>IF(N291="Rail","N/A",IF(_xlfn.XLOOKUP(T291,Airlines!A:A,Airlines!C:C)=TRUE,"Yes","No"))</f>
        <v>Yes</v>
      </c>
      <c r="AM291" s="14" t="str">
        <f t="shared" si="88"/>
        <v>Yes</v>
      </c>
      <c r="AN291" s="14" t="str">
        <f t="shared" si="89"/>
        <v>Yes</v>
      </c>
      <c r="AO291" s="14" t="str">
        <f t="shared" si="90"/>
        <v>Yes</v>
      </c>
      <c r="AP291" s="16" t="s">
        <v>148</v>
      </c>
      <c r="AQ291" t="str">
        <f t="shared" si="91"/>
        <v>Yes</v>
      </c>
      <c r="AR291" s="21">
        <v>4</v>
      </c>
      <c r="AS291" s="5">
        <v>1534.8</v>
      </c>
      <c r="AT291" s="5" t="str">
        <f>IF(T291="","",_xlfn.XLOOKUP(T291,Airlines!A:A,Airlines!B:B,"Not Found"))</f>
        <v>British Airways</v>
      </c>
      <c r="AU291" s="5" t="str">
        <f>IF(U291="","",_xlfn.XLOOKUP(U291,Hotels!A:A,Hotels!B:B,"Not found"))</f>
        <v>Accor</v>
      </c>
      <c r="AV291" t="s">
        <v>147</v>
      </c>
      <c r="AW291" s="16" t="str">
        <f t="shared" si="92"/>
        <v>OK</v>
      </c>
      <c r="AX291" s="16" t="str">
        <f t="shared" si="93"/>
        <v>OK</v>
      </c>
      <c r="AY291" s="16" t="str">
        <f t="shared" si="94"/>
        <v>OK</v>
      </c>
      <c r="AZ291" s="16" t="str">
        <f t="shared" si="95"/>
        <v>OK</v>
      </c>
      <c r="BA291" s="16" t="str">
        <f t="shared" si="99"/>
        <v>OK</v>
      </c>
      <c r="BB291" s="21">
        <f>COUNTIF('Trip Changes'!B:B,A291)</f>
        <v>0</v>
      </c>
      <c r="BC291" s="16" t="str">
        <f>IF(OR(AND(AD291="Yes",COUNTIF('Trip Changes'!B:B,A291)&gt;0),AND(AD291="No",COUNTIF('Trip Changes'!B:B,A291)=0)),"OK","Check")</f>
        <v>OK</v>
      </c>
      <c r="BD291" t="str">
        <f t="shared" si="100"/>
        <v>OK</v>
      </c>
      <c r="BE291" t="str">
        <f t="shared" si="101"/>
        <v>OK</v>
      </c>
      <c r="BF291" t="str">
        <f t="shared" si="102"/>
        <v>OK</v>
      </c>
      <c r="BG291" t="str">
        <f t="shared" si="103"/>
        <v>OK</v>
      </c>
      <c r="BH291" t="str">
        <f t="shared" si="104"/>
        <v>OK</v>
      </c>
      <c r="BI291" t="str">
        <f t="shared" si="96"/>
        <v>OK</v>
      </c>
      <c r="BJ291" t="str">
        <f t="shared" si="97"/>
        <v>OK</v>
      </c>
      <c r="BK291" t="str">
        <f t="shared" si="98"/>
        <v>OK</v>
      </c>
    </row>
    <row r="292" spans="1:63">
      <c r="A292" s="16" t="s">
        <v>578</v>
      </c>
      <c r="B292" s="16" t="s">
        <v>576</v>
      </c>
      <c r="C292" s="16" t="s">
        <v>203</v>
      </c>
      <c r="D292" s="16" t="s">
        <v>168</v>
      </c>
      <c r="E292" s="16" t="s">
        <v>169</v>
      </c>
      <c r="F292" s="16" t="s">
        <v>181</v>
      </c>
      <c r="G292" s="15">
        <v>46147</v>
      </c>
      <c r="H292" s="15">
        <v>46152</v>
      </c>
      <c r="I292" s="15">
        <v>46155</v>
      </c>
      <c r="J292" s="15" t="s">
        <v>163</v>
      </c>
      <c r="K292" s="16" t="s">
        <v>203</v>
      </c>
      <c r="L292" t="s">
        <v>199</v>
      </c>
      <c r="M292" s="16" t="s">
        <v>152</v>
      </c>
      <c r="N292" s="16" t="s">
        <v>153</v>
      </c>
      <c r="O292" t="s">
        <v>1614</v>
      </c>
      <c r="P292" s="18">
        <v>2604</v>
      </c>
      <c r="Q292" s="21">
        <v>5</v>
      </c>
      <c r="R292" s="21" t="str">
        <f t="shared" si="84"/>
        <v>4-7 days</v>
      </c>
      <c r="S292" s="16" t="s">
        <v>145</v>
      </c>
      <c r="T292" s="16" t="s">
        <v>200</v>
      </c>
      <c r="U292" s="16" t="s">
        <v>155</v>
      </c>
      <c r="V292" t="str">
        <f>IF(U292="","",IFERROR(VLOOKUP(U292,Hotels!A:B,2,FALSE),"Not Found"))</f>
        <v>Hilton</v>
      </c>
      <c r="W292" s="14">
        <v>331.54</v>
      </c>
      <c r="X292" s="14">
        <v>0</v>
      </c>
      <c r="Y292" s="21">
        <v>2</v>
      </c>
      <c r="Z292" s="29">
        <f t="shared" si="85"/>
        <v>111.95</v>
      </c>
      <c r="AA292" s="14">
        <v>223.9</v>
      </c>
      <c r="AB292" s="14">
        <v>87.84</v>
      </c>
      <c r="AC292" s="14">
        <v>643.28</v>
      </c>
      <c r="AD292" s="16" t="s">
        <v>147</v>
      </c>
      <c r="AE292" s="16" t="s">
        <v>147</v>
      </c>
      <c r="AF292" s="14">
        <f>SUMIF('Trip Changes'!$B:$B,A292,'Trip Changes'!$E:$E)</f>
        <v>0</v>
      </c>
      <c r="AG292" s="23">
        <f>SUMIF('Trip Cancellations'!$B:$B,A292,'Trip Cancellations'!$E:$E)</f>
        <v>0</v>
      </c>
      <c r="AH292" s="14">
        <f>SUMIF('Trip Cancellations'!$B:$B,A292,'Trip Cancellations'!$F:$F)</f>
        <v>0</v>
      </c>
      <c r="AI292" s="14">
        <f t="shared" si="86"/>
        <v>643.28</v>
      </c>
      <c r="AJ292" s="14" t="str">
        <f t="shared" si="87"/>
        <v>Yes</v>
      </c>
      <c r="AK292" s="14" t="str">
        <f>IF(Y292=0,"N/A",
IF(_xlfn.XLOOKUP(U292,Hotels!A:A,Hotels!C:C)=TRUE,"Yes","No"))</f>
        <v>Yes</v>
      </c>
      <c r="AL292" s="14" t="str">
        <f>IF(N292="Rail","N/A",IF(_xlfn.XLOOKUP(T292,Airlines!A:A,Airlines!C:C)=TRUE,"Yes","No"))</f>
        <v>Yes</v>
      </c>
      <c r="AM292" s="14" t="str">
        <f t="shared" si="88"/>
        <v>Yes</v>
      </c>
      <c r="AN292" s="14" t="str">
        <f t="shared" si="89"/>
        <v>Yes</v>
      </c>
      <c r="AO292" s="14" t="str">
        <f t="shared" si="90"/>
        <v>Yes</v>
      </c>
      <c r="AP292" s="16" t="s">
        <v>148</v>
      </c>
      <c r="AQ292" t="str">
        <f t="shared" si="91"/>
        <v>Yes</v>
      </c>
      <c r="AR292" s="21">
        <v>5</v>
      </c>
      <c r="AS292" s="5">
        <v>390.6</v>
      </c>
      <c r="AT292" s="5" t="str">
        <f>IF(T292="","",_xlfn.XLOOKUP(T292,Airlines!A:A,Airlines!B:B,"Not Found"))</f>
        <v>Aer Lingus</v>
      </c>
      <c r="AU292" s="5" t="str">
        <f>IF(U292="","",_xlfn.XLOOKUP(U292,Hotels!A:A,Hotels!B:B,"Not found"))</f>
        <v>Hilton</v>
      </c>
      <c r="AV292" t="s">
        <v>148</v>
      </c>
      <c r="AW292" s="16" t="str">
        <f t="shared" si="92"/>
        <v>OK</v>
      </c>
      <c r="AX292" s="16" t="str">
        <f t="shared" si="93"/>
        <v>OK</v>
      </c>
      <c r="AY292" s="16" t="str">
        <f t="shared" si="94"/>
        <v>OK</v>
      </c>
      <c r="AZ292" s="16" t="str">
        <f t="shared" si="95"/>
        <v>OK</v>
      </c>
      <c r="BA292" s="16" t="str">
        <f t="shared" si="99"/>
        <v>OK</v>
      </c>
      <c r="BB292" s="21">
        <f>COUNTIF('Trip Changes'!B:B,A292)</f>
        <v>0</v>
      </c>
      <c r="BC292" s="16" t="str">
        <f>IF(OR(AND(AD292="Yes",COUNTIF('Trip Changes'!B:B,A292)&gt;0),AND(AD292="No",COUNTIF('Trip Changes'!B:B,A292)=0)),"OK","Check")</f>
        <v>OK</v>
      </c>
      <c r="BD292" t="str">
        <f t="shared" si="100"/>
        <v>OK</v>
      </c>
      <c r="BE292" t="str">
        <f t="shared" si="101"/>
        <v>OK</v>
      </c>
      <c r="BF292" t="str">
        <f t="shared" si="102"/>
        <v>OK</v>
      </c>
      <c r="BG292" t="str">
        <f t="shared" si="103"/>
        <v>OK</v>
      </c>
      <c r="BH292" t="str">
        <f t="shared" si="104"/>
        <v>OK</v>
      </c>
      <c r="BI292" t="str">
        <f t="shared" si="96"/>
        <v>OK</v>
      </c>
      <c r="BJ292" t="str">
        <f t="shared" si="97"/>
        <v>OK</v>
      </c>
      <c r="BK292" t="str">
        <f t="shared" si="98"/>
        <v>OK</v>
      </c>
    </row>
    <row r="293" spans="1:63">
      <c r="A293" s="16" t="s">
        <v>579</v>
      </c>
      <c r="B293" s="16" t="s">
        <v>580</v>
      </c>
      <c r="C293" s="16" t="s">
        <v>182</v>
      </c>
      <c r="D293" s="16" t="s">
        <v>230</v>
      </c>
      <c r="E293" s="16" t="s">
        <v>249</v>
      </c>
      <c r="F293" s="16" t="s">
        <v>162</v>
      </c>
      <c r="G293" s="15">
        <v>46172</v>
      </c>
      <c r="H293" s="15">
        <v>46185</v>
      </c>
      <c r="I293" s="15">
        <v>46188</v>
      </c>
      <c r="J293" s="15" t="s">
        <v>141</v>
      </c>
      <c r="K293" s="16" t="s">
        <v>182</v>
      </c>
      <c r="L293" t="s">
        <v>199</v>
      </c>
      <c r="M293" s="16" t="s">
        <v>152</v>
      </c>
      <c r="N293" s="16" t="s">
        <v>153</v>
      </c>
      <c r="O293" t="s">
        <v>1614</v>
      </c>
      <c r="P293" s="18">
        <v>3324</v>
      </c>
      <c r="Q293" s="21">
        <v>13</v>
      </c>
      <c r="R293" s="21" t="str">
        <f t="shared" si="84"/>
        <v>8-14 days</v>
      </c>
      <c r="S293" s="16" t="s">
        <v>145</v>
      </c>
      <c r="T293" s="16" t="s">
        <v>154</v>
      </c>
      <c r="U293" s="16" t="s">
        <v>164</v>
      </c>
      <c r="V293" t="str">
        <f>IF(U293="","",IFERROR(VLOOKUP(U293,Hotels!A:B,2,FALSE),"Not Found"))</f>
        <v>Marriott</v>
      </c>
      <c r="W293" s="14">
        <v>506.17</v>
      </c>
      <c r="X293" s="14">
        <v>0</v>
      </c>
      <c r="Y293" s="21">
        <v>2</v>
      </c>
      <c r="Z293" s="29">
        <f t="shared" si="85"/>
        <v>213.405</v>
      </c>
      <c r="AA293" s="14">
        <v>426.81</v>
      </c>
      <c r="AB293" s="14">
        <v>93.22</v>
      </c>
      <c r="AC293" s="14">
        <v>1026.2</v>
      </c>
      <c r="AD293" s="16" t="s">
        <v>148</v>
      </c>
      <c r="AE293" s="16" t="s">
        <v>147</v>
      </c>
      <c r="AF293" s="14">
        <f>SUMIF('Trip Changes'!$B:$B,A293,'Trip Changes'!$E:$E)</f>
        <v>25.72</v>
      </c>
      <c r="AG293" s="23">
        <f>SUMIF('Trip Cancellations'!$B:$B,A293,'Trip Cancellations'!$E:$E)</f>
        <v>0</v>
      </c>
      <c r="AH293" s="14">
        <f>SUMIF('Trip Cancellations'!$B:$B,A293,'Trip Cancellations'!$F:$F)</f>
        <v>0</v>
      </c>
      <c r="AI293" s="14">
        <f t="shared" si="86"/>
        <v>1051.92</v>
      </c>
      <c r="AJ293" s="14" t="str">
        <f t="shared" si="87"/>
        <v>No</v>
      </c>
      <c r="AK293" s="14" t="str">
        <f>IF(Y293=0,"N/A",
IF(_xlfn.XLOOKUP(U293,Hotels!A:A,Hotels!C:C)=TRUE,"Yes","No"))</f>
        <v>Yes</v>
      </c>
      <c r="AL293" s="14" t="str">
        <f>IF(N293="Rail","N/A",IF(_xlfn.XLOOKUP(T293,Airlines!A:A,Airlines!C:C)=TRUE,"Yes","No"))</f>
        <v>Yes</v>
      </c>
      <c r="AM293" s="14" t="str">
        <f t="shared" si="88"/>
        <v>Yes</v>
      </c>
      <c r="AN293" s="14" t="str">
        <f t="shared" si="89"/>
        <v>Yes</v>
      </c>
      <c r="AO293" s="14" t="str">
        <f t="shared" si="90"/>
        <v>Yes</v>
      </c>
      <c r="AP293" s="16" t="s">
        <v>148</v>
      </c>
      <c r="AQ293" t="str">
        <f t="shared" si="91"/>
        <v>No</v>
      </c>
      <c r="AR293" s="21">
        <v>5</v>
      </c>
      <c r="AS293" s="5">
        <v>498.6</v>
      </c>
      <c r="AT293" s="5" t="str">
        <f>IF(T293="","",_xlfn.XLOOKUP(T293,Airlines!A:A,Airlines!B:B,"Not Found"))</f>
        <v>British Airways</v>
      </c>
      <c r="AU293" s="5" t="str">
        <f>IF(U293="","",_xlfn.XLOOKUP(U293,Hotels!A:A,Hotels!B:B,"Not found"))</f>
        <v>Marriott</v>
      </c>
      <c r="AV293" t="s">
        <v>148</v>
      </c>
      <c r="AW293" s="16" t="str">
        <f t="shared" si="92"/>
        <v>OK</v>
      </c>
      <c r="AX293" s="16" t="str">
        <f t="shared" si="93"/>
        <v>OK</v>
      </c>
      <c r="AY293" s="16" t="str">
        <f t="shared" si="94"/>
        <v>OK</v>
      </c>
      <c r="AZ293" s="16" t="str">
        <f t="shared" si="95"/>
        <v>OK</v>
      </c>
      <c r="BA293" s="16" t="str">
        <f t="shared" si="99"/>
        <v>OK</v>
      </c>
      <c r="BB293" s="21">
        <f>COUNTIF('Trip Changes'!B:B,A293)</f>
        <v>1</v>
      </c>
      <c r="BC293" s="16" t="str">
        <f>IF(OR(AND(AD293="Yes",COUNTIF('Trip Changes'!B:B,A293)&gt;0),AND(AD293="No",COUNTIF('Trip Changes'!B:B,A293)=0)),"OK","Check")</f>
        <v>OK</v>
      </c>
      <c r="BD293" t="str">
        <f t="shared" si="100"/>
        <v>OK</v>
      </c>
      <c r="BE293" t="str">
        <f t="shared" si="101"/>
        <v>OK</v>
      </c>
      <c r="BF293" t="str">
        <f t="shared" si="102"/>
        <v>OK</v>
      </c>
      <c r="BG293" t="str">
        <f t="shared" si="103"/>
        <v>OK</v>
      </c>
      <c r="BH293" t="str">
        <f t="shared" si="104"/>
        <v>OK</v>
      </c>
      <c r="BI293" t="str">
        <f t="shared" si="96"/>
        <v>OK</v>
      </c>
      <c r="BJ293" t="str">
        <f t="shared" si="97"/>
        <v>OK</v>
      </c>
      <c r="BK293" t="str">
        <f t="shared" si="98"/>
        <v>OK</v>
      </c>
    </row>
    <row r="294" spans="1:63">
      <c r="A294" s="16" t="s">
        <v>581</v>
      </c>
      <c r="B294" s="16" t="s">
        <v>580</v>
      </c>
      <c r="C294" s="16" t="s">
        <v>182</v>
      </c>
      <c r="D294" s="16" t="s">
        <v>230</v>
      </c>
      <c r="E294" s="16" t="s">
        <v>249</v>
      </c>
      <c r="F294" s="16" t="s">
        <v>181</v>
      </c>
      <c r="G294" s="15">
        <v>46138</v>
      </c>
      <c r="H294" s="15">
        <v>46154</v>
      </c>
      <c r="I294" s="15">
        <v>46158</v>
      </c>
      <c r="J294" s="15" t="s">
        <v>163</v>
      </c>
      <c r="K294" s="16" t="s">
        <v>182</v>
      </c>
      <c r="L294" t="s">
        <v>175</v>
      </c>
      <c r="M294" s="16" t="s">
        <v>152</v>
      </c>
      <c r="N294" s="16" t="s">
        <v>153</v>
      </c>
      <c r="O294" t="s">
        <v>1614</v>
      </c>
      <c r="P294" s="18">
        <v>2862</v>
      </c>
      <c r="Q294" s="21">
        <v>16</v>
      </c>
      <c r="R294" s="21" t="str">
        <f t="shared" si="84"/>
        <v>15-30 days</v>
      </c>
      <c r="S294" s="16" t="s">
        <v>145</v>
      </c>
      <c r="T294" s="16" t="s">
        <v>154</v>
      </c>
      <c r="U294" s="16" t="s">
        <v>164</v>
      </c>
      <c r="V294" t="str">
        <f>IF(U294="","",IFERROR(VLOOKUP(U294,Hotels!A:B,2,FALSE),"Not Found"))</f>
        <v>Marriott</v>
      </c>
      <c r="W294" s="14">
        <v>418.66</v>
      </c>
      <c r="X294" s="14">
        <v>0</v>
      </c>
      <c r="Y294" s="21">
        <v>3</v>
      </c>
      <c r="Z294" s="29">
        <f t="shared" si="85"/>
        <v>167.15333333333334</v>
      </c>
      <c r="AA294" s="14">
        <v>501.46</v>
      </c>
      <c r="AB294" s="14">
        <v>56.32</v>
      </c>
      <c r="AC294" s="14">
        <v>976.44</v>
      </c>
      <c r="AD294" s="16" t="s">
        <v>147</v>
      </c>
      <c r="AE294" s="16" t="s">
        <v>147</v>
      </c>
      <c r="AF294" s="14">
        <f>SUMIF('Trip Changes'!$B:$B,A294,'Trip Changes'!$E:$E)</f>
        <v>0</v>
      </c>
      <c r="AG294" s="23">
        <f>SUMIF('Trip Cancellations'!$B:$B,A294,'Trip Cancellations'!$E:$E)</f>
        <v>0</v>
      </c>
      <c r="AH294" s="14">
        <f>SUMIF('Trip Cancellations'!$B:$B,A294,'Trip Cancellations'!$F:$F)</f>
        <v>0</v>
      </c>
      <c r="AI294" s="14">
        <f t="shared" si="86"/>
        <v>976.44</v>
      </c>
      <c r="AJ294" s="14" t="str">
        <f t="shared" si="87"/>
        <v>Yes</v>
      </c>
      <c r="AK294" s="14" t="str">
        <f>IF(Y294=0,"N/A",
IF(_xlfn.XLOOKUP(U294,Hotels!A:A,Hotels!C:C)=TRUE,"Yes","No"))</f>
        <v>Yes</v>
      </c>
      <c r="AL294" s="14" t="str">
        <f>IF(N294="Rail","N/A",IF(_xlfn.XLOOKUP(T294,Airlines!A:A,Airlines!C:C)=TRUE,"Yes","No"))</f>
        <v>Yes</v>
      </c>
      <c r="AM294" s="14" t="str">
        <f t="shared" si="88"/>
        <v>Yes</v>
      </c>
      <c r="AN294" s="14" t="str">
        <f t="shared" si="89"/>
        <v>Yes</v>
      </c>
      <c r="AO294" s="14" t="str">
        <f t="shared" si="90"/>
        <v>Yes</v>
      </c>
      <c r="AP294" s="16" t="s">
        <v>148</v>
      </c>
      <c r="AQ294" t="str">
        <f t="shared" si="91"/>
        <v>Yes</v>
      </c>
      <c r="AR294" s="21">
        <v>5</v>
      </c>
      <c r="AS294" s="5">
        <v>429.3</v>
      </c>
      <c r="AT294" s="5" t="str">
        <f>IF(T294="","",_xlfn.XLOOKUP(T294,Airlines!A:A,Airlines!B:B,"Not Found"))</f>
        <v>British Airways</v>
      </c>
      <c r="AU294" s="5" t="str">
        <f>IF(U294="","",_xlfn.XLOOKUP(U294,Hotels!A:A,Hotels!B:B,"Not found"))</f>
        <v>Marriott</v>
      </c>
      <c r="AV294" t="s">
        <v>148</v>
      </c>
      <c r="AW294" s="16" t="str">
        <f t="shared" si="92"/>
        <v>OK</v>
      </c>
      <c r="AX294" s="16" t="str">
        <f t="shared" si="93"/>
        <v>OK</v>
      </c>
      <c r="AY294" s="16" t="str">
        <f t="shared" si="94"/>
        <v>OK</v>
      </c>
      <c r="AZ294" s="16" t="str">
        <f t="shared" si="95"/>
        <v>OK</v>
      </c>
      <c r="BA294" s="16" t="str">
        <f t="shared" si="99"/>
        <v>OK</v>
      </c>
      <c r="BB294" s="21">
        <f>COUNTIF('Trip Changes'!B:B,A294)</f>
        <v>0</v>
      </c>
      <c r="BC294" s="16" t="str">
        <f>IF(OR(AND(AD294="Yes",COUNTIF('Trip Changes'!B:B,A294)&gt;0),AND(AD294="No",COUNTIF('Trip Changes'!B:B,A294)=0)),"OK","Check")</f>
        <v>OK</v>
      </c>
      <c r="BD294" t="str">
        <f t="shared" si="100"/>
        <v>OK</v>
      </c>
      <c r="BE294" t="str">
        <f t="shared" si="101"/>
        <v>OK</v>
      </c>
      <c r="BF294" t="str">
        <f t="shared" si="102"/>
        <v>OK</v>
      </c>
      <c r="BG294" t="str">
        <f t="shared" si="103"/>
        <v>OK</v>
      </c>
      <c r="BH294" t="str">
        <f t="shared" si="104"/>
        <v>OK</v>
      </c>
      <c r="BI294" t="str">
        <f t="shared" si="96"/>
        <v>OK</v>
      </c>
      <c r="BJ294" t="str">
        <f t="shared" si="97"/>
        <v>OK</v>
      </c>
      <c r="BK294" t="str">
        <f t="shared" si="98"/>
        <v>OK</v>
      </c>
    </row>
    <row r="295" spans="1:63">
      <c r="A295" s="16" t="s">
        <v>582</v>
      </c>
      <c r="B295" s="16" t="s">
        <v>580</v>
      </c>
      <c r="C295" s="16" t="s">
        <v>182</v>
      </c>
      <c r="D295" s="16" t="s">
        <v>230</v>
      </c>
      <c r="E295" s="16" t="s">
        <v>249</v>
      </c>
      <c r="F295" s="16" t="s">
        <v>140</v>
      </c>
      <c r="G295" s="15">
        <v>46169</v>
      </c>
      <c r="H295" s="15">
        <v>46177</v>
      </c>
      <c r="I295" s="15">
        <v>46180</v>
      </c>
      <c r="J295" s="15" t="s">
        <v>141</v>
      </c>
      <c r="K295" s="16" t="s">
        <v>182</v>
      </c>
      <c r="L295" t="s">
        <v>225</v>
      </c>
      <c r="M295" s="16" t="s">
        <v>152</v>
      </c>
      <c r="N295" s="16" t="s">
        <v>153</v>
      </c>
      <c r="O295" t="s">
        <v>1614</v>
      </c>
      <c r="P295" s="18">
        <v>2926</v>
      </c>
      <c r="Q295" s="21">
        <v>8</v>
      </c>
      <c r="R295" s="21" t="str">
        <f t="shared" si="84"/>
        <v>8-14 days</v>
      </c>
      <c r="S295" s="16" t="s">
        <v>216</v>
      </c>
      <c r="T295" s="16" t="s">
        <v>154</v>
      </c>
      <c r="U295" s="16" t="s">
        <v>187</v>
      </c>
      <c r="V295" t="str">
        <f>IF(U295="","",IFERROR(VLOOKUP(U295,Hotels!A:B,2,FALSE),"Not Found"))</f>
        <v>IHG Hotels &amp; Resorts</v>
      </c>
      <c r="W295" s="14">
        <v>621.84</v>
      </c>
      <c r="X295" s="14">
        <v>0</v>
      </c>
      <c r="Y295" s="21">
        <v>2</v>
      </c>
      <c r="Z295" s="29">
        <f t="shared" si="85"/>
        <v>154.04499999999999</v>
      </c>
      <c r="AA295" s="14">
        <v>308.08999999999997</v>
      </c>
      <c r="AB295" s="14">
        <v>79.760000000000005</v>
      </c>
      <c r="AC295" s="14">
        <v>1009.69</v>
      </c>
      <c r="AD295" s="16" t="s">
        <v>147</v>
      </c>
      <c r="AE295" s="16" t="s">
        <v>147</v>
      </c>
      <c r="AF295" s="14">
        <f>SUMIF('Trip Changes'!$B:$B,A295,'Trip Changes'!$E:$E)</f>
        <v>0</v>
      </c>
      <c r="AG295" s="23">
        <f>SUMIF('Trip Cancellations'!$B:$B,A295,'Trip Cancellations'!$E:$E)</f>
        <v>0</v>
      </c>
      <c r="AH295" s="14">
        <f>SUMIF('Trip Cancellations'!$B:$B,A295,'Trip Cancellations'!$F:$F)</f>
        <v>0</v>
      </c>
      <c r="AI295" s="14">
        <f t="shared" si="86"/>
        <v>1009.69</v>
      </c>
      <c r="AJ295" s="14" t="str">
        <f t="shared" si="87"/>
        <v>Yes</v>
      </c>
      <c r="AK295" s="14" t="str">
        <f>IF(Y295=0,"N/A",
IF(_xlfn.XLOOKUP(U295,Hotels!A:A,Hotels!C:C)=TRUE,"Yes","No"))</f>
        <v>Yes</v>
      </c>
      <c r="AL295" s="14" t="str">
        <f>IF(N295="Rail","N/A",IF(_xlfn.XLOOKUP(T295,Airlines!A:A,Airlines!C:C)=TRUE,"Yes","No"))</f>
        <v>Yes</v>
      </c>
      <c r="AM295" s="14" t="str">
        <f t="shared" si="88"/>
        <v>Yes</v>
      </c>
      <c r="AN295" s="14" t="str">
        <f t="shared" si="89"/>
        <v>No</v>
      </c>
      <c r="AO295" s="14" t="str">
        <f t="shared" si="90"/>
        <v>Yes</v>
      </c>
      <c r="AP295" s="16" t="s">
        <v>148</v>
      </c>
      <c r="AQ295" t="str">
        <f t="shared" si="91"/>
        <v>No</v>
      </c>
      <c r="AR295" s="21">
        <v>4</v>
      </c>
      <c r="AS295" s="5">
        <v>438.9</v>
      </c>
      <c r="AT295" s="5" t="str">
        <f>IF(T295="","",_xlfn.XLOOKUP(T295,Airlines!A:A,Airlines!B:B,"Not Found"))</f>
        <v>British Airways</v>
      </c>
      <c r="AU295" s="5" t="str">
        <f>IF(U295="","",_xlfn.XLOOKUP(U295,Hotels!A:A,Hotels!B:B,"Not found"))</f>
        <v>IHG Hotels &amp; Resorts</v>
      </c>
      <c r="AV295" t="s">
        <v>148</v>
      </c>
      <c r="AW295" s="16" t="str">
        <f t="shared" si="92"/>
        <v>OK</v>
      </c>
      <c r="AX295" s="16" t="str">
        <f t="shared" si="93"/>
        <v>OK</v>
      </c>
      <c r="AY295" s="16" t="str">
        <f t="shared" si="94"/>
        <v>OK</v>
      </c>
      <c r="AZ295" s="16" t="str">
        <f t="shared" si="95"/>
        <v>OK</v>
      </c>
      <c r="BA295" s="16" t="str">
        <f t="shared" si="99"/>
        <v>OK</v>
      </c>
      <c r="BB295" s="21">
        <f>COUNTIF('Trip Changes'!B:B,A295)</f>
        <v>0</v>
      </c>
      <c r="BC295" s="16" t="str">
        <f>IF(OR(AND(AD295="Yes",COUNTIF('Trip Changes'!B:B,A295)&gt;0),AND(AD295="No",COUNTIF('Trip Changes'!B:B,A295)=0)),"OK","Check")</f>
        <v>OK</v>
      </c>
      <c r="BD295" t="str">
        <f t="shared" si="100"/>
        <v>OK</v>
      </c>
      <c r="BE295" t="str">
        <f t="shared" si="101"/>
        <v>OK</v>
      </c>
      <c r="BF295" t="str">
        <f t="shared" si="102"/>
        <v>OK</v>
      </c>
      <c r="BG295" t="str">
        <f t="shared" si="103"/>
        <v>OK</v>
      </c>
      <c r="BH295" t="str">
        <f t="shared" si="104"/>
        <v>OK</v>
      </c>
      <c r="BI295" t="str">
        <f t="shared" si="96"/>
        <v>OK</v>
      </c>
      <c r="BJ295" t="str">
        <f t="shared" si="97"/>
        <v>OK</v>
      </c>
      <c r="BK295" t="str">
        <f t="shared" si="98"/>
        <v>OK</v>
      </c>
    </row>
    <row r="296" spans="1:63">
      <c r="A296" s="16" t="s">
        <v>583</v>
      </c>
      <c r="B296" s="16" t="s">
        <v>580</v>
      </c>
      <c r="C296" s="16" t="s">
        <v>182</v>
      </c>
      <c r="D296" s="16" t="s">
        <v>230</v>
      </c>
      <c r="E296" s="16" t="s">
        <v>249</v>
      </c>
      <c r="F296" s="16" t="s">
        <v>140</v>
      </c>
      <c r="G296" s="15">
        <v>46164</v>
      </c>
      <c r="H296" s="15">
        <v>46165</v>
      </c>
      <c r="I296" s="15">
        <v>46168</v>
      </c>
      <c r="J296" s="15" t="s">
        <v>163</v>
      </c>
      <c r="K296" s="16" t="s">
        <v>182</v>
      </c>
      <c r="L296" t="s">
        <v>199</v>
      </c>
      <c r="M296" s="16" t="s">
        <v>152</v>
      </c>
      <c r="N296" s="16" t="s">
        <v>153</v>
      </c>
      <c r="O296" t="s">
        <v>1614</v>
      </c>
      <c r="P296" s="18">
        <v>3278</v>
      </c>
      <c r="Q296" s="21">
        <v>1</v>
      </c>
      <c r="R296" s="21" t="str">
        <f t="shared" si="84"/>
        <v>0-3 days</v>
      </c>
      <c r="S296" s="16" t="s">
        <v>159</v>
      </c>
      <c r="T296" s="16" t="s">
        <v>291</v>
      </c>
      <c r="U296" s="16" t="s">
        <v>155</v>
      </c>
      <c r="V296" t="str">
        <f>IF(U296="","",IFERROR(VLOOKUP(U296,Hotels!A:B,2,FALSE),"Not Found"))</f>
        <v>Hilton</v>
      </c>
      <c r="W296" s="14">
        <v>418.11</v>
      </c>
      <c r="X296" s="14">
        <v>0</v>
      </c>
      <c r="Y296" s="21">
        <v>2</v>
      </c>
      <c r="Z296" s="29">
        <f t="shared" si="85"/>
        <v>207.89500000000001</v>
      </c>
      <c r="AA296" s="14">
        <v>415.79</v>
      </c>
      <c r="AB296" s="14">
        <v>42.39</v>
      </c>
      <c r="AC296" s="14">
        <v>876.29</v>
      </c>
      <c r="AD296" s="16" t="s">
        <v>147</v>
      </c>
      <c r="AE296" s="16" t="s">
        <v>147</v>
      </c>
      <c r="AF296" s="14">
        <f>SUMIF('Trip Changes'!$B:$B,A296,'Trip Changes'!$E:$E)</f>
        <v>0</v>
      </c>
      <c r="AG296" s="23">
        <f>SUMIF('Trip Cancellations'!$B:$B,A296,'Trip Cancellations'!$E:$E)</f>
        <v>0</v>
      </c>
      <c r="AH296" s="14">
        <f>SUMIF('Trip Cancellations'!$B:$B,A296,'Trip Cancellations'!$F:$F)</f>
        <v>0</v>
      </c>
      <c r="AI296" s="14">
        <f t="shared" si="86"/>
        <v>876.29</v>
      </c>
      <c r="AJ296" s="14" t="str">
        <f t="shared" si="87"/>
        <v>No</v>
      </c>
      <c r="AK296" s="14" t="str">
        <f>IF(Y296=0,"N/A",
IF(_xlfn.XLOOKUP(U296,Hotels!A:A,Hotels!C:C)=TRUE,"Yes","No"))</f>
        <v>Yes</v>
      </c>
      <c r="AL296" s="14" t="str">
        <f>IF(N296="Rail","N/A",IF(_xlfn.XLOOKUP(T296,Airlines!A:A,Airlines!C:C)=TRUE,"Yes","No"))</f>
        <v>No</v>
      </c>
      <c r="AM296" s="14" t="str">
        <f t="shared" si="88"/>
        <v>Yes</v>
      </c>
      <c r="AN296" s="14" t="str">
        <f t="shared" si="89"/>
        <v>Yes</v>
      </c>
      <c r="AO296" s="14" t="str">
        <f t="shared" si="90"/>
        <v>No</v>
      </c>
      <c r="AP296" s="16" t="s">
        <v>148</v>
      </c>
      <c r="AQ296" t="str">
        <f t="shared" si="91"/>
        <v>No</v>
      </c>
      <c r="AR296" s="21">
        <v>4</v>
      </c>
      <c r="AS296" s="5">
        <v>491.7</v>
      </c>
      <c r="AT296" s="5" t="str">
        <f>IF(T296="","",_xlfn.XLOOKUP(T296,Airlines!A:A,Airlines!B:B,"Not Found"))</f>
        <v>Ryanair</v>
      </c>
      <c r="AU296" s="5" t="str">
        <f>IF(U296="","",_xlfn.XLOOKUP(U296,Hotels!A:A,Hotels!B:B,"Not found"))</f>
        <v>Hilton</v>
      </c>
      <c r="AV296" t="s">
        <v>148</v>
      </c>
      <c r="AW296" s="16" t="str">
        <f t="shared" si="92"/>
        <v>OK</v>
      </c>
      <c r="AX296" s="16" t="str">
        <f t="shared" si="93"/>
        <v>OK</v>
      </c>
      <c r="AY296" s="16" t="str">
        <f t="shared" si="94"/>
        <v>OK</v>
      </c>
      <c r="AZ296" s="16" t="str">
        <f t="shared" si="95"/>
        <v>OK</v>
      </c>
      <c r="BA296" s="16" t="str">
        <f t="shared" si="99"/>
        <v>OK</v>
      </c>
      <c r="BB296" s="21">
        <f>COUNTIF('Trip Changes'!B:B,A296)</f>
        <v>0</v>
      </c>
      <c r="BC296" s="16" t="str">
        <f>IF(OR(AND(AD296="Yes",COUNTIF('Trip Changes'!B:B,A296)&gt;0),AND(AD296="No",COUNTIF('Trip Changes'!B:B,A296)=0)),"OK","Check")</f>
        <v>OK</v>
      </c>
      <c r="BD296" t="str">
        <f t="shared" si="100"/>
        <v>OK</v>
      </c>
      <c r="BE296" t="str">
        <f t="shared" si="101"/>
        <v>OK</v>
      </c>
      <c r="BF296" t="str">
        <f t="shared" si="102"/>
        <v>OK</v>
      </c>
      <c r="BG296" t="str">
        <f t="shared" si="103"/>
        <v>OK</v>
      </c>
      <c r="BH296" t="str">
        <f t="shared" si="104"/>
        <v>OK</v>
      </c>
      <c r="BI296" t="str">
        <f t="shared" si="96"/>
        <v>OK</v>
      </c>
      <c r="BJ296" t="str">
        <f t="shared" si="97"/>
        <v>OK</v>
      </c>
      <c r="BK296" t="str">
        <f t="shared" si="98"/>
        <v>OK</v>
      </c>
    </row>
    <row r="297" spans="1:63">
      <c r="A297" s="16" t="s">
        <v>584</v>
      </c>
      <c r="B297" s="16" t="s">
        <v>580</v>
      </c>
      <c r="C297" s="16" t="s">
        <v>182</v>
      </c>
      <c r="D297" s="16" t="s">
        <v>230</v>
      </c>
      <c r="E297" s="16" t="s">
        <v>249</v>
      </c>
      <c r="F297" s="16" t="s">
        <v>140</v>
      </c>
      <c r="G297" s="15">
        <v>46169</v>
      </c>
      <c r="H297" s="15">
        <v>46189</v>
      </c>
      <c r="I297" s="15">
        <v>46192</v>
      </c>
      <c r="J297" s="15" t="s">
        <v>141</v>
      </c>
      <c r="K297" s="16" t="s">
        <v>182</v>
      </c>
      <c r="L297" t="s">
        <v>151</v>
      </c>
      <c r="M297" s="16" t="s">
        <v>152</v>
      </c>
      <c r="N297" s="16" t="s">
        <v>153</v>
      </c>
      <c r="O297" t="s">
        <v>1614</v>
      </c>
      <c r="P297" s="18">
        <v>2608</v>
      </c>
      <c r="Q297" s="21">
        <v>20</v>
      </c>
      <c r="R297" s="21" t="str">
        <f t="shared" si="84"/>
        <v>15-30 days</v>
      </c>
      <c r="S297" s="16" t="s">
        <v>216</v>
      </c>
      <c r="T297" s="16" t="s">
        <v>154</v>
      </c>
      <c r="U297" s="16" t="s">
        <v>155</v>
      </c>
      <c r="V297" t="str">
        <f>IF(U297="","",IFERROR(VLOOKUP(U297,Hotels!A:B,2,FALSE),"Not Found"))</f>
        <v>Hilton</v>
      </c>
      <c r="W297" s="14">
        <v>557.39</v>
      </c>
      <c r="X297" s="14">
        <v>0</v>
      </c>
      <c r="Y297" s="21">
        <v>2</v>
      </c>
      <c r="Z297" s="29">
        <f t="shared" si="85"/>
        <v>148.97</v>
      </c>
      <c r="AA297" s="14">
        <v>297.94</v>
      </c>
      <c r="AB297" s="14">
        <v>124.42</v>
      </c>
      <c r="AC297" s="14">
        <v>979.75</v>
      </c>
      <c r="AD297" s="16" t="s">
        <v>148</v>
      </c>
      <c r="AE297" s="16" t="s">
        <v>147</v>
      </c>
      <c r="AF297" s="14">
        <f>SUMIF('Trip Changes'!$B:$B,A297,'Trip Changes'!$E:$E)</f>
        <v>106.03</v>
      </c>
      <c r="AG297" s="23">
        <f>SUMIF('Trip Cancellations'!$B:$B,A297,'Trip Cancellations'!$E:$E)</f>
        <v>0</v>
      </c>
      <c r="AH297" s="14">
        <f>SUMIF('Trip Cancellations'!$B:$B,A297,'Trip Cancellations'!$F:$F)</f>
        <v>0</v>
      </c>
      <c r="AI297" s="14">
        <f t="shared" si="86"/>
        <v>1085.78</v>
      </c>
      <c r="AJ297" s="14" t="str">
        <f t="shared" si="87"/>
        <v>Yes</v>
      </c>
      <c r="AK297" s="14" t="str">
        <f>IF(Y297=0,"N/A",
IF(_xlfn.XLOOKUP(U297,Hotels!A:A,Hotels!C:C)=TRUE,"Yes","No"))</f>
        <v>Yes</v>
      </c>
      <c r="AL297" s="14" t="str">
        <f>IF(N297="Rail","N/A",IF(_xlfn.XLOOKUP(T297,Airlines!A:A,Airlines!C:C)=TRUE,"Yes","No"))</f>
        <v>Yes</v>
      </c>
      <c r="AM297" s="14" t="str">
        <f t="shared" si="88"/>
        <v>Yes</v>
      </c>
      <c r="AN297" s="14" t="str">
        <f t="shared" si="89"/>
        <v>No</v>
      </c>
      <c r="AO297" s="14" t="str">
        <f t="shared" si="90"/>
        <v>Yes</v>
      </c>
      <c r="AP297" s="16" t="s">
        <v>148</v>
      </c>
      <c r="AQ297" t="str">
        <f t="shared" si="91"/>
        <v>No</v>
      </c>
      <c r="AR297" s="21">
        <v>4</v>
      </c>
      <c r="AS297" s="5">
        <v>391.2</v>
      </c>
      <c r="AT297" s="5" t="str">
        <f>IF(T297="","",_xlfn.XLOOKUP(T297,Airlines!A:A,Airlines!B:B,"Not Found"))</f>
        <v>British Airways</v>
      </c>
      <c r="AU297" s="5" t="str">
        <f>IF(U297="","",_xlfn.XLOOKUP(U297,Hotels!A:A,Hotels!B:B,"Not found"))</f>
        <v>Hilton</v>
      </c>
      <c r="AV297" t="s">
        <v>147</v>
      </c>
      <c r="AW297" s="16" t="str">
        <f t="shared" si="92"/>
        <v>OK</v>
      </c>
      <c r="AX297" s="16" t="str">
        <f t="shared" si="93"/>
        <v>OK</v>
      </c>
      <c r="AY297" s="16" t="str">
        <f t="shared" si="94"/>
        <v>OK</v>
      </c>
      <c r="AZ297" s="16" t="str">
        <f t="shared" si="95"/>
        <v>OK</v>
      </c>
      <c r="BA297" s="16" t="str">
        <f t="shared" si="99"/>
        <v>OK</v>
      </c>
      <c r="BB297" s="21">
        <f>COUNTIF('Trip Changes'!B:B,A297)</f>
        <v>2</v>
      </c>
      <c r="BC297" s="16" t="str">
        <f>IF(OR(AND(AD297="Yes",COUNTIF('Trip Changes'!B:B,A297)&gt;0),AND(AD297="No",COUNTIF('Trip Changes'!B:B,A297)=0)),"OK","Check")</f>
        <v>OK</v>
      </c>
      <c r="BD297" t="str">
        <f t="shared" si="100"/>
        <v>OK</v>
      </c>
      <c r="BE297" t="str">
        <f t="shared" si="101"/>
        <v>OK</v>
      </c>
      <c r="BF297" t="str">
        <f t="shared" si="102"/>
        <v>OK</v>
      </c>
      <c r="BG297" t="str">
        <f t="shared" si="103"/>
        <v>OK</v>
      </c>
      <c r="BH297" t="str">
        <f t="shared" si="104"/>
        <v>OK</v>
      </c>
      <c r="BI297" t="str">
        <f t="shared" si="96"/>
        <v>OK</v>
      </c>
      <c r="BJ297" t="str">
        <f t="shared" si="97"/>
        <v>OK</v>
      </c>
      <c r="BK297" t="str">
        <f t="shared" si="98"/>
        <v>OK</v>
      </c>
    </row>
    <row r="298" spans="1:63">
      <c r="A298" s="16" t="s">
        <v>585</v>
      </c>
      <c r="B298" s="16" t="s">
        <v>586</v>
      </c>
      <c r="C298" s="16" t="s">
        <v>182</v>
      </c>
      <c r="D298" s="16" t="s">
        <v>138</v>
      </c>
      <c r="E298" s="16" t="s">
        <v>139</v>
      </c>
      <c r="F298" s="16" t="s">
        <v>170</v>
      </c>
      <c r="G298" s="15">
        <v>46167</v>
      </c>
      <c r="H298" s="15">
        <v>46170</v>
      </c>
      <c r="I298" s="15">
        <v>46174</v>
      </c>
      <c r="J298" s="15" t="s">
        <v>163</v>
      </c>
      <c r="K298" s="16" t="s">
        <v>182</v>
      </c>
      <c r="L298" t="s">
        <v>227</v>
      </c>
      <c r="M298" s="16" t="s">
        <v>152</v>
      </c>
      <c r="N298" s="16" t="s">
        <v>153</v>
      </c>
      <c r="O298" t="s">
        <v>1614</v>
      </c>
      <c r="P298" s="18">
        <v>1420</v>
      </c>
      <c r="Q298" s="21">
        <v>3</v>
      </c>
      <c r="R298" s="21" t="str">
        <f t="shared" si="84"/>
        <v>0-3 days</v>
      </c>
      <c r="S298" s="16" t="s">
        <v>145</v>
      </c>
      <c r="T298" s="16" t="s">
        <v>236</v>
      </c>
      <c r="U298" s="16" t="s">
        <v>187</v>
      </c>
      <c r="V298" t="str">
        <f>IF(U298="","",IFERROR(VLOOKUP(U298,Hotels!A:B,2,FALSE),"Not Found"))</f>
        <v>IHG Hotels &amp; Resorts</v>
      </c>
      <c r="W298" s="14">
        <v>379.12</v>
      </c>
      <c r="X298" s="14">
        <v>0</v>
      </c>
      <c r="Y298" s="21">
        <v>3</v>
      </c>
      <c r="Z298" s="29">
        <f t="shared" si="85"/>
        <v>141.25666666666666</v>
      </c>
      <c r="AA298" s="14">
        <v>423.77</v>
      </c>
      <c r="AB298" s="14">
        <v>119.52</v>
      </c>
      <c r="AC298" s="14">
        <v>922.41</v>
      </c>
      <c r="AD298" s="16" t="s">
        <v>148</v>
      </c>
      <c r="AE298" s="16" t="s">
        <v>147</v>
      </c>
      <c r="AF298" s="14">
        <f>SUMIF('Trip Changes'!$B:$B,A298,'Trip Changes'!$E:$E)</f>
        <v>73.06</v>
      </c>
      <c r="AG298" s="23">
        <f>SUMIF('Trip Cancellations'!$B:$B,A298,'Trip Cancellations'!$E:$E)</f>
        <v>0</v>
      </c>
      <c r="AH298" s="14">
        <f>SUMIF('Trip Cancellations'!$B:$B,A298,'Trip Cancellations'!$F:$F)</f>
        <v>0</v>
      </c>
      <c r="AI298" s="14">
        <f t="shared" si="86"/>
        <v>995.47</v>
      </c>
      <c r="AJ298" s="14" t="str">
        <f t="shared" si="87"/>
        <v>Yes</v>
      </c>
      <c r="AK298" s="14" t="str">
        <f>IF(Y298=0,"N/A",
IF(_xlfn.XLOOKUP(U298,Hotels!A:A,Hotels!C:C)=TRUE,"Yes","No"))</f>
        <v>Yes</v>
      </c>
      <c r="AL298" s="14" t="str">
        <f>IF(N298="Rail","N/A",IF(_xlfn.XLOOKUP(T298,Airlines!A:A,Airlines!C:C)=TRUE,"Yes","No"))</f>
        <v>Yes</v>
      </c>
      <c r="AM298" s="14" t="str">
        <f t="shared" si="88"/>
        <v>Yes</v>
      </c>
      <c r="AN298" s="14" t="str">
        <f t="shared" si="89"/>
        <v>Yes</v>
      </c>
      <c r="AO298" s="14" t="str">
        <f t="shared" si="90"/>
        <v>Yes</v>
      </c>
      <c r="AP298" s="16" t="s">
        <v>148</v>
      </c>
      <c r="AQ298" t="str">
        <f t="shared" si="91"/>
        <v>Yes</v>
      </c>
      <c r="AR298" s="21">
        <v>5</v>
      </c>
      <c r="AS298" s="5">
        <v>213</v>
      </c>
      <c r="AT298" s="5" t="str">
        <f>IF(T298="","",_xlfn.XLOOKUP(T298,Airlines!A:A,Airlines!B:B,"Not Found"))</f>
        <v>KLM</v>
      </c>
      <c r="AU298" s="5" t="str">
        <f>IF(U298="","",_xlfn.XLOOKUP(U298,Hotels!A:A,Hotels!B:B,"Not found"))</f>
        <v>IHG Hotels &amp; Resorts</v>
      </c>
      <c r="AV298" t="s">
        <v>147</v>
      </c>
      <c r="AW298" s="16" t="str">
        <f t="shared" si="92"/>
        <v>OK</v>
      </c>
      <c r="AX298" s="16" t="str">
        <f t="shared" si="93"/>
        <v>OK</v>
      </c>
      <c r="AY298" s="16" t="str">
        <f t="shared" si="94"/>
        <v>OK</v>
      </c>
      <c r="AZ298" s="16" t="str">
        <f t="shared" si="95"/>
        <v>OK</v>
      </c>
      <c r="BA298" s="16" t="str">
        <f t="shared" si="99"/>
        <v>OK</v>
      </c>
      <c r="BB298" s="21">
        <f>COUNTIF('Trip Changes'!B:B,A298)</f>
        <v>1</v>
      </c>
      <c r="BC298" s="16" t="str">
        <f>IF(OR(AND(AD298="Yes",COUNTIF('Trip Changes'!B:B,A298)&gt;0),AND(AD298="No",COUNTIF('Trip Changes'!B:B,A298)=0)),"OK","Check")</f>
        <v>OK</v>
      </c>
      <c r="BD298" t="str">
        <f t="shared" si="100"/>
        <v>OK</v>
      </c>
      <c r="BE298" t="str">
        <f t="shared" si="101"/>
        <v>OK</v>
      </c>
      <c r="BF298" t="str">
        <f t="shared" si="102"/>
        <v>OK</v>
      </c>
      <c r="BG298" t="str">
        <f t="shared" si="103"/>
        <v>OK</v>
      </c>
      <c r="BH298" t="str">
        <f t="shared" si="104"/>
        <v>OK</v>
      </c>
      <c r="BI298" t="str">
        <f t="shared" si="96"/>
        <v>OK</v>
      </c>
      <c r="BJ298" t="str">
        <f t="shared" si="97"/>
        <v>OK</v>
      </c>
      <c r="BK298" t="str">
        <f t="shared" si="98"/>
        <v>OK</v>
      </c>
    </row>
    <row r="299" spans="1:63">
      <c r="A299" s="16" t="s">
        <v>587</v>
      </c>
      <c r="B299" s="16" t="s">
        <v>586</v>
      </c>
      <c r="C299" s="16" t="s">
        <v>182</v>
      </c>
      <c r="D299" s="16" t="s">
        <v>138</v>
      </c>
      <c r="E299" s="16" t="s">
        <v>139</v>
      </c>
      <c r="F299" s="16" t="s">
        <v>162</v>
      </c>
      <c r="G299" s="15">
        <v>46170</v>
      </c>
      <c r="H299" s="15">
        <v>46188</v>
      </c>
      <c r="I299" s="15">
        <v>46193</v>
      </c>
      <c r="J299" s="15" t="s">
        <v>141</v>
      </c>
      <c r="K299" s="16" t="s">
        <v>182</v>
      </c>
      <c r="L299" t="s">
        <v>305</v>
      </c>
      <c r="M299" s="16" t="s">
        <v>152</v>
      </c>
      <c r="N299" s="16" t="s">
        <v>153</v>
      </c>
      <c r="O299" t="s">
        <v>1614</v>
      </c>
      <c r="P299" s="18">
        <v>11738</v>
      </c>
      <c r="Q299" s="21">
        <v>18</v>
      </c>
      <c r="R299" s="21" t="str">
        <f t="shared" si="84"/>
        <v>15-30 days</v>
      </c>
      <c r="S299" s="16" t="s">
        <v>207</v>
      </c>
      <c r="T299" s="16" t="s">
        <v>186</v>
      </c>
      <c r="U299" s="16" t="s">
        <v>164</v>
      </c>
      <c r="V299" t="str">
        <f>IF(U299="","",IFERROR(VLOOKUP(U299,Hotels!A:B,2,FALSE),"Not Found"))</f>
        <v>Marriott</v>
      </c>
      <c r="W299" s="14">
        <v>1436.52</v>
      </c>
      <c r="X299" s="14">
        <v>0</v>
      </c>
      <c r="Y299" s="21">
        <v>4</v>
      </c>
      <c r="Z299" s="29">
        <f t="shared" si="85"/>
        <v>208.86</v>
      </c>
      <c r="AA299" s="14">
        <v>835.44</v>
      </c>
      <c r="AB299" s="14">
        <v>129.79</v>
      </c>
      <c r="AC299" s="14">
        <v>2401.75</v>
      </c>
      <c r="AD299" s="16" t="s">
        <v>147</v>
      </c>
      <c r="AE299" s="16" t="s">
        <v>148</v>
      </c>
      <c r="AF299" s="14">
        <f>SUMIF('Trip Changes'!$B:$B,A299,'Trip Changes'!$E:$E)</f>
        <v>0</v>
      </c>
      <c r="AG299" s="23">
        <f>SUMIF('Trip Cancellations'!$B:$B,A299,'Trip Cancellations'!$E:$E)</f>
        <v>84.92</v>
      </c>
      <c r="AH299" s="14">
        <f>SUMIF('Trip Cancellations'!$B:$B,A299,'Trip Cancellations'!$F:$F)</f>
        <v>567.99</v>
      </c>
      <c r="AI299" s="14">
        <f t="shared" si="86"/>
        <v>1918.68</v>
      </c>
      <c r="AJ299" s="14" t="str">
        <f t="shared" si="87"/>
        <v>No</v>
      </c>
      <c r="AK299" s="14" t="str">
        <f>IF(Y299=0,"N/A",
IF(_xlfn.XLOOKUP(U299,Hotels!A:A,Hotels!C:C)=TRUE,"Yes","No"))</f>
        <v>Yes</v>
      </c>
      <c r="AL299" s="14" t="str">
        <f>IF(N299="Rail","N/A",IF(_xlfn.XLOOKUP(T299,Airlines!A:A,Airlines!C:C)=TRUE,"Yes","No"))</f>
        <v>Yes</v>
      </c>
      <c r="AM299" s="14" t="str">
        <f t="shared" si="88"/>
        <v>Yes</v>
      </c>
      <c r="AN299" s="14" t="str">
        <f t="shared" si="89"/>
        <v>No</v>
      </c>
      <c r="AO299" s="14" t="str">
        <f t="shared" si="90"/>
        <v>Yes</v>
      </c>
      <c r="AP299" s="16" t="s">
        <v>148</v>
      </c>
      <c r="AQ299" t="str">
        <f t="shared" si="91"/>
        <v>No</v>
      </c>
      <c r="AR299" s="21">
        <v>3</v>
      </c>
      <c r="AS299" s="5">
        <v>1760.7</v>
      </c>
      <c r="AT299" s="5" t="str">
        <f>IF(T299="","",_xlfn.XLOOKUP(T299,Airlines!A:A,Airlines!B:B,"Not Found"))</f>
        <v>Virgin Atlantic</v>
      </c>
      <c r="AU299" s="5" t="str">
        <f>IF(U299="","",_xlfn.XLOOKUP(U299,Hotels!A:A,Hotels!B:B,"Not found"))</f>
        <v>Marriott</v>
      </c>
      <c r="AV299" t="s">
        <v>148</v>
      </c>
      <c r="AW299" s="16" t="str">
        <f t="shared" si="92"/>
        <v>OK</v>
      </c>
      <c r="AX299" s="16" t="str">
        <f t="shared" si="93"/>
        <v>OK</v>
      </c>
      <c r="AY299" s="16" t="str">
        <f t="shared" si="94"/>
        <v>OK</v>
      </c>
      <c r="AZ299" s="16" t="str">
        <f t="shared" si="95"/>
        <v>OK</v>
      </c>
      <c r="BA299" s="16" t="str">
        <f t="shared" si="99"/>
        <v>OK</v>
      </c>
      <c r="BB299" s="21">
        <f>COUNTIF('Trip Changes'!B:B,A299)</f>
        <v>0</v>
      </c>
      <c r="BC299" s="16" t="str">
        <f>IF(OR(AND(AD299="Yes",COUNTIF('Trip Changes'!B:B,A299)&gt;0),AND(AD299="No",COUNTIF('Trip Changes'!B:B,A299)=0)),"OK","Check")</f>
        <v>OK</v>
      </c>
      <c r="BD299" t="str">
        <f t="shared" si="100"/>
        <v>OK</v>
      </c>
      <c r="BE299" t="str">
        <f t="shared" si="101"/>
        <v>OK</v>
      </c>
      <c r="BF299" t="str">
        <f t="shared" si="102"/>
        <v>OK</v>
      </c>
      <c r="BG299" t="str">
        <f t="shared" si="103"/>
        <v>OK</v>
      </c>
      <c r="BH299" t="str">
        <f t="shared" si="104"/>
        <v>OK</v>
      </c>
      <c r="BI299" t="str">
        <f t="shared" si="96"/>
        <v>OK</v>
      </c>
      <c r="BJ299" t="str">
        <f t="shared" si="97"/>
        <v>OK</v>
      </c>
      <c r="BK299" t="str">
        <f t="shared" si="98"/>
        <v>OK</v>
      </c>
    </row>
    <row r="300" spans="1:63">
      <c r="A300" s="16" t="s">
        <v>588</v>
      </c>
      <c r="B300" s="16" t="s">
        <v>586</v>
      </c>
      <c r="C300" s="16" t="s">
        <v>182</v>
      </c>
      <c r="D300" s="16" t="s">
        <v>138</v>
      </c>
      <c r="E300" s="16" t="s">
        <v>139</v>
      </c>
      <c r="F300" s="16" t="s">
        <v>157</v>
      </c>
      <c r="G300" s="15">
        <v>46136</v>
      </c>
      <c r="H300" s="15">
        <v>46150</v>
      </c>
      <c r="I300" s="15">
        <v>46155</v>
      </c>
      <c r="J300" s="15" t="s">
        <v>163</v>
      </c>
      <c r="K300" s="16" t="s">
        <v>182</v>
      </c>
      <c r="L300" t="s">
        <v>233</v>
      </c>
      <c r="M300" s="16" t="s">
        <v>152</v>
      </c>
      <c r="N300" s="16" t="s">
        <v>153</v>
      </c>
      <c r="O300" t="s">
        <v>1631</v>
      </c>
      <c r="P300" s="18">
        <v>2984</v>
      </c>
      <c r="Q300" s="21">
        <v>14</v>
      </c>
      <c r="R300" s="21" t="str">
        <f t="shared" si="84"/>
        <v>8-14 days</v>
      </c>
      <c r="S300" s="16" t="s">
        <v>145</v>
      </c>
      <c r="T300" s="16" t="s">
        <v>176</v>
      </c>
      <c r="U300" s="16" t="s">
        <v>187</v>
      </c>
      <c r="V300" t="str">
        <f>IF(U300="","",IFERROR(VLOOKUP(U300,Hotels!A:B,2,FALSE),"Not Found"))</f>
        <v>IHG Hotels &amp; Resorts</v>
      </c>
      <c r="W300" s="14">
        <v>514.5</v>
      </c>
      <c r="X300" s="14">
        <v>0</v>
      </c>
      <c r="Y300" s="21">
        <v>4</v>
      </c>
      <c r="Z300" s="29">
        <f t="shared" si="85"/>
        <v>113.67749999999999</v>
      </c>
      <c r="AA300" s="14">
        <v>454.71</v>
      </c>
      <c r="AB300" s="14">
        <v>104.06</v>
      </c>
      <c r="AC300" s="14">
        <v>1073.27</v>
      </c>
      <c r="AD300" s="16" t="s">
        <v>147</v>
      </c>
      <c r="AE300" s="16" t="s">
        <v>147</v>
      </c>
      <c r="AF300" s="14">
        <f>SUMIF('Trip Changes'!$B:$B,A300,'Trip Changes'!$E:$E)</f>
        <v>0</v>
      </c>
      <c r="AG300" s="23">
        <f>SUMIF('Trip Cancellations'!$B:$B,A300,'Trip Cancellations'!$E:$E)</f>
        <v>0</v>
      </c>
      <c r="AH300" s="14">
        <f>SUMIF('Trip Cancellations'!$B:$B,A300,'Trip Cancellations'!$F:$F)</f>
        <v>0</v>
      </c>
      <c r="AI300" s="14">
        <f t="shared" si="86"/>
        <v>1073.27</v>
      </c>
      <c r="AJ300" s="14" t="str">
        <f t="shared" si="87"/>
        <v>Yes</v>
      </c>
      <c r="AK300" s="14" t="str">
        <f>IF(Y300=0,"N/A",
IF(_xlfn.XLOOKUP(U300,Hotels!A:A,Hotels!C:C)=TRUE,"Yes","No"))</f>
        <v>Yes</v>
      </c>
      <c r="AL300" s="14" t="str">
        <f>IF(N300="Rail","N/A",IF(_xlfn.XLOOKUP(T300,Airlines!A:A,Airlines!C:C)=TRUE,"Yes","No"))</f>
        <v>Yes</v>
      </c>
      <c r="AM300" s="14" t="str">
        <f t="shared" si="88"/>
        <v>No</v>
      </c>
      <c r="AN300" s="14" t="str">
        <f t="shared" si="89"/>
        <v>Yes</v>
      </c>
      <c r="AO300" s="14" t="str">
        <f t="shared" si="90"/>
        <v>Yes</v>
      </c>
      <c r="AP300" s="16" t="s">
        <v>148</v>
      </c>
      <c r="AQ300" t="str">
        <f t="shared" si="91"/>
        <v>No</v>
      </c>
      <c r="AR300" s="21">
        <v>4</v>
      </c>
      <c r="AS300" s="5">
        <v>447.6</v>
      </c>
      <c r="AT300" s="5" t="str">
        <f>IF(T300="","",_xlfn.XLOOKUP(T300,Airlines!A:A,Airlines!B:B,"Not Found"))</f>
        <v>easyJet</v>
      </c>
      <c r="AU300" s="5" t="str">
        <f>IF(U300="","",_xlfn.XLOOKUP(U300,Hotels!A:A,Hotels!B:B,"Not found"))</f>
        <v>IHG Hotels &amp; Resorts</v>
      </c>
      <c r="AV300" t="s">
        <v>147</v>
      </c>
      <c r="AW300" s="16" t="str">
        <f t="shared" si="92"/>
        <v>OK</v>
      </c>
      <c r="AX300" s="16" t="str">
        <f t="shared" si="93"/>
        <v>OK</v>
      </c>
      <c r="AY300" s="16" t="str">
        <f t="shared" si="94"/>
        <v>OK</v>
      </c>
      <c r="AZ300" s="16" t="str">
        <f t="shared" si="95"/>
        <v>OK</v>
      </c>
      <c r="BA300" s="16" t="str">
        <f t="shared" si="99"/>
        <v>OK</v>
      </c>
      <c r="BB300" s="21">
        <f>COUNTIF('Trip Changes'!B:B,A300)</f>
        <v>0</v>
      </c>
      <c r="BC300" s="16" t="str">
        <f>IF(OR(AND(AD300="Yes",COUNTIF('Trip Changes'!B:B,A300)&gt;0),AND(AD300="No",COUNTIF('Trip Changes'!B:B,A300)=0)),"OK","Check")</f>
        <v>OK</v>
      </c>
      <c r="BD300" t="str">
        <f t="shared" si="100"/>
        <v>OK</v>
      </c>
      <c r="BE300" t="str">
        <f t="shared" si="101"/>
        <v>OK</v>
      </c>
      <c r="BF300" t="str">
        <f t="shared" si="102"/>
        <v>OK</v>
      </c>
      <c r="BG300" t="str">
        <f t="shared" si="103"/>
        <v>OK</v>
      </c>
      <c r="BH300" t="str">
        <f t="shared" si="104"/>
        <v>OK</v>
      </c>
      <c r="BI300" t="str">
        <f t="shared" si="96"/>
        <v>OK</v>
      </c>
      <c r="BJ300" t="str">
        <f t="shared" si="97"/>
        <v>OK</v>
      </c>
      <c r="BK300" t="str">
        <f t="shared" si="98"/>
        <v>OK</v>
      </c>
    </row>
    <row r="301" spans="1:63">
      <c r="A301" s="16" t="s">
        <v>589</v>
      </c>
      <c r="B301" s="16" t="s">
        <v>586</v>
      </c>
      <c r="C301" s="16" t="s">
        <v>182</v>
      </c>
      <c r="D301" s="16" t="s">
        <v>138</v>
      </c>
      <c r="E301" s="16" t="s">
        <v>139</v>
      </c>
      <c r="F301" s="16" t="s">
        <v>157</v>
      </c>
      <c r="G301" s="15">
        <v>46204</v>
      </c>
      <c r="H301" s="15">
        <v>46218</v>
      </c>
      <c r="I301" s="15">
        <v>46220</v>
      </c>
      <c r="J301" s="15" t="s">
        <v>150</v>
      </c>
      <c r="K301" s="16" t="s">
        <v>182</v>
      </c>
      <c r="L301" t="s">
        <v>151</v>
      </c>
      <c r="M301" s="16" t="s">
        <v>152</v>
      </c>
      <c r="N301" s="16" t="s">
        <v>153</v>
      </c>
      <c r="O301" t="s">
        <v>1614</v>
      </c>
      <c r="P301" s="18">
        <v>2096</v>
      </c>
      <c r="Q301" s="21">
        <v>14</v>
      </c>
      <c r="R301" s="21" t="str">
        <f t="shared" si="84"/>
        <v>8-14 days</v>
      </c>
      <c r="S301" s="16" t="s">
        <v>159</v>
      </c>
      <c r="T301" s="16" t="s">
        <v>172</v>
      </c>
      <c r="U301" s="16" t="s">
        <v>164</v>
      </c>
      <c r="V301" t="str">
        <f>IF(U301="","",IFERROR(VLOOKUP(U301,Hotels!A:B,2,FALSE),"Not Found"))</f>
        <v>Marriott</v>
      </c>
      <c r="W301" s="14">
        <v>201.09</v>
      </c>
      <c r="X301" s="14">
        <v>0</v>
      </c>
      <c r="Y301" s="21">
        <v>1</v>
      </c>
      <c r="Z301" s="29">
        <f t="shared" si="85"/>
        <v>200.75</v>
      </c>
      <c r="AA301" s="14">
        <v>200.75</v>
      </c>
      <c r="AB301" s="14">
        <v>85.75</v>
      </c>
      <c r="AC301" s="14">
        <v>487.59</v>
      </c>
      <c r="AD301" s="16" t="s">
        <v>147</v>
      </c>
      <c r="AE301" s="16" t="s">
        <v>147</v>
      </c>
      <c r="AF301" s="14">
        <f>SUMIF('Trip Changes'!$B:$B,A301,'Trip Changes'!$E:$E)</f>
        <v>0</v>
      </c>
      <c r="AG301" s="23">
        <f>SUMIF('Trip Cancellations'!$B:$B,A301,'Trip Cancellations'!$E:$E)</f>
        <v>0</v>
      </c>
      <c r="AH301" s="14">
        <f>SUMIF('Trip Cancellations'!$B:$B,A301,'Trip Cancellations'!$F:$F)</f>
        <v>0</v>
      </c>
      <c r="AI301" s="14">
        <f t="shared" si="86"/>
        <v>487.59</v>
      </c>
      <c r="AJ301" s="14" t="str">
        <f t="shared" si="87"/>
        <v>No</v>
      </c>
      <c r="AK301" s="14" t="str">
        <f>IF(Y301=0,"N/A",
IF(_xlfn.XLOOKUP(U301,Hotels!A:A,Hotels!C:C)=TRUE,"Yes","No"))</f>
        <v>Yes</v>
      </c>
      <c r="AL301" s="14" t="str">
        <f>IF(N301="Rail","N/A",IF(_xlfn.XLOOKUP(T301,Airlines!A:A,Airlines!C:C)=TRUE,"Yes","No"))</f>
        <v>Yes</v>
      </c>
      <c r="AM301" s="14" t="str">
        <f t="shared" si="88"/>
        <v>Yes</v>
      </c>
      <c r="AN301" s="14" t="str">
        <f t="shared" si="89"/>
        <v>Yes</v>
      </c>
      <c r="AO301" s="14" t="str">
        <f t="shared" si="90"/>
        <v>Yes</v>
      </c>
      <c r="AP301" s="16" t="s">
        <v>147</v>
      </c>
      <c r="AQ301" t="str">
        <f t="shared" si="91"/>
        <v>No</v>
      </c>
      <c r="AR301" s="21">
        <v>4</v>
      </c>
      <c r="AS301" s="5">
        <v>314.39999999999998</v>
      </c>
      <c r="AT301" s="5" t="str">
        <f>IF(T301="","",_xlfn.XLOOKUP(T301,Airlines!A:A,Airlines!B:B,"Not Found"))</f>
        <v>Lufthansa</v>
      </c>
      <c r="AU301" s="5" t="str">
        <f>IF(U301="","",_xlfn.XLOOKUP(U301,Hotels!A:A,Hotels!B:B,"Not found"))</f>
        <v>Marriott</v>
      </c>
      <c r="AV301" t="s">
        <v>147</v>
      </c>
      <c r="AW301" s="16" t="str">
        <f t="shared" si="92"/>
        <v>OK</v>
      </c>
      <c r="AX301" s="16" t="str">
        <f t="shared" si="93"/>
        <v>OK</v>
      </c>
      <c r="AY301" s="16" t="str">
        <f t="shared" si="94"/>
        <v>OK</v>
      </c>
      <c r="AZ301" s="16" t="str">
        <f t="shared" si="95"/>
        <v>OK</v>
      </c>
      <c r="BA301" s="16" t="str">
        <f t="shared" si="99"/>
        <v>OK</v>
      </c>
      <c r="BB301" s="21">
        <f>COUNTIF('Trip Changes'!B:B,A301)</f>
        <v>0</v>
      </c>
      <c r="BC301" s="16" t="str">
        <f>IF(OR(AND(AD301="Yes",COUNTIF('Trip Changes'!B:B,A301)&gt;0),AND(AD301="No",COUNTIF('Trip Changes'!B:B,A301)=0)),"OK","Check")</f>
        <v>OK</v>
      </c>
      <c r="BD301" t="str">
        <f t="shared" si="100"/>
        <v>OK</v>
      </c>
      <c r="BE301" t="str">
        <f t="shared" si="101"/>
        <v>OK</v>
      </c>
      <c r="BF301" t="str">
        <f t="shared" si="102"/>
        <v>OK</v>
      </c>
      <c r="BG301" t="str">
        <f t="shared" si="103"/>
        <v>OK</v>
      </c>
      <c r="BH301" t="str">
        <f t="shared" si="104"/>
        <v>OK</v>
      </c>
      <c r="BI301" t="str">
        <f t="shared" si="96"/>
        <v>OK</v>
      </c>
      <c r="BJ301" t="str">
        <f t="shared" si="97"/>
        <v>OK</v>
      </c>
      <c r="BK301" t="str">
        <f t="shared" si="98"/>
        <v>OK</v>
      </c>
    </row>
    <row r="302" spans="1:63">
      <c r="A302" s="16" t="s">
        <v>590</v>
      </c>
      <c r="B302" s="16" t="s">
        <v>591</v>
      </c>
      <c r="C302" s="16" t="s">
        <v>193</v>
      </c>
      <c r="D302" s="16" t="s">
        <v>230</v>
      </c>
      <c r="E302" s="16" t="s">
        <v>249</v>
      </c>
      <c r="F302" s="16" t="s">
        <v>157</v>
      </c>
      <c r="G302" s="15">
        <v>46174</v>
      </c>
      <c r="H302" s="15">
        <v>46175</v>
      </c>
      <c r="I302" s="15">
        <v>46177</v>
      </c>
      <c r="J302" s="15" t="s">
        <v>141</v>
      </c>
      <c r="K302" s="16" t="s">
        <v>193</v>
      </c>
      <c r="L302" t="s">
        <v>203</v>
      </c>
      <c r="M302" s="16" t="s">
        <v>143</v>
      </c>
      <c r="N302" s="16" t="s">
        <v>144</v>
      </c>
      <c r="O302" t="s">
        <v>1630</v>
      </c>
      <c r="P302" s="18">
        <v>782</v>
      </c>
      <c r="Q302" s="21">
        <v>1</v>
      </c>
      <c r="R302" s="21" t="str">
        <f t="shared" si="84"/>
        <v>0-3 days</v>
      </c>
      <c r="S302" s="16" t="s">
        <v>207</v>
      </c>
      <c r="U302" s="16" t="s">
        <v>164</v>
      </c>
      <c r="V302" t="str">
        <f>IF(U302="","",IFERROR(VLOOKUP(U302,Hotels!A:B,2,FALSE),"Not Found"))</f>
        <v>Marriott</v>
      </c>
      <c r="W302" s="14">
        <v>0</v>
      </c>
      <c r="X302" s="14">
        <v>174.55</v>
      </c>
      <c r="Y302" s="21">
        <v>1</v>
      </c>
      <c r="Z302" s="29">
        <f t="shared" si="85"/>
        <v>136.99</v>
      </c>
      <c r="AA302" s="14">
        <v>136.99</v>
      </c>
      <c r="AB302" s="14">
        <v>46.12</v>
      </c>
      <c r="AC302" s="14">
        <v>357.66</v>
      </c>
      <c r="AD302" s="16" t="s">
        <v>147</v>
      </c>
      <c r="AE302" s="16" t="s">
        <v>147</v>
      </c>
      <c r="AF302" s="14">
        <f>SUMIF('Trip Changes'!$B:$B,A302,'Trip Changes'!$E:$E)</f>
        <v>0</v>
      </c>
      <c r="AG302" s="23">
        <f>SUMIF('Trip Cancellations'!$B:$B,A302,'Trip Cancellations'!$E:$E)</f>
        <v>0</v>
      </c>
      <c r="AH302" s="14">
        <f>SUMIF('Trip Cancellations'!$B:$B,A302,'Trip Cancellations'!$F:$F)</f>
        <v>0</v>
      </c>
      <c r="AI302" s="14">
        <f t="shared" si="86"/>
        <v>357.66</v>
      </c>
      <c r="AJ302" s="14" t="str">
        <f t="shared" si="87"/>
        <v>Yes</v>
      </c>
      <c r="AK302" s="14" t="str">
        <f>IF(Y302=0,"N/A",
IF(_xlfn.XLOOKUP(U302,Hotels!A:A,Hotels!C:C)=TRUE,"Yes","No"))</f>
        <v>Yes</v>
      </c>
      <c r="AL302" s="14" t="str">
        <f>IF(N302="Rail","N/A",IF(_xlfn.XLOOKUP(T302,Airlines!A:A,Airlines!C:C)=TRUE,"Yes","No"))</f>
        <v>N/A</v>
      </c>
      <c r="AM302" s="14" t="str">
        <f t="shared" si="88"/>
        <v>Yes</v>
      </c>
      <c r="AN302" s="14" t="str">
        <f t="shared" si="89"/>
        <v>No</v>
      </c>
      <c r="AO302" s="14" t="str">
        <f t="shared" si="90"/>
        <v>Yes</v>
      </c>
      <c r="AP302" s="16" t="s">
        <v>148</v>
      </c>
      <c r="AQ302" t="str">
        <f t="shared" si="91"/>
        <v>No</v>
      </c>
      <c r="AR302" s="21">
        <v>5</v>
      </c>
      <c r="AS302" s="5">
        <v>31.3</v>
      </c>
      <c r="AT302" s="5" t="str">
        <f>IF(T302="","",_xlfn.XLOOKUP(T302,Airlines!A:A,Airlines!B:B,"Not Found"))</f>
        <v/>
      </c>
      <c r="AU302" s="5" t="str">
        <f>IF(U302="","",_xlfn.XLOOKUP(U302,Hotels!A:A,Hotels!B:B,"Not found"))</f>
        <v>Marriott</v>
      </c>
      <c r="AV302" t="s">
        <v>148</v>
      </c>
      <c r="AW302" s="16" t="str">
        <f t="shared" si="92"/>
        <v>OK</v>
      </c>
      <c r="AX302" s="16" t="str">
        <f t="shared" si="93"/>
        <v>OK</v>
      </c>
      <c r="AY302" s="16" t="str">
        <f t="shared" si="94"/>
        <v>OK</v>
      </c>
      <c r="AZ302" s="16" t="str">
        <f t="shared" si="95"/>
        <v>OK</v>
      </c>
      <c r="BA302" s="16" t="str">
        <f t="shared" si="99"/>
        <v>OK</v>
      </c>
      <c r="BB302" s="21">
        <f>COUNTIF('Trip Changes'!B:B,A302)</f>
        <v>0</v>
      </c>
      <c r="BC302" s="16" t="str">
        <f>IF(OR(AND(AD302="Yes",COUNTIF('Trip Changes'!B:B,A302)&gt;0),AND(AD302="No",COUNTIF('Trip Changes'!B:B,A302)=0)),"OK","Check")</f>
        <v>OK</v>
      </c>
      <c r="BD302" t="str">
        <f t="shared" si="100"/>
        <v>OK</v>
      </c>
      <c r="BE302" t="str">
        <f t="shared" si="101"/>
        <v>OK</v>
      </c>
      <c r="BF302" t="str">
        <f t="shared" si="102"/>
        <v>OK</v>
      </c>
      <c r="BG302" t="str">
        <f t="shared" si="103"/>
        <v>OK</v>
      </c>
      <c r="BH302" t="str">
        <f t="shared" si="104"/>
        <v>OK</v>
      </c>
      <c r="BI302" t="str">
        <f t="shared" si="96"/>
        <v>OK</v>
      </c>
      <c r="BJ302" t="str">
        <f t="shared" si="97"/>
        <v>OK</v>
      </c>
      <c r="BK302" t="str">
        <f t="shared" si="98"/>
        <v>OK</v>
      </c>
    </row>
    <row r="303" spans="1:63">
      <c r="A303" s="16" t="s">
        <v>592</v>
      </c>
      <c r="B303" s="16" t="s">
        <v>591</v>
      </c>
      <c r="C303" s="16" t="s">
        <v>193</v>
      </c>
      <c r="D303" s="16" t="s">
        <v>230</v>
      </c>
      <c r="E303" s="16" t="s">
        <v>249</v>
      </c>
      <c r="F303" s="16" t="s">
        <v>157</v>
      </c>
      <c r="G303" s="15">
        <v>46133</v>
      </c>
      <c r="H303" s="15">
        <v>46160</v>
      </c>
      <c r="I303" s="15">
        <v>46164</v>
      </c>
      <c r="J303" s="15" t="s">
        <v>163</v>
      </c>
      <c r="K303" s="16" t="s">
        <v>193</v>
      </c>
      <c r="L303" t="s">
        <v>307</v>
      </c>
      <c r="M303" s="16" t="s">
        <v>143</v>
      </c>
      <c r="N303" s="16" t="s">
        <v>144</v>
      </c>
      <c r="O303" t="s">
        <v>1630</v>
      </c>
      <c r="P303" s="18">
        <v>852</v>
      </c>
      <c r="Q303" s="21">
        <v>27</v>
      </c>
      <c r="R303" s="21" t="str">
        <f t="shared" si="84"/>
        <v>15-30 days</v>
      </c>
      <c r="S303" s="16" t="s">
        <v>145</v>
      </c>
      <c r="U303" s="16" t="s">
        <v>146</v>
      </c>
      <c r="V303" t="str">
        <f>IF(U303="","",IFERROR(VLOOKUP(U303,Hotels!A:B,2,FALSE),"Not Found"))</f>
        <v>Premier Inn</v>
      </c>
      <c r="W303" s="14">
        <v>0</v>
      </c>
      <c r="X303" s="14">
        <v>279.55</v>
      </c>
      <c r="Y303" s="21">
        <v>3</v>
      </c>
      <c r="Z303" s="29">
        <f t="shared" si="85"/>
        <v>173.82000000000002</v>
      </c>
      <c r="AA303" s="14">
        <v>521.46</v>
      </c>
      <c r="AB303" s="14">
        <v>101.55</v>
      </c>
      <c r="AC303" s="14">
        <v>902.56</v>
      </c>
      <c r="AD303" s="16" t="s">
        <v>147</v>
      </c>
      <c r="AE303" s="16" t="s">
        <v>147</v>
      </c>
      <c r="AF303" s="14">
        <f>SUMIF('Trip Changes'!$B:$B,A303,'Trip Changes'!$E:$E)</f>
        <v>0</v>
      </c>
      <c r="AG303" s="23">
        <f>SUMIF('Trip Cancellations'!$B:$B,A303,'Trip Cancellations'!$E:$E)</f>
        <v>0</v>
      </c>
      <c r="AH303" s="14">
        <f>SUMIF('Trip Cancellations'!$B:$B,A303,'Trip Cancellations'!$F:$F)</f>
        <v>0</v>
      </c>
      <c r="AI303" s="14">
        <f t="shared" si="86"/>
        <v>902.56</v>
      </c>
      <c r="AJ303" s="14" t="str">
        <f t="shared" si="87"/>
        <v>Yes</v>
      </c>
      <c r="AK303" s="14" t="str">
        <f>IF(Y303=0,"N/A",
IF(_xlfn.XLOOKUP(U303,Hotels!A:A,Hotels!C:C)=TRUE,"Yes","No"))</f>
        <v>Yes</v>
      </c>
      <c r="AL303" s="14" t="str">
        <f>IF(N303="Rail","N/A",IF(_xlfn.XLOOKUP(T303,Airlines!A:A,Airlines!C:C)=TRUE,"Yes","No"))</f>
        <v>N/A</v>
      </c>
      <c r="AM303" s="14" t="str">
        <f t="shared" si="88"/>
        <v>Yes</v>
      </c>
      <c r="AN303" s="14" t="str">
        <f t="shared" si="89"/>
        <v>Yes</v>
      </c>
      <c r="AO303" s="14" t="str">
        <f t="shared" si="90"/>
        <v>Yes</v>
      </c>
      <c r="AP303" s="16" t="s">
        <v>148</v>
      </c>
      <c r="AQ303" t="str">
        <f t="shared" si="91"/>
        <v>Yes</v>
      </c>
      <c r="AR303" s="21">
        <v>5</v>
      </c>
      <c r="AS303" s="5">
        <v>34.1</v>
      </c>
      <c r="AT303" s="5" t="str">
        <f>IF(T303="","",_xlfn.XLOOKUP(T303,Airlines!A:A,Airlines!B:B,"Not Found"))</f>
        <v/>
      </c>
      <c r="AU303" s="5" t="str">
        <f>IF(U303="","",_xlfn.XLOOKUP(U303,Hotels!A:A,Hotels!B:B,"Not found"))</f>
        <v>Premier Inn</v>
      </c>
      <c r="AV303" t="s">
        <v>148</v>
      </c>
      <c r="AW303" s="16" t="str">
        <f t="shared" si="92"/>
        <v>OK</v>
      </c>
      <c r="AX303" s="16" t="str">
        <f t="shared" si="93"/>
        <v>OK</v>
      </c>
      <c r="AY303" s="16" t="str">
        <f t="shared" si="94"/>
        <v>OK</v>
      </c>
      <c r="AZ303" s="16" t="str">
        <f t="shared" si="95"/>
        <v>OK</v>
      </c>
      <c r="BA303" s="16" t="str">
        <f t="shared" si="99"/>
        <v>OK</v>
      </c>
      <c r="BB303" s="21">
        <f>COUNTIF('Trip Changes'!B:B,A303)</f>
        <v>0</v>
      </c>
      <c r="BC303" s="16" t="str">
        <f>IF(OR(AND(AD303="Yes",COUNTIF('Trip Changes'!B:B,A303)&gt;0),AND(AD303="No",COUNTIF('Trip Changes'!B:B,A303)=0)),"OK","Check")</f>
        <v>OK</v>
      </c>
      <c r="BD303" t="str">
        <f t="shared" si="100"/>
        <v>OK</v>
      </c>
      <c r="BE303" t="str">
        <f t="shared" si="101"/>
        <v>OK</v>
      </c>
      <c r="BF303" t="str">
        <f t="shared" si="102"/>
        <v>OK</v>
      </c>
      <c r="BG303" t="str">
        <f t="shared" si="103"/>
        <v>OK</v>
      </c>
      <c r="BH303" t="str">
        <f t="shared" si="104"/>
        <v>OK</v>
      </c>
      <c r="BI303" t="str">
        <f t="shared" si="96"/>
        <v>OK</v>
      </c>
      <c r="BJ303" t="str">
        <f t="shared" si="97"/>
        <v>OK</v>
      </c>
      <c r="BK303" t="str">
        <f t="shared" si="98"/>
        <v>OK</v>
      </c>
    </row>
    <row r="304" spans="1:63">
      <c r="A304" s="16" t="s">
        <v>593</v>
      </c>
      <c r="B304" s="16" t="s">
        <v>591</v>
      </c>
      <c r="C304" s="16" t="s">
        <v>193</v>
      </c>
      <c r="D304" s="16" t="s">
        <v>230</v>
      </c>
      <c r="E304" s="16" t="s">
        <v>249</v>
      </c>
      <c r="F304" s="16" t="s">
        <v>140</v>
      </c>
      <c r="G304" s="15">
        <v>46193</v>
      </c>
      <c r="H304" s="15">
        <v>46216</v>
      </c>
      <c r="I304" s="15">
        <v>46220</v>
      </c>
      <c r="J304" s="15" t="s">
        <v>150</v>
      </c>
      <c r="K304" s="16" t="s">
        <v>193</v>
      </c>
      <c r="L304" t="s">
        <v>225</v>
      </c>
      <c r="M304" s="16" t="s">
        <v>152</v>
      </c>
      <c r="N304" s="16" t="s">
        <v>153</v>
      </c>
      <c r="O304" t="s">
        <v>1614</v>
      </c>
      <c r="P304" s="18">
        <v>1482</v>
      </c>
      <c r="Q304" s="21">
        <v>23</v>
      </c>
      <c r="R304" s="21" t="str">
        <f t="shared" si="84"/>
        <v>15-30 days</v>
      </c>
      <c r="S304" s="16" t="s">
        <v>216</v>
      </c>
      <c r="T304" s="16" t="s">
        <v>236</v>
      </c>
      <c r="U304" s="16" t="s">
        <v>164</v>
      </c>
      <c r="V304" t="str">
        <f>IF(U304="","",IFERROR(VLOOKUP(U304,Hotels!A:B,2,FALSE),"Not Found"))</f>
        <v>Marriott</v>
      </c>
      <c r="W304" s="14">
        <v>536</v>
      </c>
      <c r="X304" s="14">
        <v>0</v>
      </c>
      <c r="Y304" s="21">
        <v>3</v>
      </c>
      <c r="Z304" s="29">
        <f t="shared" si="85"/>
        <v>233.05999999999997</v>
      </c>
      <c r="AA304" s="14">
        <v>699.18</v>
      </c>
      <c r="AB304" s="14">
        <v>78.88</v>
      </c>
      <c r="AC304" s="14">
        <v>1314.06</v>
      </c>
      <c r="AD304" s="16" t="s">
        <v>147</v>
      </c>
      <c r="AE304" s="16" t="s">
        <v>147</v>
      </c>
      <c r="AF304" s="14">
        <f>SUMIF('Trip Changes'!$B:$B,A304,'Trip Changes'!$E:$E)</f>
        <v>0</v>
      </c>
      <c r="AG304" s="23">
        <f>SUMIF('Trip Cancellations'!$B:$B,A304,'Trip Cancellations'!$E:$E)</f>
        <v>0</v>
      </c>
      <c r="AH304" s="14">
        <f>SUMIF('Trip Cancellations'!$B:$B,A304,'Trip Cancellations'!$F:$F)</f>
        <v>0</v>
      </c>
      <c r="AI304" s="14">
        <f t="shared" si="86"/>
        <v>1314.06</v>
      </c>
      <c r="AJ304" s="14" t="str">
        <f t="shared" si="87"/>
        <v>No</v>
      </c>
      <c r="AK304" s="14" t="str">
        <f>IF(Y304=0,"N/A",
IF(_xlfn.XLOOKUP(U304,Hotels!A:A,Hotels!C:C)=TRUE,"Yes","No"))</f>
        <v>Yes</v>
      </c>
      <c r="AL304" s="14" t="str">
        <f>IF(N304="Rail","N/A",IF(_xlfn.XLOOKUP(T304,Airlines!A:A,Airlines!C:C)=TRUE,"Yes","No"))</f>
        <v>Yes</v>
      </c>
      <c r="AM304" s="14" t="str">
        <f t="shared" si="88"/>
        <v>Yes</v>
      </c>
      <c r="AN304" s="14" t="str">
        <f t="shared" si="89"/>
        <v>No</v>
      </c>
      <c r="AO304" s="14" t="str">
        <f t="shared" si="90"/>
        <v>Yes</v>
      </c>
      <c r="AP304" s="16" t="s">
        <v>148</v>
      </c>
      <c r="AQ304" t="str">
        <f t="shared" si="91"/>
        <v>No</v>
      </c>
      <c r="AR304" s="21">
        <v>4</v>
      </c>
      <c r="AS304" s="5">
        <v>222.3</v>
      </c>
      <c r="AT304" s="5" t="str">
        <f>IF(T304="","",_xlfn.XLOOKUP(T304,Airlines!A:A,Airlines!B:B,"Not Found"))</f>
        <v>KLM</v>
      </c>
      <c r="AU304" s="5" t="str">
        <f>IF(U304="","",_xlfn.XLOOKUP(U304,Hotels!A:A,Hotels!B:B,"Not found"))</f>
        <v>Marriott</v>
      </c>
      <c r="AV304" t="s">
        <v>147</v>
      </c>
      <c r="AW304" s="16" t="str">
        <f t="shared" si="92"/>
        <v>OK</v>
      </c>
      <c r="AX304" s="16" t="str">
        <f t="shared" si="93"/>
        <v>OK</v>
      </c>
      <c r="AY304" s="16" t="str">
        <f t="shared" si="94"/>
        <v>OK</v>
      </c>
      <c r="AZ304" s="16" t="str">
        <f t="shared" si="95"/>
        <v>OK</v>
      </c>
      <c r="BA304" s="16" t="str">
        <f t="shared" si="99"/>
        <v>OK</v>
      </c>
      <c r="BB304" s="21">
        <f>COUNTIF('Trip Changes'!B:B,A304)</f>
        <v>0</v>
      </c>
      <c r="BC304" s="16" t="str">
        <f>IF(OR(AND(AD304="Yes",COUNTIF('Trip Changes'!B:B,A304)&gt;0),AND(AD304="No",COUNTIF('Trip Changes'!B:B,A304)=0)),"OK","Check")</f>
        <v>OK</v>
      </c>
      <c r="BD304" t="str">
        <f t="shared" si="100"/>
        <v>OK</v>
      </c>
      <c r="BE304" t="str">
        <f t="shared" si="101"/>
        <v>OK</v>
      </c>
      <c r="BF304" t="str">
        <f t="shared" si="102"/>
        <v>OK</v>
      </c>
      <c r="BG304" t="str">
        <f t="shared" si="103"/>
        <v>OK</v>
      </c>
      <c r="BH304" t="str">
        <f t="shared" si="104"/>
        <v>OK</v>
      </c>
      <c r="BI304" t="str">
        <f t="shared" si="96"/>
        <v>OK</v>
      </c>
      <c r="BJ304" t="str">
        <f t="shared" si="97"/>
        <v>OK</v>
      </c>
      <c r="BK304" t="str">
        <f t="shared" si="98"/>
        <v>OK</v>
      </c>
    </row>
    <row r="305" spans="1:63">
      <c r="A305" s="16" t="s">
        <v>594</v>
      </c>
      <c r="B305" s="16" t="s">
        <v>591</v>
      </c>
      <c r="C305" s="16" t="s">
        <v>193</v>
      </c>
      <c r="D305" s="16" t="s">
        <v>230</v>
      </c>
      <c r="E305" s="16" t="s">
        <v>249</v>
      </c>
      <c r="F305" s="16" t="s">
        <v>162</v>
      </c>
      <c r="G305" s="15">
        <v>46192</v>
      </c>
      <c r="H305" s="15">
        <v>46221</v>
      </c>
      <c r="I305" s="15">
        <v>46223</v>
      </c>
      <c r="J305" s="15" t="s">
        <v>150</v>
      </c>
      <c r="K305" s="16" t="s">
        <v>193</v>
      </c>
      <c r="L305" t="s">
        <v>307</v>
      </c>
      <c r="M305" s="16" t="s">
        <v>143</v>
      </c>
      <c r="N305" s="16" t="s">
        <v>153</v>
      </c>
      <c r="O305" t="s">
        <v>1631</v>
      </c>
      <c r="P305" s="18">
        <v>718</v>
      </c>
      <c r="Q305" s="21">
        <v>29</v>
      </c>
      <c r="R305" s="21" t="str">
        <f t="shared" si="84"/>
        <v>15-30 days</v>
      </c>
      <c r="S305" s="16" t="s">
        <v>145</v>
      </c>
      <c r="T305" s="16" t="s">
        <v>176</v>
      </c>
      <c r="U305" s="16" t="s">
        <v>155</v>
      </c>
      <c r="V305" t="str">
        <f>IF(U305="","",IFERROR(VLOOKUP(U305,Hotels!A:B,2,FALSE),"Not Found"))</f>
        <v>Hilton</v>
      </c>
      <c r="W305" s="14">
        <v>342.17</v>
      </c>
      <c r="X305" s="14">
        <v>0</v>
      </c>
      <c r="Y305" s="21">
        <v>1</v>
      </c>
      <c r="Z305" s="29">
        <f t="shared" si="85"/>
        <v>97.7</v>
      </c>
      <c r="AA305" s="14">
        <v>97.7</v>
      </c>
      <c r="AB305" s="14">
        <v>80.37</v>
      </c>
      <c r="AC305" s="14">
        <v>520.24</v>
      </c>
      <c r="AD305" s="16" t="s">
        <v>147</v>
      </c>
      <c r="AE305" s="16" t="s">
        <v>147</v>
      </c>
      <c r="AF305" s="14">
        <f>SUMIF('Trip Changes'!$B:$B,A305,'Trip Changes'!$E:$E)</f>
        <v>0</v>
      </c>
      <c r="AG305" s="23">
        <f>SUMIF('Trip Cancellations'!$B:$B,A305,'Trip Cancellations'!$E:$E)</f>
        <v>0</v>
      </c>
      <c r="AH305" s="14">
        <f>SUMIF('Trip Cancellations'!$B:$B,A305,'Trip Cancellations'!$F:$F)</f>
        <v>0</v>
      </c>
      <c r="AI305" s="14">
        <f t="shared" si="86"/>
        <v>520.24</v>
      </c>
      <c r="AJ305" s="14" t="str">
        <f t="shared" si="87"/>
        <v>Yes</v>
      </c>
      <c r="AK305" s="14" t="str">
        <f>IF(Y305=0,"N/A",
IF(_xlfn.XLOOKUP(U305,Hotels!A:A,Hotels!C:C)=TRUE,"Yes","No"))</f>
        <v>Yes</v>
      </c>
      <c r="AL305" s="14" t="str">
        <f>IF(N305="Rail","N/A",IF(_xlfn.XLOOKUP(T305,Airlines!A:A,Airlines!C:C)=TRUE,"Yes","No"))</f>
        <v>Yes</v>
      </c>
      <c r="AM305" s="14" t="str">
        <f t="shared" si="88"/>
        <v>No</v>
      </c>
      <c r="AN305" s="14" t="str">
        <f t="shared" si="89"/>
        <v>Yes</v>
      </c>
      <c r="AO305" s="14" t="str">
        <f t="shared" si="90"/>
        <v>Yes</v>
      </c>
      <c r="AP305" s="16" t="s">
        <v>148</v>
      </c>
      <c r="AQ305" t="str">
        <f t="shared" si="91"/>
        <v>No</v>
      </c>
      <c r="AR305" s="21">
        <v>4</v>
      </c>
      <c r="AS305" s="5">
        <v>107.7</v>
      </c>
      <c r="AT305" s="5" t="str">
        <f>IF(T305="","",_xlfn.XLOOKUP(T305,Airlines!A:A,Airlines!B:B,"Not Found"))</f>
        <v>easyJet</v>
      </c>
      <c r="AU305" s="5" t="str">
        <f>IF(U305="","",_xlfn.XLOOKUP(U305,Hotels!A:A,Hotels!B:B,"Not found"))</f>
        <v>Hilton</v>
      </c>
      <c r="AV305" t="s">
        <v>147</v>
      </c>
      <c r="AW305" s="16" t="str">
        <f t="shared" si="92"/>
        <v>OK</v>
      </c>
      <c r="AX305" s="16" t="str">
        <f t="shared" si="93"/>
        <v>OK</v>
      </c>
      <c r="AY305" s="16" t="str">
        <f t="shared" si="94"/>
        <v>OK</v>
      </c>
      <c r="AZ305" s="16" t="str">
        <f t="shared" si="95"/>
        <v>OK</v>
      </c>
      <c r="BA305" s="16" t="str">
        <f t="shared" si="99"/>
        <v>OK</v>
      </c>
      <c r="BB305" s="21">
        <f>COUNTIF('Trip Changes'!B:B,A305)</f>
        <v>0</v>
      </c>
      <c r="BC305" s="16" t="str">
        <f>IF(OR(AND(AD305="Yes",COUNTIF('Trip Changes'!B:B,A305)&gt;0),AND(AD305="No",COUNTIF('Trip Changes'!B:B,A305)=0)),"OK","Check")</f>
        <v>OK</v>
      </c>
      <c r="BD305" t="str">
        <f t="shared" si="100"/>
        <v>OK</v>
      </c>
      <c r="BE305" t="str">
        <f t="shared" si="101"/>
        <v>OK</v>
      </c>
      <c r="BF305" t="str">
        <f t="shared" si="102"/>
        <v>OK</v>
      </c>
      <c r="BG305" t="str">
        <f t="shared" si="103"/>
        <v>OK</v>
      </c>
      <c r="BH305" t="str">
        <f t="shared" si="104"/>
        <v>OK</v>
      </c>
      <c r="BI305" t="str">
        <f t="shared" si="96"/>
        <v>OK</v>
      </c>
      <c r="BJ305" t="str">
        <f t="shared" si="97"/>
        <v>OK</v>
      </c>
      <c r="BK305" t="str">
        <f t="shared" si="98"/>
        <v>OK</v>
      </c>
    </row>
    <row r="306" spans="1:63">
      <c r="A306" s="16" t="s">
        <v>595</v>
      </c>
      <c r="B306" s="16" t="s">
        <v>591</v>
      </c>
      <c r="C306" s="16" t="s">
        <v>193</v>
      </c>
      <c r="D306" s="16" t="s">
        <v>230</v>
      </c>
      <c r="E306" s="16" t="s">
        <v>249</v>
      </c>
      <c r="F306" s="16" t="s">
        <v>140</v>
      </c>
      <c r="G306" s="15">
        <v>46203</v>
      </c>
      <c r="H306" s="15">
        <v>46221</v>
      </c>
      <c r="I306" s="15">
        <v>46223</v>
      </c>
      <c r="J306" s="15" t="s">
        <v>150</v>
      </c>
      <c r="K306" s="16" t="s">
        <v>193</v>
      </c>
      <c r="L306" t="s">
        <v>264</v>
      </c>
      <c r="M306" s="16" t="s">
        <v>152</v>
      </c>
      <c r="N306" s="16" t="s">
        <v>153</v>
      </c>
      <c r="O306" t="s">
        <v>1614</v>
      </c>
      <c r="P306" s="18">
        <v>3440</v>
      </c>
      <c r="Q306" s="21">
        <v>18</v>
      </c>
      <c r="R306" s="21" t="str">
        <f t="shared" si="84"/>
        <v>15-30 days</v>
      </c>
      <c r="S306" s="16" t="s">
        <v>145</v>
      </c>
      <c r="T306" s="16" t="s">
        <v>172</v>
      </c>
      <c r="U306" s="16" t="s">
        <v>155</v>
      </c>
      <c r="V306" t="str">
        <f>IF(U306="","",IFERROR(VLOOKUP(U306,Hotels!A:B,2,FALSE),"Not Found"))</f>
        <v>Hilton</v>
      </c>
      <c r="W306" s="14">
        <v>416.32</v>
      </c>
      <c r="X306" s="14">
        <v>0</v>
      </c>
      <c r="Y306" s="21">
        <v>1</v>
      </c>
      <c r="Z306" s="29">
        <f t="shared" si="85"/>
        <v>239.14</v>
      </c>
      <c r="AA306" s="14">
        <v>239.14</v>
      </c>
      <c r="AB306" s="14">
        <v>77.63</v>
      </c>
      <c r="AC306" s="14">
        <v>733.09</v>
      </c>
      <c r="AD306" s="16" t="s">
        <v>147</v>
      </c>
      <c r="AE306" s="16" t="s">
        <v>147</v>
      </c>
      <c r="AF306" s="14">
        <f>SUMIF('Trip Changes'!$B:$B,A306,'Trip Changes'!$E:$E)</f>
        <v>0</v>
      </c>
      <c r="AG306" s="23">
        <f>SUMIF('Trip Cancellations'!$B:$B,A306,'Trip Cancellations'!$E:$E)</f>
        <v>0</v>
      </c>
      <c r="AH306" s="14">
        <f>SUMIF('Trip Cancellations'!$B:$B,A306,'Trip Cancellations'!$F:$F)</f>
        <v>0</v>
      </c>
      <c r="AI306" s="14">
        <f t="shared" si="86"/>
        <v>733.09</v>
      </c>
      <c r="AJ306" s="14" t="str">
        <f t="shared" si="87"/>
        <v>No</v>
      </c>
      <c r="AK306" s="14" t="str">
        <f>IF(Y306=0,"N/A",
IF(_xlfn.XLOOKUP(U306,Hotels!A:A,Hotels!C:C)=TRUE,"Yes","No"))</f>
        <v>Yes</v>
      </c>
      <c r="AL306" s="14" t="str">
        <f>IF(N306="Rail","N/A",IF(_xlfn.XLOOKUP(T306,Airlines!A:A,Airlines!C:C)=TRUE,"Yes","No"))</f>
        <v>Yes</v>
      </c>
      <c r="AM306" s="14" t="str">
        <f t="shared" si="88"/>
        <v>Yes</v>
      </c>
      <c r="AN306" s="14" t="str">
        <f t="shared" si="89"/>
        <v>Yes</v>
      </c>
      <c r="AO306" s="14" t="str">
        <f t="shared" si="90"/>
        <v>Yes</v>
      </c>
      <c r="AP306" s="16" t="s">
        <v>148</v>
      </c>
      <c r="AQ306" t="str">
        <f t="shared" si="91"/>
        <v>No</v>
      </c>
      <c r="AR306" s="21">
        <v>4</v>
      </c>
      <c r="AS306" s="5">
        <v>516</v>
      </c>
      <c r="AT306" s="5" t="str">
        <f>IF(T306="","",_xlfn.XLOOKUP(T306,Airlines!A:A,Airlines!B:B,"Not Found"))</f>
        <v>Lufthansa</v>
      </c>
      <c r="AU306" s="5" t="str">
        <f>IF(U306="","",_xlfn.XLOOKUP(U306,Hotels!A:A,Hotels!B:B,"Not found"))</f>
        <v>Hilton</v>
      </c>
      <c r="AV306" t="s">
        <v>147</v>
      </c>
      <c r="AW306" s="16" t="str">
        <f t="shared" si="92"/>
        <v>OK</v>
      </c>
      <c r="AX306" s="16" t="str">
        <f t="shared" si="93"/>
        <v>OK</v>
      </c>
      <c r="AY306" s="16" t="str">
        <f t="shared" si="94"/>
        <v>OK</v>
      </c>
      <c r="AZ306" s="16" t="str">
        <f t="shared" si="95"/>
        <v>OK</v>
      </c>
      <c r="BA306" s="16" t="str">
        <f t="shared" si="99"/>
        <v>OK</v>
      </c>
      <c r="BB306" s="21">
        <f>COUNTIF('Trip Changes'!B:B,A306)</f>
        <v>0</v>
      </c>
      <c r="BC306" s="16" t="str">
        <f>IF(OR(AND(AD306="Yes",COUNTIF('Trip Changes'!B:B,A306)&gt;0),AND(AD306="No",COUNTIF('Trip Changes'!B:B,A306)=0)),"OK","Check")</f>
        <v>OK</v>
      </c>
      <c r="BD306" t="str">
        <f t="shared" si="100"/>
        <v>OK</v>
      </c>
      <c r="BE306" t="str">
        <f t="shared" si="101"/>
        <v>OK</v>
      </c>
      <c r="BF306" t="str">
        <f t="shared" si="102"/>
        <v>OK</v>
      </c>
      <c r="BG306" t="str">
        <f t="shared" si="103"/>
        <v>OK</v>
      </c>
      <c r="BH306" t="str">
        <f t="shared" si="104"/>
        <v>OK</v>
      </c>
      <c r="BI306" t="str">
        <f t="shared" si="96"/>
        <v>OK</v>
      </c>
      <c r="BJ306" t="str">
        <f t="shared" si="97"/>
        <v>OK</v>
      </c>
      <c r="BK306" t="str">
        <f t="shared" si="98"/>
        <v>OK</v>
      </c>
    </row>
    <row r="307" spans="1:63">
      <c r="A307" s="16" t="s">
        <v>596</v>
      </c>
      <c r="B307" s="16" t="s">
        <v>597</v>
      </c>
      <c r="C307" s="16" t="s">
        <v>220</v>
      </c>
      <c r="D307" s="16" t="s">
        <v>168</v>
      </c>
      <c r="E307" s="16" t="s">
        <v>169</v>
      </c>
      <c r="F307" s="16" t="s">
        <v>162</v>
      </c>
      <c r="G307" s="15">
        <v>46199</v>
      </c>
      <c r="H307" s="15">
        <v>46214</v>
      </c>
      <c r="I307" s="15">
        <v>46216</v>
      </c>
      <c r="J307" s="15" t="s">
        <v>150</v>
      </c>
      <c r="K307" s="16" t="s">
        <v>220</v>
      </c>
      <c r="L307" t="s">
        <v>151</v>
      </c>
      <c r="M307" s="16" t="s">
        <v>152</v>
      </c>
      <c r="N307" s="16" t="s">
        <v>153</v>
      </c>
      <c r="O307" t="s">
        <v>1614</v>
      </c>
      <c r="P307" s="18">
        <v>2472</v>
      </c>
      <c r="Q307" s="21">
        <v>15</v>
      </c>
      <c r="R307" s="21" t="str">
        <f t="shared" si="84"/>
        <v>15-30 days</v>
      </c>
      <c r="S307" s="16" t="s">
        <v>145</v>
      </c>
      <c r="T307" s="16" t="s">
        <v>176</v>
      </c>
      <c r="U307" s="16" t="s">
        <v>155</v>
      </c>
      <c r="V307" t="str">
        <f>IF(U307="","",IFERROR(VLOOKUP(U307,Hotels!A:B,2,FALSE),"Not Found"))</f>
        <v>Hilton</v>
      </c>
      <c r="W307" s="14">
        <v>263.85000000000002</v>
      </c>
      <c r="X307" s="14">
        <v>0</v>
      </c>
      <c r="Y307" s="21">
        <v>1</v>
      </c>
      <c r="Z307" s="29">
        <f t="shared" si="85"/>
        <v>89.95</v>
      </c>
      <c r="AA307" s="14">
        <v>89.95</v>
      </c>
      <c r="AB307" s="14">
        <v>75.17</v>
      </c>
      <c r="AC307" s="14">
        <v>428.97</v>
      </c>
      <c r="AD307" s="16" t="s">
        <v>147</v>
      </c>
      <c r="AE307" s="16" t="s">
        <v>147</v>
      </c>
      <c r="AF307" s="14">
        <f>SUMIF('Trip Changes'!$B:$B,A307,'Trip Changes'!$E:$E)</f>
        <v>0</v>
      </c>
      <c r="AG307" s="23">
        <f>SUMIF('Trip Cancellations'!$B:$B,A307,'Trip Cancellations'!$E:$E)</f>
        <v>0</v>
      </c>
      <c r="AH307" s="14">
        <f>SUMIF('Trip Cancellations'!$B:$B,A307,'Trip Cancellations'!$F:$F)</f>
        <v>0</v>
      </c>
      <c r="AI307" s="14">
        <f t="shared" si="86"/>
        <v>428.97</v>
      </c>
      <c r="AJ307" s="14" t="str">
        <f t="shared" si="87"/>
        <v>Yes</v>
      </c>
      <c r="AK307" s="14" t="str">
        <f>IF(Y307=0,"N/A",
IF(_xlfn.XLOOKUP(U307,Hotels!A:A,Hotels!C:C)=TRUE,"Yes","No"))</f>
        <v>Yes</v>
      </c>
      <c r="AL307" s="14" t="str">
        <f>IF(N307="Rail","N/A",IF(_xlfn.XLOOKUP(T307,Airlines!A:A,Airlines!C:C)=TRUE,"Yes","No"))</f>
        <v>Yes</v>
      </c>
      <c r="AM307" s="14" t="str">
        <f t="shared" si="88"/>
        <v>Yes</v>
      </c>
      <c r="AN307" s="14" t="str">
        <f t="shared" si="89"/>
        <v>Yes</v>
      </c>
      <c r="AO307" s="14" t="str">
        <f t="shared" si="90"/>
        <v>Yes</v>
      </c>
      <c r="AP307" s="16" t="s">
        <v>148</v>
      </c>
      <c r="AQ307" t="str">
        <f t="shared" si="91"/>
        <v>Yes</v>
      </c>
      <c r="AR307" s="21">
        <v>4</v>
      </c>
      <c r="AS307" s="5">
        <v>370.8</v>
      </c>
      <c r="AT307" s="5" t="str">
        <f>IF(T307="","",_xlfn.XLOOKUP(T307,Airlines!A:A,Airlines!B:B,"Not Found"))</f>
        <v>easyJet</v>
      </c>
      <c r="AU307" s="5" t="str">
        <f>IF(U307="","",_xlfn.XLOOKUP(U307,Hotels!A:A,Hotels!B:B,"Not found"))</f>
        <v>Hilton</v>
      </c>
      <c r="AV307" t="s">
        <v>147</v>
      </c>
      <c r="AW307" s="16" t="str">
        <f t="shared" si="92"/>
        <v>OK</v>
      </c>
      <c r="AX307" s="16" t="str">
        <f t="shared" si="93"/>
        <v>OK</v>
      </c>
      <c r="AY307" s="16" t="str">
        <f t="shared" si="94"/>
        <v>OK</v>
      </c>
      <c r="AZ307" s="16" t="str">
        <f t="shared" si="95"/>
        <v>OK</v>
      </c>
      <c r="BA307" s="16" t="str">
        <f t="shared" si="99"/>
        <v>OK</v>
      </c>
      <c r="BB307" s="21">
        <f>COUNTIF('Trip Changes'!B:B,A307)</f>
        <v>0</v>
      </c>
      <c r="BC307" s="16" t="str">
        <f>IF(OR(AND(AD307="Yes",COUNTIF('Trip Changes'!B:B,A307)&gt;0),AND(AD307="No",COUNTIF('Trip Changes'!B:B,A307)=0)),"OK","Check")</f>
        <v>OK</v>
      </c>
      <c r="BD307" t="str">
        <f t="shared" si="100"/>
        <v>OK</v>
      </c>
      <c r="BE307" t="str">
        <f t="shared" si="101"/>
        <v>OK</v>
      </c>
      <c r="BF307" t="str">
        <f t="shared" si="102"/>
        <v>OK</v>
      </c>
      <c r="BG307" t="str">
        <f t="shared" si="103"/>
        <v>OK</v>
      </c>
      <c r="BH307" t="str">
        <f t="shared" si="104"/>
        <v>OK</v>
      </c>
      <c r="BI307" t="str">
        <f t="shared" si="96"/>
        <v>OK</v>
      </c>
      <c r="BJ307" t="str">
        <f t="shared" si="97"/>
        <v>OK</v>
      </c>
      <c r="BK307" t="str">
        <f t="shared" si="98"/>
        <v>OK</v>
      </c>
    </row>
    <row r="308" spans="1:63">
      <c r="A308" s="16" t="s">
        <v>598</v>
      </c>
      <c r="B308" s="16" t="s">
        <v>597</v>
      </c>
      <c r="C308" s="16" t="s">
        <v>220</v>
      </c>
      <c r="D308" s="16" t="s">
        <v>168</v>
      </c>
      <c r="E308" s="16" t="s">
        <v>169</v>
      </c>
      <c r="F308" s="16" t="s">
        <v>157</v>
      </c>
      <c r="G308" s="15">
        <v>46129</v>
      </c>
      <c r="H308" s="15">
        <v>46156</v>
      </c>
      <c r="I308" s="15">
        <v>46157</v>
      </c>
      <c r="J308" s="15" t="s">
        <v>163</v>
      </c>
      <c r="K308" s="16" t="s">
        <v>220</v>
      </c>
      <c r="L308" t="s">
        <v>182</v>
      </c>
      <c r="M308" s="16" t="s">
        <v>143</v>
      </c>
      <c r="N308" s="16" t="s">
        <v>144</v>
      </c>
      <c r="O308" t="s">
        <v>1630</v>
      </c>
      <c r="P308" s="18">
        <v>864</v>
      </c>
      <c r="Q308" s="21">
        <v>27</v>
      </c>
      <c r="R308" s="21" t="str">
        <f t="shared" si="84"/>
        <v>15-30 days</v>
      </c>
      <c r="S308" s="16" t="s">
        <v>207</v>
      </c>
      <c r="V308" t="str">
        <f>IF(U308="","",IFERROR(VLOOKUP(U308,Hotels!A:B,2,FALSE),"Not Found"))</f>
        <v/>
      </c>
      <c r="W308" s="14">
        <v>0</v>
      </c>
      <c r="X308" s="14">
        <v>257.31</v>
      </c>
      <c r="Y308" s="21">
        <v>0</v>
      </c>
      <c r="Z308" s="29">
        <f t="shared" si="85"/>
        <v>0</v>
      </c>
      <c r="AA308" s="14">
        <v>0</v>
      </c>
      <c r="AB308" s="14">
        <v>76.739999999999995</v>
      </c>
      <c r="AC308" s="14">
        <v>334.05</v>
      </c>
      <c r="AD308" s="16" t="s">
        <v>147</v>
      </c>
      <c r="AE308" s="16" t="s">
        <v>147</v>
      </c>
      <c r="AF308" s="14">
        <f>SUMIF('Trip Changes'!$B:$B,A308,'Trip Changes'!$E:$E)</f>
        <v>0</v>
      </c>
      <c r="AG308" s="23">
        <f>SUMIF('Trip Cancellations'!$B:$B,A308,'Trip Cancellations'!$E:$E)</f>
        <v>0</v>
      </c>
      <c r="AH308" s="14">
        <f>SUMIF('Trip Cancellations'!$B:$B,A308,'Trip Cancellations'!$F:$F)</f>
        <v>0</v>
      </c>
      <c r="AI308" s="14">
        <f t="shared" si="86"/>
        <v>334.05</v>
      </c>
      <c r="AJ308" s="14" t="str">
        <f t="shared" si="87"/>
        <v>N/A</v>
      </c>
      <c r="AK308" s="14" t="str">
        <f>IF(Y308=0,"N/A",
IF(_xlfn.XLOOKUP(U308,Hotels!A:A,Hotels!C:C)=TRUE,"Yes","No"))</f>
        <v>N/A</v>
      </c>
      <c r="AL308" s="14" t="str">
        <f>IF(N308="Rail","N/A",IF(_xlfn.XLOOKUP(T308,Airlines!A:A,Airlines!C:C)=TRUE,"Yes","No"))</f>
        <v>N/A</v>
      </c>
      <c r="AM308" s="14" t="str">
        <f t="shared" si="88"/>
        <v>Yes</v>
      </c>
      <c r="AN308" s="14" t="str">
        <f t="shared" si="89"/>
        <v>No</v>
      </c>
      <c r="AO308" s="14" t="str">
        <f t="shared" si="90"/>
        <v>Yes</v>
      </c>
      <c r="AP308" s="16" t="s">
        <v>148</v>
      </c>
      <c r="AQ308" t="str">
        <f t="shared" si="91"/>
        <v>No</v>
      </c>
      <c r="AR308" s="21">
        <v>4</v>
      </c>
      <c r="AS308" s="5">
        <v>34.6</v>
      </c>
      <c r="AT308" s="5" t="str">
        <f>IF(T308="","",_xlfn.XLOOKUP(T308,Airlines!A:A,Airlines!B:B,"Not Found"))</f>
        <v/>
      </c>
      <c r="AU308" s="5" t="str">
        <f>IF(U308="","",_xlfn.XLOOKUP(U308,Hotels!A:A,Hotels!B:B,"Not found"))</f>
        <v/>
      </c>
      <c r="AV308" t="s">
        <v>148</v>
      </c>
      <c r="AW308" s="16" t="str">
        <f t="shared" si="92"/>
        <v>OK</v>
      </c>
      <c r="AX308" s="16" t="str">
        <f t="shared" si="93"/>
        <v>OK</v>
      </c>
      <c r="AY308" s="16" t="str">
        <f t="shared" si="94"/>
        <v>OK</v>
      </c>
      <c r="AZ308" s="16" t="str">
        <f t="shared" si="95"/>
        <v>OK</v>
      </c>
      <c r="BA308" s="16" t="str">
        <f t="shared" si="99"/>
        <v>OK</v>
      </c>
      <c r="BB308" s="21">
        <f>COUNTIF('Trip Changes'!B:B,A308)</f>
        <v>0</v>
      </c>
      <c r="BC308" s="16" t="str">
        <f>IF(OR(AND(AD308="Yes",COUNTIF('Trip Changes'!B:B,A308)&gt;0),AND(AD308="No",COUNTIF('Trip Changes'!B:B,A308)=0)),"OK","Check")</f>
        <v>OK</v>
      </c>
      <c r="BD308" t="str">
        <f t="shared" si="100"/>
        <v>OK</v>
      </c>
      <c r="BE308" t="str">
        <f t="shared" si="101"/>
        <v>OK</v>
      </c>
      <c r="BF308" t="str">
        <f t="shared" si="102"/>
        <v>OK</v>
      </c>
      <c r="BG308" t="str">
        <f t="shared" si="103"/>
        <v>OK</v>
      </c>
      <c r="BH308" t="str">
        <f t="shared" si="104"/>
        <v>OK</v>
      </c>
      <c r="BI308" t="str">
        <f t="shared" si="96"/>
        <v>OK</v>
      </c>
      <c r="BJ308" t="str">
        <f t="shared" si="97"/>
        <v>OK</v>
      </c>
      <c r="BK308" t="str">
        <f t="shared" si="98"/>
        <v>OK</v>
      </c>
    </row>
    <row r="309" spans="1:63">
      <c r="A309" s="16" t="s">
        <v>599</v>
      </c>
      <c r="B309" s="16" t="s">
        <v>600</v>
      </c>
      <c r="C309" s="16" t="s">
        <v>601</v>
      </c>
      <c r="D309" s="16" t="s">
        <v>138</v>
      </c>
      <c r="E309" s="16" t="s">
        <v>139</v>
      </c>
      <c r="F309" s="16" t="s">
        <v>157</v>
      </c>
      <c r="G309" s="15">
        <v>46148</v>
      </c>
      <c r="H309" s="15">
        <v>46160</v>
      </c>
      <c r="I309" s="15">
        <v>46163</v>
      </c>
      <c r="J309" s="15" t="s">
        <v>163</v>
      </c>
      <c r="K309" s="16" t="s">
        <v>601</v>
      </c>
      <c r="L309" t="s">
        <v>199</v>
      </c>
      <c r="M309" s="16" t="s">
        <v>152</v>
      </c>
      <c r="N309" s="16" t="s">
        <v>153</v>
      </c>
      <c r="O309" t="s">
        <v>1614</v>
      </c>
      <c r="P309" s="18">
        <v>1352</v>
      </c>
      <c r="Q309" s="21">
        <v>12</v>
      </c>
      <c r="R309" s="21" t="str">
        <f t="shared" si="84"/>
        <v>8-14 days</v>
      </c>
      <c r="S309" s="16" t="s">
        <v>216</v>
      </c>
      <c r="T309" s="16" t="s">
        <v>154</v>
      </c>
      <c r="U309" s="16" t="s">
        <v>190</v>
      </c>
      <c r="V309" t="str">
        <f>IF(U309="","",IFERROR(VLOOKUP(U309,Hotels!A:B,2,FALSE),"Not Found"))</f>
        <v>Radisson Hotel Group</v>
      </c>
      <c r="W309" s="14">
        <v>534.57000000000005</v>
      </c>
      <c r="X309" s="14">
        <v>0</v>
      </c>
      <c r="Y309" s="21">
        <v>2</v>
      </c>
      <c r="Z309" s="29">
        <f t="shared" si="85"/>
        <v>171.06</v>
      </c>
      <c r="AA309" s="14">
        <v>342.12</v>
      </c>
      <c r="AB309" s="14">
        <v>73.05</v>
      </c>
      <c r="AC309" s="14">
        <v>949.74</v>
      </c>
      <c r="AD309" s="16" t="s">
        <v>147</v>
      </c>
      <c r="AE309" s="16" t="s">
        <v>147</v>
      </c>
      <c r="AF309" s="14">
        <f>SUMIF('Trip Changes'!$B:$B,A309,'Trip Changes'!$E:$E)</f>
        <v>0</v>
      </c>
      <c r="AG309" s="23">
        <f>SUMIF('Trip Cancellations'!$B:$B,A309,'Trip Cancellations'!$E:$E)</f>
        <v>0</v>
      </c>
      <c r="AH309" s="14">
        <f>SUMIF('Trip Cancellations'!$B:$B,A309,'Trip Cancellations'!$F:$F)</f>
        <v>0</v>
      </c>
      <c r="AI309" s="14">
        <f t="shared" si="86"/>
        <v>949.74</v>
      </c>
      <c r="AJ309" s="14" t="str">
        <f t="shared" si="87"/>
        <v>Yes</v>
      </c>
      <c r="AK309" s="14" t="str">
        <f>IF(Y309=0,"N/A",
IF(_xlfn.XLOOKUP(U309,Hotels!A:A,Hotels!C:C)=TRUE,"Yes","No"))</f>
        <v>No</v>
      </c>
      <c r="AL309" s="14" t="str">
        <f>IF(N309="Rail","N/A",IF(_xlfn.XLOOKUP(T309,Airlines!A:A,Airlines!C:C)=TRUE,"Yes","No"))</f>
        <v>Yes</v>
      </c>
      <c r="AM309" s="14" t="str">
        <f t="shared" si="88"/>
        <v>Yes</v>
      </c>
      <c r="AN309" s="14" t="str">
        <f t="shared" si="89"/>
        <v>No</v>
      </c>
      <c r="AO309" s="14" t="str">
        <f t="shared" si="90"/>
        <v>No</v>
      </c>
      <c r="AP309" s="16" t="s">
        <v>148</v>
      </c>
      <c r="AQ309" t="str">
        <f t="shared" si="91"/>
        <v>No</v>
      </c>
      <c r="AR309" s="21">
        <v>4</v>
      </c>
      <c r="AS309" s="5">
        <v>202.8</v>
      </c>
      <c r="AT309" s="5" t="str">
        <f>IF(T309="","",_xlfn.XLOOKUP(T309,Airlines!A:A,Airlines!B:B,"Not Found"))</f>
        <v>British Airways</v>
      </c>
      <c r="AU309" s="5" t="str">
        <f>IF(U309="","",_xlfn.XLOOKUP(U309,Hotels!A:A,Hotels!B:B,"Not found"))</f>
        <v>Radisson Hotel Group</v>
      </c>
      <c r="AV309" t="s">
        <v>148</v>
      </c>
      <c r="AW309" s="16" t="str">
        <f t="shared" si="92"/>
        <v>OK</v>
      </c>
      <c r="AX309" s="16" t="str">
        <f t="shared" si="93"/>
        <v>OK</v>
      </c>
      <c r="AY309" s="16" t="str">
        <f t="shared" si="94"/>
        <v>OK</v>
      </c>
      <c r="AZ309" s="16" t="str">
        <f t="shared" si="95"/>
        <v>OK</v>
      </c>
      <c r="BA309" s="16" t="str">
        <f t="shared" si="99"/>
        <v>OK</v>
      </c>
      <c r="BB309" s="21">
        <f>COUNTIF('Trip Changes'!B:B,A309)</f>
        <v>0</v>
      </c>
      <c r="BC309" s="16" t="str">
        <f>IF(OR(AND(AD309="Yes",COUNTIF('Trip Changes'!B:B,A309)&gt;0),AND(AD309="No",COUNTIF('Trip Changes'!B:B,A309)=0)),"OK","Check")</f>
        <v>OK</v>
      </c>
      <c r="BD309" t="str">
        <f t="shared" si="100"/>
        <v>OK</v>
      </c>
      <c r="BE309" t="str">
        <f t="shared" si="101"/>
        <v>OK</v>
      </c>
      <c r="BF309" t="str">
        <f t="shared" si="102"/>
        <v>OK</v>
      </c>
      <c r="BG309" t="str">
        <f t="shared" si="103"/>
        <v>OK</v>
      </c>
      <c r="BH309" t="str">
        <f t="shared" si="104"/>
        <v>OK</v>
      </c>
      <c r="BI309" t="str">
        <f t="shared" si="96"/>
        <v>OK</v>
      </c>
      <c r="BJ309" t="str">
        <f t="shared" si="97"/>
        <v>OK</v>
      </c>
      <c r="BK309" t="str">
        <f t="shared" si="98"/>
        <v>OK</v>
      </c>
    </row>
    <row r="310" spans="1:63">
      <c r="A310" s="16" t="s">
        <v>602</v>
      </c>
      <c r="B310" s="16" t="s">
        <v>600</v>
      </c>
      <c r="C310" s="16" t="s">
        <v>601</v>
      </c>
      <c r="D310" s="16" t="s">
        <v>138</v>
      </c>
      <c r="E310" s="16" t="s">
        <v>139</v>
      </c>
      <c r="F310" s="16" t="s">
        <v>170</v>
      </c>
      <c r="G310" s="15">
        <v>46142</v>
      </c>
      <c r="H310" s="15">
        <v>46143</v>
      </c>
      <c r="I310" s="15">
        <v>46148</v>
      </c>
      <c r="J310" s="15" t="s">
        <v>163</v>
      </c>
      <c r="K310" s="16" t="s">
        <v>601</v>
      </c>
      <c r="L310" t="s">
        <v>185</v>
      </c>
      <c r="M310" s="16" t="s">
        <v>152</v>
      </c>
      <c r="N310" s="16" t="s">
        <v>153</v>
      </c>
      <c r="O310" t="s">
        <v>1614</v>
      </c>
      <c r="P310" s="18">
        <v>12248</v>
      </c>
      <c r="Q310" s="21">
        <v>1</v>
      </c>
      <c r="R310" s="21" t="str">
        <f t="shared" si="84"/>
        <v>0-3 days</v>
      </c>
      <c r="S310" s="16" t="s">
        <v>145</v>
      </c>
      <c r="T310" s="16" t="s">
        <v>154</v>
      </c>
      <c r="U310" s="16" t="s">
        <v>173</v>
      </c>
      <c r="V310" t="str">
        <f>IF(U310="","",IFERROR(VLOOKUP(U310,Hotels!A:B,2,FALSE),"Not Found"))</f>
        <v>Accor</v>
      </c>
      <c r="W310" s="14">
        <v>1295.29</v>
      </c>
      <c r="X310" s="14">
        <v>0</v>
      </c>
      <c r="Y310" s="21">
        <v>4</v>
      </c>
      <c r="Z310" s="29">
        <f t="shared" si="85"/>
        <v>140.82249999999999</v>
      </c>
      <c r="AA310" s="14">
        <v>563.29</v>
      </c>
      <c r="AB310" s="14">
        <v>128.97999999999999</v>
      </c>
      <c r="AC310" s="14">
        <v>1987.56</v>
      </c>
      <c r="AD310" s="16" t="s">
        <v>147</v>
      </c>
      <c r="AE310" s="16" t="s">
        <v>147</v>
      </c>
      <c r="AF310" s="14">
        <f>SUMIF('Trip Changes'!$B:$B,A310,'Trip Changes'!$E:$E)</f>
        <v>0</v>
      </c>
      <c r="AG310" s="23">
        <f>SUMIF('Trip Cancellations'!$B:$B,A310,'Trip Cancellations'!$E:$E)</f>
        <v>0</v>
      </c>
      <c r="AH310" s="14">
        <f>SUMIF('Trip Cancellations'!$B:$B,A310,'Trip Cancellations'!$F:$F)</f>
        <v>0</v>
      </c>
      <c r="AI310" s="14">
        <f t="shared" si="86"/>
        <v>1987.56</v>
      </c>
      <c r="AJ310" s="14" t="str">
        <f t="shared" si="87"/>
        <v>Yes</v>
      </c>
      <c r="AK310" s="14" t="str">
        <f>IF(Y310=0,"N/A",
IF(_xlfn.XLOOKUP(U310,Hotels!A:A,Hotels!C:C)=TRUE,"Yes","No"))</f>
        <v>Yes</v>
      </c>
      <c r="AL310" s="14" t="str">
        <f>IF(N310="Rail","N/A",IF(_xlfn.XLOOKUP(T310,Airlines!A:A,Airlines!C:C)=TRUE,"Yes","No"))</f>
        <v>Yes</v>
      </c>
      <c r="AM310" s="14" t="str">
        <f t="shared" si="88"/>
        <v>Yes</v>
      </c>
      <c r="AN310" s="14" t="str">
        <f t="shared" si="89"/>
        <v>Yes</v>
      </c>
      <c r="AO310" s="14" t="str">
        <f t="shared" si="90"/>
        <v>Yes</v>
      </c>
      <c r="AP310" s="16" t="s">
        <v>148</v>
      </c>
      <c r="AQ310" t="str">
        <f t="shared" si="91"/>
        <v>Yes</v>
      </c>
      <c r="AR310" s="21">
        <v>5</v>
      </c>
      <c r="AS310" s="5">
        <v>1837.2</v>
      </c>
      <c r="AT310" s="5" t="str">
        <f>IF(T310="","",_xlfn.XLOOKUP(T310,Airlines!A:A,Airlines!B:B,"Not Found"))</f>
        <v>British Airways</v>
      </c>
      <c r="AU310" s="5" t="str">
        <f>IF(U310="","",_xlfn.XLOOKUP(U310,Hotels!A:A,Hotels!B:B,"Not found"))</f>
        <v>Accor</v>
      </c>
      <c r="AV310" t="s">
        <v>147</v>
      </c>
      <c r="AW310" s="16" t="str">
        <f t="shared" si="92"/>
        <v>OK</v>
      </c>
      <c r="AX310" s="16" t="str">
        <f t="shared" si="93"/>
        <v>OK</v>
      </c>
      <c r="AY310" s="16" t="str">
        <f t="shared" si="94"/>
        <v>OK</v>
      </c>
      <c r="AZ310" s="16" t="str">
        <f t="shared" si="95"/>
        <v>OK</v>
      </c>
      <c r="BA310" s="16" t="str">
        <f t="shared" si="99"/>
        <v>OK</v>
      </c>
      <c r="BB310" s="21">
        <f>COUNTIF('Trip Changes'!B:B,A310)</f>
        <v>0</v>
      </c>
      <c r="BC310" s="16" t="str">
        <f>IF(OR(AND(AD310="Yes",COUNTIF('Trip Changes'!B:B,A310)&gt;0),AND(AD310="No",COUNTIF('Trip Changes'!B:B,A310)=0)),"OK","Check")</f>
        <v>OK</v>
      </c>
      <c r="BD310" t="str">
        <f t="shared" si="100"/>
        <v>OK</v>
      </c>
      <c r="BE310" t="str">
        <f t="shared" si="101"/>
        <v>OK</v>
      </c>
      <c r="BF310" t="str">
        <f t="shared" si="102"/>
        <v>OK</v>
      </c>
      <c r="BG310" t="str">
        <f t="shared" si="103"/>
        <v>OK</v>
      </c>
      <c r="BH310" t="str">
        <f t="shared" si="104"/>
        <v>OK</v>
      </c>
      <c r="BI310" t="str">
        <f t="shared" si="96"/>
        <v>OK</v>
      </c>
      <c r="BJ310" t="str">
        <f t="shared" si="97"/>
        <v>OK</v>
      </c>
      <c r="BK310" t="str">
        <f t="shared" si="98"/>
        <v>OK</v>
      </c>
    </row>
    <row r="311" spans="1:63">
      <c r="A311" s="16" t="s">
        <v>603</v>
      </c>
      <c r="B311" s="16" t="s">
        <v>600</v>
      </c>
      <c r="C311" s="16" t="s">
        <v>601</v>
      </c>
      <c r="D311" s="16" t="s">
        <v>138</v>
      </c>
      <c r="E311" s="16" t="s">
        <v>139</v>
      </c>
      <c r="F311" s="16" t="s">
        <v>162</v>
      </c>
      <c r="G311" s="15">
        <v>46216</v>
      </c>
      <c r="H311" s="15">
        <v>46217</v>
      </c>
      <c r="I311" s="15">
        <v>46224</v>
      </c>
      <c r="J311" s="15" t="s">
        <v>150</v>
      </c>
      <c r="K311" s="16" t="s">
        <v>601</v>
      </c>
      <c r="L311" t="s">
        <v>179</v>
      </c>
      <c r="M311" s="16" t="s">
        <v>152</v>
      </c>
      <c r="N311" s="16" t="s">
        <v>153</v>
      </c>
      <c r="O311" t="s">
        <v>1614</v>
      </c>
      <c r="P311" s="18">
        <v>16742</v>
      </c>
      <c r="Q311" s="21">
        <v>1</v>
      </c>
      <c r="R311" s="21" t="str">
        <f t="shared" si="84"/>
        <v>0-3 days</v>
      </c>
      <c r="S311" s="16" t="s">
        <v>159</v>
      </c>
      <c r="T311" s="16" t="s">
        <v>441</v>
      </c>
      <c r="U311" s="16" t="s">
        <v>164</v>
      </c>
      <c r="V311" t="str">
        <f>IF(U311="","",IFERROR(VLOOKUP(U311,Hotels!A:B,2,FALSE),"Not Found"))</f>
        <v>Marriott</v>
      </c>
      <c r="W311" s="14">
        <v>2200.64</v>
      </c>
      <c r="X311" s="14">
        <v>0</v>
      </c>
      <c r="Y311" s="21">
        <v>6</v>
      </c>
      <c r="Z311" s="29">
        <f t="shared" si="85"/>
        <v>182.17999999999998</v>
      </c>
      <c r="AA311" s="14">
        <v>1093.08</v>
      </c>
      <c r="AB311" s="14">
        <v>137.15</v>
      </c>
      <c r="AC311" s="14">
        <v>3430.87</v>
      </c>
      <c r="AD311" s="16" t="s">
        <v>148</v>
      </c>
      <c r="AE311" s="16" t="s">
        <v>147</v>
      </c>
      <c r="AF311" s="14">
        <f>SUMIF('Trip Changes'!$B:$B,A311,'Trip Changes'!$E:$E)</f>
        <v>40.32</v>
      </c>
      <c r="AG311" s="23">
        <f>SUMIF('Trip Cancellations'!$B:$B,A311,'Trip Cancellations'!$E:$E)</f>
        <v>0</v>
      </c>
      <c r="AH311" s="14">
        <f>SUMIF('Trip Cancellations'!$B:$B,A311,'Trip Cancellations'!$F:$F)</f>
        <v>0</v>
      </c>
      <c r="AI311" s="14">
        <f t="shared" si="86"/>
        <v>3471.19</v>
      </c>
      <c r="AJ311" s="14" t="str">
        <f t="shared" si="87"/>
        <v>Yes</v>
      </c>
      <c r="AK311" s="14" t="str">
        <f>IF(Y311=0,"N/A",
IF(_xlfn.XLOOKUP(U311,Hotels!A:A,Hotels!C:C)=TRUE,"Yes","No"))</f>
        <v>Yes</v>
      </c>
      <c r="AL311" s="14" t="str">
        <f>IF(N311="Rail","N/A",IF(_xlfn.XLOOKUP(T311,Airlines!A:A,Airlines!C:C)=TRUE,"Yes","No"))</f>
        <v>Yes</v>
      </c>
      <c r="AM311" s="14" t="str">
        <f t="shared" si="88"/>
        <v>Yes</v>
      </c>
      <c r="AN311" s="14" t="str">
        <f t="shared" si="89"/>
        <v>Yes</v>
      </c>
      <c r="AO311" s="14" t="str">
        <f t="shared" si="90"/>
        <v>Yes</v>
      </c>
      <c r="AP311" s="16" t="s">
        <v>148</v>
      </c>
      <c r="AQ311" t="str">
        <f t="shared" si="91"/>
        <v>Yes</v>
      </c>
      <c r="AR311" s="21">
        <v>4</v>
      </c>
      <c r="AS311" s="5">
        <v>2511.3000000000002</v>
      </c>
      <c r="AT311" s="5" t="str">
        <f>IF(T311="","",_xlfn.XLOOKUP(T311,Airlines!A:A,Airlines!B:B,"Not Found"))</f>
        <v>Emirates</v>
      </c>
      <c r="AU311" s="5" t="str">
        <f>IF(U311="","",_xlfn.XLOOKUP(U311,Hotels!A:A,Hotels!B:B,"Not found"))</f>
        <v>Marriott</v>
      </c>
      <c r="AV311" t="s">
        <v>147</v>
      </c>
      <c r="AW311" s="16" t="str">
        <f t="shared" si="92"/>
        <v>OK</v>
      </c>
      <c r="AX311" s="16" t="str">
        <f t="shared" si="93"/>
        <v>OK</v>
      </c>
      <c r="AY311" s="16" t="str">
        <f t="shared" si="94"/>
        <v>OK</v>
      </c>
      <c r="AZ311" s="16" t="str">
        <f t="shared" si="95"/>
        <v>OK</v>
      </c>
      <c r="BA311" s="16" t="str">
        <f t="shared" si="99"/>
        <v>OK</v>
      </c>
      <c r="BB311" s="21">
        <f>COUNTIF('Trip Changes'!B:B,A311)</f>
        <v>1</v>
      </c>
      <c r="BC311" s="16" t="str">
        <f>IF(OR(AND(AD311="Yes",COUNTIF('Trip Changes'!B:B,A311)&gt;0),AND(AD311="No",COUNTIF('Trip Changes'!B:B,A311)=0)),"OK","Check")</f>
        <v>OK</v>
      </c>
      <c r="BD311" t="str">
        <f t="shared" si="100"/>
        <v>OK</v>
      </c>
      <c r="BE311" t="str">
        <f t="shared" si="101"/>
        <v>OK</v>
      </c>
      <c r="BF311" t="str">
        <f t="shared" si="102"/>
        <v>OK</v>
      </c>
      <c r="BG311" t="str">
        <f t="shared" si="103"/>
        <v>OK</v>
      </c>
      <c r="BH311" t="str">
        <f t="shared" si="104"/>
        <v>OK</v>
      </c>
      <c r="BI311" t="str">
        <f t="shared" si="96"/>
        <v>OK</v>
      </c>
      <c r="BJ311" t="str">
        <f t="shared" si="97"/>
        <v>OK</v>
      </c>
      <c r="BK311" t="str">
        <f t="shared" si="98"/>
        <v>OK</v>
      </c>
    </row>
    <row r="312" spans="1:63">
      <c r="A312" s="16" t="s">
        <v>604</v>
      </c>
      <c r="B312" s="16" t="s">
        <v>605</v>
      </c>
      <c r="C312" s="16" t="s">
        <v>142</v>
      </c>
      <c r="D312" s="16" t="s">
        <v>230</v>
      </c>
      <c r="E312" s="16" t="s">
        <v>249</v>
      </c>
      <c r="F312" s="16" t="s">
        <v>157</v>
      </c>
      <c r="G312" s="15">
        <v>46213</v>
      </c>
      <c r="H312" s="15">
        <v>46225</v>
      </c>
      <c r="I312" s="15">
        <v>46228</v>
      </c>
      <c r="J312" s="15" t="s">
        <v>150</v>
      </c>
      <c r="K312" s="16" t="s">
        <v>142</v>
      </c>
      <c r="L312" t="s">
        <v>171</v>
      </c>
      <c r="M312" s="16" t="s">
        <v>152</v>
      </c>
      <c r="N312" s="16" t="s">
        <v>153</v>
      </c>
      <c r="O312" t="s">
        <v>1614</v>
      </c>
      <c r="P312" s="18">
        <v>3462</v>
      </c>
      <c r="Q312" s="21">
        <v>12</v>
      </c>
      <c r="R312" s="21" t="str">
        <f t="shared" si="84"/>
        <v>8-14 days</v>
      </c>
      <c r="S312" s="16" t="s">
        <v>159</v>
      </c>
      <c r="T312" s="16" t="s">
        <v>154</v>
      </c>
      <c r="U312" s="16" t="s">
        <v>190</v>
      </c>
      <c r="V312" t="str">
        <f>IF(U312="","",IFERROR(VLOOKUP(U312,Hotels!A:B,2,FALSE),"Not Found"))</f>
        <v>Radisson Hotel Group</v>
      </c>
      <c r="W312" s="14">
        <v>556.87</v>
      </c>
      <c r="X312" s="14">
        <v>0</v>
      </c>
      <c r="Y312" s="21">
        <v>2</v>
      </c>
      <c r="Z312" s="29">
        <f t="shared" si="85"/>
        <v>265.79500000000002</v>
      </c>
      <c r="AA312" s="14">
        <v>531.59</v>
      </c>
      <c r="AB312" s="14">
        <v>72.7</v>
      </c>
      <c r="AC312" s="14">
        <v>1161.1600000000001</v>
      </c>
      <c r="AD312" s="16" t="s">
        <v>147</v>
      </c>
      <c r="AE312" s="16" t="s">
        <v>147</v>
      </c>
      <c r="AF312" s="14">
        <f>SUMIF('Trip Changes'!$B:$B,A312,'Trip Changes'!$E:$E)</f>
        <v>0</v>
      </c>
      <c r="AG312" s="23">
        <f>SUMIF('Trip Cancellations'!$B:$B,A312,'Trip Cancellations'!$E:$E)</f>
        <v>0</v>
      </c>
      <c r="AH312" s="14">
        <f>SUMIF('Trip Cancellations'!$B:$B,A312,'Trip Cancellations'!$F:$F)</f>
        <v>0</v>
      </c>
      <c r="AI312" s="14">
        <f t="shared" si="86"/>
        <v>1161.1600000000001</v>
      </c>
      <c r="AJ312" s="14" t="str">
        <f t="shared" si="87"/>
        <v>No</v>
      </c>
      <c r="AK312" s="14" t="str">
        <f>IF(Y312=0,"N/A",
IF(_xlfn.XLOOKUP(U312,Hotels!A:A,Hotels!C:C)=TRUE,"Yes","No"))</f>
        <v>No</v>
      </c>
      <c r="AL312" s="14" t="str">
        <f>IF(N312="Rail","N/A",IF(_xlfn.XLOOKUP(T312,Airlines!A:A,Airlines!C:C)=TRUE,"Yes","No"))</f>
        <v>Yes</v>
      </c>
      <c r="AM312" s="14" t="str">
        <f t="shared" si="88"/>
        <v>Yes</v>
      </c>
      <c r="AN312" s="14" t="str">
        <f t="shared" si="89"/>
        <v>Yes</v>
      </c>
      <c r="AO312" s="14" t="str">
        <f t="shared" si="90"/>
        <v>No</v>
      </c>
      <c r="AP312" s="16" t="s">
        <v>148</v>
      </c>
      <c r="AQ312" t="str">
        <f t="shared" si="91"/>
        <v>No</v>
      </c>
      <c r="AR312" s="21">
        <v>5</v>
      </c>
      <c r="AS312" s="5">
        <v>519.29999999999995</v>
      </c>
      <c r="AT312" s="5" t="str">
        <f>IF(T312="","",_xlfn.XLOOKUP(T312,Airlines!A:A,Airlines!B:B,"Not Found"))</f>
        <v>British Airways</v>
      </c>
      <c r="AU312" s="5" t="str">
        <f>IF(U312="","",_xlfn.XLOOKUP(U312,Hotels!A:A,Hotels!B:B,"Not found"))</f>
        <v>Radisson Hotel Group</v>
      </c>
      <c r="AV312" t="s">
        <v>147</v>
      </c>
      <c r="AW312" s="16" t="str">
        <f t="shared" si="92"/>
        <v>OK</v>
      </c>
      <c r="AX312" s="16" t="str">
        <f t="shared" si="93"/>
        <v>OK</v>
      </c>
      <c r="AY312" s="16" t="str">
        <f t="shared" si="94"/>
        <v>OK</v>
      </c>
      <c r="AZ312" s="16" t="str">
        <f t="shared" si="95"/>
        <v>OK</v>
      </c>
      <c r="BA312" s="16" t="str">
        <f t="shared" si="99"/>
        <v>OK</v>
      </c>
      <c r="BB312" s="21">
        <f>COUNTIF('Trip Changes'!B:B,A312)</f>
        <v>0</v>
      </c>
      <c r="BC312" s="16" t="str">
        <f>IF(OR(AND(AD312="Yes",COUNTIF('Trip Changes'!B:B,A312)&gt;0),AND(AD312="No",COUNTIF('Trip Changes'!B:B,A312)=0)),"OK","Check")</f>
        <v>OK</v>
      </c>
      <c r="BD312" t="str">
        <f t="shared" si="100"/>
        <v>OK</v>
      </c>
      <c r="BE312" t="str">
        <f t="shared" si="101"/>
        <v>OK</v>
      </c>
      <c r="BF312" t="str">
        <f t="shared" si="102"/>
        <v>OK</v>
      </c>
      <c r="BG312" t="str">
        <f t="shared" si="103"/>
        <v>OK</v>
      </c>
      <c r="BH312" t="str">
        <f t="shared" si="104"/>
        <v>OK</v>
      </c>
      <c r="BI312" t="str">
        <f t="shared" si="96"/>
        <v>OK</v>
      </c>
      <c r="BJ312" t="str">
        <f t="shared" si="97"/>
        <v>OK</v>
      </c>
      <c r="BK312" t="str">
        <f t="shared" si="98"/>
        <v>OK</v>
      </c>
    </row>
    <row r="313" spans="1:63">
      <c r="A313" s="16" t="s">
        <v>606</v>
      </c>
      <c r="B313" s="16" t="s">
        <v>607</v>
      </c>
      <c r="C313" s="16" t="s">
        <v>193</v>
      </c>
      <c r="D313" s="16" t="s">
        <v>204</v>
      </c>
      <c r="E313" s="16" t="s">
        <v>139</v>
      </c>
      <c r="F313" s="16" t="s">
        <v>162</v>
      </c>
      <c r="G313" s="15">
        <v>46203</v>
      </c>
      <c r="H313" s="15">
        <v>46204</v>
      </c>
      <c r="I313" s="15">
        <v>46208</v>
      </c>
      <c r="J313" s="15" t="s">
        <v>150</v>
      </c>
      <c r="K313" s="16" t="s">
        <v>193</v>
      </c>
      <c r="L313" t="s">
        <v>233</v>
      </c>
      <c r="M313" s="16" t="s">
        <v>152</v>
      </c>
      <c r="N313" s="16" t="s">
        <v>153</v>
      </c>
      <c r="O313" t="s">
        <v>1614</v>
      </c>
      <c r="P313" s="18">
        <v>2994</v>
      </c>
      <c r="Q313" s="21">
        <v>1</v>
      </c>
      <c r="R313" s="21" t="str">
        <f t="shared" si="84"/>
        <v>0-3 days</v>
      </c>
      <c r="S313" s="16" t="s">
        <v>145</v>
      </c>
      <c r="T313" s="16" t="s">
        <v>154</v>
      </c>
      <c r="U313" s="16" t="s">
        <v>164</v>
      </c>
      <c r="V313" t="str">
        <f>IF(U313="","",IFERROR(VLOOKUP(U313,Hotels!A:B,2,FALSE),"Not Found"))</f>
        <v>Marriott</v>
      </c>
      <c r="W313" s="14">
        <v>391.84</v>
      </c>
      <c r="X313" s="14">
        <v>0</v>
      </c>
      <c r="Y313" s="21">
        <v>3</v>
      </c>
      <c r="Z313" s="29">
        <f t="shared" si="85"/>
        <v>100.44</v>
      </c>
      <c r="AA313" s="14">
        <v>301.32</v>
      </c>
      <c r="AB313" s="14">
        <v>112.23</v>
      </c>
      <c r="AC313" s="14">
        <v>805.39</v>
      </c>
      <c r="AD313" s="16" t="s">
        <v>147</v>
      </c>
      <c r="AE313" s="16" t="s">
        <v>147</v>
      </c>
      <c r="AF313" s="14">
        <f>SUMIF('Trip Changes'!$B:$B,A313,'Trip Changes'!$E:$E)</f>
        <v>0</v>
      </c>
      <c r="AG313" s="23">
        <f>SUMIF('Trip Cancellations'!$B:$B,A313,'Trip Cancellations'!$E:$E)</f>
        <v>0</v>
      </c>
      <c r="AH313" s="14">
        <f>SUMIF('Trip Cancellations'!$B:$B,A313,'Trip Cancellations'!$F:$F)</f>
        <v>0</v>
      </c>
      <c r="AI313" s="14">
        <f t="shared" si="86"/>
        <v>805.39</v>
      </c>
      <c r="AJ313" s="14" t="str">
        <f t="shared" si="87"/>
        <v>Yes</v>
      </c>
      <c r="AK313" s="14" t="str">
        <f>IF(Y313=0,"N/A",
IF(_xlfn.XLOOKUP(U313,Hotels!A:A,Hotels!C:C)=TRUE,"Yes","No"))</f>
        <v>Yes</v>
      </c>
      <c r="AL313" s="14" t="str">
        <f>IF(N313="Rail","N/A",IF(_xlfn.XLOOKUP(T313,Airlines!A:A,Airlines!C:C)=TRUE,"Yes","No"))</f>
        <v>Yes</v>
      </c>
      <c r="AM313" s="14" t="str">
        <f t="shared" si="88"/>
        <v>Yes</v>
      </c>
      <c r="AN313" s="14" t="str">
        <f t="shared" si="89"/>
        <v>Yes</v>
      </c>
      <c r="AO313" s="14" t="str">
        <f t="shared" si="90"/>
        <v>Yes</v>
      </c>
      <c r="AP313" s="16" t="s">
        <v>147</v>
      </c>
      <c r="AQ313" t="str">
        <f t="shared" si="91"/>
        <v>Yes</v>
      </c>
      <c r="AR313" s="21">
        <v>4</v>
      </c>
      <c r="AS313" s="5">
        <v>449.1</v>
      </c>
      <c r="AT313" s="5" t="str">
        <f>IF(T313="","",_xlfn.XLOOKUP(T313,Airlines!A:A,Airlines!B:B,"Not Found"))</f>
        <v>British Airways</v>
      </c>
      <c r="AU313" s="5" t="str">
        <f>IF(U313="","",_xlfn.XLOOKUP(U313,Hotels!A:A,Hotels!B:B,"Not found"))</f>
        <v>Marriott</v>
      </c>
      <c r="AV313" t="s">
        <v>147</v>
      </c>
      <c r="AW313" s="16" t="str">
        <f t="shared" si="92"/>
        <v>OK</v>
      </c>
      <c r="AX313" s="16" t="str">
        <f t="shared" si="93"/>
        <v>OK</v>
      </c>
      <c r="AY313" s="16" t="str">
        <f t="shared" si="94"/>
        <v>OK</v>
      </c>
      <c r="AZ313" s="16" t="str">
        <f t="shared" si="95"/>
        <v>OK</v>
      </c>
      <c r="BA313" s="16" t="str">
        <f t="shared" si="99"/>
        <v>OK</v>
      </c>
      <c r="BB313" s="21">
        <f>COUNTIF('Trip Changes'!B:B,A313)</f>
        <v>0</v>
      </c>
      <c r="BC313" s="16" t="str">
        <f>IF(OR(AND(AD313="Yes",COUNTIF('Trip Changes'!B:B,A313)&gt;0),AND(AD313="No",COUNTIF('Trip Changes'!B:B,A313)=0)),"OK","Check")</f>
        <v>OK</v>
      </c>
      <c r="BD313" t="str">
        <f t="shared" si="100"/>
        <v>OK</v>
      </c>
      <c r="BE313" t="str">
        <f t="shared" si="101"/>
        <v>OK</v>
      </c>
      <c r="BF313" t="str">
        <f t="shared" si="102"/>
        <v>OK</v>
      </c>
      <c r="BG313" t="str">
        <f t="shared" si="103"/>
        <v>OK</v>
      </c>
      <c r="BH313" t="str">
        <f t="shared" si="104"/>
        <v>OK</v>
      </c>
      <c r="BI313" t="str">
        <f t="shared" si="96"/>
        <v>OK</v>
      </c>
      <c r="BJ313" t="str">
        <f t="shared" si="97"/>
        <v>OK</v>
      </c>
      <c r="BK313" t="str">
        <f t="shared" si="98"/>
        <v>OK</v>
      </c>
    </row>
    <row r="314" spans="1:63">
      <c r="A314" s="16" t="s">
        <v>608</v>
      </c>
      <c r="B314" s="16" t="s">
        <v>607</v>
      </c>
      <c r="C314" s="16" t="s">
        <v>193</v>
      </c>
      <c r="D314" s="16" t="s">
        <v>204</v>
      </c>
      <c r="E314" s="16" t="s">
        <v>139</v>
      </c>
      <c r="F314" s="16" t="s">
        <v>140</v>
      </c>
      <c r="G314" s="15">
        <v>46121</v>
      </c>
      <c r="H314" s="15">
        <v>46151</v>
      </c>
      <c r="I314" s="15">
        <v>46152</v>
      </c>
      <c r="J314" s="15" t="s">
        <v>163</v>
      </c>
      <c r="K314" s="16" t="s">
        <v>193</v>
      </c>
      <c r="L314" t="s">
        <v>142</v>
      </c>
      <c r="M314" s="16" t="s">
        <v>143</v>
      </c>
      <c r="N314" s="16" t="s">
        <v>144</v>
      </c>
      <c r="O314" t="s">
        <v>1630</v>
      </c>
      <c r="P314" s="18">
        <v>626</v>
      </c>
      <c r="Q314" s="21">
        <v>30</v>
      </c>
      <c r="R314" s="21" t="str">
        <f t="shared" si="84"/>
        <v>15-30 days</v>
      </c>
      <c r="S314" s="16" t="s">
        <v>159</v>
      </c>
      <c r="V314" t="str">
        <f>IF(U314="","",IFERROR(VLOOKUP(U314,Hotels!A:B,2,FALSE),"Not Found"))</f>
        <v/>
      </c>
      <c r="W314" s="14">
        <v>0</v>
      </c>
      <c r="X314" s="14">
        <v>192.77</v>
      </c>
      <c r="Y314" s="21">
        <v>0</v>
      </c>
      <c r="Z314" s="29">
        <f t="shared" si="85"/>
        <v>0</v>
      </c>
      <c r="AA314" s="14">
        <v>0</v>
      </c>
      <c r="AB314" s="14">
        <v>50.4</v>
      </c>
      <c r="AC314" s="14">
        <v>243.17</v>
      </c>
      <c r="AD314" s="16" t="s">
        <v>148</v>
      </c>
      <c r="AE314" s="16" t="s">
        <v>147</v>
      </c>
      <c r="AF314" s="14">
        <f>SUMIF('Trip Changes'!$B:$B,A314,'Trip Changes'!$E:$E)</f>
        <v>185.68</v>
      </c>
      <c r="AG314" s="23">
        <f>SUMIF('Trip Cancellations'!$B:$B,A314,'Trip Cancellations'!$E:$E)</f>
        <v>0</v>
      </c>
      <c r="AH314" s="14">
        <f>SUMIF('Trip Cancellations'!$B:$B,A314,'Trip Cancellations'!$F:$F)</f>
        <v>0</v>
      </c>
      <c r="AI314" s="14">
        <f t="shared" si="86"/>
        <v>428.85</v>
      </c>
      <c r="AJ314" s="14" t="str">
        <f t="shared" si="87"/>
        <v>N/A</v>
      </c>
      <c r="AK314" s="14" t="str">
        <f>IF(Y314=0,"N/A",
IF(_xlfn.XLOOKUP(U314,Hotels!A:A,Hotels!C:C)=TRUE,"Yes","No"))</f>
        <v>N/A</v>
      </c>
      <c r="AL314" s="14" t="str">
        <f>IF(N314="Rail","N/A",IF(_xlfn.XLOOKUP(T314,Airlines!A:A,Airlines!C:C)=TRUE,"Yes","No"))</f>
        <v>N/A</v>
      </c>
      <c r="AM314" s="14" t="str">
        <f t="shared" si="88"/>
        <v>Yes</v>
      </c>
      <c r="AN314" s="14" t="str">
        <f t="shared" si="89"/>
        <v>Yes</v>
      </c>
      <c r="AO314" s="14" t="str">
        <f t="shared" si="90"/>
        <v>Yes</v>
      </c>
      <c r="AP314" s="16" t="s">
        <v>148</v>
      </c>
      <c r="AQ314" t="str">
        <f t="shared" si="91"/>
        <v>Yes</v>
      </c>
      <c r="AR314" s="21">
        <v>4</v>
      </c>
      <c r="AS314" s="5">
        <v>25</v>
      </c>
      <c r="AT314" s="5" t="str">
        <f>IF(T314="","",_xlfn.XLOOKUP(T314,Airlines!A:A,Airlines!B:B,"Not Found"))</f>
        <v/>
      </c>
      <c r="AU314" s="5" t="str">
        <f>IF(U314="","",_xlfn.XLOOKUP(U314,Hotels!A:A,Hotels!B:B,"Not found"))</f>
        <v/>
      </c>
      <c r="AV314" t="s">
        <v>147</v>
      </c>
      <c r="AW314" s="16" t="str">
        <f t="shared" si="92"/>
        <v>OK</v>
      </c>
      <c r="AX314" s="16" t="str">
        <f t="shared" si="93"/>
        <v>OK</v>
      </c>
      <c r="AY314" s="16" t="str">
        <f t="shared" si="94"/>
        <v>OK</v>
      </c>
      <c r="AZ314" s="16" t="str">
        <f t="shared" si="95"/>
        <v>OK</v>
      </c>
      <c r="BA314" s="16" t="str">
        <f t="shared" si="99"/>
        <v>OK</v>
      </c>
      <c r="BB314" s="21">
        <f>COUNTIF('Trip Changes'!B:B,A314)</f>
        <v>2</v>
      </c>
      <c r="BC314" s="16" t="str">
        <f>IF(OR(AND(AD314="Yes",COUNTIF('Trip Changes'!B:B,A314)&gt;0),AND(AD314="No",COUNTIF('Trip Changes'!B:B,A314)=0)),"OK","Check")</f>
        <v>OK</v>
      </c>
      <c r="BD314" t="str">
        <f t="shared" si="100"/>
        <v>OK</v>
      </c>
      <c r="BE314" t="str">
        <f t="shared" si="101"/>
        <v>OK</v>
      </c>
      <c r="BF314" t="str">
        <f t="shared" si="102"/>
        <v>OK</v>
      </c>
      <c r="BG314" t="str">
        <f t="shared" si="103"/>
        <v>OK</v>
      </c>
      <c r="BH314" t="str">
        <f t="shared" si="104"/>
        <v>OK</v>
      </c>
      <c r="BI314" t="str">
        <f t="shared" si="96"/>
        <v>OK</v>
      </c>
      <c r="BJ314" t="str">
        <f t="shared" si="97"/>
        <v>OK</v>
      </c>
      <c r="BK314" t="str">
        <f t="shared" si="98"/>
        <v>OK</v>
      </c>
    </row>
    <row r="315" spans="1:63">
      <c r="A315" s="16" t="s">
        <v>609</v>
      </c>
      <c r="B315" s="16" t="s">
        <v>607</v>
      </c>
      <c r="C315" s="16" t="s">
        <v>193</v>
      </c>
      <c r="D315" s="16" t="s">
        <v>204</v>
      </c>
      <c r="E315" s="16" t="s">
        <v>139</v>
      </c>
      <c r="F315" s="16" t="s">
        <v>207</v>
      </c>
      <c r="G315" s="15">
        <v>46200</v>
      </c>
      <c r="H315" s="15">
        <v>46201</v>
      </c>
      <c r="I315" s="15">
        <v>46205</v>
      </c>
      <c r="J315" s="15" t="s">
        <v>141</v>
      </c>
      <c r="K315" s="16" t="s">
        <v>193</v>
      </c>
      <c r="L315" t="s">
        <v>225</v>
      </c>
      <c r="M315" s="16" t="s">
        <v>152</v>
      </c>
      <c r="N315" s="16" t="s">
        <v>153</v>
      </c>
      <c r="O315" t="s">
        <v>1614</v>
      </c>
      <c r="P315" s="18">
        <v>2518</v>
      </c>
      <c r="Q315" s="21">
        <v>1</v>
      </c>
      <c r="R315" s="21" t="str">
        <f t="shared" si="84"/>
        <v>0-3 days</v>
      </c>
      <c r="S315" s="16" t="s">
        <v>159</v>
      </c>
      <c r="T315" s="16" t="s">
        <v>236</v>
      </c>
      <c r="U315" s="16" t="s">
        <v>155</v>
      </c>
      <c r="V315" t="str">
        <f>IF(U315="","",IFERROR(VLOOKUP(U315,Hotels!A:B,2,FALSE),"Not Found"))</f>
        <v>Hilton</v>
      </c>
      <c r="W315" s="14">
        <v>427.61</v>
      </c>
      <c r="X315" s="14">
        <v>0</v>
      </c>
      <c r="Y315" s="21">
        <v>3</v>
      </c>
      <c r="Z315" s="29">
        <f t="shared" si="85"/>
        <v>94.476666666666674</v>
      </c>
      <c r="AA315" s="14">
        <v>283.43</v>
      </c>
      <c r="AB315" s="14">
        <v>124.71</v>
      </c>
      <c r="AC315" s="14">
        <v>835.75</v>
      </c>
      <c r="AD315" s="16" t="s">
        <v>147</v>
      </c>
      <c r="AE315" s="16" t="s">
        <v>147</v>
      </c>
      <c r="AF315" s="14">
        <f>SUMIF('Trip Changes'!$B:$B,A315,'Trip Changes'!$E:$E)</f>
        <v>0</v>
      </c>
      <c r="AG315" s="23">
        <f>SUMIF('Trip Cancellations'!$B:$B,A315,'Trip Cancellations'!$E:$E)</f>
        <v>0</v>
      </c>
      <c r="AH315" s="14">
        <f>SUMIF('Trip Cancellations'!$B:$B,A315,'Trip Cancellations'!$F:$F)</f>
        <v>0</v>
      </c>
      <c r="AI315" s="14">
        <f t="shared" si="86"/>
        <v>835.75</v>
      </c>
      <c r="AJ315" s="14" t="str">
        <f t="shared" si="87"/>
        <v>Yes</v>
      </c>
      <c r="AK315" s="14" t="str">
        <f>IF(Y315=0,"N/A",
IF(_xlfn.XLOOKUP(U315,Hotels!A:A,Hotels!C:C)=TRUE,"Yes","No"))</f>
        <v>Yes</v>
      </c>
      <c r="AL315" s="14" t="str">
        <f>IF(N315="Rail","N/A",IF(_xlfn.XLOOKUP(T315,Airlines!A:A,Airlines!C:C)=TRUE,"Yes","No"))</f>
        <v>Yes</v>
      </c>
      <c r="AM315" s="14" t="str">
        <f t="shared" si="88"/>
        <v>Yes</v>
      </c>
      <c r="AN315" s="14" t="str">
        <f t="shared" si="89"/>
        <v>Yes</v>
      </c>
      <c r="AO315" s="14" t="str">
        <f t="shared" si="90"/>
        <v>Yes</v>
      </c>
      <c r="AP315" s="16" t="s">
        <v>148</v>
      </c>
      <c r="AQ315" t="str">
        <f t="shared" si="91"/>
        <v>Yes</v>
      </c>
      <c r="AR315" s="21">
        <v>4</v>
      </c>
      <c r="AS315" s="5">
        <v>377.7</v>
      </c>
      <c r="AT315" s="5" t="str">
        <f>IF(T315="","",_xlfn.XLOOKUP(T315,Airlines!A:A,Airlines!B:B,"Not Found"))</f>
        <v>KLM</v>
      </c>
      <c r="AU315" s="5" t="str">
        <f>IF(U315="","",_xlfn.XLOOKUP(U315,Hotels!A:A,Hotels!B:B,"Not found"))</f>
        <v>Hilton</v>
      </c>
      <c r="AV315" t="s">
        <v>148</v>
      </c>
      <c r="AW315" s="16" t="str">
        <f t="shared" si="92"/>
        <v>OK</v>
      </c>
      <c r="AX315" s="16" t="str">
        <f t="shared" si="93"/>
        <v>OK</v>
      </c>
      <c r="AY315" s="16" t="str">
        <f t="shared" si="94"/>
        <v>OK</v>
      </c>
      <c r="AZ315" s="16" t="str">
        <f t="shared" si="95"/>
        <v>OK</v>
      </c>
      <c r="BA315" s="16" t="str">
        <f t="shared" si="99"/>
        <v>OK</v>
      </c>
      <c r="BB315" s="21">
        <f>COUNTIF('Trip Changes'!B:B,A315)</f>
        <v>0</v>
      </c>
      <c r="BC315" s="16" t="str">
        <f>IF(OR(AND(AD315="Yes",COUNTIF('Trip Changes'!B:B,A315)&gt;0),AND(AD315="No",COUNTIF('Trip Changes'!B:B,A315)=0)),"OK","Check")</f>
        <v>OK</v>
      </c>
      <c r="BD315" t="str">
        <f t="shared" si="100"/>
        <v>OK</v>
      </c>
      <c r="BE315" t="str">
        <f t="shared" si="101"/>
        <v>OK</v>
      </c>
      <c r="BF315" t="str">
        <f t="shared" si="102"/>
        <v>OK</v>
      </c>
      <c r="BG315" t="str">
        <f t="shared" si="103"/>
        <v>OK</v>
      </c>
      <c r="BH315" t="str">
        <f t="shared" si="104"/>
        <v>OK</v>
      </c>
      <c r="BI315" t="str">
        <f t="shared" si="96"/>
        <v>OK</v>
      </c>
      <c r="BJ315" t="str">
        <f t="shared" si="97"/>
        <v>OK</v>
      </c>
      <c r="BK315" t="str">
        <f t="shared" si="98"/>
        <v>OK</v>
      </c>
    </row>
    <row r="316" spans="1:63">
      <c r="A316" s="16" t="s">
        <v>610</v>
      </c>
      <c r="B316" s="16" t="s">
        <v>607</v>
      </c>
      <c r="C316" s="16" t="s">
        <v>193</v>
      </c>
      <c r="D316" s="16" t="s">
        <v>204</v>
      </c>
      <c r="E316" s="16" t="s">
        <v>139</v>
      </c>
      <c r="F316" s="16" t="s">
        <v>162</v>
      </c>
      <c r="G316" s="15">
        <v>46162</v>
      </c>
      <c r="H316" s="15">
        <v>46179</v>
      </c>
      <c r="I316" s="15">
        <v>46181</v>
      </c>
      <c r="J316" s="15" t="s">
        <v>141</v>
      </c>
      <c r="K316" s="16" t="s">
        <v>193</v>
      </c>
      <c r="L316" t="s">
        <v>182</v>
      </c>
      <c r="M316" s="16" t="s">
        <v>143</v>
      </c>
      <c r="N316" s="16" t="s">
        <v>144</v>
      </c>
      <c r="O316" t="s">
        <v>1630</v>
      </c>
      <c r="P316" s="18">
        <v>440</v>
      </c>
      <c r="Q316" s="21">
        <v>17</v>
      </c>
      <c r="R316" s="21" t="str">
        <f t="shared" si="84"/>
        <v>15-30 days</v>
      </c>
      <c r="S316" s="16" t="s">
        <v>145</v>
      </c>
      <c r="U316" s="16" t="s">
        <v>164</v>
      </c>
      <c r="V316" t="str">
        <f>IF(U316="","",IFERROR(VLOOKUP(U316,Hotels!A:B,2,FALSE),"Not Found"))</f>
        <v>Marriott</v>
      </c>
      <c r="W316" s="14">
        <v>0</v>
      </c>
      <c r="X316" s="14">
        <v>163.19</v>
      </c>
      <c r="Y316" s="21">
        <v>1</v>
      </c>
      <c r="Z316" s="29">
        <f t="shared" si="85"/>
        <v>120.31</v>
      </c>
      <c r="AA316" s="14">
        <v>120.31</v>
      </c>
      <c r="AB316" s="14">
        <v>20</v>
      </c>
      <c r="AC316" s="14">
        <v>303.5</v>
      </c>
      <c r="AD316" s="16" t="s">
        <v>147</v>
      </c>
      <c r="AE316" s="16" t="s">
        <v>147</v>
      </c>
      <c r="AF316" s="14">
        <f>SUMIF('Trip Changes'!$B:$B,A316,'Trip Changes'!$E:$E)</f>
        <v>0</v>
      </c>
      <c r="AG316" s="23">
        <f>SUMIF('Trip Cancellations'!$B:$B,A316,'Trip Cancellations'!$E:$E)</f>
        <v>0</v>
      </c>
      <c r="AH316" s="14">
        <f>SUMIF('Trip Cancellations'!$B:$B,A316,'Trip Cancellations'!$F:$F)</f>
        <v>0</v>
      </c>
      <c r="AI316" s="14">
        <f t="shared" si="86"/>
        <v>303.5</v>
      </c>
      <c r="AJ316" s="14" t="str">
        <f t="shared" si="87"/>
        <v>Yes</v>
      </c>
      <c r="AK316" s="14" t="str">
        <f>IF(Y316=0,"N/A",
IF(_xlfn.XLOOKUP(U316,Hotels!A:A,Hotels!C:C)=TRUE,"Yes","No"))</f>
        <v>Yes</v>
      </c>
      <c r="AL316" s="14" t="str">
        <f>IF(N316="Rail","N/A",IF(_xlfn.XLOOKUP(T316,Airlines!A:A,Airlines!C:C)=TRUE,"Yes","No"))</f>
        <v>N/A</v>
      </c>
      <c r="AM316" s="14" t="str">
        <f t="shared" si="88"/>
        <v>Yes</v>
      </c>
      <c r="AN316" s="14" t="str">
        <f t="shared" si="89"/>
        <v>Yes</v>
      </c>
      <c r="AO316" s="14" t="str">
        <f t="shared" si="90"/>
        <v>Yes</v>
      </c>
      <c r="AP316" s="16" t="s">
        <v>148</v>
      </c>
      <c r="AQ316" t="str">
        <f t="shared" si="91"/>
        <v>Yes</v>
      </c>
      <c r="AR316" s="21">
        <v>4</v>
      </c>
      <c r="AS316" s="5">
        <v>17.600000000000001</v>
      </c>
      <c r="AT316" s="5" t="str">
        <f>IF(T316="","",_xlfn.XLOOKUP(T316,Airlines!A:A,Airlines!B:B,"Not Found"))</f>
        <v/>
      </c>
      <c r="AU316" s="5" t="str">
        <f>IF(U316="","",_xlfn.XLOOKUP(U316,Hotels!A:A,Hotels!B:B,"Not found"))</f>
        <v>Marriott</v>
      </c>
      <c r="AV316" t="s">
        <v>147</v>
      </c>
      <c r="AW316" s="16" t="str">
        <f t="shared" si="92"/>
        <v>OK</v>
      </c>
      <c r="AX316" s="16" t="str">
        <f t="shared" si="93"/>
        <v>OK</v>
      </c>
      <c r="AY316" s="16" t="str">
        <f t="shared" si="94"/>
        <v>OK</v>
      </c>
      <c r="AZ316" s="16" t="str">
        <f t="shared" si="95"/>
        <v>OK</v>
      </c>
      <c r="BA316" s="16" t="str">
        <f t="shared" si="99"/>
        <v>OK</v>
      </c>
      <c r="BB316" s="21">
        <f>COUNTIF('Trip Changes'!B:B,A316)</f>
        <v>0</v>
      </c>
      <c r="BC316" s="16" t="str">
        <f>IF(OR(AND(AD316="Yes",COUNTIF('Trip Changes'!B:B,A316)&gt;0),AND(AD316="No",COUNTIF('Trip Changes'!B:B,A316)=0)),"OK","Check")</f>
        <v>OK</v>
      </c>
      <c r="BD316" t="str">
        <f t="shared" si="100"/>
        <v>OK</v>
      </c>
      <c r="BE316" t="str">
        <f t="shared" si="101"/>
        <v>OK</v>
      </c>
      <c r="BF316" t="str">
        <f t="shared" si="102"/>
        <v>OK</v>
      </c>
      <c r="BG316" t="str">
        <f t="shared" si="103"/>
        <v>OK</v>
      </c>
      <c r="BH316" t="str">
        <f t="shared" si="104"/>
        <v>OK</v>
      </c>
      <c r="BI316" t="str">
        <f t="shared" si="96"/>
        <v>OK</v>
      </c>
      <c r="BJ316" t="str">
        <f t="shared" si="97"/>
        <v>OK</v>
      </c>
      <c r="BK316" t="str">
        <f t="shared" si="98"/>
        <v>OK</v>
      </c>
    </row>
    <row r="317" spans="1:63">
      <c r="A317" s="16" t="s">
        <v>611</v>
      </c>
      <c r="B317" s="16" t="s">
        <v>607</v>
      </c>
      <c r="C317" s="16" t="s">
        <v>193</v>
      </c>
      <c r="D317" s="16" t="s">
        <v>204</v>
      </c>
      <c r="E317" s="16" t="s">
        <v>139</v>
      </c>
      <c r="F317" s="16" t="s">
        <v>140</v>
      </c>
      <c r="G317" s="15">
        <v>46203</v>
      </c>
      <c r="H317" s="15">
        <v>46234</v>
      </c>
      <c r="I317" s="15">
        <v>46238</v>
      </c>
      <c r="J317" s="15" t="s">
        <v>150</v>
      </c>
      <c r="K317" s="16" t="s">
        <v>193</v>
      </c>
      <c r="L317" t="s">
        <v>199</v>
      </c>
      <c r="M317" s="16" t="s">
        <v>152</v>
      </c>
      <c r="N317" s="16" t="s">
        <v>153</v>
      </c>
      <c r="O317" t="s">
        <v>1614</v>
      </c>
      <c r="P317" s="18">
        <v>1486</v>
      </c>
      <c r="Q317" s="21">
        <v>31</v>
      </c>
      <c r="R317" s="21" t="str">
        <f t="shared" si="84"/>
        <v>31+ days</v>
      </c>
      <c r="S317" s="16" t="s">
        <v>145</v>
      </c>
      <c r="T317" s="16" t="s">
        <v>200</v>
      </c>
      <c r="U317" s="16" t="s">
        <v>187</v>
      </c>
      <c r="V317" t="str">
        <f>IF(U317="","",IFERROR(VLOOKUP(U317,Hotels!A:B,2,FALSE),"Not Found"))</f>
        <v>IHG Hotels &amp; Resorts</v>
      </c>
      <c r="W317" s="14">
        <v>341.81</v>
      </c>
      <c r="X317" s="14">
        <v>0</v>
      </c>
      <c r="Y317" s="21">
        <v>3</v>
      </c>
      <c r="Z317" s="29">
        <f t="shared" si="85"/>
        <v>166.58</v>
      </c>
      <c r="AA317" s="14">
        <v>499.74</v>
      </c>
      <c r="AB317" s="14">
        <v>74.8</v>
      </c>
      <c r="AC317" s="14">
        <v>916.35</v>
      </c>
      <c r="AD317" s="16" t="s">
        <v>147</v>
      </c>
      <c r="AE317" s="16" t="s">
        <v>147</v>
      </c>
      <c r="AF317" s="14">
        <f>SUMIF('Trip Changes'!$B:$B,A317,'Trip Changes'!$E:$E)</f>
        <v>0</v>
      </c>
      <c r="AG317" s="23">
        <f>SUMIF('Trip Cancellations'!$B:$B,A317,'Trip Cancellations'!$E:$E)</f>
        <v>0</v>
      </c>
      <c r="AH317" s="14">
        <f>SUMIF('Trip Cancellations'!$B:$B,A317,'Trip Cancellations'!$F:$F)</f>
        <v>0</v>
      </c>
      <c r="AI317" s="14">
        <f t="shared" si="86"/>
        <v>916.35</v>
      </c>
      <c r="AJ317" s="14" t="str">
        <f t="shared" si="87"/>
        <v>Yes</v>
      </c>
      <c r="AK317" s="14" t="str">
        <f>IF(Y317=0,"N/A",
IF(_xlfn.XLOOKUP(U317,Hotels!A:A,Hotels!C:C)=TRUE,"Yes","No"))</f>
        <v>Yes</v>
      </c>
      <c r="AL317" s="14" t="str">
        <f>IF(N317="Rail","N/A",IF(_xlfn.XLOOKUP(T317,Airlines!A:A,Airlines!C:C)=TRUE,"Yes","No"))</f>
        <v>Yes</v>
      </c>
      <c r="AM317" s="14" t="str">
        <f t="shared" si="88"/>
        <v>Yes</v>
      </c>
      <c r="AN317" s="14" t="str">
        <f t="shared" si="89"/>
        <v>Yes</v>
      </c>
      <c r="AO317" s="14" t="str">
        <f t="shared" si="90"/>
        <v>Yes</v>
      </c>
      <c r="AP317" s="16" t="s">
        <v>148</v>
      </c>
      <c r="AQ317" t="str">
        <f t="shared" si="91"/>
        <v>Yes</v>
      </c>
      <c r="AR317" s="21">
        <v>5</v>
      </c>
      <c r="AS317" s="5">
        <v>222.9</v>
      </c>
      <c r="AT317" s="5" t="str">
        <f>IF(T317="","",_xlfn.XLOOKUP(T317,Airlines!A:A,Airlines!B:B,"Not Found"))</f>
        <v>Aer Lingus</v>
      </c>
      <c r="AU317" s="5" t="str">
        <f>IF(U317="","",_xlfn.XLOOKUP(U317,Hotels!A:A,Hotels!B:B,"Not found"))</f>
        <v>IHG Hotels &amp; Resorts</v>
      </c>
      <c r="AV317" t="s">
        <v>147</v>
      </c>
      <c r="AW317" s="16" t="str">
        <f t="shared" si="92"/>
        <v>OK</v>
      </c>
      <c r="AX317" s="16" t="str">
        <f t="shared" si="93"/>
        <v>OK</v>
      </c>
      <c r="AY317" s="16" t="str">
        <f t="shared" si="94"/>
        <v>OK</v>
      </c>
      <c r="AZ317" s="16" t="str">
        <f t="shared" si="95"/>
        <v>OK</v>
      </c>
      <c r="BA317" s="16" t="str">
        <f t="shared" si="99"/>
        <v>OK</v>
      </c>
      <c r="BB317" s="21">
        <f>COUNTIF('Trip Changes'!B:B,A317)</f>
        <v>0</v>
      </c>
      <c r="BC317" s="16" t="str">
        <f>IF(OR(AND(AD317="Yes",COUNTIF('Trip Changes'!B:B,A317)&gt;0),AND(AD317="No",COUNTIF('Trip Changes'!B:B,A317)=0)),"OK","Check")</f>
        <v>OK</v>
      </c>
      <c r="BD317" t="str">
        <f t="shared" si="100"/>
        <v>OK</v>
      </c>
      <c r="BE317" t="str">
        <f t="shared" si="101"/>
        <v>OK</v>
      </c>
      <c r="BF317" t="str">
        <f t="shared" si="102"/>
        <v>OK</v>
      </c>
      <c r="BG317" t="str">
        <f t="shared" si="103"/>
        <v>OK</v>
      </c>
      <c r="BH317" t="str">
        <f t="shared" si="104"/>
        <v>OK</v>
      </c>
      <c r="BI317" t="str">
        <f t="shared" si="96"/>
        <v>OK</v>
      </c>
      <c r="BJ317" t="str">
        <f t="shared" si="97"/>
        <v>OK</v>
      </c>
      <c r="BK317" t="str">
        <f t="shared" si="98"/>
        <v>OK</v>
      </c>
    </row>
    <row r="318" spans="1:63">
      <c r="A318" s="16" t="s">
        <v>612</v>
      </c>
      <c r="B318" s="16" t="s">
        <v>613</v>
      </c>
      <c r="C318" s="16" t="s">
        <v>257</v>
      </c>
      <c r="D318" s="16" t="s">
        <v>204</v>
      </c>
      <c r="E318" s="16" t="s">
        <v>169</v>
      </c>
      <c r="F318" s="16" t="s">
        <v>140</v>
      </c>
      <c r="G318" s="15">
        <v>46187</v>
      </c>
      <c r="H318" s="15">
        <v>46216</v>
      </c>
      <c r="I318" s="15">
        <v>46220</v>
      </c>
      <c r="J318" s="15" t="s">
        <v>150</v>
      </c>
      <c r="K318" s="16" t="s">
        <v>257</v>
      </c>
      <c r="L318" t="s">
        <v>305</v>
      </c>
      <c r="M318" s="16" t="s">
        <v>152</v>
      </c>
      <c r="N318" s="16" t="s">
        <v>153</v>
      </c>
      <c r="O318" t="s">
        <v>1614</v>
      </c>
      <c r="P318" s="18">
        <v>10986</v>
      </c>
      <c r="Q318" s="21">
        <v>29</v>
      </c>
      <c r="R318" s="21" t="str">
        <f t="shared" si="84"/>
        <v>15-30 days</v>
      </c>
      <c r="S318" s="16" t="s">
        <v>145</v>
      </c>
      <c r="T318" s="16" t="s">
        <v>186</v>
      </c>
      <c r="U318" s="16" t="s">
        <v>173</v>
      </c>
      <c r="V318" t="str">
        <f>IF(U318="","",IFERROR(VLOOKUP(U318,Hotels!A:B,2,FALSE),"Not Found"))</f>
        <v>Accor</v>
      </c>
      <c r="W318" s="14">
        <v>1421.75</v>
      </c>
      <c r="X318" s="14">
        <v>0</v>
      </c>
      <c r="Y318" s="21">
        <v>3</v>
      </c>
      <c r="Z318" s="29">
        <f t="shared" si="85"/>
        <v>188.26999999999998</v>
      </c>
      <c r="AA318" s="14">
        <v>564.80999999999995</v>
      </c>
      <c r="AB318" s="14">
        <v>116.29</v>
      </c>
      <c r="AC318" s="14">
        <v>2102.85</v>
      </c>
      <c r="AD318" s="16" t="s">
        <v>148</v>
      </c>
      <c r="AE318" s="16" t="s">
        <v>147</v>
      </c>
      <c r="AF318" s="14">
        <f>SUMIF('Trip Changes'!$B:$B,A318,'Trip Changes'!$E:$E)</f>
        <v>54.8</v>
      </c>
      <c r="AG318" s="23">
        <f>SUMIF('Trip Cancellations'!$B:$B,A318,'Trip Cancellations'!$E:$E)</f>
        <v>0</v>
      </c>
      <c r="AH318" s="14">
        <f>SUMIF('Trip Cancellations'!$B:$B,A318,'Trip Cancellations'!$F:$F)</f>
        <v>0</v>
      </c>
      <c r="AI318" s="14">
        <f t="shared" si="86"/>
        <v>2157.65</v>
      </c>
      <c r="AJ318" s="14" t="str">
        <f t="shared" si="87"/>
        <v>No</v>
      </c>
      <c r="AK318" s="14" t="str">
        <f>IF(Y318=0,"N/A",
IF(_xlfn.XLOOKUP(U318,Hotels!A:A,Hotels!C:C)=TRUE,"Yes","No"))</f>
        <v>Yes</v>
      </c>
      <c r="AL318" s="14" t="str">
        <f>IF(N318="Rail","N/A",IF(_xlfn.XLOOKUP(T318,Airlines!A:A,Airlines!C:C)=TRUE,"Yes","No"))</f>
        <v>Yes</v>
      </c>
      <c r="AM318" s="14" t="str">
        <f t="shared" si="88"/>
        <v>Yes</v>
      </c>
      <c r="AN318" s="14" t="str">
        <f t="shared" si="89"/>
        <v>Yes</v>
      </c>
      <c r="AO318" s="14" t="str">
        <f t="shared" si="90"/>
        <v>Yes</v>
      </c>
      <c r="AP318" s="16" t="s">
        <v>147</v>
      </c>
      <c r="AQ318" t="str">
        <f t="shared" si="91"/>
        <v>No</v>
      </c>
      <c r="AR318" s="21">
        <v>4</v>
      </c>
      <c r="AS318" s="5">
        <v>1647.9</v>
      </c>
      <c r="AT318" s="5" t="str">
        <f>IF(T318="","",_xlfn.XLOOKUP(T318,Airlines!A:A,Airlines!B:B,"Not Found"))</f>
        <v>Virgin Atlantic</v>
      </c>
      <c r="AU318" s="5" t="str">
        <f>IF(U318="","",_xlfn.XLOOKUP(U318,Hotels!A:A,Hotels!B:B,"Not found"))</f>
        <v>Accor</v>
      </c>
      <c r="AV318" t="s">
        <v>147</v>
      </c>
      <c r="AW318" s="16" t="str">
        <f t="shared" si="92"/>
        <v>OK</v>
      </c>
      <c r="AX318" s="16" t="str">
        <f t="shared" si="93"/>
        <v>OK</v>
      </c>
      <c r="AY318" s="16" t="str">
        <f t="shared" si="94"/>
        <v>OK</v>
      </c>
      <c r="AZ318" s="16" t="str">
        <f t="shared" si="95"/>
        <v>OK</v>
      </c>
      <c r="BA318" s="16" t="str">
        <f t="shared" si="99"/>
        <v>OK</v>
      </c>
      <c r="BB318" s="21">
        <f>COUNTIF('Trip Changes'!B:B,A318)</f>
        <v>1</v>
      </c>
      <c r="BC318" s="16" t="str">
        <f>IF(OR(AND(AD318="Yes",COUNTIF('Trip Changes'!B:B,A318)&gt;0),AND(AD318="No",COUNTIF('Trip Changes'!B:B,A318)=0)),"OK","Check")</f>
        <v>OK</v>
      </c>
      <c r="BD318" t="str">
        <f t="shared" si="100"/>
        <v>OK</v>
      </c>
      <c r="BE318" t="str">
        <f t="shared" si="101"/>
        <v>OK</v>
      </c>
      <c r="BF318" t="str">
        <f t="shared" si="102"/>
        <v>OK</v>
      </c>
      <c r="BG318" t="str">
        <f t="shared" si="103"/>
        <v>OK</v>
      </c>
      <c r="BH318" t="str">
        <f t="shared" si="104"/>
        <v>OK</v>
      </c>
      <c r="BI318" t="str">
        <f t="shared" si="96"/>
        <v>OK</v>
      </c>
      <c r="BJ318" t="str">
        <f t="shared" si="97"/>
        <v>OK</v>
      </c>
      <c r="BK318" t="str">
        <f t="shared" si="98"/>
        <v>OK</v>
      </c>
    </row>
    <row r="319" spans="1:63">
      <c r="A319" s="16" t="s">
        <v>614</v>
      </c>
      <c r="B319" s="16" t="s">
        <v>613</v>
      </c>
      <c r="C319" s="16" t="s">
        <v>257</v>
      </c>
      <c r="D319" s="16" t="s">
        <v>204</v>
      </c>
      <c r="E319" s="16" t="s">
        <v>169</v>
      </c>
      <c r="F319" s="16" t="s">
        <v>189</v>
      </c>
      <c r="G319" s="15">
        <v>46134</v>
      </c>
      <c r="H319" s="15">
        <v>46162</v>
      </c>
      <c r="I319" s="15">
        <v>46165</v>
      </c>
      <c r="J319" s="15" t="s">
        <v>163</v>
      </c>
      <c r="K319" s="16" t="s">
        <v>257</v>
      </c>
      <c r="L319" t="s">
        <v>233</v>
      </c>
      <c r="M319" s="16" t="s">
        <v>152</v>
      </c>
      <c r="N319" s="16" t="s">
        <v>153</v>
      </c>
      <c r="O319" t="s">
        <v>1614</v>
      </c>
      <c r="P319" s="18">
        <v>1466</v>
      </c>
      <c r="Q319" s="21">
        <v>28</v>
      </c>
      <c r="R319" s="21" t="str">
        <f t="shared" si="84"/>
        <v>15-30 days</v>
      </c>
      <c r="S319" s="16" t="s">
        <v>207</v>
      </c>
      <c r="T319" s="16" t="s">
        <v>154</v>
      </c>
      <c r="U319" s="16" t="s">
        <v>173</v>
      </c>
      <c r="V319" t="str">
        <f>IF(U319="","",IFERROR(VLOOKUP(U319,Hotels!A:B,2,FALSE),"Not Found"))</f>
        <v>Accor</v>
      </c>
      <c r="W319" s="14">
        <v>432.06</v>
      </c>
      <c r="X319" s="14">
        <v>0</v>
      </c>
      <c r="Y319" s="21">
        <v>2</v>
      </c>
      <c r="Z319" s="29">
        <f t="shared" si="85"/>
        <v>171.32499999999999</v>
      </c>
      <c r="AA319" s="14">
        <v>342.65</v>
      </c>
      <c r="AB319" s="14">
        <v>89.3</v>
      </c>
      <c r="AC319" s="14">
        <v>864.01</v>
      </c>
      <c r="AD319" s="16" t="s">
        <v>147</v>
      </c>
      <c r="AE319" s="16" t="s">
        <v>147</v>
      </c>
      <c r="AF319" s="14">
        <f>SUMIF('Trip Changes'!$B:$B,A319,'Trip Changes'!$E:$E)</f>
        <v>0</v>
      </c>
      <c r="AG319" s="23">
        <f>SUMIF('Trip Cancellations'!$B:$B,A319,'Trip Cancellations'!$E:$E)</f>
        <v>0</v>
      </c>
      <c r="AH319" s="14">
        <f>SUMIF('Trip Cancellations'!$B:$B,A319,'Trip Cancellations'!$F:$F)</f>
        <v>0</v>
      </c>
      <c r="AI319" s="14">
        <f t="shared" si="86"/>
        <v>864.01</v>
      </c>
      <c r="AJ319" s="14" t="str">
        <f t="shared" si="87"/>
        <v>Yes</v>
      </c>
      <c r="AK319" s="14" t="str">
        <f>IF(Y319=0,"N/A",
IF(_xlfn.XLOOKUP(U319,Hotels!A:A,Hotels!C:C)=TRUE,"Yes","No"))</f>
        <v>Yes</v>
      </c>
      <c r="AL319" s="14" t="str">
        <f>IF(N319="Rail","N/A",IF(_xlfn.XLOOKUP(T319,Airlines!A:A,Airlines!C:C)=TRUE,"Yes","No"))</f>
        <v>Yes</v>
      </c>
      <c r="AM319" s="14" t="str">
        <f t="shared" si="88"/>
        <v>Yes</v>
      </c>
      <c r="AN319" s="14" t="str">
        <f t="shared" si="89"/>
        <v>No</v>
      </c>
      <c r="AO319" s="14" t="str">
        <f t="shared" si="90"/>
        <v>Yes</v>
      </c>
      <c r="AP319" s="16" t="s">
        <v>147</v>
      </c>
      <c r="AQ319" t="str">
        <f t="shared" si="91"/>
        <v>No</v>
      </c>
      <c r="AR319" s="21">
        <v>5</v>
      </c>
      <c r="AS319" s="5">
        <v>219.9</v>
      </c>
      <c r="AT319" s="5" t="str">
        <f>IF(T319="","",_xlfn.XLOOKUP(T319,Airlines!A:A,Airlines!B:B,"Not Found"))</f>
        <v>British Airways</v>
      </c>
      <c r="AU319" s="5" t="str">
        <f>IF(U319="","",_xlfn.XLOOKUP(U319,Hotels!A:A,Hotels!B:B,"Not found"))</f>
        <v>Accor</v>
      </c>
      <c r="AV319" t="s">
        <v>148</v>
      </c>
      <c r="AW319" s="16" t="str">
        <f t="shared" si="92"/>
        <v>OK</v>
      </c>
      <c r="AX319" s="16" t="str">
        <f t="shared" si="93"/>
        <v>OK</v>
      </c>
      <c r="AY319" s="16" t="str">
        <f t="shared" si="94"/>
        <v>OK</v>
      </c>
      <c r="AZ319" s="16" t="str">
        <f t="shared" si="95"/>
        <v>OK</v>
      </c>
      <c r="BA319" s="16" t="str">
        <f t="shared" si="99"/>
        <v>OK</v>
      </c>
      <c r="BB319" s="21">
        <f>COUNTIF('Trip Changes'!B:B,A319)</f>
        <v>0</v>
      </c>
      <c r="BC319" s="16" t="str">
        <f>IF(OR(AND(AD319="Yes",COUNTIF('Trip Changes'!B:B,A319)&gt;0),AND(AD319="No",COUNTIF('Trip Changes'!B:B,A319)=0)),"OK","Check")</f>
        <v>OK</v>
      </c>
      <c r="BD319" t="str">
        <f t="shared" si="100"/>
        <v>OK</v>
      </c>
      <c r="BE319" t="str">
        <f t="shared" si="101"/>
        <v>OK</v>
      </c>
      <c r="BF319" t="str">
        <f t="shared" si="102"/>
        <v>OK</v>
      </c>
      <c r="BG319" t="str">
        <f t="shared" si="103"/>
        <v>OK</v>
      </c>
      <c r="BH319" t="str">
        <f t="shared" si="104"/>
        <v>OK</v>
      </c>
      <c r="BI319" t="str">
        <f t="shared" si="96"/>
        <v>OK</v>
      </c>
      <c r="BJ319" t="str">
        <f t="shared" si="97"/>
        <v>OK</v>
      </c>
      <c r="BK319" t="str">
        <f t="shared" si="98"/>
        <v>OK</v>
      </c>
    </row>
    <row r="320" spans="1:63">
      <c r="A320" s="16" t="s">
        <v>615</v>
      </c>
      <c r="B320" s="16" t="s">
        <v>616</v>
      </c>
      <c r="C320" s="16" t="s">
        <v>182</v>
      </c>
      <c r="D320" s="16" t="s">
        <v>138</v>
      </c>
      <c r="E320" s="16" t="s">
        <v>249</v>
      </c>
      <c r="F320" s="16" t="s">
        <v>140</v>
      </c>
      <c r="G320" s="15">
        <v>46192</v>
      </c>
      <c r="H320" s="15">
        <v>46221</v>
      </c>
      <c r="I320" s="15">
        <v>46223</v>
      </c>
      <c r="J320" s="15" t="s">
        <v>150</v>
      </c>
      <c r="K320" s="16" t="s">
        <v>182</v>
      </c>
      <c r="L320" t="s">
        <v>225</v>
      </c>
      <c r="M320" s="16" t="s">
        <v>152</v>
      </c>
      <c r="N320" s="16" t="s">
        <v>153</v>
      </c>
      <c r="O320" t="s">
        <v>1614</v>
      </c>
      <c r="P320" s="18">
        <v>1468</v>
      </c>
      <c r="Q320" s="21">
        <v>29</v>
      </c>
      <c r="R320" s="21" t="str">
        <f t="shared" si="84"/>
        <v>15-30 days</v>
      </c>
      <c r="S320" s="16" t="s">
        <v>145</v>
      </c>
      <c r="T320" s="16" t="s">
        <v>236</v>
      </c>
      <c r="U320" s="16" t="s">
        <v>164</v>
      </c>
      <c r="V320" t="str">
        <f>IF(U320="","",IFERROR(VLOOKUP(U320,Hotels!A:B,2,FALSE),"Not Found"))</f>
        <v>Marriott</v>
      </c>
      <c r="W320" s="14">
        <v>376.53</v>
      </c>
      <c r="X320" s="14">
        <v>0</v>
      </c>
      <c r="Y320" s="21">
        <v>1</v>
      </c>
      <c r="Z320" s="29">
        <f t="shared" si="85"/>
        <v>202.25</v>
      </c>
      <c r="AA320" s="14">
        <v>202.25</v>
      </c>
      <c r="AB320" s="14">
        <v>27.68</v>
      </c>
      <c r="AC320" s="14">
        <v>606.46</v>
      </c>
      <c r="AD320" s="16" t="s">
        <v>147</v>
      </c>
      <c r="AE320" s="16" t="s">
        <v>147</v>
      </c>
      <c r="AF320" s="14">
        <f>SUMIF('Trip Changes'!$B:$B,A320,'Trip Changes'!$E:$E)</f>
        <v>0</v>
      </c>
      <c r="AG320" s="23">
        <f>SUMIF('Trip Cancellations'!$B:$B,A320,'Trip Cancellations'!$E:$E)</f>
        <v>0</v>
      </c>
      <c r="AH320" s="14">
        <f>SUMIF('Trip Cancellations'!$B:$B,A320,'Trip Cancellations'!$F:$F)</f>
        <v>0</v>
      </c>
      <c r="AI320" s="14">
        <f t="shared" si="86"/>
        <v>606.46</v>
      </c>
      <c r="AJ320" s="14" t="str">
        <f t="shared" si="87"/>
        <v>No</v>
      </c>
      <c r="AK320" s="14" t="str">
        <f>IF(Y320=0,"N/A",
IF(_xlfn.XLOOKUP(U320,Hotels!A:A,Hotels!C:C)=TRUE,"Yes","No"))</f>
        <v>Yes</v>
      </c>
      <c r="AL320" s="14" t="str">
        <f>IF(N320="Rail","N/A",IF(_xlfn.XLOOKUP(T320,Airlines!A:A,Airlines!C:C)=TRUE,"Yes","No"))</f>
        <v>Yes</v>
      </c>
      <c r="AM320" s="14" t="str">
        <f t="shared" si="88"/>
        <v>Yes</v>
      </c>
      <c r="AN320" s="14" t="str">
        <f t="shared" si="89"/>
        <v>Yes</v>
      </c>
      <c r="AO320" s="14" t="str">
        <f t="shared" si="90"/>
        <v>Yes</v>
      </c>
      <c r="AP320" s="16" t="s">
        <v>148</v>
      </c>
      <c r="AQ320" t="str">
        <f t="shared" si="91"/>
        <v>No</v>
      </c>
      <c r="AR320" s="21">
        <v>4</v>
      </c>
      <c r="AS320" s="5">
        <v>220.2</v>
      </c>
      <c r="AT320" s="5" t="str">
        <f>IF(T320="","",_xlfn.XLOOKUP(T320,Airlines!A:A,Airlines!B:B,"Not Found"))</f>
        <v>KLM</v>
      </c>
      <c r="AU320" s="5" t="str">
        <f>IF(U320="","",_xlfn.XLOOKUP(U320,Hotels!A:A,Hotels!B:B,"Not found"))</f>
        <v>Marriott</v>
      </c>
      <c r="AV320" t="s">
        <v>148</v>
      </c>
      <c r="AW320" s="16" t="str">
        <f t="shared" si="92"/>
        <v>OK</v>
      </c>
      <c r="AX320" s="16" t="str">
        <f t="shared" si="93"/>
        <v>OK</v>
      </c>
      <c r="AY320" s="16" t="str">
        <f t="shared" si="94"/>
        <v>OK</v>
      </c>
      <c r="AZ320" s="16" t="str">
        <f t="shared" si="95"/>
        <v>OK</v>
      </c>
      <c r="BA320" s="16" t="str">
        <f t="shared" si="99"/>
        <v>OK</v>
      </c>
      <c r="BB320" s="21">
        <f>COUNTIF('Trip Changes'!B:B,A320)</f>
        <v>0</v>
      </c>
      <c r="BC320" s="16" t="str">
        <f>IF(OR(AND(AD320="Yes",COUNTIF('Trip Changes'!B:B,A320)&gt;0),AND(AD320="No",COUNTIF('Trip Changes'!B:B,A320)=0)),"OK","Check")</f>
        <v>OK</v>
      </c>
      <c r="BD320" t="str">
        <f t="shared" si="100"/>
        <v>OK</v>
      </c>
      <c r="BE320" t="str">
        <f t="shared" si="101"/>
        <v>OK</v>
      </c>
      <c r="BF320" t="str">
        <f t="shared" si="102"/>
        <v>OK</v>
      </c>
      <c r="BG320" t="str">
        <f t="shared" si="103"/>
        <v>OK</v>
      </c>
      <c r="BH320" t="str">
        <f t="shared" si="104"/>
        <v>OK</v>
      </c>
      <c r="BI320" t="str">
        <f t="shared" si="96"/>
        <v>OK</v>
      </c>
      <c r="BJ320" t="str">
        <f t="shared" si="97"/>
        <v>OK</v>
      </c>
      <c r="BK320" t="str">
        <f t="shared" si="98"/>
        <v>OK</v>
      </c>
    </row>
    <row r="321" spans="1:63">
      <c r="A321" s="16" t="s">
        <v>617</v>
      </c>
      <c r="B321" s="16" t="s">
        <v>616</v>
      </c>
      <c r="C321" s="16" t="s">
        <v>182</v>
      </c>
      <c r="D321" s="16" t="s">
        <v>138</v>
      </c>
      <c r="E321" s="16" t="s">
        <v>249</v>
      </c>
      <c r="F321" s="16" t="s">
        <v>162</v>
      </c>
      <c r="G321" s="15">
        <v>46196</v>
      </c>
      <c r="H321" s="15">
        <v>46209</v>
      </c>
      <c r="I321" s="15">
        <v>46211</v>
      </c>
      <c r="J321" s="15" t="s">
        <v>150</v>
      </c>
      <c r="K321" s="16" t="s">
        <v>182</v>
      </c>
      <c r="L321" t="s">
        <v>225</v>
      </c>
      <c r="M321" s="16" t="s">
        <v>152</v>
      </c>
      <c r="N321" s="16" t="s">
        <v>153</v>
      </c>
      <c r="O321" t="s">
        <v>1614</v>
      </c>
      <c r="P321" s="18">
        <v>2782</v>
      </c>
      <c r="Q321" s="21">
        <v>13</v>
      </c>
      <c r="R321" s="21" t="str">
        <f t="shared" si="84"/>
        <v>8-14 days</v>
      </c>
      <c r="S321" s="16" t="s">
        <v>145</v>
      </c>
      <c r="T321" s="16" t="s">
        <v>236</v>
      </c>
      <c r="U321" s="16" t="s">
        <v>155</v>
      </c>
      <c r="V321" t="str">
        <f>IF(U321="","",IFERROR(VLOOKUP(U321,Hotels!A:B,2,FALSE),"Not Found"))</f>
        <v>Hilton</v>
      </c>
      <c r="W321" s="14">
        <v>274.18</v>
      </c>
      <c r="X321" s="14">
        <v>0</v>
      </c>
      <c r="Y321" s="21">
        <v>1</v>
      </c>
      <c r="Z321" s="29">
        <f t="shared" si="85"/>
        <v>194.62</v>
      </c>
      <c r="AA321" s="14">
        <v>194.62</v>
      </c>
      <c r="AB321" s="14">
        <v>81.23</v>
      </c>
      <c r="AC321" s="14">
        <v>550.03</v>
      </c>
      <c r="AD321" s="16" t="s">
        <v>147</v>
      </c>
      <c r="AE321" s="16" t="s">
        <v>147</v>
      </c>
      <c r="AF321" s="14">
        <f>SUMIF('Trip Changes'!$B:$B,A321,'Trip Changes'!$E:$E)</f>
        <v>0</v>
      </c>
      <c r="AG321" s="23">
        <f>SUMIF('Trip Cancellations'!$B:$B,A321,'Trip Cancellations'!$E:$E)</f>
        <v>0</v>
      </c>
      <c r="AH321" s="14">
        <f>SUMIF('Trip Cancellations'!$B:$B,A321,'Trip Cancellations'!$F:$F)</f>
        <v>0</v>
      </c>
      <c r="AI321" s="14">
        <f t="shared" si="86"/>
        <v>550.03</v>
      </c>
      <c r="AJ321" s="14" t="str">
        <f t="shared" si="87"/>
        <v>No</v>
      </c>
      <c r="AK321" s="14" t="str">
        <f>IF(Y321=0,"N/A",
IF(_xlfn.XLOOKUP(U321,Hotels!A:A,Hotels!C:C)=TRUE,"Yes","No"))</f>
        <v>Yes</v>
      </c>
      <c r="AL321" s="14" t="str">
        <f>IF(N321="Rail","N/A",IF(_xlfn.XLOOKUP(T321,Airlines!A:A,Airlines!C:C)=TRUE,"Yes","No"))</f>
        <v>Yes</v>
      </c>
      <c r="AM321" s="14" t="str">
        <f t="shared" si="88"/>
        <v>Yes</v>
      </c>
      <c r="AN321" s="14" t="str">
        <f t="shared" si="89"/>
        <v>Yes</v>
      </c>
      <c r="AO321" s="14" t="str">
        <f t="shared" si="90"/>
        <v>Yes</v>
      </c>
      <c r="AP321" s="16" t="s">
        <v>148</v>
      </c>
      <c r="AQ321" t="str">
        <f t="shared" si="91"/>
        <v>No</v>
      </c>
      <c r="AR321" s="21">
        <v>5</v>
      </c>
      <c r="AS321" s="5">
        <v>417.3</v>
      </c>
      <c r="AT321" s="5" t="str">
        <f>IF(T321="","",_xlfn.XLOOKUP(T321,Airlines!A:A,Airlines!B:B,"Not Found"))</f>
        <v>KLM</v>
      </c>
      <c r="AU321" s="5" t="str">
        <f>IF(U321="","",_xlfn.XLOOKUP(U321,Hotels!A:A,Hotels!B:B,"Not found"))</f>
        <v>Hilton</v>
      </c>
      <c r="AV321" t="s">
        <v>147</v>
      </c>
      <c r="AW321" s="16" t="str">
        <f t="shared" si="92"/>
        <v>OK</v>
      </c>
      <c r="AX321" s="16" t="str">
        <f t="shared" si="93"/>
        <v>OK</v>
      </c>
      <c r="AY321" s="16" t="str">
        <f t="shared" si="94"/>
        <v>OK</v>
      </c>
      <c r="AZ321" s="16" t="str">
        <f t="shared" si="95"/>
        <v>OK</v>
      </c>
      <c r="BA321" s="16" t="str">
        <f t="shared" si="99"/>
        <v>OK</v>
      </c>
      <c r="BB321" s="21">
        <f>COUNTIF('Trip Changes'!B:B,A321)</f>
        <v>0</v>
      </c>
      <c r="BC321" s="16" t="str">
        <f>IF(OR(AND(AD321="Yes",COUNTIF('Trip Changes'!B:B,A321)&gt;0),AND(AD321="No",COUNTIF('Trip Changes'!B:B,A321)=0)),"OK","Check")</f>
        <v>OK</v>
      </c>
      <c r="BD321" t="str">
        <f t="shared" si="100"/>
        <v>OK</v>
      </c>
      <c r="BE321" t="str">
        <f t="shared" si="101"/>
        <v>OK</v>
      </c>
      <c r="BF321" t="str">
        <f t="shared" si="102"/>
        <v>OK</v>
      </c>
      <c r="BG321" t="str">
        <f t="shared" si="103"/>
        <v>OK</v>
      </c>
      <c r="BH321" t="str">
        <f t="shared" si="104"/>
        <v>OK</v>
      </c>
      <c r="BI321" t="str">
        <f t="shared" si="96"/>
        <v>OK</v>
      </c>
      <c r="BJ321" t="str">
        <f t="shared" si="97"/>
        <v>OK</v>
      </c>
      <c r="BK321" t="str">
        <f t="shared" si="98"/>
        <v>OK</v>
      </c>
    </row>
    <row r="322" spans="1:63">
      <c r="A322" s="16" t="s">
        <v>618</v>
      </c>
      <c r="B322" s="16" t="s">
        <v>616</v>
      </c>
      <c r="C322" s="16" t="s">
        <v>182</v>
      </c>
      <c r="D322" s="16" t="s">
        <v>138</v>
      </c>
      <c r="E322" s="16" t="s">
        <v>249</v>
      </c>
      <c r="F322" s="16" t="s">
        <v>140</v>
      </c>
      <c r="G322" s="15">
        <v>46166</v>
      </c>
      <c r="H322" s="15">
        <v>46188</v>
      </c>
      <c r="I322" s="15">
        <v>46191</v>
      </c>
      <c r="J322" s="15" t="s">
        <v>141</v>
      </c>
      <c r="K322" s="16" t="s">
        <v>182</v>
      </c>
      <c r="L322" t="s">
        <v>151</v>
      </c>
      <c r="M322" s="16" t="s">
        <v>152</v>
      </c>
      <c r="N322" s="16" t="s">
        <v>153</v>
      </c>
      <c r="O322" t="s">
        <v>1614</v>
      </c>
      <c r="P322" s="18">
        <v>2874</v>
      </c>
      <c r="Q322" s="21">
        <v>22</v>
      </c>
      <c r="R322" s="21" t="str">
        <f t="shared" ref="R322:R385" si="105">IF(Q322&lt;=3,"0-3 days",IF(Q322&lt;=7,"4-7 days",IF(Q322&lt;=14,"8-14 days",IF(Q322&lt;=30,"15-30 days","31+ days"))))</f>
        <v>15-30 days</v>
      </c>
      <c r="S322" s="16" t="s">
        <v>145</v>
      </c>
      <c r="T322" s="16" t="s">
        <v>176</v>
      </c>
      <c r="U322" s="16" t="s">
        <v>173</v>
      </c>
      <c r="V322" t="str">
        <f>IF(U322="","",IFERROR(VLOOKUP(U322,Hotels!A:B,2,FALSE),"Not Found"))</f>
        <v>Accor</v>
      </c>
      <c r="W322" s="14">
        <v>331.77</v>
      </c>
      <c r="X322" s="14">
        <v>0</v>
      </c>
      <c r="Y322" s="21">
        <v>2</v>
      </c>
      <c r="Z322" s="29">
        <f t="shared" ref="Z322:Z385" si="106">IF(Y322&gt;0,AA322/Y322,0)</f>
        <v>141.1</v>
      </c>
      <c r="AA322" s="14">
        <v>282.2</v>
      </c>
      <c r="AB322" s="14">
        <v>106.89</v>
      </c>
      <c r="AC322" s="14">
        <v>720.86</v>
      </c>
      <c r="AD322" s="16" t="s">
        <v>147</v>
      </c>
      <c r="AE322" s="16" t="s">
        <v>147</v>
      </c>
      <c r="AF322" s="14">
        <f>SUMIF('Trip Changes'!$B:$B,A322,'Trip Changes'!$E:$E)</f>
        <v>0</v>
      </c>
      <c r="AG322" s="23">
        <f>SUMIF('Trip Cancellations'!$B:$B,A322,'Trip Cancellations'!$E:$E)</f>
        <v>0</v>
      </c>
      <c r="AH322" s="14">
        <f>SUMIF('Trip Cancellations'!$B:$B,A322,'Trip Cancellations'!$F:$F)</f>
        <v>0</v>
      </c>
      <c r="AI322" s="14">
        <f t="shared" ref="AI322:AI385" si="107">AC322+AF322+AG322-AH322</f>
        <v>720.86</v>
      </c>
      <c r="AJ322" s="14" t="str">
        <f t="shared" ref="AJ322:AJ385" si="108">IF(Y322=0,"N/A",
IF(OR(L322="London",L322="Manchester",L322="Birmingham",L322="Edinburgh",L322="Glasgow",
L322="New York",L322="Boston",L322="Chicago",L322="Zurich",L322="Singapore",L322="Hong Kong",L322="Dubai"),
IF(Z322&lt;=220,"Yes","No"),
IF(Z322&lt;=180,"Yes","No")))</f>
        <v>Yes</v>
      </c>
      <c r="AK322" s="14" t="str">
        <f>IF(Y322=0,"N/A",
IF(_xlfn.XLOOKUP(U322,Hotels!A:A,Hotels!C:C)=TRUE,"Yes","No"))</f>
        <v>Yes</v>
      </c>
      <c r="AL322" s="14" t="str">
        <f>IF(N322="Rail","N/A",IF(_xlfn.XLOOKUP(T322,Airlines!A:A,Airlines!C:C)=TRUE,"Yes","No"))</f>
        <v>Yes</v>
      </c>
      <c r="AM322" s="14" t="str">
        <f t="shared" ref="AM322:AM385" si="109">IF(OR(
AND(N322="Air",O322="Economy"),
AND(N322="Rail",O322="Standard / 2nd Class")
),"Yes","No")</f>
        <v>Yes</v>
      </c>
      <c r="AN322" s="14" t="str">
        <f t="shared" ref="AN322:AN385" si="110">IF(OR(S322="Online Booking Tool",S322="TMC Assisted"),"Yes","No")</f>
        <v>Yes</v>
      </c>
      <c r="AO322" s="14" t="str">
        <f t="shared" ref="AO322:AO385" si="111">IF(AND(OR(AK322="Yes",AK322="N/A"),OR(AL322="Yes",AL322="N/A")),"Yes","No")</f>
        <v>Yes</v>
      </c>
      <c r="AP322" s="16" t="s">
        <v>148</v>
      </c>
      <c r="AQ322" t="str">
        <f t="shared" ref="AQ322:AQ385" si="112">IF(AND(OR(AJ322="Yes",AJ322="N/A"),OR(AK322="Yes",AK322="N/A"),OR(AL322="Yes",AL322="N/A"),AM322="Yes",AN322="Yes"),"Yes","No")</f>
        <v>Yes</v>
      </c>
      <c r="AR322" s="21">
        <v>4</v>
      </c>
      <c r="AS322" s="5">
        <v>431.1</v>
      </c>
      <c r="AT322" s="5" t="str">
        <f>IF(T322="","",_xlfn.XLOOKUP(T322,Airlines!A:A,Airlines!B:B,"Not Found"))</f>
        <v>easyJet</v>
      </c>
      <c r="AU322" s="5" t="str">
        <f>IF(U322="","",_xlfn.XLOOKUP(U322,Hotels!A:A,Hotels!B:B,"Not found"))</f>
        <v>Accor</v>
      </c>
      <c r="AV322" t="s">
        <v>147</v>
      </c>
      <c r="AW322" s="16" t="str">
        <f t="shared" ref="AW322:AW385" si="113">IF(OR(A322="",B322="",G322="",H322="",I322="",K322="",L322="",M322="",N322="",S322="",AC322="",AI322=""),"Check","OK")</f>
        <v>OK</v>
      </c>
      <c r="AX322" s="16" t="str">
        <f t="shared" ref="AX322:AX385" si="114">IF(AND(G322&lt;=H322, H322&lt;=I322),"OK","CHECK")</f>
        <v>OK</v>
      </c>
      <c r="AY322" s="16" t="str">
        <f t="shared" ref="AY322:AY385" si="115">IF(Q322=H322-G322,"OK","Check")</f>
        <v>OK</v>
      </c>
      <c r="AZ322" s="16" t="str">
        <f t="shared" ref="AZ322:AZ385" si="116">IF(ROUND(W322+X322+AA322+AB322,2)=ROUND(AC322,2),"OK","Check")</f>
        <v>OK</v>
      </c>
      <c r="BA322" s="16" t="str">
        <f t="shared" si="99"/>
        <v>OK</v>
      </c>
      <c r="BB322" s="21">
        <f>COUNTIF('Trip Changes'!B:B,A322)</f>
        <v>0</v>
      </c>
      <c r="BC322" s="16" t="str">
        <f>IF(OR(AND(AD322="Yes",COUNTIF('Trip Changes'!B:B,A322)&gt;0),AND(AD322="No",COUNTIF('Trip Changes'!B:B,A322)=0)),"OK","Check")</f>
        <v>OK</v>
      </c>
      <c r="BD322" t="str">
        <f t="shared" si="100"/>
        <v>OK</v>
      </c>
      <c r="BE322" t="str">
        <f t="shared" si="101"/>
        <v>OK</v>
      </c>
      <c r="BF322" t="str">
        <f t="shared" si="102"/>
        <v>OK</v>
      </c>
      <c r="BG322" t="str">
        <f t="shared" si="103"/>
        <v>OK</v>
      </c>
      <c r="BH322" t="str">
        <f t="shared" si="104"/>
        <v>OK</v>
      </c>
      <c r="BI322" t="str">
        <f t="shared" ref="BI322:BI385" si="117">IF(OR(N322="Air",N322="Rail"),"OK","Check")</f>
        <v>OK</v>
      </c>
      <c r="BJ322" t="str">
        <f t="shared" ref="BJ322:BJ385" si="118">IF(OR(M322="Domestic",M322="International"),"OK","Check")</f>
        <v>OK</v>
      </c>
      <c r="BK322" t="str">
        <f t="shared" ref="BK322:BK385" si="119">IF(OR(S322="Online Booking Tool",S322="TMC Assisted",S322="Direct Supplier",S322="Other"),"OK","Check")</f>
        <v>OK</v>
      </c>
    </row>
    <row r="323" spans="1:63">
      <c r="A323" s="16" t="s">
        <v>619</v>
      </c>
      <c r="B323" s="16" t="s">
        <v>616</v>
      </c>
      <c r="C323" s="16" t="s">
        <v>182</v>
      </c>
      <c r="D323" s="16" t="s">
        <v>138</v>
      </c>
      <c r="E323" s="16" t="s">
        <v>249</v>
      </c>
      <c r="F323" s="16" t="s">
        <v>157</v>
      </c>
      <c r="G323" s="15">
        <v>46189</v>
      </c>
      <c r="H323" s="15">
        <v>46202</v>
      </c>
      <c r="I323" s="15">
        <v>46204</v>
      </c>
      <c r="J323" s="15" t="s">
        <v>141</v>
      </c>
      <c r="K323" s="16" t="s">
        <v>182</v>
      </c>
      <c r="L323" t="s">
        <v>209</v>
      </c>
      <c r="M323" s="16" t="s">
        <v>152</v>
      </c>
      <c r="N323" s="16" t="s">
        <v>153</v>
      </c>
      <c r="O323" t="s">
        <v>1614</v>
      </c>
      <c r="P323" s="18">
        <v>2928</v>
      </c>
      <c r="Q323" s="21">
        <v>13</v>
      </c>
      <c r="R323" s="21" t="str">
        <f t="shared" si="105"/>
        <v>8-14 days</v>
      </c>
      <c r="S323" s="16" t="s">
        <v>145</v>
      </c>
      <c r="T323" s="16" t="s">
        <v>154</v>
      </c>
      <c r="U323" s="16" t="s">
        <v>155</v>
      </c>
      <c r="V323" t="str">
        <f>IF(U323="","",IFERROR(VLOOKUP(U323,Hotels!A:B,2,FALSE),"Not Found"))</f>
        <v>Hilton</v>
      </c>
      <c r="W323" s="14">
        <v>328.05</v>
      </c>
      <c r="X323" s="14">
        <v>0</v>
      </c>
      <c r="Y323" s="21">
        <v>1</v>
      </c>
      <c r="Z323" s="29">
        <f t="shared" si="106"/>
        <v>232.21</v>
      </c>
      <c r="AA323" s="14">
        <v>232.21</v>
      </c>
      <c r="AB323" s="14">
        <v>20</v>
      </c>
      <c r="AC323" s="14">
        <v>580.26</v>
      </c>
      <c r="AD323" s="16" t="s">
        <v>147</v>
      </c>
      <c r="AE323" s="16" t="s">
        <v>147</v>
      </c>
      <c r="AF323" s="14">
        <f>SUMIF('Trip Changes'!$B:$B,A323,'Trip Changes'!$E:$E)</f>
        <v>0</v>
      </c>
      <c r="AG323" s="23">
        <f>SUMIF('Trip Cancellations'!$B:$B,A323,'Trip Cancellations'!$E:$E)</f>
        <v>0</v>
      </c>
      <c r="AH323" s="14">
        <f>SUMIF('Trip Cancellations'!$B:$B,A323,'Trip Cancellations'!$F:$F)</f>
        <v>0</v>
      </c>
      <c r="AI323" s="14">
        <f t="shared" si="107"/>
        <v>580.26</v>
      </c>
      <c r="AJ323" s="14" t="str">
        <f t="shared" si="108"/>
        <v>No</v>
      </c>
      <c r="AK323" s="14" t="str">
        <f>IF(Y323=0,"N/A",
IF(_xlfn.XLOOKUP(U323,Hotels!A:A,Hotels!C:C)=TRUE,"Yes","No"))</f>
        <v>Yes</v>
      </c>
      <c r="AL323" s="14" t="str">
        <f>IF(N323="Rail","N/A",IF(_xlfn.XLOOKUP(T323,Airlines!A:A,Airlines!C:C)=TRUE,"Yes","No"))</f>
        <v>Yes</v>
      </c>
      <c r="AM323" s="14" t="str">
        <f t="shared" si="109"/>
        <v>Yes</v>
      </c>
      <c r="AN323" s="14" t="str">
        <f t="shared" si="110"/>
        <v>Yes</v>
      </c>
      <c r="AO323" s="14" t="str">
        <f t="shared" si="111"/>
        <v>Yes</v>
      </c>
      <c r="AP323" s="16" t="s">
        <v>148</v>
      </c>
      <c r="AQ323" t="str">
        <f t="shared" si="112"/>
        <v>No</v>
      </c>
      <c r="AR323" s="21">
        <v>4</v>
      </c>
      <c r="AS323" s="5">
        <v>439.2</v>
      </c>
      <c r="AT323" s="5" t="str">
        <f>IF(T323="","",_xlfn.XLOOKUP(T323,Airlines!A:A,Airlines!B:B,"Not Found"))</f>
        <v>British Airways</v>
      </c>
      <c r="AU323" s="5" t="str">
        <f>IF(U323="","",_xlfn.XLOOKUP(U323,Hotels!A:A,Hotels!B:B,"Not found"))</f>
        <v>Hilton</v>
      </c>
      <c r="AV323" t="s">
        <v>148</v>
      </c>
      <c r="AW323" s="16" t="str">
        <f t="shared" si="113"/>
        <v>OK</v>
      </c>
      <c r="AX323" s="16" t="str">
        <f t="shared" si="114"/>
        <v>OK</v>
      </c>
      <c r="AY323" s="16" t="str">
        <f t="shared" si="115"/>
        <v>OK</v>
      </c>
      <c r="AZ323" s="16" t="str">
        <f t="shared" si="116"/>
        <v>OK</v>
      </c>
      <c r="BA323" s="16" t="str">
        <f t="shared" ref="BA323:BA386" si="120">IF(ROUND(AC323+AF323+AG323-AH323,2)=ROUND(AI323,2),"OK","Check")</f>
        <v>OK</v>
      </c>
      <c r="BB323" s="21">
        <f>COUNTIF('Trip Changes'!B:B,A323)</f>
        <v>0</v>
      </c>
      <c r="BC323" s="16" t="str">
        <f>IF(OR(AND(AD323="Yes",COUNTIF('Trip Changes'!B:B,A323)&gt;0),AND(AD323="No",COUNTIF('Trip Changes'!B:B,A323)=0)),"OK","Check")</f>
        <v>OK</v>
      </c>
      <c r="BD323" t="str">
        <f t="shared" ref="BD323:BD386" si="121">IF(OR(AD323="Yes",AD323="No"),"OK","Check")</f>
        <v>OK</v>
      </c>
      <c r="BE323" t="str">
        <f t="shared" ref="BE323:BE386" si="122">IF(OR(AE323="Yes",AE323="No"),"OK","Check")</f>
        <v>OK</v>
      </c>
      <c r="BF323" t="str">
        <f t="shared" ref="BF323:BF386" si="123">IF(OR(AP323="Yes",AP323="No"),"OK","Check")</f>
        <v>OK</v>
      </c>
      <c r="BG323" t="str">
        <f t="shared" ref="BG323:BG386" si="124">IF(OR(AV323="Yes",AV323="No"),"OK","Check")</f>
        <v>OK</v>
      </c>
      <c r="BH323" t="str">
        <f t="shared" ref="BH323:BH386" si="125">IF(AND(ISNUMBER(AR323),AR323&gt;=1,AR323&lt;=5),"OK","Check")</f>
        <v>OK</v>
      </c>
      <c r="BI323" t="str">
        <f t="shared" si="117"/>
        <v>OK</v>
      </c>
      <c r="BJ323" t="str">
        <f t="shared" si="118"/>
        <v>OK</v>
      </c>
      <c r="BK323" t="str">
        <f t="shared" si="119"/>
        <v>OK</v>
      </c>
    </row>
    <row r="324" spans="1:63">
      <c r="A324" s="16" t="s">
        <v>620</v>
      </c>
      <c r="B324" s="16" t="s">
        <v>616</v>
      </c>
      <c r="C324" s="16" t="s">
        <v>182</v>
      </c>
      <c r="D324" s="16" t="s">
        <v>138</v>
      </c>
      <c r="E324" s="16" t="s">
        <v>249</v>
      </c>
      <c r="F324" s="16" t="s">
        <v>162</v>
      </c>
      <c r="G324" s="15">
        <v>46215</v>
      </c>
      <c r="H324" s="15">
        <v>46222</v>
      </c>
      <c r="I324" s="15">
        <v>46228</v>
      </c>
      <c r="J324" s="15" t="s">
        <v>150</v>
      </c>
      <c r="K324" s="16" t="s">
        <v>182</v>
      </c>
      <c r="L324" t="s">
        <v>223</v>
      </c>
      <c r="M324" s="16" t="s">
        <v>152</v>
      </c>
      <c r="N324" s="16" t="s">
        <v>153</v>
      </c>
      <c r="O324" t="s">
        <v>1614</v>
      </c>
      <c r="P324" s="18">
        <v>13332</v>
      </c>
      <c r="Q324" s="21">
        <v>7</v>
      </c>
      <c r="R324" s="21" t="str">
        <f t="shared" si="105"/>
        <v>4-7 days</v>
      </c>
      <c r="S324" s="16" t="s">
        <v>216</v>
      </c>
      <c r="T324" s="16" t="s">
        <v>441</v>
      </c>
      <c r="U324" s="16" t="s">
        <v>187</v>
      </c>
      <c r="V324" t="str">
        <f>IF(U324="","",IFERROR(VLOOKUP(U324,Hotels!A:B,2,FALSE),"Not Found"))</f>
        <v>IHG Hotels &amp; Resorts</v>
      </c>
      <c r="W324" s="14">
        <v>2351.6999999999998</v>
      </c>
      <c r="X324" s="14">
        <v>0</v>
      </c>
      <c r="Y324" s="21">
        <v>5</v>
      </c>
      <c r="Z324" s="29">
        <f t="shared" si="106"/>
        <v>131.44800000000001</v>
      </c>
      <c r="AA324" s="14">
        <v>657.24</v>
      </c>
      <c r="AB324" s="14">
        <v>74.64</v>
      </c>
      <c r="AC324" s="14">
        <v>3083.58</v>
      </c>
      <c r="AD324" s="16" t="s">
        <v>147</v>
      </c>
      <c r="AE324" s="16" t="s">
        <v>147</v>
      </c>
      <c r="AF324" s="14">
        <f>SUMIF('Trip Changes'!$B:$B,A324,'Trip Changes'!$E:$E)</f>
        <v>0</v>
      </c>
      <c r="AG324" s="23">
        <f>SUMIF('Trip Cancellations'!$B:$B,A324,'Trip Cancellations'!$E:$E)</f>
        <v>0</v>
      </c>
      <c r="AH324" s="14">
        <f>SUMIF('Trip Cancellations'!$B:$B,A324,'Trip Cancellations'!$F:$F)</f>
        <v>0</v>
      </c>
      <c r="AI324" s="14">
        <f t="shared" si="107"/>
        <v>3083.58</v>
      </c>
      <c r="AJ324" s="14" t="str">
        <f t="shared" si="108"/>
        <v>Yes</v>
      </c>
      <c r="AK324" s="14" t="str">
        <f>IF(Y324=0,"N/A",
IF(_xlfn.XLOOKUP(U324,Hotels!A:A,Hotels!C:C)=TRUE,"Yes","No"))</f>
        <v>Yes</v>
      </c>
      <c r="AL324" s="14" t="str">
        <f>IF(N324="Rail","N/A",IF(_xlfn.XLOOKUP(T324,Airlines!A:A,Airlines!C:C)=TRUE,"Yes","No"))</f>
        <v>Yes</v>
      </c>
      <c r="AM324" s="14" t="str">
        <f t="shared" si="109"/>
        <v>Yes</v>
      </c>
      <c r="AN324" s="14" t="str">
        <f t="shared" si="110"/>
        <v>No</v>
      </c>
      <c r="AO324" s="14" t="str">
        <f t="shared" si="111"/>
        <v>Yes</v>
      </c>
      <c r="AP324" s="16" t="s">
        <v>148</v>
      </c>
      <c r="AQ324" t="str">
        <f t="shared" si="112"/>
        <v>No</v>
      </c>
      <c r="AR324" s="21">
        <v>4</v>
      </c>
      <c r="AS324" s="5">
        <v>1999.8</v>
      </c>
      <c r="AT324" s="5" t="str">
        <f>IF(T324="","",_xlfn.XLOOKUP(T324,Airlines!A:A,Airlines!B:B,"Not Found"))</f>
        <v>Emirates</v>
      </c>
      <c r="AU324" s="5" t="str">
        <f>IF(U324="","",_xlfn.XLOOKUP(U324,Hotels!A:A,Hotels!B:B,"Not found"))</f>
        <v>IHG Hotels &amp; Resorts</v>
      </c>
      <c r="AV324" t="s">
        <v>148</v>
      </c>
      <c r="AW324" s="16" t="str">
        <f t="shared" si="113"/>
        <v>OK</v>
      </c>
      <c r="AX324" s="16" t="str">
        <f t="shared" si="114"/>
        <v>OK</v>
      </c>
      <c r="AY324" s="16" t="str">
        <f t="shared" si="115"/>
        <v>OK</v>
      </c>
      <c r="AZ324" s="16" t="str">
        <f t="shared" si="116"/>
        <v>OK</v>
      </c>
      <c r="BA324" s="16" t="str">
        <f t="shared" si="120"/>
        <v>OK</v>
      </c>
      <c r="BB324" s="21">
        <f>COUNTIF('Trip Changes'!B:B,A324)</f>
        <v>0</v>
      </c>
      <c r="BC324" s="16" t="str">
        <f>IF(OR(AND(AD324="Yes",COUNTIF('Trip Changes'!B:B,A324)&gt;0),AND(AD324="No",COUNTIF('Trip Changes'!B:B,A324)=0)),"OK","Check")</f>
        <v>OK</v>
      </c>
      <c r="BD324" t="str">
        <f t="shared" si="121"/>
        <v>OK</v>
      </c>
      <c r="BE324" t="str">
        <f t="shared" si="122"/>
        <v>OK</v>
      </c>
      <c r="BF324" t="str">
        <f t="shared" si="123"/>
        <v>OK</v>
      </c>
      <c r="BG324" t="str">
        <f t="shared" si="124"/>
        <v>OK</v>
      </c>
      <c r="BH324" t="str">
        <f t="shared" si="125"/>
        <v>OK</v>
      </c>
      <c r="BI324" t="str">
        <f t="shared" si="117"/>
        <v>OK</v>
      </c>
      <c r="BJ324" t="str">
        <f t="shared" si="118"/>
        <v>OK</v>
      </c>
      <c r="BK324" t="str">
        <f t="shared" si="119"/>
        <v>OK</v>
      </c>
    </row>
    <row r="325" spans="1:63">
      <c r="A325" s="16" t="s">
        <v>621</v>
      </c>
      <c r="B325" s="16" t="s">
        <v>622</v>
      </c>
      <c r="C325" s="16" t="s">
        <v>182</v>
      </c>
      <c r="D325" s="16" t="s">
        <v>248</v>
      </c>
      <c r="E325" s="16" t="s">
        <v>169</v>
      </c>
      <c r="F325" s="16" t="s">
        <v>162</v>
      </c>
      <c r="G325" s="15">
        <v>46171</v>
      </c>
      <c r="H325" s="15">
        <v>46177</v>
      </c>
      <c r="I325" s="15">
        <v>46178</v>
      </c>
      <c r="J325" s="15" t="s">
        <v>141</v>
      </c>
      <c r="K325" s="16" t="s">
        <v>182</v>
      </c>
      <c r="L325" t="s">
        <v>307</v>
      </c>
      <c r="M325" s="16" t="s">
        <v>143</v>
      </c>
      <c r="N325" s="16" t="s">
        <v>144</v>
      </c>
      <c r="O325" t="s">
        <v>1630</v>
      </c>
      <c r="P325" s="18">
        <v>1218</v>
      </c>
      <c r="Q325" s="21">
        <v>6</v>
      </c>
      <c r="R325" s="21" t="str">
        <f t="shared" si="105"/>
        <v>4-7 days</v>
      </c>
      <c r="S325" s="16" t="s">
        <v>145</v>
      </c>
      <c r="V325" t="str">
        <f>IF(U325="","",IFERROR(VLOOKUP(U325,Hotels!A:B,2,FALSE),"Not Found"))</f>
        <v/>
      </c>
      <c r="W325" s="14">
        <v>0</v>
      </c>
      <c r="X325" s="14">
        <v>195.64</v>
      </c>
      <c r="Y325" s="21">
        <v>0</v>
      </c>
      <c r="Z325" s="29">
        <f t="shared" si="106"/>
        <v>0</v>
      </c>
      <c r="AA325" s="14">
        <v>0</v>
      </c>
      <c r="AB325" s="14">
        <v>73.75</v>
      </c>
      <c r="AC325" s="14">
        <v>269.39</v>
      </c>
      <c r="AD325" s="16" t="s">
        <v>147</v>
      </c>
      <c r="AE325" s="16" t="s">
        <v>147</v>
      </c>
      <c r="AF325" s="14">
        <f>SUMIF('Trip Changes'!$B:$B,A325,'Trip Changes'!$E:$E)</f>
        <v>0</v>
      </c>
      <c r="AG325" s="23">
        <f>SUMIF('Trip Cancellations'!$B:$B,A325,'Trip Cancellations'!$E:$E)</f>
        <v>0</v>
      </c>
      <c r="AH325" s="14">
        <f>SUMIF('Trip Cancellations'!$B:$B,A325,'Trip Cancellations'!$F:$F)</f>
        <v>0</v>
      </c>
      <c r="AI325" s="14">
        <f t="shared" si="107"/>
        <v>269.39</v>
      </c>
      <c r="AJ325" s="14" t="str">
        <f t="shared" si="108"/>
        <v>N/A</v>
      </c>
      <c r="AK325" s="14" t="str">
        <f>IF(Y325=0,"N/A",
IF(_xlfn.XLOOKUP(U325,Hotels!A:A,Hotels!C:C)=TRUE,"Yes","No"))</f>
        <v>N/A</v>
      </c>
      <c r="AL325" s="14" t="str">
        <f>IF(N325="Rail","N/A",IF(_xlfn.XLOOKUP(T325,Airlines!A:A,Airlines!C:C)=TRUE,"Yes","No"))</f>
        <v>N/A</v>
      </c>
      <c r="AM325" s="14" t="str">
        <f t="shared" si="109"/>
        <v>Yes</v>
      </c>
      <c r="AN325" s="14" t="str">
        <f t="shared" si="110"/>
        <v>Yes</v>
      </c>
      <c r="AO325" s="14" t="str">
        <f t="shared" si="111"/>
        <v>Yes</v>
      </c>
      <c r="AP325" s="16" t="s">
        <v>148</v>
      </c>
      <c r="AQ325" t="str">
        <f t="shared" si="112"/>
        <v>Yes</v>
      </c>
      <c r="AR325" s="21">
        <v>5</v>
      </c>
      <c r="AS325" s="5">
        <v>48.7</v>
      </c>
      <c r="AT325" s="5" t="str">
        <f>IF(T325="","",_xlfn.XLOOKUP(T325,Airlines!A:A,Airlines!B:B,"Not Found"))</f>
        <v/>
      </c>
      <c r="AU325" s="5" t="str">
        <f>IF(U325="","",_xlfn.XLOOKUP(U325,Hotels!A:A,Hotels!B:B,"Not found"))</f>
        <v/>
      </c>
      <c r="AV325" t="s">
        <v>148</v>
      </c>
      <c r="AW325" s="16" t="str">
        <f t="shared" si="113"/>
        <v>OK</v>
      </c>
      <c r="AX325" s="16" t="str">
        <f t="shared" si="114"/>
        <v>OK</v>
      </c>
      <c r="AY325" s="16" t="str">
        <f t="shared" si="115"/>
        <v>OK</v>
      </c>
      <c r="AZ325" s="16" t="str">
        <f t="shared" si="116"/>
        <v>OK</v>
      </c>
      <c r="BA325" s="16" t="str">
        <f t="shared" si="120"/>
        <v>OK</v>
      </c>
      <c r="BB325" s="21">
        <f>COUNTIF('Trip Changes'!B:B,A325)</f>
        <v>0</v>
      </c>
      <c r="BC325" s="16" t="str">
        <f>IF(OR(AND(AD325="Yes",COUNTIF('Trip Changes'!B:B,A325)&gt;0),AND(AD325="No",COUNTIF('Trip Changes'!B:B,A325)=0)),"OK","Check")</f>
        <v>OK</v>
      </c>
      <c r="BD325" t="str">
        <f t="shared" si="121"/>
        <v>OK</v>
      </c>
      <c r="BE325" t="str">
        <f t="shared" si="122"/>
        <v>OK</v>
      </c>
      <c r="BF325" t="str">
        <f t="shared" si="123"/>
        <v>OK</v>
      </c>
      <c r="BG325" t="str">
        <f t="shared" si="124"/>
        <v>OK</v>
      </c>
      <c r="BH325" t="str">
        <f t="shared" si="125"/>
        <v>OK</v>
      </c>
      <c r="BI325" t="str">
        <f t="shared" si="117"/>
        <v>OK</v>
      </c>
      <c r="BJ325" t="str">
        <f t="shared" si="118"/>
        <v>OK</v>
      </c>
      <c r="BK325" t="str">
        <f t="shared" si="119"/>
        <v>OK</v>
      </c>
    </row>
    <row r="326" spans="1:63">
      <c r="A326" s="16" t="s">
        <v>623</v>
      </c>
      <c r="B326" s="16" t="s">
        <v>622</v>
      </c>
      <c r="C326" s="16" t="s">
        <v>182</v>
      </c>
      <c r="D326" s="16" t="s">
        <v>248</v>
      </c>
      <c r="E326" s="16" t="s">
        <v>169</v>
      </c>
      <c r="F326" s="16" t="s">
        <v>157</v>
      </c>
      <c r="G326" s="15">
        <v>46193</v>
      </c>
      <c r="H326" s="15">
        <v>46220</v>
      </c>
      <c r="I326" s="15">
        <v>46223</v>
      </c>
      <c r="J326" s="15" t="s">
        <v>150</v>
      </c>
      <c r="K326" s="16" t="s">
        <v>182</v>
      </c>
      <c r="L326" t="s">
        <v>193</v>
      </c>
      <c r="M326" s="16" t="s">
        <v>143</v>
      </c>
      <c r="N326" s="16" t="s">
        <v>144</v>
      </c>
      <c r="O326" t="s">
        <v>1630</v>
      </c>
      <c r="P326" s="18">
        <v>932</v>
      </c>
      <c r="Q326" s="21">
        <v>27</v>
      </c>
      <c r="R326" s="21" t="str">
        <f t="shared" si="105"/>
        <v>15-30 days</v>
      </c>
      <c r="S326" s="16" t="s">
        <v>216</v>
      </c>
      <c r="U326" s="16" t="s">
        <v>155</v>
      </c>
      <c r="V326" t="str">
        <f>IF(U326="","",IFERROR(VLOOKUP(U326,Hotels!A:B,2,FALSE),"Not Found"))</f>
        <v>Hilton</v>
      </c>
      <c r="W326" s="14">
        <v>0</v>
      </c>
      <c r="X326" s="14">
        <v>272.11</v>
      </c>
      <c r="Y326" s="21">
        <v>2</v>
      </c>
      <c r="Z326" s="29">
        <f t="shared" si="106"/>
        <v>122.69</v>
      </c>
      <c r="AA326" s="14">
        <v>245.38</v>
      </c>
      <c r="AB326" s="14">
        <v>83.94</v>
      </c>
      <c r="AC326" s="14">
        <v>601.42999999999995</v>
      </c>
      <c r="AD326" s="16" t="s">
        <v>148</v>
      </c>
      <c r="AE326" s="16" t="s">
        <v>147</v>
      </c>
      <c r="AF326" s="14">
        <f>SUMIF('Trip Changes'!$B:$B,A326,'Trip Changes'!$E:$E)</f>
        <v>221.22</v>
      </c>
      <c r="AG326" s="23">
        <f>SUMIF('Trip Cancellations'!$B:$B,A326,'Trip Cancellations'!$E:$E)</f>
        <v>0</v>
      </c>
      <c r="AH326" s="14">
        <f>SUMIF('Trip Cancellations'!$B:$B,A326,'Trip Cancellations'!$F:$F)</f>
        <v>0</v>
      </c>
      <c r="AI326" s="14">
        <f t="shared" si="107"/>
        <v>822.65</v>
      </c>
      <c r="AJ326" s="14" t="str">
        <f t="shared" si="108"/>
        <v>Yes</v>
      </c>
      <c r="AK326" s="14" t="str">
        <f>IF(Y326=0,"N/A",
IF(_xlfn.XLOOKUP(U326,Hotels!A:A,Hotels!C:C)=TRUE,"Yes","No"))</f>
        <v>Yes</v>
      </c>
      <c r="AL326" s="14" t="str">
        <f>IF(N326="Rail","N/A",IF(_xlfn.XLOOKUP(T326,Airlines!A:A,Airlines!C:C)=TRUE,"Yes","No"))</f>
        <v>N/A</v>
      </c>
      <c r="AM326" s="14" t="str">
        <f t="shared" si="109"/>
        <v>Yes</v>
      </c>
      <c r="AN326" s="14" t="str">
        <f t="shared" si="110"/>
        <v>No</v>
      </c>
      <c r="AO326" s="14" t="str">
        <f t="shared" si="111"/>
        <v>Yes</v>
      </c>
      <c r="AP326" s="16" t="s">
        <v>148</v>
      </c>
      <c r="AQ326" t="str">
        <f t="shared" si="112"/>
        <v>No</v>
      </c>
      <c r="AR326" s="21">
        <v>5</v>
      </c>
      <c r="AS326" s="5">
        <v>37.299999999999997</v>
      </c>
      <c r="AT326" s="5" t="str">
        <f>IF(T326="","",_xlfn.XLOOKUP(T326,Airlines!A:A,Airlines!B:B,"Not Found"))</f>
        <v/>
      </c>
      <c r="AU326" s="5" t="str">
        <f>IF(U326="","",_xlfn.XLOOKUP(U326,Hotels!A:A,Hotels!B:B,"Not found"))</f>
        <v>Hilton</v>
      </c>
      <c r="AV326" t="s">
        <v>148</v>
      </c>
      <c r="AW326" s="16" t="str">
        <f t="shared" si="113"/>
        <v>OK</v>
      </c>
      <c r="AX326" s="16" t="str">
        <f t="shared" si="114"/>
        <v>OK</v>
      </c>
      <c r="AY326" s="16" t="str">
        <f t="shared" si="115"/>
        <v>OK</v>
      </c>
      <c r="AZ326" s="16" t="str">
        <f t="shared" si="116"/>
        <v>OK</v>
      </c>
      <c r="BA326" s="16" t="str">
        <f t="shared" si="120"/>
        <v>OK</v>
      </c>
      <c r="BB326" s="21">
        <f>COUNTIF('Trip Changes'!B:B,A326)</f>
        <v>2</v>
      </c>
      <c r="BC326" s="16" t="str">
        <f>IF(OR(AND(AD326="Yes",COUNTIF('Trip Changes'!B:B,A326)&gt;0),AND(AD326="No",COUNTIF('Trip Changes'!B:B,A326)=0)),"OK","Check")</f>
        <v>OK</v>
      </c>
      <c r="BD326" t="str">
        <f t="shared" si="121"/>
        <v>OK</v>
      </c>
      <c r="BE326" t="str">
        <f t="shared" si="122"/>
        <v>OK</v>
      </c>
      <c r="BF326" t="str">
        <f t="shared" si="123"/>
        <v>OK</v>
      </c>
      <c r="BG326" t="str">
        <f t="shared" si="124"/>
        <v>OK</v>
      </c>
      <c r="BH326" t="str">
        <f t="shared" si="125"/>
        <v>OK</v>
      </c>
      <c r="BI326" t="str">
        <f t="shared" si="117"/>
        <v>OK</v>
      </c>
      <c r="BJ326" t="str">
        <f t="shared" si="118"/>
        <v>OK</v>
      </c>
      <c r="BK326" t="str">
        <f t="shared" si="119"/>
        <v>OK</v>
      </c>
    </row>
    <row r="327" spans="1:63">
      <c r="A327" s="16" t="s">
        <v>624</v>
      </c>
      <c r="B327" s="16" t="s">
        <v>622</v>
      </c>
      <c r="C327" s="16" t="s">
        <v>182</v>
      </c>
      <c r="D327" s="16" t="s">
        <v>248</v>
      </c>
      <c r="E327" s="16" t="s">
        <v>169</v>
      </c>
      <c r="F327" s="16" t="s">
        <v>178</v>
      </c>
      <c r="G327" s="15">
        <v>46140</v>
      </c>
      <c r="H327" s="15">
        <v>46144</v>
      </c>
      <c r="I327" s="15">
        <v>46148</v>
      </c>
      <c r="J327" s="15" t="s">
        <v>163</v>
      </c>
      <c r="K327" s="16" t="s">
        <v>182</v>
      </c>
      <c r="L327" t="s">
        <v>233</v>
      </c>
      <c r="M327" s="16" t="s">
        <v>152</v>
      </c>
      <c r="N327" s="16" t="s">
        <v>153</v>
      </c>
      <c r="O327" t="s">
        <v>1614</v>
      </c>
      <c r="P327" s="18">
        <v>1722</v>
      </c>
      <c r="Q327" s="21">
        <v>4</v>
      </c>
      <c r="R327" s="21" t="str">
        <f t="shared" si="105"/>
        <v>4-7 days</v>
      </c>
      <c r="S327" s="16" t="s">
        <v>216</v>
      </c>
      <c r="T327" s="16" t="s">
        <v>160</v>
      </c>
      <c r="U327" s="16" t="s">
        <v>173</v>
      </c>
      <c r="V327" t="str">
        <f>IF(U327="","",IFERROR(VLOOKUP(U327,Hotels!A:B,2,FALSE),"Not Found"))</f>
        <v>Accor</v>
      </c>
      <c r="W327" s="14">
        <v>551.85</v>
      </c>
      <c r="X327" s="14">
        <v>0</v>
      </c>
      <c r="Y327" s="21">
        <v>3</v>
      </c>
      <c r="Z327" s="29">
        <f t="shared" si="106"/>
        <v>191.97</v>
      </c>
      <c r="AA327" s="14">
        <v>575.91</v>
      </c>
      <c r="AB327" s="14">
        <v>61.62</v>
      </c>
      <c r="AC327" s="14">
        <v>1189.3800000000001</v>
      </c>
      <c r="AD327" s="16" t="s">
        <v>147</v>
      </c>
      <c r="AE327" s="16" t="s">
        <v>147</v>
      </c>
      <c r="AF327" s="14">
        <f>SUMIF('Trip Changes'!$B:$B,A327,'Trip Changes'!$E:$E)</f>
        <v>0</v>
      </c>
      <c r="AG327" s="23">
        <f>SUMIF('Trip Cancellations'!$B:$B,A327,'Trip Cancellations'!$E:$E)</f>
        <v>0</v>
      </c>
      <c r="AH327" s="14">
        <f>SUMIF('Trip Cancellations'!$B:$B,A327,'Trip Cancellations'!$F:$F)</f>
        <v>0</v>
      </c>
      <c r="AI327" s="14">
        <f t="shared" si="107"/>
        <v>1189.3800000000001</v>
      </c>
      <c r="AJ327" s="14" t="str">
        <f t="shared" si="108"/>
        <v>No</v>
      </c>
      <c r="AK327" s="14" t="str">
        <f>IF(Y327=0,"N/A",
IF(_xlfn.XLOOKUP(U327,Hotels!A:A,Hotels!C:C)=TRUE,"Yes","No"))</f>
        <v>Yes</v>
      </c>
      <c r="AL327" s="14" t="str">
        <f>IF(N327="Rail","N/A",IF(_xlfn.XLOOKUP(T327,Airlines!A:A,Airlines!C:C)=TRUE,"Yes","No"))</f>
        <v>Yes</v>
      </c>
      <c r="AM327" s="14" t="str">
        <f t="shared" si="109"/>
        <v>Yes</v>
      </c>
      <c r="AN327" s="14" t="str">
        <f t="shared" si="110"/>
        <v>No</v>
      </c>
      <c r="AO327" s="14" t="str">
        <f t="shared" si="111"/>
        <v>Yes</v>
      </c>
      <c r="AP327" s="16" t="s">
        <v>148</v>
      </c>
      <c r="AQ327" t="str">
        <f t="shared" si="112"/>
        <v>No</v>
      </c>
      <c r="AR327" s="21">
        <v>4</v>
      </c>
      <c r="AS327" s="5">
        <v>258.3</v>
      </c>
      <c r="AT327" s="5" t="str">
        <f>IF(T327="","",_xlfn.XLOOKUP(T327,Airlines!A:A,Airlines!B:B,"Not Found"))</f>
        <v>Air France</v>
      </c>
      <c r="AU327" s="5" t="str">
        <f>IF(U327="","",_xlfn.XLOOKUP(U327,Hotels!A:A,Hotels!B:B,"Not found"))</f>
        <v>Accor</v>
      </c>
      <c r="AV327" t="s">
        <v>147</v>
      </c>
      <c r="AW327" s="16" t="str">
        <f t="shared" si="113"/>
        <v>OK</v>
      </c>
      <c r="AX327" s="16" t="str">
        <f t="shared" si="114"/>
        <v>OK</v>
      </c>
      <c r="AY327" s="16" t="str">
        <f t="shared" si="115"/>
        <v>OK</v>
      </c>
      <c r="AZ327" s="16" t="str">
        <f t="shared" si="116"/>
        <v>OK</v>
      </c>
      <c r="BA327" s="16" t="str">
        <f t="shared" si="120"/>
        <v>OK</v>
      </c>
      <c r="BB327" s="21">
        <f>COUNTIF('Trip Changes'!B:B,A327)</f>
        <v>0</v>
      </c>
      <c r="BC327" s="16" t="str">
        <f>IF(OR(AND(AD327="Yes",COUNTIF('Trip Changes'!B:B,A327)&gt;0),AND(AD327="No",COUNTIF('Trip Changes'!B:B,A327)=0)),"OK","Check")</f>
        <v>OK</v>
      </c>
      <c r="BD327" t="str">
        <f t="shared" si="121"/>
        <v>OK</v>
      </c>
      <c r="BE327" t="str">
        <f t="shared" si="122"/>
        <v>OK</v>
      </c>
      <c r="BF327" t="str">
        <f t="shared" si="123"/>
        <v>OK</v>
      </c>
      <c r="BG327" t="str">
        <f t="shared" si="124"/>
        <v>OK</v>
      </c>
      <c r="BH327" t="str">
        <f t="shared" si="125"/>
        <v>OK</v>
      </c>
      <c r="BI327" t="str">
        <f t="shared" si="117"/>
        <v>OK</v>
      </c>
      <c r="BJ327" t="str">
        <f t="shared" si="118"/>
        <v>OK</v>
      </c>
      <c r="BK327" t="str">
        <f t="shared" si="119"/>
        <v>OK</v>
      </c>
    </row>
    <row r="328" spans="1:63">
      <c r="A328" s="16" t="s">
        <v>625</v>
      </c>
      <c r="B328" s="16" t="s">
        <v>622</v>
      </c>
      <c r="C328" s="16" t="s">
        <v>182</v>
      </c>
      <c r="D328" s="16" t="s">
        <v>248</v>
      </c>
      <c r="E328" s="16" t="s">
        <v>169</v>
      </c>
      <c r="F328" s="16" t="s">
        <v>189</v>
      </c>
      <c r="G328" s="15">
        <v>46184</v>
      </c>
      <c r="H328" s="15">
        <v>46189</v>
      </c>
      <c r="I328" s="15">
        <v>46193</v>
      </c>
      <c r="J328" s="15" t="s">
        <v>141</v>
      </c>
      <c r="K328" s="16" t="s">
        <v>182</v>
      </c>
      <c r="L328" t="s">
        <v>193</v>
      </c>
      <c r="M328" s="16" t="s">
        <v>143</v>
      </c>
      <c r="N328" s="16" t="s">
        <v>144</v>
      </c>
      <c r="O328" t="s">
        <v>1630</v>
      </c>
      <c r="P328" s="18">
        <v>932</v>
      </c>
      <c r="Q328" s="21">
        <v>5</v>
      </c>
      <c r="R328" s="21" t="str">
        <f t="shared" si="105"/>
        <v>4-7 days</v>
      </c>
      <c r="S328" s="16" t="s">
        <v>159</v>
      </c>
      <c r="U328" s="16" t="s">
        <v>155</v>
      </c>
      <c r="V328" t="str">
        <f>IF(U328="","",IFERROR(VLOOKUP(U328,Hotels!A:B,2,FALSE),"Not Found"))</f>
        <v>Hilton</v>
      </c>
      <c r="W328" s="14">
        <v>0</v>
      </c>
      <c r="X328" s="14">
        <v>139.94</v>
      </c>
      <c r="Y328" s="21">
        <v>3</v>
      </c>
      <c r="Z328" s="29">
        <f t="shared" si="106"/>
        <v>155.62</v>
      </c>
      <c r="AA328" s="14">
        <v>466.86</v>
      </c>
      <c r="AB328" s="14">
        <v>35.119999999999997</v>
      </c>
      <c r="AC328" s="14">
        <v>641.91999999999996</v>
      </c>
      <c r="AD328" s="16" t="s">
        <v>147</v>
      </c>
      <c r="AE328" s="16" t="s">
        <v>147</v>
      </c>
      <c r="AF328" s="14">
        <f>SUMIF('Trip Changes'!$B:$B,A328,'Trip Changes'!$E:$E)</f>
        <v>0</v>
      </c>
      <c r="AG328" s="23">
        <f>SUMIF('Trip Cancellations'!$B:$B,A328,'Trip Cancellations'!$E:$E)</f>
        <v>0</v>
      </c>
      <c r="AH328" s="14">
        <f>SUMIF('Trip Cancellations'!$B:$B,A328,'Trip Cancellations'!$F:$F)</f>
        <v>0</v>
      </c>
      <c r="AI328" s="14">
        <f t="shared" si="107"/>
        <v>641.91999999999996</v>
      </c>
      <c r="AJ328" s="14" t="str">
        <f t="shared" si="108"/>
        <v>Yes</v>
      </c>
      <c r="AK328" s="14" t="str">
        <f>IF(Y328=0,"N/A",
IF(_xlfn.XLOOKUP(U328,Hotels!A:A,Hotels!C:C)=TRUE,"Yes","No"))</f>
        <v>Yes</v>
      </c>
      <c r="AL328" s="14" t="str">
        <f>IF(N328="Rail","N/A",IF(_xlfn.XLOOKUP(T328,Airlines!A:A,Airlines!C:C)=TRUE,"Yes","No"))</f>
        <v>N/A</v>
      </c>
      <c r="AM328" s="14" t="str">
        <f t="shared" si="109"/>
        <v>Yes</v>
      </c>
      <c r="AN328" s="14" t="str">
        <f t="shared" si="110"/>
        <v>Yes</v>
      </c>
      <c r="AO328" s="14" t="str">
        <f t="shared" si="111"/>
        <v>Yes</v>
      </c>
      <c r="AP328" s="16" t="s">
        <v>148</v>
      </c>
      <c r="AQ328" t="str">
        <f t="shared" si="112"/>
        <v>Yes</v>
      </c>
      <c r="AR328" s="21">
        <v>4</v>
      </c>
      <c r="AS328" s="5">
        <v>37.299999999999997</v>
      </c>
      <c r="AT328" s="5" t="str">
        <f>IF(T328="","",_xlfn.XLOOKUP(T328,Airlines!A:A,Airlines!B:B,"Not Found"))</f>
        <v/>
      </c>
      <c r="AU328" s="5" t="str">
        <f>IF(U328="","",_xlfn.XLOOKUP(U328,Hotels!A:A,Hotels!B:B,"Not found"))</f>
        <v>Hilton</v>
      </c>
      <c r="AV328" t="s">
        <v>147</v>
      </c>
      <c r="AW328" s="16" t="str">
        <f t="shared" si="113"/>
        <v>OK</v>
      </c>
      <c r="AX328" s="16" t="str">
        <f t="shared" si="114"/>
        <v>OK</v>
      </c>
      <c r="AY328" s="16" t="str">
        <f t="shared" si="115"/>
        <v>OK</v>
      </c>
      <c r="AZ328" s="16" t="str">
        <f t="shared" si="116"/>
        <v>OK</v>
      </c>
      <c r="BA328" s="16" t="str">
        <f t="shared" si="120"/>
        <v>OK</v>
      </c>
      <c r="BB328" s="21">
        <f>COUNTIF('Trip Changes'!B:B,A328)</f>
        <v>0</v>
      </c>
      <c r="BC328" s="16" t="str">
        <f>IF(OR(AND(AD328="Yes",COUNTIF('Trip Changes'!B:B,A328)&gt;0),AND(AD328="No",COUNTIF('Trip Changes'!B:B,A328)=0)),"OK","Check")</f>
        <v>OK</v>
      </c>
      <c r="BD328" t="str">
        <f t="shared" si="121"/>
        <v>OK</v>
      </c>
      <c r="BE328" t="str">
        <f t="shared" si="122"/>
        <v>OK</v>
      </c>
      <c r="BF328" t="str">
        <f t="shared" si="123"/>
        <v>OK</v>
      </c>
      <c r="BG328" t="str">
        <f t="shared" si="124"/>
        <v>OK</v>
      </c>
      <c r="BH328" t="str">
        <f t="shared" si="125"/>
        <v>OK</v>
      </c>
      <c r="BI328" t="str">
        <f t="shared" si="117"/>
        <v>OK</v>
      </c>
      <c r="BJ328" t="str">
        <f t="shared" si="118"/>
        <v>OK</v>
      </c>
      <c r="BK328" t="str">
        <f t="shared" si="119"/>
        <v>OK</v>
      </c>
    </row>
    <row r="329" spans="1:63">
      <c r="A329" s="16" t="s">
        <v>626</v>
      </c>
      <c r="B329" s="16" t="s">
        <v>622</v>
      </c>
      <c r="C329" s="16" t="s">
        <v>182</v>
      </c>
      <c r="D329" s="16" t="s">
        <v>248</v>
      </c>
      <c r="E329" s="16" t="s">
        <v>169</v>
      </c>
      <c r="F329" s="16" t="s">
        <v>140</v>
      </c>
      <c r="G329" s="15">
        <v>46209</v>
      </c>
      <c r="H329" s="15">
        <v>46219</v>
      </c>
      <c r="I329" s="15">
        <v>46223</v>
      </c>
      <c r="J329" s="15" t="s">
        <v>150</v>
      </c>
      <c r="K329" s="16" t="s">
        <v>182</v>
      </c>
      <c r="L329" t="s">
        <v>233</v>
      </c>
      <c r="M329" s="16" t="s">
        <v>152</v>
      </c>
      <c r="N329" s="16" t="s">
        <v>153</v>
      </c>
      <c r="O329" t="s">
        <v>1614</v>
      </c>
      <c r="P329" s="18">
        <v>3274</v>
      </c>
      <c r="Q329" s="21">
        <v>10</v>
      </c>
      <c r="R329" s="21" t="str">
        <f t="shared" si="105"/>
        <v>8-14 days</v>
      </c>
      <c r="S329" s="16" t="s">
        <v>145</v>
      </c>
      <c r="T329" s="16" t="s">
        <v>160</v>
      </c>
      <c r="U329" s="16" t="s">
        <v>164</v>
      </c>
      <c r="V329" t="str">
        <f>IF(U329="","",IFERROR(VLOOKUP(U329,Hotels!A:B,2,FALSE),"Not Found"))</f>
        <v>Marriott</v>
      </c>
      <c r="W329" s="14">
        <v>487.3</v>
      </c>
      <c r="X329" s="14">
        <v>0</v>
      </c>
      <c r="Y329" s="21">
        <v>3</v>
      </c>
      <c r="Z329" s="29">
        <f t="shared" si="106"/>
        <v>152.07666666666668</v>
      </c>
      <c r="AA329" s="14">
        <v>456.23</v>
      </c>
      <c r="AB329" s="14">
        <v>132.13999999999999</v>
      </c>
      <c r="AC329" s="14">
        <v>1075.67</v>
      </c>
      <c r="AD329" s="16" t="s">
        <v>147</v>
      </c>
      <c r="AE329" s="16" t="s">
        <v>147</v>
      </c>
      <c r="AF329" s="14">
        <f>SUMIF('Trip Changes'!$B:$B,A329,'Trip Changes'!$E:$E)</f>
        <v>0</v>
      </c>
      <c r="AG329" s="23">
        <f>SUMIF('Trip Cancellations'!$B:$B,A329,'Trip Cancellations'!$E:$E)</f>
        <v>0</v>
      </c>
      <c r="AH329" s="14">
        <f>SUMIF('Trip Cancellations'!$B:$B,A329,'Trip Cancellations'!$F:$F)</f>
        <v>0</v>
      </c>
      <c r="AI329" s="14">
        <f t="shared" si="107"/>
        <v>1075.67</v>
      </c>
      <c r="AJ329" s="14" t="str">
        <f t="shared" si="108"/>
        <v>Yes</v>
      </c>
      <c r="AK329" s="14" t="str">
        <f>IF(Y329=0,"N/A",
IF(_xlfn.XLOOKUP(U329,Hotels!A:A,Hotels!C:C)=TRUE,"Yes","No"))</f>
        <v>Yes</v>
      </c>
      <c r="AL329" s="14" t="str">
        <f>IF(N329="Rail","N/A",IF(_xlfn.XLOOKUP(T329,Airlines!A:A,Airlines!C:C)=TRUE,"Yes","No"))</f>
        <v>Yes</v>
      </c>
      <c r="AM329" s="14" t="str">
        <f t="shared" si="109"/>
        <v>Yes</v>
      </c>
      <c r="AN329" s="14" t="str">
        <f t="shared" si="110"/>
        <v>Yes</v>
      </c>
      <c r="AO329" s="14" t="str">
        <f t="shared" si="111"/>
        <v>Yes</v>
      </c>
      <c r="AP329" s="16" t="s">
        <v>148</v>
      </c>
      <c r="AQ329" t="str">
        <f t="shared" si="112"/>
        <v>Yes</v>
      </c>
      <c r="AR329" s="21">
        <v>4</v>
      </c>
      <c r="AS329" s="5">
        <v>491.1</v>
      </c>
      <c r="AT329" s="5" t="str">
        <f>IF(T329="","",_xlfn.XLOOKUP(T329,Airlines!A:A,Airlines!B:B,"Not Found"))</f>
        <v>Air France</v>
      </c>
      <c r="AU329" s="5" t="str">
        <f>IF(U329="","",_xlfn.XLOOKUP(U329,Hotels!A:A,Hotels!B:B,"Not found"))</f>
        <v>Marriott</v>
      </c>
      <c r="AV329" t="s">
        <v>147</v>
      </c>
      <c r="AW329" s="16" t="str">
        <f t="shared" si="113"/>
        <v>OK</v>
      </c>
      <c r="AX329" s="16" t="str">
        <f t="shared" si="114"/>
        <v>OK</v>
      </c>
      <c r="AY329" s="16" t="str">
        <f t="shared" si="115"/>
        <v>OK</v>
      </c>
      <c r="AZ329" s="16" t="str">
        <f t="shared" si="116"/>
        <v>OK</v>
      </c>
      <c r="BA329" s="16" t="str">
        <f t="shared" si="120"/>
        <v>OK</v>
      </c>
      <c r="BB329" s="21">
        <f>COUNTIF('Trip Changes'!B:B,A329)</f>
        <v>0</v>
      </c>
      <c r="BC329" s="16" t="str">
        <f>IF(OR(AND(AD329="Yes",COUNTIF('Trip Changes'!B:B,A329)&gt;0),AND(AD329="No",COUNTIF('Trip Changes'!B:B,A329)=0)),"OK","Check")</f>
        <v>OK</v>
      </c>
      <c r="BD329" t="str">
        <f t="shared" si="121"/>
        <v>OK</v>
      </c>
      <c r="BE329" t="str">
        <f t="shared" si="122"/>
        <v>OK</v>
      </c>
      <c r="BF329" t="str">
        <f t="shared" si="123"/>
        <v>OK</v>
      </c>
      <c r="BG329" t="str">
        <f t="shared" si="124"/>
        <v>OK</v>
      </c>
      <c r="BH329" t="str">
        <f t="shared" si="125"/>
        <v>OK</v>
      </c>
      <c r="BI329" t="str">
        <f t="shared" si="117"/>
        <v>OK</v>
      </c>
      <c r="BJ329" t="str">
        <f t="shared" si="118"/>
        <v>OK</v>
      </c>
      <c r="BK329" t="str">
        <f t="shared" si="119"/>
        <v>OK</v>
      </c>
    </row>
    <row r="330" spans="1:63">
      <c r="A330" s="16" t="s">
        <v>627</v>
      </c>
      <c r="B330" s="16" t="s">
        <v>622</v>
      </c>
      <c r="C330" s="16" t="s">
        <v>182</v>
      </c>
      <c r="D330" s="16" t="s">
        <v>248</v>
      </c>
      <c r="E330" s="16" t="s">
        <v>169</v>
      </c>
      <c r="F330" s="16" t="s">
        <v>170</v>
      </c>
      <c r="G330" s="15">
        <v>46199</v>
      </c>
      <c r="H330" s="15">
        <v>46221</v>
      </c>
      <c r="I330" s="15">
        <v>46223</v>
      </c>
      <c r="J330" s="15" t="s">
        <v>150</v>
      </c>
      <c r="K330" s="16" t="s">
        <v>182</v>
      </c>
      <c r="L330" t="s">
        <v>305</v>
      </c>
      <c r="M330" s="16" t="s">
        <v>152</v>
      </c>
      <c r="N330" s="16" t="s">
        <v>153</v>
      </c>
      <c r="O330" t="s">
        <v>1614</v>
      </c>
      <c r="P330" s="18">
        <v>11842</v>
      </c>
      <c r="Q330" s="21">
        <v>22</v>
      </c>
      <c r="R330" s="21" t="str">
        <f t="shared" si="105"/>
        <v>15-30 days</v>
      </c>
      <c r="S330" s="16" t="s">
        <v>145</v>
      </c>
      <c r="T330" s="16" t="s">
        <v>154</v>
      </c>
      <c r="U330" s="16" t="s">
        <v>190</v>
      </c>
      <c r="V330" t="str">
        <f>IF(U330="","",IFERROR(VLOOKUP(U330,Hotels!A:B,2,FALSE),"Not Found"))</f>
        <v>Radisson Hotel Group</v>
      </c>
      <c r="W330" s="14">
        <v>1361.01</v>
      </c>
      <c r="X330" s="14">
        <v>0</v>
      </c>
      <c r="Y330" s="21">
        <v>1</v>
      </c>
      <c r="Z330" s="29">
        <f t="shared" si="106"/>
        <v>139.55000000000001</v>
      </c>
      <c r="AA330" s="14">
        <v>139.55000000000001</v>
      </c>
      <c r="AB330" s="14">
        <v>71.56</v>
      </c>
      <c r="AC330" s="14">
        <v>1572.12</v>
      </c>
      <c r="AD330" s="16" t="s">
        <v>147</v>
      </c>
      <c r="AE330" s="16" t="s">
        <v>147</v>
      </c>
      <c r="AF330" s="14">
        <f>SUMIF('Trip Changes'!$B:$B,A330,'Trip Changes'!$E:$E)</f>
        <v>0</v>
      </c>
      <c r="AG330" s="23">
        <f>SUMIF('Trip Cancellations'!$B:$B,A330,'Trip Cancellations'!$E:$E)</f>
        <v>0</v>
      </c>
      <c r="AH330" s="14">
        <f>SUMIF('Trip Cancellations'!$B:$B,A330,'Trip Cancellations'!$F:$F)</f>
        <v>0</v>
      </c>
      <c r="AI330" s="14">
        <f t="shared" si="107"/>
        <v>1572.12</v>
      </c>
      <c r="AJ330" s="14" t="str">
        <f t="shared" si="108"/>
        <v>Yes</v>
      </c>
      <c r="AK330" s="14" t="str">
        <f>IF(Y330=0,"N/A",
IF(_xlfn.XLOOKUP(U330,Hotels!A:A,Hotels!C:C)=TRUE,"Yes","No"))</f>
        <v>No</v>
      </c>
      <c r="AL330" s="14" t="str">
        <f>IF(N330="Rail","N/A",IF(_xlfn.XLOOKUP(T330,Airlines!A:A,Airlines!C:C)=TRUE,"Yes","No"))</f>
        <v>Yes</v>
      </c>
      <c r="AM330" s="14" t="str">
        <f t="shared" si="109"/>
        <v>Yes</v>
      </c>
      <c r="AN330" s="14" t="str">
        <f t="shared" si="110"/>
        <v>Yes</v>
      </c>
      <c r="AO330" s="14" t="str">
        <f t="shared" si="111"/>
        <v>No</v>
      </c>
      <c r="AP330" s="16" t="s">
        <v>148</v>
      </c>
      <c r="AQ330" t="str">
        <f t="shared" si="112"/>
        <v>No</v>
      </c>
      <c r="AR330" s="21">
        <v>4</v>
      </c>
      <c r="AS330" s="5">
        <v>1776.3</v>
      </c>
      <c r="AT330" s="5" t="str">
        <f>IF(T330="","",_xlfn.XLOOKUP(T330,Airlines!A:A,Airlines!B:B,"Not Found"))</f>
        <v>British Airways</v>
      </c>
      <c r="AU330" s="5" t="str">
        <f>IF(U330="","",_xlfn.XLOOKUP(U330,Hotels!A:A,Hotels!B:B,"Not found"))</f>
        <v>Radisson Hotel Group</v>
      </c>
      <c r="AV330" t="s">
        <v>148</v>
      </c>
      <c r="AW330" s="16" t="str">
        <f t="shared" si="113"/>
        <v>OK</v>
      </c>
      <c r="AX330" s="16" t="str">
        <f t="shared" si="114"/>
        <v>OK</v>
      </c>
      <c r="AY330" s="16" t="str">
        <f t="shared" si="115"/>
        <v>OK</v>
      </c>
      <c r="AZ330" s="16" t="str">
        <f t="shared" si="116"/>
        <v>OK</v>
      </c>
      <c r="BA330" s="16" t="str">
        <f t="shared" si="120"/>
        <v>OK</v>
      </c>
      <c r="BB330" s="21">
        <f>COUNTIF('Trip Changes'!B:B,A330)</f>
        <v>0</v>
      </c>
      <c r="BC330" s="16" t="str">
        <f>IF(OR(AND(AD330="Yes",COUNTIF('Trip Changes'!B:B,A330)&gt;0),AND(AD330="No",COUNTIF('Trip Changes'!B:B,A330)=0)),"OK","Check")</f>
        <v>OK</v>
      </c>
      <c r="BD330" t="str">
        <f t="shared" si="121"/>
        <v>OK</v>
      </c>
      <c r="BE330" t="str">
        <f t="shared" si="122"/>
        <v>OK</v>
      </c>
      <c r="BF330" t="str">
        <f t="shared" si="123"/>
        <v>OK</v>
      </c>
      <c r="BG330" t="str">
        <f t="shared" si="124"/>
        <v>OK</v>
      </c>
      <c r="BH330" t="str">
        <f t="shared" si="125"/>
        <v>OK</v>
      </c>
      <c r="BI330" t="str">
        <f t="shared" si="117"/>
        <v>OK</v>
      </c>
      <c r="BJ330" t="str">
        <f t="shared" si="118"/>
        <v>OK</v>
      </c>
      <c r="BK330" t="str">
        <f t="shared" si="119"/>
        <v>OK</v>
      </c>
    </row>
    <row r="331" spans="1:63">
      <c r="A331" s="16" t="s">
        <v>628</v>
      </c>
      <c r="B331" s="16" t="s">
        <v>622</v>
      </c>
      <c r="C331" s="16" t="s">
        <v>182</v>
      </c>
      <c r="D331" s="16" t="s">
        <v>248</v>
      </c>
      <c r="E331" s="16" t="s">
        <v>169</v>
      </c>
      <c r="F331" s="16" t="s">
        <v>162</v>
      </c>
      <c r="G331" s="15">
        <v>46146</v>
      </c>
      <c r="H331" s="15">
        <v>46170</v>
      </c>
      <c r="I331" s="15">
        <v>46175</v>
      </c>
      <c r="J331" s="15" t="s">
        <v>163</v>
      </c>
      <c r="K331" s="16" t="s">
        <v>182</v>
      </c>
      <c r="L331" t="s">
        <v>240</v>
      </c>
      <c r="M331" s="16" t="s">
        <v>152</v>
      </c>
      <c r="N331" s="16" t="s">
        <v>153</v>
      </c>
      <c r="O331" t="s">
        <v>1614</v>
      </c>
      <c r="P331" s="18">
        <v>11758</v>
      </c>
      <c r="Q331" s="21">
        <v>24</v>
      </c>
      <c r="R331" s="21" t="str">
        <f t="shared" si="105"/>
        <v>15-30 days</v>
      </c>
      <c r="S331" s="16" t="s">
        <v>159</v>
      </c>
      <c r="T331" s="16" t="s">
        <v>154</v>
      </c>
      <c r="U331" s="16" t="s">
        <v>173</v>
      </c>
      <c r="V331" t="str">
        <f>IF(U331="","",IFERROR(VLOOKUP(U331,Hotels!A:B,2,FALSE),"Not Found"))</f>
        <v>Accor</v>
      </c>
      <c r="W331" s="14">
        <v>1296.3</v>
      </c>
      <c r="X331" s="14">
        <v>0</v>
      </c>
      <c r="Y331" s="21">
        <v>4</v>
      </c>
      <c r="Z331" s="29">
        <f t="shared" si="106"/>
        <v>191.5625</v>
      </c>
      <c r="AA331" s="14">
        <v>766.25</v>
      </c>
      <c r="AB331" s="14">
        <v>58.77</v>
      </c>
      <c r="AC331" s="14">
        <v>2121.3200000000002</v>
      </c>
      <c r="AD331" s="16" t="s">
        <v>148</v>
      </c>
      <c r="AE331" s="16" t="s">
        <v>147</v>
      </c>
      <c r="AF331" s="14">
        <f>SUMIF('Trip Changes'!$B:$B,A331,'Trip Changes'!$E:$E)</f>
        <v>191.94</v>
      </c>
      <c r="AG331" s="23">
        <f>SUMIF('Trip Cancellations'!$B:$B,A331,'Trip Cancellations'!$E:$E)</f>
        <v>0</v>
      </c>
      <c r="AH331" s="14">
        <f>SUMIF('Trip Cancellations'!$B:$B,A331,'Trip Cancellations'!$F:$F)</f>
        <v>0</v>
      </c>
      <c r="AI331" s="14">
        <f t="shared" si="107"/>
        <v>2313.2600000000002</v>
      </c>
      <c r="AJ331" s="14" t="str">
        <f t="shared" si="108"/>
        <v>Yes</v>
      </c>
      <c r="AK331" s="14" t="str">
        <f>IF(Y331=0,"N/A",
IF(_xlfn.XLOOKUP(U331,Hotels!A:A,Hotels!C:C)=TRUE,"Yes","No"))</f>
        <v>Yes</v>
      </c>
      <c r="AL331" s="14" t="str">
        <f>IF(N331="Rail","N/A",IF(_xlfn.XLOOKUP(T331,Airlines!A:A,Airlines!C:C)=TRUE,"Yes","No"))</f>
        <v>Yes</v>
      </c>
      <c r="AM331" s="14" t="str">
        <f t="shared" si="109"/>
        <v>Yes</v>
      </c>
      <c r="AN331" s="14" t="str">
        <f t="shared" si="110"/>
        <v>Yes</v>
      </c>
      <c r="AO331" s="14" t="str">
        <f t="shared" si="111"/>
        <v>Yes</v>
      </c>
      <c r="AP331" s="16" t="s">
        <v>148</v>
      </c>
      <c r="AQ331" t="str">
        <f t="shared" si="112"/>
        <v>Yes</v>
      </c>
      <c r="AR331" s="21">
        <v>4</v>
      </c>
      <c r="AS331" s="5">
        <v>1763.7</v>
      </c>
      <c r="AT331" s="5" t="str">
        <f>IF(T331="","",_xlfn.XLOOKUP(T331,Airlines!A:A,Airlines!B:B,"Not Found"))</f>
        <v>British Airways</v>
      </c>
      <c r="AU331" s="5" t="str">
        <f>IF(U331="","",_xlfn.XLOOKUP(U331,Hotels!A:A,Hotels!B:B,"Not found"))</f>
        <v>Accor</v>
      </c>
      <c r="AV331" t="s">
        <v>147</v>
      </c>
      <c r="AW331" s="16" t="str">
        <f t="shared" si="113"/>
        <v>OK</v>
      </c>
      <c r="AX331" s="16" t="str">
        <f t="shared" si="114"/>
        <v>OK</v>
      </c>
      <c r="AY331" s="16" t="str">
        <f t="shared" si="115"/>
        <v>OK</v>
      </c>
      <c r="AZ331" s="16" t="str">
        <f t="shared" si="116"/>
        <v>OK</v>
      </c>
      <c r="BA331" s="16" t="str">
        <f t="shared" si="120"/>
        <v>OK</v>
      </c>
      <c r="BB331" s="21">
        <f>COUNTIF('Trip Changes'!B:B,A331)</f>
        <v>1</v>
      </c>
      <c r="BC331" s="16" t="str">
        <f>IF(OR(AND(AD331="Yes",COUNTIF('Trip Changes'!B:B,A331)&gt;0),AND(AD331="No",COUNTIF('Trip Changes'!B:B,A331)=0)),"OK","Check")</f>
        <v>OK</v>
      </c>
      <c r="BD331" t="str">
        <f t="shared" si="121"/>
        <v>OK</v>
      </c>
      <c r="BE331" t="str">
        <f t="shared" si="122"/>
        <v>OK</v>
      </c>
      <c r="BF331" t="str">
        <f t="shared" si="123"/>
        <v>OK</v>
      </c>
      <c r="BG331" t="str">
        <f t="shared" si="124"/>
        <v>OK</v>
      </c>
      <c r="BH331" t="str">
        <f t="shared" si="125"/>
        <v>OK</v>
      </c>
      <c r="BI331" t="str">
        <f t="shared" si="117"/>
        <v>OK</v>
      </c>
      <c r="BJ331" t="str">
        <f t="shared" si="118"/>
        <v>OK</v>
      </c>
      <c r="BK331" t="str">
        <f t="shared" si="119"/>
        <v>OK</v>
      </c>
    </row>
    <row r="332" spans="1:63">
      <c r="A332" s="16" t="s">
        <v>629</v>
      </c>
      <c r="B332" s="16" t="s">
        <v>630</v>
      </c>
      <c r="C332" s="16" t="s">
        <v>193</v>
      </c>
      <c r="D332" s="16" t="s">
        <v>204</v>
      </c>
      <c r="E332" s="16" t="s">
        <v>249</v>
      </c>
      <c r="F332" s="16" t="s">
        <v>140</v>
      </c>
      <c r="G332" s="15">
        <v>46165</v>
      </c>
      <c r="H332" s="15">
        <v>46181</v>
      </c>
      <c r="I332" s="15">
        <v>46185</v>
      </c>
      <c r="J332" s="15" t="s">
        <v>141</v>
      </c>
      <c r="K332" s="16" t="s">
        <v>193</v>
      </c>
      <c r="L332" t="s">
        <v>199</v>
      </c>
      <c r="M332" s="16" t="s">
        <v>152</v>
      </c>
      <c r="N332" s="16" t="s">
        <v>153</v>
      </c>
      <c r="O332" t="s">
        <v>1614</v>
      </c>
      <c r="P332" s="18">
        <v>2068</v>
      </c>
      <c r="Q332" s="21">
        <v>16</v>
      </c>
      <c r="R332" s="21" t="str">
        <f t="shared" si="105"/>
        <v>15-30 days</v>
      </c>
      <c r="S332" s="16" t="s">
        <v>216</v>
      </c>
      <c r="T332" s="16" t="s">
        <v>200</v>
      </c>
      <c r="U332" s="16" t="s">
        <v>187</v>
      </c>
      <c r="V332" t="str">
        <f>IF(U332="","",IFERROR(VLOOKUP(U332,Hotels!A:B,2,FALSE),"Not Found"))</f>
        <v>IHG Hotels &amp; Resorts</v>
      </c>
      <c r="W332" s="14">
        <v>449.3</v>
      </c>
      <c r="X332" s="14">
        <v>0</v>
      </c>
      <c r="Y332" s="21">
        <v>3</v>
      </c>
      <c r="Z332" s="29">
        <f t="shared" si="106"/>
        <v>142.23333333333332</v>
      </c>
      <c r="AA332" s="14">
        <v>426.7</v>
      </c>
      <c r="AB332" s="14">
        <v>76.11</v>
      </c>
      <c r="AC332" s="14">
        <v>952.11</v>
      </c>
      <c r="AD332" s="16" t="s">
        <v>147</v>
      </c>
      <c r="AE332" s="16" t="s">
        <v>147</v>
      </c>
      <c r="AF332" s="14">
        <f>SUMIF('Trip Changes'!$B:$B,A332,'Trip Changes'!$E:$E)</f>
        <v>0</v>
      </c>
      <c r="AG332" s="23">
        <f>SUMIF('Trip Cancellations'!$B:$B,A332,'Trip Cancellations'!$E:$E)</f>
        <v>0</v>
      </c>
      <c r="AH332" s="14">
        <f>SUMIF('Trip Cancellations'!$B:$B,A332,'Trip Cancellations'!$F:$F)</f>
        <v>0</v>
      </c>
      <c r="AI332" s="14">
        <f t="shared" si="107"/>
        <v>952.11</v>
      </c>
      <c r="AJ332" s="14" t="str">
        <f t="shared" si="108"/>
        <v>Yes</v>
      </c>
      <c r="AK332" s="14" t="str">
        <f>IF(Y332=0,"N/A",
IF(_xlfn.XLOOKUP(U332,Hotels!A:A,Hotels!C:C)=TRUE,"Yes","No"))</f>
        <v>Yes</v>
      </c>
      <c r="AL332" s="14" t="str">
        <f>IF(N332="Rail","N/A",IF(_xlfn.XLOOKUP(T332,Airlines!A:A,Airlines!C:C)=TRUE,"Yes","No"))</f>
        <v>Yes</v>
      </c>
      <c r="AM332" s="14" t="str">
        <f t="shared" si="109"/>
        <v>Yes</v>
      </c>
      <c r="AN332" s="14" t="str">
        <f t="shared" si="110"/>
        <v>No</v>
      </c>
      <c r="AO332" s="14" t="str">
        <f t="shared" si="111"/>
        <v>Yes</v>
      </c>
      <c r="AP332" s="16" t="s">
        <v>148</v>
      </c>
      <c r="AQ332" t="str">
        <f t="shared" si="112"/>
        <v>No</v>
      </c>
      <c r="AR332" s="21">
        <v>4</v>
      </c>
      <c r="AS332" s="5">
        <v>310.2</v>
      </c>
      <c r="AT332" s="5" t="str">
        <f>IF(T332="","",_xlfn.XLOOKUP(T332,Airlines!A:A,Airlines!B:B,"Not Found"))</f>
        <v>Aer Lingus</v>
      </c>
      <c r="AU332" s="5" t="str">
        <f>IF(U332="","",_xlfn.XLOOKUP(U332,Hotels!A:A,Hotels!B:B,"Not found"))</f>
        <v>IHG Hotels &amp; Resorts</v>
      </c>
      <c r="AV332" t="s">
        <v>147</v>
      </c>
      <c r="AW332" s="16" t="str">
        <f t="shared" si="113"/>
        <v>OK</v>
      </c>
      <c r="AX332" s="16" t="str">
        <f t="shared" si="114"/>
        <v>OK</v>
      </c>
      <c r="AY332" s="16" t="str">
        <f t="shared" si="115"/>
        <v>OK</v>
      </c>
      <c r="AZ332" s="16" t="str">
        <f t="shared" si="116"/>
        <v>OK</v>
      </c>
      <c r="BA332" s="16" t="str">
        <f t="shared" si="120"/>
        <v>OK</v>
      </c>
      <c r="BB332" s="21">
        <f>COUNTIF('Trip Changes'!B:B,A332)</f>
        <v>0</v>
      </c>
      <c r="BC332" s="16" t="str">
        <f>IF(OR(AND(AD332="Yes",COUNTIF('Trip Changes'!B:B,A332)&gt;0),AND(AD332="No",COUNTIF('Trip Changes'!B:B,A332)=0)),"OK","Check")</f>
        <v>OK</v>
      </c>
      <c r="BD332" t="str">
        <f t="shared" si="121"/>
        <v>OK</v>
      </c>
      <c r="BE332" t="str">
        <f t="shared" si="122"/>
        <v>OK</v>
      </c>
      <c r="BF332" t="str">
        <f t="shared" si="123"/>
        <v>OK</v>
      </c>
      <c r="BG332" t="str">
        <f t="shared" si="124"/>
        <v>OK</v>
      </c>
      <c r="BH332" t="str">
        <f t="shared" si="125"/>
        <v>OK</v>
      </c>
      <c r="BI332" t="str">
        <f t="shared" si="117"/>
        <v>OK</v>
      </c>
      <c r="BJ332" t="str">
        <f t="shared" si="118"/>
        <v>OK</v>
      </c>
      <c r="BK332" t="str">
        <f t="shared" si="119"/>
        <v>OK</v>
      </c>
    </row>
    <row r="333" spans="1:63">
      <c r="A333" s="16" t="s">
        <v>631</v>
      </c>
      <c r="B333" s="16" t="s">
        <v>630</v>
      </c>
      <c r="C333" s="16" t="s">
        <v>193</v>
      </c>
      <c r="D333" s="16" t="s">
        <v>204</v>
      </c>
      <c r="E333" s="16" t="s">
        <v>249</v>
      </c>
      <c r="F333" s="16" t="s">
        <v>181</v>
      </c>
      <c r="G333" s="15">
        <v>46153</v>
      </c>
      <c r="H333" s="15">
        <v>46161</v>
      </c>
      <c r="I333" s="15">
        <v>46164</v>
      </c>
      <c r="J333" s="15" t="s">
        <v>163</v>
      </c>
      <c r="K333" s="16" t="s">
        <v>193</v>
      </c>
      <c r="L333" t="s">
        <v>151</v>
      </c>
      <c r="M333" s="16" t="s">
        <v>152</v>
      </c>
      <c r="N333" s="16" t="s">
        <v>153</v>
      </c>
      <c r="O333" t="s">
        <v>1614</v>
      </c>
      <c r="P333" s="18">
        <v>1584</v>
      </c>
      <c r="Q333" s="21">
        <v>8</v>
      </c>
      <c r="R333" s="21" t="str">
        <f t="shared" si="105"/>
        <v>8-14 days</v>
      </c>
      <c r="S333" s="16" t="s">
        <v>216</v>
      </c>
      <c r="T333" s="16" t="s">
        <v>172</v>
      </c>
      <c r="U333" s="16" t="s">
        <v>190</v>
      </c>
      <c r="V333" t="str">
        <f>IF(U333="","",IFERROR(VLOOKUP(U333,Hotels!A:B,2,FALSE),"Not Found"))</f>
        <v>Radisson Hotel Group</v>
      </c>
      <c r="W333" s="14">
        <v>346.44</v>
      </c>
      <c r="X333" s="14">
        <v>0</v>
      </c>
      <c r="Y333" s="21">
        <v>2</v>
      </c>
      <c r="Z333" s="29">
        <f t="shared" si="106"/>
        <v>190.13499999999999</v>
      </c>
      <c r="AA333" s="14">
        <v>380.27</v>
      </c>
      <c r="AB333" s="14">
        <v>51.69</v>
      </c>
      <c r="AC333" s="14">
        <v>778.4</v>
      </c>
      <c r="AD333" s="16" t="s">
        <v>147</v>
      </c>
      <c r="AE333" s="16" t="s">
        <v>147</v>
      </c>
      <c r="AF333" s="14">
        <f>SUMIF('Trip Changes'!$B:$B,A333,'Trip Changes'!$E:$E)</f>
        <v>0</v>
      </c>
      <c r="AG333" s="23">
        <f>SUMIF('Trip Cancellations'!$B:$B,A333,'Trip Cancellations'!$E:$E)</f>
        <v>0</v>
      </c>
      <c r="AH333" s="14">
        <f>SUMIF('Trip Cancellations'!$B:$B,A333,'Trip Cancellations'!$F:$F)</f>
        <v>0</v>
      </c>
      <c r="AI333" s="14">
        <f t="shared" si="107"/>
        <v>778.4</v>
      </c>
      <c r="AJ333" s="14" t="str">
        <f t="shared" si="108"/>
        <v>No</v>
      </c>
      <c r="AK333" s="14" t="str">
        <f>IF(Y333=0,"N/A",
IF(_xlfn.XLOOKUP(U333,Hotels!A:A,Hotels!C:C)=TRUE,"Yes","No"))</f>
        <v>No</v>
      </c>
      <c r="AL333" s="14" t="str">
        <f>IF(N333="Rail","N/A",IF(_xlfn.XLOOKUP(T333,Airlines!A:A,Airlines!C:C)=TRUE,"Yes","No"))</f>
        <v>Yes</v>
      </c>
      <c r="AM333" s="14" t="str">
        <f t="shared" si="109"/>
        <v>Yes</v>
      </c>
      <c r="AN333" s="14" t="str">
        <f t="shared" si="110"/>
        <v>No</v>
      </c>
      <c r="AO333" s="14" t="str">
        <f t="shared" si="111"/>
        <v>No</v>
      </c>
      <c r="AP333" s="16" t="s">
        <v>148</v>
      </c>
      <c r="AQ333" t="str">
        <f t="shared" si="112"/>
        <v>No</v>
      </c>
      <c r="AR333" s="21">
        <v>5</v>
      </c>
      <c r="AS333" s="5">
        <v>237.6</v>
      </c>
      <c r="AT333" s="5" t="str">
        <f>IF(T333="","",_xlfn.XLOOKUP(T333,Airlines!A:A,Airlines!B:B,"Not Found"))</f>
        <v>Lufthansa</v>
      </c>
      <c r="AU333" s="5" t="str">
        <f>IF(U333="","",_xlfn.XLOOKUP(U333,Hotels!A:A,Hotels!B:B,"Not found"))</f>
        <v>Radisson Hotel Group</v>
      </c>
      <c r="AV333" t="s">
        <v>148</v>
      </c>
      <c r="AW333" s="16" t="str">
        <f t="shared" si="113"/>
        <v>OK</v>
      </c>
      <c r="AX333" s="16" t="str">
        <f t="shared" si="114"/>
        <v>OK</v>
      </c>
      <c r="AY333" s="16" t="str">
        <f t="shared" si="115"/>
        <v>OK</v>
      </c>
      <c r="AZ333" s="16" t="str">
        <f t="shared" si="116"/>
        <v>OK</v>
      </c>
      <c r="BA333" s="16" t="str">
        <f t="shared" si="120"/>
        <v>OK</v>
      </c>
      <c r="BB333" s="21">
        <f>COUNTIF('Trip Changes'!B:B,A333)</f>
        <v>0</v>
      </c>
      <c r="BC333" s="16" t="str">
        <f>IF(OR(AND(AD333="Yes",COUNTIF('Trip Changes'!B:B,A333)&gt;0),AND(AD333="No",COUNTIF('Trip Changes'!B:B,A333)=0)),"OK","Check")</f>
        <v>OK</v>
      </c>
      <c r="BD333" t="str">
        <f t="shared" si="121"/>
        <v>OK</v>
      </c>
      <c r="BE333" t="str">
        <f t="shared" si="122"/>
        <v>OK</v>
      </c>
      <c r="BF333" t="str">
        <f t="shared" si="123"/>
        <v>OK</v>
      </c>
      <c r="BG333" t="str">
        <f t="shared" si="124"/>
        <v>OK</v>
      </c>
      <c r="BH333" t="str">
        <f t="shared" si="125"/>
        <v>OK</v>
      </c>
      <c r="BI333" t="str">
        <f t="shared" si="117"/>
        <v>OK</v>
      </c>
      <c r="BJ333" t="str">
        <f t="shared" si="118"/>
        <v>OK</v>
      </c>
      <c r="BK333" t="str">
        <f t="shared" si="119"/>
        <v>OK</v>
      </c>
    </row>
    <row r="334" spans="1:63">
      <c r="A334" s="16" t="s">
        <v>632</v>
      </c>
      <c r="B334" s="16" t="s">
        <v>630</v>
      </c>
      <c r="C334" s="16" t="s">
        <v>193</v>
      </c>
      <c r="D334" s="16" t="s">
        <v>204</v>
      </c>
      <c r="E334" s="16" t="s">
        <v>249</v>
      </c>
      <c r="F334" s="16" t="s">
        <v>162</v>
      </c>
      <c r="G334" s="15">
        <v>46167</v>
      </c>
      <c r="H334" s="15">
        <v>46175</v>
      </c>
      <c r="I334" s="15">
        <v>46177</v>
      </c>
      <c r="J334" s="15" t="s">
        <v>141</v>
      </c>
      <c r="K334" s="16" t="s">
        <v>193</v>
      </c>
      <c r="L334" t="s">
        <v>225</v>
      </c>
      <c r="M334" s="16" t="s">
        <v>152</v>
      </c>
      <c r="N334" s="16" t="s">
        <v>153</v>
      </c>
      <c r="O334" t="s">
        <v>1614</v>
      </c>
      <c r="P334" s="18">
        <v>2030</v>
      </c>
      <c r="Q334" s="21">
        <v>8</v>
      </c>
      <c r="R334" s="21" t="str">
        <f t="shared" si="105"/>
        <v>8-14 days</v>
      </c>
      <c r="S334" s="16" t="s">
        <v>216</v>
      </c>
      <c r="T334" s="16" t="s">
        <v>236</v>
      </c>
      <c r="U334" s="16" t="s">
        <v>164</v>
      </c>
      <c r="V334" t="str">
        <f>IF(U334="","",IFERROR(VLOOKUP(U334,Hotels!A:B,2,FALSE),"Not Found"))</f>
        <v>Marriott</v>
      </c>
      <c r="W334" s="14">
        <v>472.96</v>
      </c>
      <c r="X334" s="14">
        <v>0</v>
      </c>
      <c r="Y334" s="21">
        <v>1</v>
      </c>
      <c r="Z334" s="29">
        <f t="shared" si="106"/>
        <v>149.72</v>
      </c>
      <c r="AA334" s="14">
        <v>149.72</v>
      </c>
      <c r="AB334" s="14">
        <v>91.14</v>
      </c>
      <c r="AC334" s="14">
        <v>713.82</v>
      </c>
      <c r="AD334" s="16" t="s">
        <v>147</v>
      </c>
      <c r="AE334" s="16" t="s">
        <v>147</v>
      </c>
      <c r="AF334" s="14">
        <f>SUMIF('Trip Changes'!$B:$B,A334,'Trip Changes'!$E:$E)</f>
        <v>0</v>
      </c>
      <c r="AG334" s="23">
        <f>SUMIF('Trip Cancellations'!$B:$B,A334,'Trip Cancellations'!$E:$E)</f>
        <v>0</v>
      </c>
      <c r="AH334" s="14">
        <f>SUMIF('Trip Cancellations'!$B:$B,A334,'Trip Cancellations'!$F:$F)</f>
        <v>0</v>
      </c>
      <c r="AI334" s="14">
        <f t="shared" si="107"/>
        <v>713.82</v>
      </c>
      <c r="AJ334" s="14" t="str">
        <f t="shared" si="108"/>
        <v>Yes</v>
      </c>
      <c r="AK334" s="14" t="str">
        <f>IF(Y334=0,"N/A",
IF(_xlfn.XLOOKUP(U334,Hotels!A:A,Hotels!C:C)=TRUE,"Yes","No"))</f>
        <v>Yes</v>
      </c>
      <c r="AL334" s="14" t="str">
        <f>IF(N334="Rail","N/A",IF(_xlfn.XLOOKUP(T334,Airlines!A:A,Airlines!C:C)=TRUE,"Yes","No"))</f>
        <v>Yes</v>
      </c>
      <c r="AM334" s="14" t="str">
        <f t="shared" si="109"/>
        <v>Yes</v>
      </c>
      <c r="AN334" s="14" t="str">
        <f t="shared" si="110"/>
        <v>No</v>
      </c>
      <c r="AO334" s="14" t="str">
        <f t="shared" si="111"/>
        <v>Yes</v>
      </c>
      <c r="AP334" s="16" t="s">
        <v>148</v>
      </c>
      <c r="AQ334" t="str">
        <f t="shared" si="112"/>
        <v>No</v>
      </c>
      <c r="AR334" s="21">
        <v>5</v>
      </c>
      <c r="AS334" s="5">
        <v>304.5</v>
      </c>
      <c r="AT334" s="5" t="str">
        <f>IF(T334="","",_xlfn.XLOOKUP(T334,Airlines!A:A,Airlines!B:B,"Not Found"))</f>
        <v>KLM</v>
      </c>
      <c r="AU334" s="5" t="str">
        <f>IF(U334="","",_xlfn.XLOOKUP(U334,Hotels!A:A,Hotels!B:B,"Not found"))</f>
        <v>Marriott</v>
      </c>
      <c r="AV334" t="s">
        <v>148</v>
      </c>
      <c r="AW334" s="16" t="str">
        <f t="shared" si="113"/>
        <v>OK</v>
      </c>
      <c r="AX334" s="16" t="str">
        <f t="shared" si="114"/>
        <v>OK</v>
      </c>
      <c r="AY334" s="16" t="str">
        <f t="shared" si="115"/>
        <v>OK</v>
      </c>
      <c r="AZ334" s="16" t="str">
        <f t="shared" si="116"/>
        <v>OK</v>
      </c>
      <c r="BA334" s="16" t="str">
        <f t="shared" si="120"/>
        <v>OK</v>
      </c>
      <c r="BB334" s="21">
        <f>COUNTIF('Trip Changes'!B:B,A334)</f>
        <v>0</v>
      </c>
      <c r="BC334" s="16" t="str">
        <f>IF(OR(AND(AD334="Yes",COUNTIF('Trip Changes'!B:B,A334)&gt;0),AND(AD334="No",COUNTIF('Trip Changes'!B:B,A334)=0)),"OK","Check")</f>
        <v>OK</v>
      </c>
      <c r="BD334" t="str">
        <f t="shared" si="121"/>
        <v>OK</v>
      </c>
      <c r="BE334" t="str">
        <f t="shared" si="122"/>
        <v>OK</v>
      </c>
      <c r="BF334" t="str">
        <f t="shared" si="123"/>
        <v>OK</v>
      </c>
      <c r="BG334" t="str">
        <f t="shared" si="124"/>
        <v>OK</v>
      </c>
      <c r="BH334" t="str">
        <f t="shared" si="125"/>
        <v>OK</v>
      </c>
      <c r="BI334" t="str">
        <f t="shared" si="117"/>
        <v>OK</v>
      </c>
      <c r="BJ334" t="str">
        <f t="shared" si="118"/>
        <v>OK</v>
      </c>
      <c r="BK334" t="str">
        <f t="shared" si="119"/>
        <v>OK</v>
      </c>
    </row>
    <row r="335" spans="1:63">
      <c r="A335" s="16" t="s">
        <v>633</v>
      </c>
      <c r="B335" s="16" t="s">
        <v>634</v>
      </c>
      <c r="C335" s="16" t="s">
        <v>282</v>
      </c>
      <c r="D335" s="16" t="s">
        <v>168</v>
      </c>
      <c r="E335" s="16" t="s">
        <v>139</v>
      </c>
      <c r="F335" s="16" t="s">
        <v>207</v>
      </c>
      <c r="G335" s="15">
        <v>46167</v>
      </c>
      <c r="H335" s="15">
        <v>46182</v>
      </c>
      <c r="I335" s="15">
        <v>46185</v>
      </c>
      <c r="J335" s="15" t="s">
        <v>141</v>
      </c>
      <c r="K335" s="16" t="s">
        <v>282</v>
      </c>
      <c r="L335" t="s">
        <v>151</v>
      </c>
      <c r="M335" s="16" t="s">
        <v>152</v>
      </c>
      <c r="N335" s="16" t="s">
        <v>153</v>
      </c>
      <c r="O335" t="s">
        <v>1614</v>
      </c>
      <c r="P335" s="18">
        <v>2840</v>
      </c>
      <c r="Q335" s="21">
        <v>15</v>
      </c>
      <c r="R335" s="21" t="str">
        <f t="shared" si="105"/>
        <v>15-30 days</v>
      </c>
      <c r="S335" s="16" t="s">
        <v>145</v>
      </c>
      <c r="T335" s="16" t="s">
        <v>154</v>
      </c>
      <c r="U335" s="16" t="s">
        <v>155</v>
      </c>
      <c r="V335" t="str">
        <f>IF(U335="","",IFERROR(VLOOKUP(U335,Hotels!A:B,2,FALSE),"Not Found"))</f>
        <v>Hilton</v>
      </c>
      <c r="W335" s="14">
        <v>383.28</v>
      </c>
      <c r="X335" s="14">
        <v>0</v>
      </c>
      <c r="Y335" s="21">
        <v>2</v>
      </c>
      <c r="Z335" s="29">
        <f t="shared" si="106"/>
        <v>196.73</v>
      </c>
      <c r="AA335" s="14">
        <v>393.46</v>
      </c>
      <c r="AB335" s="14">
        <v>86.3</v>
      </c>
      <c r="AC335" s="14">
        <v>863.04</v>
      </c>
      <c r="AD335" s="16" t="s">
        <v>147</v>
      </c>
      <c r="AE335" s="16" t="s">
        <v>148</v>
      </c>
      <c r="AF335" s="14">
        <f>SUMIF('Trip Changes'!$B:$B,A335,'Trip Changes'!$E:$E)</f>
        <v>0</v>
      </c>
      <c r="AG335" s="23">
        <f>SUMIF('Trip Cancellations'!$B:$B,A335,'Trip Cancellations'!$E:$E)</f>
        <v>108.98</v>
      </c>
      <c r="AH335" s="14">
        <f>SUMIF('Trip Cancellations'!$B:$B,A335,'Trip Cancellations'!$F:$F)</f>
        <v>699.07</v>
      </c>
      <c r="AI335" s="14">
        <f t="shared" si="107"/>
        <v>272.94999999999993</v>
      </c>
      <c r="AJ335" s="14" t="str">
        <f t="shared" si="108"/>
        <v>No</v>
      </c>
      <c r="AK335" s="14" t="str">
        <f>IF(Y335=0,"N/A",
IF(_xlfn.XLOOKUP(U335,Hotels!A:A,Hotels!C:C)=TRUE,"Yes","No"))</f>
        <v>Yes</v>
      </c>
      <c r="AL335" s="14" t="str">
        <f>IF(N335="Rail","N/A",IF(_xlfn.XLOOKUP(T335,Airlines!A:A,Airlines!C:C)=TRUE,"Yes","No"))</f>
        <v>Yes</v>
      </c>
      <c r="AM335" s="14" t="str">
        <f t="shared" si="109"/>
        <v>Yes</v>
      </c>
      <c r="AN335" s="14" t="str">
        <f t="shared" si="110"/>
        <v>Yes</v>
      </c>
      <c r="AO335" s="14" t="str">
        <f t="shared" si="111"/>
        <v>Yes</v>
      </c>
      <c r="AP335" s="16" t="s">
        <v>148</v>
      </c>
      <c r="AQ335" t="str">
        <f t="shared" si="112"/>
        <v>No</v>
      </c>
      <c r="AR335" s="21">
        <v>3</v>
      </c>
      <c r="AS335" s="5">
        <v>426</v>
      </c>
      <c r="AT335" s="5" t="str">
        <f>IF(T335="","",_xlfn.XLOOKUP(T335,Airlines!A:A,Airlines!B:B,"Not Found"))</f>
        <v>British Airways</v>
      </c>
      <c r="AU335" s="5" t="str">
        <f>IF(U335="","",_xlfn.XLOOKUP(U335,Hotels!A:A,Hotels!B:B,"Not found"))</f>
        <v>Hilton</v>
      </c>
      <c r="AV335" t="s">
        <v>148</v>
      </c>
      <c r="AW335" s="16" t="str">
        <f t="shared" si="113"/>
        <v>OK</v>
      </c>
      <c r="AX335" s="16" t="str">
        <f t="shared" si="114"/>
        <v>OK</v>
      </c>
      <c r="AY335" s="16" t="str">
        <f t="shared" si="115"/>
        <v>OK</v>
      </c>
      <c r="AZ335" s="16" t="str">
        <f t="shared" si="116"/>
        <v>OK</v>
      </c>
      <c r="BA335" s="16" t="str">
        <f t="shared" si="120"/>
        <v>OK</v>
      </c>
      <c r="BB335" s="21">
        <f>COUNTIF('Trip Changes'!B:B,A335)</f>
        <v>0</v>
      </c>
      <c r="BC335" s="16" t="str">
        <f>IF(OR(AND(AD335="Yes",COUNTIF('Trip Changes'!B:B,A335)&gt;0),AND(AD335="No",COUNTIF('Trip Changes'!B:B,A335)=0)),"OK","Check")</f>
        <v>OK</v>
      </c>
      <c r="BD335" t="str">
        <f t="shared" si="121"/>
        <v>OK</v>
      </c>
      <c r="BE335" t="str">
        <f t="shared" si="122"/>
        <v>OK</v>
      </c>
      <c r="BF335" t="str">
        <f t="shared" si="123"/>
        <v>OK</v>
      </c>
      <c r="BG335" t="str">
        <f t="shared" si="124"/>
        <v>OK</v>
      </c>
      <c r="BH335" t="str">
        <f t="shared" si="125"/>
        <v>OK</v>
      </c>
      <c r="BI335" t="str">
        <f t="shared" si="117"/>
        <v>OK</v>
      </c>
      <c r="BJ335" t="str">
        <f t="shared" si="118"/>
        <v>OK</v>
      </c>
      <c r="BK335" t="str">
        <f t="shared" si="119"/>
        <v>OK</v>
      </c>
    </row>
    <row r="336" spans="1:63">
      <c r="A336" s="16" t="s">
        <v>635</v>
      </c>
      <c r="B336" s="16" t="s">
        <v>634</v>
      </c>
      <c r="C336" s="16" t="s">
        <v>282</v>
      </c>
      <c r="D336" s="16" t="s">
        <v>168</v>
      </c>
      <c r="E336" s="16" t="s">
        <v>139</v>
      </c>
      <c r="F336" s="16" t="s">
        <v>162</v>
      </c>
      <c r="G336" s="15">
        <v>46174</v>
      </c>
      <c r="H336" s="15">
        <v>46186</v>
      </c>
      <c r="I336" s="15">
        <v>46188</v>
      </c>
      <c r="J336" s="15" t="s">
        <v>141</v>
      </c>
      <c r="K336" s="16" t="s">
        <v>282</v>
      </c>
      <c r="L336" t="s">
        <v>182</v>
      </c>
      <c r="M336" s="16" t="s">
        <v>143</v>
      </c>
      <c r="N336" s="16" t="s">
        <v>144</v>
      </c>
      <c r="O336" t="s">
        <v>1630</v>
      </c>
      <c r="P336" s="18">
        <v>504</v>
      </c>
      <c r="Q336" s="21">
        <v>12</v>
      </c>
      <c r="R336" s="21" t="str">
        <f t="shared" si="105"/>
        <v>8-14 days</v>
      </c>
      <c r="S336" s="16" t="s">
        <v>145</v>
      </c>
      <c r="U336" s="16" t="s">
        <v>146</v>
      </c>
      <c r="V336" t="str">
        <f>IF(U336="","",IFERROR(VLOOKUP(U336,Hotels!A:B,2,FALSE),"Not Found"))</f>
        <v>Premier Inn</v>
      </c>
      <c r="W336" s="14">
        <v>0</v>
      </c>
      <c r="X336" s="14">
        <v>445.71</v>
      </c>
      <c r="Y336" s="21">
        <v>1</v>
      </c>
      <c r="Z336" s="29">
        <f t="shared" si="106"/>
        <v>152.74</v>
      </c>
      <c r="AA336" s="14">
        <v>152.74</v>
      </c>
      <c r="AB336" s="14">
        <v>90.55</v>
      </c>
      <c r="AC336" s="14">
        <v>689</v>
      </c>
      <c r="AD336" s="16" t="s">
        <v>147</v>
      </c>
      <c r="AE336" s="16" t="s">
        <v>147</v>
      </c>
      <c r="AF336" s="14">
        <f>SUMIF('Trip Changes'!$B:$B,A336,'Trip Changes'!$E:$E)</f>
        <v>0</v>
      </c>
      <c r="AG336" s="23">
        <f>SUMIF('Trip Cancellations'!$B:$B,A336,'Trip Cancellations'!$E:$E)</f>
        <v>0</v>
      </c>
      <c r="AH336" s="14">
        <f>SUMIF('Trip Cancellations'!$B:$B,A336,'Trip Cancellations'!$F:$F)</f>
        <v>0</v>
      </c>
      <c r="AI336" s="14">
        <f t="shared" si="107"/>
        <v>689</v>
      </c>
      <c r="AJ336" s="14" t="str">
        <f t="shared" si="108"/>
        <v>Yes</v>
      </c>
      <c r="AK336" s="14" t="str">
        <f>IF(Y336=0,"N/A",
IF(_xlfn.XLOOKUP(U336,Hotels!A:A,Hotels!C:C)=TRUE,"Yes","No"))</f>
        <v>Yes</v>
      </c>
      <c r="AL336" s="14" t="str">
        <f>IF(N336="Rail","N/A",IF(_xlfn.XLOOKUP(T336,Airlines!A:A,Airlines!C:C)=TRUE,"Yes","No"))</f>
        <v>N/A</v>
      </c>
      <c r="AM336" s="14" t="str">
        <f t="shared" si="109"/>
        <v>Yes</v>
      </c>
      <c r="AN336" s="14" t="str">
        <f t="shared" si="110"/>
        <v>Yes</v>
      </c>
      <c r="AO336" s="14" t="str">
        <f t="shared" si="111"/>
        <v>Yes</v>
      </c>
      <c r="AP336" s="16" t="s">
        <v>148</v>
      </c>
      <c r="AQ336" t="str">
        <f t="shared" si="112"/>
        <v>Yes</v>
      </c>
      <c r="AR336" s="21">
        <v>5</v>
      </c>
      <c r="AS336" s="5">
        <v>20.2</v>
      </c>
      <c r="AT336" s="5" t="str">
        <f>IF(T336="","",_xlfn.XLOOKUP(T336,Airlines!A:A,Airlines!B:B,"Not Found"))</f>
        <v/>
      </c>
      <c r="AU336" s="5" t="str">
        <f>IF(U336="","",_xlfn.XLOOKUP(U336,Hotels!A:A,Hotels!B:B,"Not found"))</f>
        <v>Premier Inn</v>
      </c>
      <c r="AV336" t="s">
        <v>148</v>
      </c>
      <c r="AW336" s="16" t="str">
        <f t="shared" si="113"/>
        <v>OK</v>
      </c>
      <c r="AX336" s="16" t="str">
        <f t="shared" si="114"/>
        <v>OK</v>
      </c>
      <c r="AY336" s="16" t="str">
        <f t="shared" si="115"/>
        <v>OK</v>
      </c>
      <c r="AZ336" s="16" t="str">
        <f t="shared" si="116"/>
        <v>OK</v>
      </c>
      <c r="BA336" s="16" t="str">
        <f t="shared" si="120"/>
        <v>OK</v>
      </c>
      <c r="BB336" s="21">
        <f>COUNTIF('Trip Changes'!B:B,A336)</f>
        <v>0</v>
      </c>
      <c r="BC336" s="16" t="str">
        <f>IF(OR(AND(AD336="Yes",COUNTIF('Trip Changes'!B:B,A336)&gt;0),AND(AD336="No",COUNTIF('Trip Changes'!B:B,A336)=0)),"OK","Check")</f>
        <v>OK</v>
      </c>
      <c r="BD336" t="str">
        <f t="shared" si="121"/>
        <v>OK</v>
      </c>
      <c r="BE336" t="str">
        <f t="shared" si="122"/>
        <v>OK</v>
      </c>
      <c r="BF336" t="str">
        <f t="shared" si="123"/>
        <v>OK</v>
      </c>
      <c r="BG336" t="str">
        <f t="shared" si="124"/>
        <v>OK</v>
      </c>
      <c r="BH336" t="str">
        <f t="shared" si="125"/>
        <v>OK</v>
      </c>
      <c r="BI336" t="str">
        <f t="shared" si="117"/>
        <v>OK</v>
      </c>
      <c r="BJ336" t="str">
        <f t="shared" si="118"/>
        <v>OK</v>
      </c>
      <c r="BK336" t="str">
        <f t="shared" si="119"/>
        <v>OK</v>
      </c>
    </row>
    <row r="337" spans="1:63">
      <c r="A337" s="16" t="s">
        <v>636</v>
      </c>
      <c r="B337" s="16" t="s">
        <v>637</v>
      </c>
      <c r="C337" s="16" t="s">
        <v>307</v>
      </c>
      <c r="D337" s="16" t="s">
        <v>230</v>
      </c>
      <c r="E337" s="16" t="s">
        <v>249</v>
      </c>
      <c r="F337" s="16" t="s">
        <v>170</v>
      </c>
      <c r="G337" s="15">
        <v>46172</v>
      </c>
      <c r="H337" s="15">
        <v>46181</v>
      </c>
      <c r="I337" s="15">
        <v>46185</v>
      </c>
      <c r="J337" s="15" t="s">
        <v>141</v>
      </c>
      <c r="K337" s="16" t="s">
        <v>307</v>
      </c>
      <c r="L337" t="s">
        <v>151</v>
      </c>
      <c r="M337" s="16" t="s">
        <v>152</v>
      </c>
      <c r="N337" s="16" t="s">
        <v>153</v>
      </c>
      <c r="O337" t="s">
        <v>1614</v>
      </c>
      <c r="P337" s="18">
        <v>3052</v>
      </c>
      <c r="Q337" s="21">
        <v>9</v>
      </c>
      <c r="R337" s="21" t="str">
        <f t="shared" si="105"/>
        <v>8-14 days</v>
      </c>
      <c r="S337" s="16" t="s">
        <v>145</v>
      </c>
      <c r="T337" s="16" t="s">
        <v>176</v>
      </c>
      <c r="U337" s="16" t="s">
        <v>155</v>
      </c>
      <c r="V337" t="str">
        <f>IF(U337="","",IFERROR(VLOOKUP(U337,Hotels!A:B,2,FALSE),"Not Found"))</f>
        <v>Hilton</v>
      </c>
      <c r="W337" s="14">
        <v>390.2</v>
      </c>
      <c r="X337" s="14">
        <v>0</v>
      </c>
      <c r="Y337" s="21">
        <v>3</v>
      </c>
      <c r="Z337" s="29">
        <f t="shared" si="106"/>
        <v>181.91</v>
      </c>
      <c r="AA337" s="14">
        <v>545.73</v>
      </c>
      <c r="AB337" s="14">
        <v>64.94</v>
      </c>
      <c r="AC337" s="14">
        <v>1000.87</v>
      </c>
      <c r="AD337" s="16" t="s">
        <v>147</v>
      </c>
      <c r="AE337" s="16" t="s">
        <v>147</v>
      </c>
      <c r="AF337" s="14">
        <f>SUMIF('Trip Changes'!$B:$B,A337,'Trip Changes'!$E:$E)</f>
        <v>0</v>
      </c>
      <c r="AG337" s="23">
        <f>SUMIF('Trip Cancellations'!$B:$B,A337,'Trip Cancellations'!$E:$E)</f>
        <v>0</v>
      </c>
      <c r="AH337" s="14">
        <f>SUMIF('Trip Cancellations'!$B:$B,A337,'Trip Cancellations'!$F:$F)</f>
        <v>0</v>
      </c>
      <c r="AI337" s="14">
        <f t="shared" si="107"/>
        <v>1000.87</v>
      </c>
      <c r="AJ337" s="14" t="str">
        <f t="shared" si="108"/>
        <v>No</v>
      </c>
      <c r="AK337" s="14" t="str">
        <f>IF(Y337=0,"N/A",
IF(_xlfn.XLOOKUP(U337,Hotels!A:A,Hotels!C:C)=TRUE,"Yes","No"))</f>
        <v>Yes</v>
      </c>
      <c r="AL337" s="14" t="str">
        <f>IF(N337="Rail","N/A",IF(_xlfn.XLOOKUP(T337,Airlines!A:A,Airlines!C:C)=TRUE,"Yes","No"))</f>
        <v>Yes</v>
      </c>
      <c r="AM337" s="14" t="str">
        <f t="shared" si="109"/>
        <v>Yes</v>
      </c>
      <c r="AN337" s="14" t="str">
        <f t="shared" si="110"/>
        <v>Yes</v>
      </c>
      <c r="AO337" s="14" t="str">
        <f t="shared" si="111"/>
        <v>Yes</v>
      </c>
      <c r="AP337" s="16" t="s">
        <v>148</v>
      </c>
      <c r="AQ337" t="str">
        <f t="shared" si="112"/>
        <v>No</v>
      </c>
      <c r="AR337" s="21">
        <v>4</v>
      </c>
      <c r="AS337" s="5">
        <v>457.8</v>
      </c>
      <c r="AT337" s="5" t="str">
        <f>IF(T337="","",_xlfn.XLOOKUP(T337,Airlines!A:A,Airlines!B:B,"Not Found"))</f>
        <v>easyJet</v>
      </c>
      <c r="AU337" s="5" t="str">
        <f>IF(U337="","",_xlfn.XLOOKUP(U337,Hotels!A:A,Hotels!B:B,"Not found"))</f>
        <v>Hilton</v>
      </c>
      <c r="AV337" t="s">
        <v>148</v>
      </c>
      <c r="AW337" s="16" t="str">
        <f t="shared" si="113"/>
        <v>OK</v>
      </c>
      <c r="AX337" s="16" t="str">
        <f t="shared" si="114"/>
        <v>OK</v>
      </c>
      <c r="AY337" s="16" t="str">
        <f t="shared" si="115"/>
        <v>OK</v>
      </c>
      <c r="AZ337" s="16" t="str">
        <f t="shared" si="116"/>
        <v>OK</v>
      </c>
      <c r="BA337" s="16" t="str">
        <f t="shared" si="120"/>
        <v>OK</v>
      </c>
      <c r="BB337" s="21">
        <f>COUNTIF('Trip Changes'!B:B,A337)</f>
        <v>0</v>
      </c>
      <c r="BC337" s="16" t="str">
        <f>IF(OR(AND(AD337="Yes",COUNTIF('Trip Changes'!B:B,A337)&gt;0),AND(AD337="No",COUNTIF('Trip Changes'!B:B,A337)=0)),"OK","Check")</f>
        <v>OK</v>
      </c>
      <c r="BD337" t="str">
        <f t="shared" si="121"/>
        <v>OK</v>
      </c>
      <c r="BE337" t="str">
        <f t="shared" si="122"/>
        <v>OK</v>
      </c>
      <c r="BF337" t="str">
        <f t="shared" si="123"/>
        <v>OK</v>
      </c>
      <c r="BG337" t="str">
        <f t="shared" si="124"/>
        <v>OK</v>
      </c>
      <c r="BH337" t="str">
        <f t="shared" si="125"/>
        <v>OK</v>
      </c>
      <c r="BI337" t="str">
        <f t="shared" si="117"/>
        <v>OK</v>
      </c>
      <c r="BJ337" t="str">
        <f t="shared" si="118"/>
        <v>OK</v>
      </c>
      <c r="BK337" t="str">
        <f t="shared" si="119"/>
        <v>OK</v>
      </c>
    </row>
    <row r="338" spans="1:63">
      <c r="A338" s="16" t="s">
        <v>638</v>
      </c>
      <c r="B338" s="16" t="s">
        <v>637</v>
      </c>
      <c r="C338" s="16" t="s">
        <v>307</v>
      </c>
      <c r="D338" s="16" t="s">
        <v>230</v>
      </c>
      <c r="E338" s="16" t="s">
        <v>249</v>
      </c>
      <c r="F338" s="16" t="s">
        <v>189</v>
      </c>
      <c r="G338" s="15">
        <v>46191</v>
      </c>
      <c r="H338" s="15">
        <v>46192</v>
      </c>
      <c r="I338" s="15">
        <v>46195</v>
      </c>
      <c r="J338" s="15" t="s">
        <v>141</v>
      </c>
      <c r="K338" s="16" t="s">
        <v>307</v>
      </c>
      <c r="L338" t="s">
        <v>185</v>
      </c>
      <c r="M338" s="16" t="s">
        <v>152</v>
      </c>
      <c r="N338" s="16" t="s">
        <v>153</v>
      </c>
      <c r="O338" t="s">
        <v>1614</v>
      </c>
      <c r="P338" s="18">
        <v>12674</v>
      </c>
      <c r="Q338" s="21">
        <v>1</v>
      </c>
      <c r="R338" s="21" t="str">
        <f t="shared" si="105"/>
        <v>0-3 days</v>
      </c>
      <c r="S338" s="16" t="s">
        <v>145</v>
      </c>
      <c r="T338" s="16" t="s">
        <v>154</v>
      </c>
      <c r="U338" s="16" t="s">
        <v>187</v>
      </c>
      <c r="V338" t="str">
        <f>IF(U338="","",IFERROR(VLOOKUP(U338,Hotels!A:B,2,FALSE),"Not Found"))</f>
        <v>IHG Hotels &amp; Resorts</v>
      </c>
      <c r="W338" s="14">
        <v>1461.8</v>
      </c>
      <c r="X338" s="14">
        <v>0</v>
      </c>
      <c r="Y338" s="21">
        <v>2</v>
      </c>
      <c r="Z338" s="29">
        <f t="shared" si="106"/>
        <v>186.07</v>
      </c>
      <c r="AA338" s="14">
        <v>372.14</v>
      </c>
      <c r="AB338" s="14">
        <v>33.25</v>
      </c>
      <c r="AC338" s="14">
        <v>1867.19</v>
      </c>
      <c r="AD338" s="16" t="s">
        <v>148</v>
      </c>
      <c r="AE338" s="16" t="s">
        <v>147</v>
      </c>
      <c r="AF338" s="14">
        <f>SUMIF('Trip Changes'!$B:$B,A338,'Trip Changes'!$E:$E)</f>
        <v>149.43</v>
      </c>
      <c r="AG338" s="23">
        <f>SUMIF('Trip Cancellations'!$B:$B,A338,'Trip Cancellations'!$E:$E)</f>
        <v>0</v>
      </c>
      <c r="AH338" s="14">
        <f>SUMIF('Trip Cancellations'!$B:$B,A338,'Trip Cancellations'!$F:$F)</f>
        <v>0</v>
      </c>
      <c r="AI338" s="14">
        <f t="shared" si="107"/>
        <v>2016.6200000000001</v>
      </c>
      <c r="AJ338" s="14" t="str">
        <f t="shared" si="108"/>
        <v>Yes</v>
      </c>
      <c r="AK338" s="14" t="str">
        <f>IF(Y338=0,"N/A",
IF(_xlfn.XLOOKUP(U338,Hotels!A:A,Hotels!C:C)=TRUE,"Yes","No"))</f>
        <v>Yes</v>
      </c>
      <c r="AL338" s="14" t="str">
        <f>IF(N338="Rail","N/A",IF(_xlfn.XLOOKUP(T338,Airlines!A:A,Airlines!C:C)=TRUE,"Yes","No"))</f>
        <v>Yes</v>
      </c>
      <c r="AM338" s="14" t="str">
        <f t="shared" si="109"/>
        <v>Yes</v>
      </c>
      <c r="AN338" s="14" t="str">
        <f t="shared" si="110"/>
        <v>Yes</v>
      </c>
      <c r="AO338" s="14" t="str">
        <f t="shared" si="111"/>
        <v>Yes</v>
      </c>
      <c r="AP338" s="16" t="s">
        <v>148</v>
      </c>
      <c r="AQ338" t="str">
        <f t="shared" si="112"/>
        <v>Yes</v>
      </c>
      <c r="AR338" s="21">
        <v>4</v>
      </c>
      <c r="AS338" s="5">
        <v>1901.1</v>
      </c>
      <c r="AT338" s="5" t="str">
        <f>IF(T338="","",_xlfn.XLOOKUP(T338,Airlines!A:A,Airlines!B:B,"Not Found"))</f>
        <v>British Airways</v>
      </c>
      <c r="AU338" s="5" t="str">
        <f>IF(U338="","",_xlfn.XLOOKUP(U338,Hotels!A:A,Hotels!B:B,"Not found"))</f>
        <v>IHG Hotels &amp; Resorts</v>
      </c>
      <c r="AV338" t="s">
        <v>148</v>
      </c>
      <c r="AW338" s="16" t="str">
        <f t="shared" si="113"/>
        <v>OK</v>
      </c>
      <c r="AX338" s="16" t="str">
        <f t="shared" si="114"/>
        <v>OK</v>
      </c>
      <c r="AY338" s="16" t="str">
        <f t="shared" si="115"/>
        <v>OK</v>
      </c>
      <c r="AZ338" s="16" t="str">
        <f t="shared" si="116"/>
        <v>OK</v>
      </c>
      <c r="BA338" s="16" t="str">
        <f t="shared" si="120"/>
        <v>OK</v>
      </c>
      <c r="BB338" s="21">
        <f>COUNTIF('Trip Changes'!B:B,A338)</f>
        <v>1</v>
      </c>
      <c r="BC338" s="16" t="str">
        <f>IF(OR(AND(AD338="Yes",COUNTIF('Trip Changes'!B:B,A338)&gt;0),AND(AD338="No",COUNTIF('Trip Changes'!B:B,A338)=0)),"OK","Check")</f>
        <v>OK</v>
      </c>
      <c r="BD338" t="str">
        <f t="shared" si="121"/>
        <v>OK</v>
      </c>
      <c r="BE338" t="str">
        <f t="shared" si="122"/>
        <v>OK</v>
      </c>
      <c r="BF338" t="str">
        <f t="shared" si="123"/>
        <v>OK</v>
      </c>
      <c r="BG338" t="str">
        <f t="shared" si="124"/>
        <v>OK</v>
      </c>
      <c r="BH338" t="str">
        <f t="shared" si="125"/>
        <v>OK</v>
      </c>
      <c r="BI338" t="str">
        <f t="shared" si="117"/>
        <v>OK</v>
      </c>
      <c r="BJ338" t="str">
        <f t="shared" si="118"/>
        <v>OK</v>
      </c>
      <c r="BK338" t="str">
        <f t="shared" si="119"/>
        <v>OK</v>
      </c>
    </row>
    <row r="339" spans="1:63">
      <c r="A339" s="16" t="s">
        <v>639</v>
      </c>
      <c r="B339" s="16" t="s">
        <v>640</v>
      </c>
      <c r="C339" s="16" t="s">
        <v>193</v>
      </c>
      <c r="D339" s="16" t="s">
        <v>138</v>
      </c>
      <c r="E339" s="16" t="s">
        <v>139</v>
      </c>
      <c r="F339" s="16" t="s">
        <v>162</v>
      </c>
      <c r="G339" s="15">
        <v>46214</v>
      </c>
      <c r="H339" s="15">
        <v>46218</v>
      </c>
      <c r="I339" s="15">
        <v>46223</v>
      </c>
      <c r="J339" s="15" t="s">
        <v>150</v>
      </c>
      <c r="K339" s="16" t="s">
        <v>193</v>
      </c>
      <c r="L339" t="s">
        <v>227</v>
      </c>
      <c r="M339" s="16" t="s">
        <v>152</v>
      </c>
      <c r="N339" s="16" t="s">
        <v>153</v>
      </c>
      <c r="O339" t="s">
        <v>1614</v>
      </c>
      <c r="P339" s="18">
        <v>3210</v>
      </c>
      <c r="Q339" s="21">
        <v>4</v>
      </c>
      <c r="R339" s="21" t="str">
        <f t="shared" si="105"/>
        <v>4-7 days</v>
      </c>
      <c r="S339" s="16" t="s">
        <v>145</v>
      </c>
      <c r="T339" s="16" t="s">
        <v>154</v>
      </c>
      <c r="U339" s="16" t="s">
        <v>173</v>
      </c>
      <c r="V339" t="str">
        <f>IF(U339="","",IFERROR(VLOOKUP(U339,Hotels!A:B,2,FALSE),"Not Found"))</f>
        <v>Accor</v>
      </c>
      <c r="W339" s="14">
        <v>664.98</v>
      </c>
      <c r="X339" s="14">
        <v>0</v>
      </c>
      <c r="Y339" s="21">
        <v>4</v>
      </c>
      <c r="Z339" s="29">
        <f t="shared" si="106"/>
        <v>158.315</v>
      </c>
      <c r="AA339" s="14">
        <v>633.26</v>
      </c>
      <c r="AB339" s="14">
        <v>77.02</v>
      </c>
      <c r="AC339" s="14">
        <v>1375.26</v>
      </c>
      <c r="AD339" s="16" t="s">
        <v>147</v>
      </c>
      <c r="AE339" s="16" t="s">
        <v>147</v>
      </c>
      <c r="AF339" s="14">
        <f>SUMIF('Trip Changes'!$B:$B,A339,'Trip Changes'!$E:$E)</f>
        <v>0</v>
      </c>
      <c r="AG339" s="23">
        <f>SUMIF('Trip Cancellations'!$B:$B,A339,'Trip Cancellations'!$E:$E)</f>
        <v>0</v>
      </c>
      <c r="AH339" s="14">
        <f>SUMIF('Trip Cancellations'!$B:$B,A339,'Trip Cancellations'!$F:$F)</f>
        <v>0</v>
      </c>
      <c r="AI339" s="14">
        <f t="shared" si="107"/>
        <v>1375.26</v>
      </c>
      <c r="AJ339" s="14" t="str">
        <f t="shared" si="108"/>
        <v>Yes</v>
      </c>
      <c r="AK339" s="14" t="str">
        <f>IF(Y339=0,"N/A",
IF(_xlfn.XLOOKUP(U339,Hotels!A:A,Hotels!C:C)=TRUE,"Yes","No"))</f>
        <v>Yes</v>
      </c>
      <c r="AL339" s="14" t="str">
        <f>IF(N339="Rail","N/A",IF(_xlfn.XLOOKUP(T339,Airlines!A:A,Airlines!C:C)=TRUE,"Yes","No"))</f>
        <v>Yes</v>
      </c>
      <c r="AM339" s="14" t="str">
        <f t="shared" si="109"/>
        <v>Yes</v>
      </c>
      <c r="AN339" s="14" t="str">
        <f t="shared" si="110"/>
        <v>Yes</v>
      </c>
      <c r="AO339" s="14" t="str">
        <f t="shared" si="111"/>
        <v>Yes</v>
      </c>
      <c r="AP339" s="16" t="s">
        <v>147</v>
      </c>
      <c r="AQ339" t="str">
        <f t="shared" si="112"/>
        <v>Yes</v>
      </c>
      <c r="AR339" s="21">
        <v>5</v>
      </c>
      <c r="AS339" s="5">
        <v>481.5</v>
      </c>
      <c r="AT339" s="5" t="str">
        <f>IF(T339="","",_xlfn.XLOOKUP(T339,Airlines!A:A,Airlines!B:B,"Not Found"))</f>
        <v>British Airways</v>
      </c>
      <c r="AU339" s="5" t="str">
        <f>IF(U339="","",_xlfn.XLOOKUP(U339,Hotels!A:A,Hotels!B:B,"Not found"))</f>
        <v>Accor</v>
      </c>
      <c r="AV339" t="s">
        <v>147</v>
      </c>
      <c r="AW339" s="16" t="str">
        <f t="shared" si="113"/>
        <v>OK</v>
      </c>
      <c r="AX339" s="16" t="str">
        <f t="shared" si="114"/>
        <v>OK</v>
      </c>
      <c r="AY339" s="16" t="str">
        <f t="shared" si="115"/>
        <v>OK</v>
      </c>
      <c r="AZ339" s="16" t="str">
        <f t="shared" si="116"/>
        <v>OK</v>
      </c>
      <c r="BA339" s="16" t="str">
        <f t="shared" si="120"/>
        <v>OK</v>
      </c>
      <c r="BB339" s="21">
        <f>COUNTIF('Trip Changes'!B:B,A339)</f>
        <v>0</v>
      </c>
      <c r="BC339" s="16" t="str">
        <f>IF(OR(AND(AD339="Yes",COUNTIF('Trip Changes'!B:B,A339)&gt;0),AND(AD339="No",COUNTIF('Trip Changes'!B:B,A339)=0)),"OK","Check")</f>
        <v>OK</v>
      </c>
      <c r="BD339" t="str">
        <f t="shared" si="121"/>
        <v>OK</v>
      </c>
      <c r="BE339" t="str">
        <f t="shared" si="122"/>
        <v>OK</v>
      </c>
      <c r="BF339" t="str">
        <f t="shared" si="123"/>
        <v>OK</v>
      </c>
      <c r="BG339" t="str">
        <f t="shared" si="124"/>
        <v>OK</v>
      </c>
      <c r="BH339" t="str">
        <f t="shared" si="125"/>
        <v>OK</v>
      </c>
      <c r="BI339" t="str">
        <f t="shared" si="117"/>
        <v>OK</v>
      </c>
      <c r="BJ339" t="str">
        <f t="shared" si="118"/>
        <v>OK</v>
      </c>
      <c r="BK339" t="str">
        <f t="shared" si="119"/>
        <v>OK</v>
      </c>
    </row>
    <row r="340" spans="1:63">
      <c r="A340" s="16" t="s">
        <v>641</v>
      </c>
      <c r="B340" s="16" t="s">
        <v>642</v>
      </c>
      <c r="C340" s="16" t="s">
        <v>182</v>
      </c>
      <c r="D340" s="16" t="s">
        <v>168</v>
      </c>
      <c r="E340" s="16" t="s">
        <v>139</v>
      </c>
      <c r="F340" s="16" t="s">
        <v>181</v>
      </c>
      <c r="G340" s="15">
        <v>46183</v>
      </c>
      <c r="H340" s="15">
        <v>46203</v>
      </c>
      <c r="I340" s="15">
        <v>46206</v>
      </c>
      <c r="J340" s="15" t="s">
        <v>141</v>
      </c>
      <c r="K340" s="16" t="s">
        <v>182</v>
      </c>
      <c r="L340" t="s">
        <v>175</v>
      </c>
      <c r="M340" s="16" t="s">
        <v>152</v>
      </c>
      <c r="N340" s="16" t="s">
        <v>153</v>
      </c>
      <c r="O340" t="s">
        <v>1614</v>
      </c>
      <c r="P340" s="18">
        <v>3242</v>
      </c>
      <c r="Q340" s="21">
        <v>20</v>
      </c>
      <c r="R340" s="21" t="str">
        <f t="shared" si="105"/>
        <v>15-30 days</v>
      </c>
      <c r="S340" s="16" t="s">
        <v>159</v>
      </c>
      <c r="T340" s="16" t="s">
        <v>176</v>
      </c>
      <c r="U340" s="16" t="s">
        <v>155</v>
      </c>
      <c r="V340" t="str">
        <f>IF(U340="","",IFERROR(VLOOKUP(U340,Hotels!A:B,2,FALSE),"Not Found"))</f>
        <v>Hilton</v>
      </c>
      <c r="W340" s="14">
        <v>489.07</v>
      </c>
      <c r="X340" s="14">
        <v>0</v>
      </c>
      <c r="Y340" s="21">
        <v>2</v>
      </c>
      <c r="Z340" s="29">
        <f t="shared" si="106"/>
        <v>159.51499999999999</v>
      </c>
      <c r="AA340" s="14">
        <v>319.02999999999997</v>
      </c>
      <c r="AB340" s="14">
        <v>128.74</v>
      </c>
      <c r="AC340" s="14">
        <v>936.84</v>
      </c>
      <c r="AD340" s="16" t="s">
        <v>147</v>
      </c>
      <c r="AE340" s="16" t="s">
        <v>147</v>
      </c>
      <c r="AF340" s="14">
        <f>SUMIF('Trip Changes'!$B:$B,A340,'Trip Changes'!$E:$E)</f>
        <v>0</v>
      </c>
      <c r="AG340" s="23">
        <f>SUMIF('Trip Cancellations'!$B:$B,A340,'Trip Cancellations'!$E:$E)</f>
        <v>0</v>
      </c>
      <c r="AH340" s="14">
        <f>SUMIF('Trip Cancellations'!$B:$B,A340,'Trip Cancellations'!$F:$F)</f>
        <v>0</v>
      </c>
      <c r="AI340" s="14">
        <f t="shared" si="107"/>
        <v>936.84</v>
      </c>
      <c r="AJ340" s="14" t="str">
        <f t="shared" si="108"/>
        <v>Yes</v>
      </c>
      <c r="AK340" s="14" t="str">
        <f>IF(Y340=0,"N/A",
IF(_xlfn.XLOOKUP(U340,Hotels!A:A,Hotels!C:C)=TRUE,"Yes","No"))</f>
        <v>Yes</v>
      </c>
      <c r="AL340" s="14" t="str">
        <f>IF(N340="Rail","N/A",IF(_xlfn.XLOOKUP(T340,Airlines!A:A,Airlines!C:C)=TRUE,"Yes","No"))</f>
        <v>Yes</v>
      </c>
      <c r="AM340" s="14" t="str">
        <f t="shared" si="109"/>
        <v>Yes</v>
      </c>
      <c r="AN340" s="14" t="str">
        <f t="shared" si="110"/>
        <v>Yes</v>
      </c>
      <c r="AO340" s="14" t="str">
        <f t="shared" si="111"/>
        <v>Yes</v>
      </c>
      <c r="AP340" s="16" t="s">
        <v>148</v>
      </c>
      <c r="AQ340" t="str">
        <f t="shared" si="112"/>
        <v>Yes</v>
      </c>
      <c r="AR340" s="21">
        <v>5</v>
      </c>
      <c r="AS340" s="5">
        <v>486.3</v>
      </c>
      <c r="AT340" s="5" t="str">
        <f>IF(T340="","",_xlfn.XLOOKUP(T340,Airlines!A:A,Airlines!B:B,"Not Found"))</f>
        <v>easyJet</v>
      </c>
      <c r="AU340" s="5" t="str">
        <f>IF(U340="","",_xlfn.XLOOKUP(U340,Hotels!A:A,Hotels!B:B,"Not found"))</f>
        <v>Hilton</v>
      </c>
      <c r="AV340" t="s">
        <v>147</v>
      </c>
      <c r="AW340" s="16" t="str">
        <f t="shared" si="113"/>
        <v>OK</v>
      </c>
      <c r="AX340" s="16" t="str">
        <f t="shared" si="114"/>
        <v>OK</v>
      </c>
      <c r="AY340" s="16" t="str">
        <f t="shared" si="115"/>
        <v>OK</v>
      </c>
      <c r="AZ340" s="16" t="str">
        <f t="shared" si="116"/>
        <v>OK</v>
      </c>
      <c r="BA340" s="16" t="str">
        <f t="shared" si="120"/>
        <v>OK</v>
      </c>
      <c r="BB340" s="21">
        <f>COUNTIF('Trip Changes'!B:B,A340)</f>
        <v>0</v>
      </c>
      <c r="BC340" s="16" t="str">
        <f>IF(OR(AND(AD340="Yes",COUNTIF('Trip Changes'!B:B,A340)&gt;0),AND(AD340="No",COUNTIF('Trip Changes'!B:B,A340)=0)),"OK","Check")</f>
        <v>OK</v>
      </c>
      <c r="BD340" t="str">
        <f t="shared" si="121"/>
        <v>OK</v>
      </c>
      <c r="BE340" t="str">
        <f t="shared" si="122"/>
        <v>OK</v>
      </c>
      <c r="BF340" t="str">
        <f t="shared" si="123"/>
        <v>OK</v>
      </c>
      <c r="BG340" t="str">
        <f t="shared" si="124"/>
        <v>OK</v>
      </c>
      <c r="BH340" t="str">
        <f t="shared" si="125"/>
        <v>OK</v>
      </c>
      <c r="BI340" t="str">
        <f t="shared" si="117"/>
        <v>OK</v>
      </c>
      <c r="BJ340" t="str">
        <f t="shared" si="118"/>
        <v>OK</v>
      </c>
      <c r="BK340" t="str">
        <f t="shared" si="119"/>
        <v>OK</v>
      </c>
    </row>
    <row r="341" spans="1:63">
      <c r="A341" s="16" t="s">
        <v>643</v>
      </c>
      <c r="B341" s="16" t="s">
        <v>642</v>
      </c>
      <c r="C341" s="16" t="s">
        <v>182</v>
      </c>
      <c r="D341" s="16" t="s">
        <v>168</v>
      </c>
      <c r="E341" s="16" t="s">
        <v>139</v>
      </c>
      <c r="F341" s="16" t="s">
        <v>157</v>
      </c>
      <c r="G341" s="15">
        <v>46219</v>
      </c>
      <c r="H341" s="15">
        <v>46223</v>
      </c>
      <c r="I341" s="15">
        <v>46225</v>
      </c>
      <c r="J341" s="15" t="s">
        <v>150</v>
      </c>
      <c r="K341" s="16" t="s">
        <v>182</v>
      </c>
      <c r="L341" t="s">
        <v>307</v>
      </c>
      <c r="M341" s="16" t="s">
        <v>143</v>
      </c>
      <c r="N341" s="16" t="s">
        <v>153</v>
      </c>
      <c r="O341" t="s">
        <v>1614</v>
      </c>
      <c r="P341" s="18">
        <v>1134</v>
      </c>
      <c r="Q341" s="21">
        <v>4</v>
      </c>
      <c r="R341" s="21" t="str">
        <f t="shared" si="105"/>
        <v>4-7 days</v>
      </c>
      <c r="S341" s="16" t="s">
        <v>216</v>
      </c>
      <c r="T341" s="16" t="s">
        <v>176</v>
      </c>
      <c r="U341" s="16" t="s">
        <v>146</v>
      </c>
      <c r="V341" t="str">
        <f>IF(U341="","",IFERROR(VLOOKUP(U341,Hotels!A:B,2,FALSE),"Not Found"))</f>
        <v>Premier Inn</v>
      </c>
      <c r="W341" s="14">
        <v>388.64</v>
      </c>
      <c r="X341" s="14">
        <v>0</v>
      </c>
      <c r="Y341" s="21">
        <v>1</v>
      </c>
      <c r="Z341" s="29">
        <f t="shared" si="106"/>
        <v>112.08</v>
      </c>
      <c r="AA341" s="14">
        <v>112.08</v>
      </c>
      <c r="AB341" s="14">
        <v>73.739999999999995</v>
      </c>
      <c r="AC341" s="14">
        <v>574.46</v>
      </c>
      <c r="AD341" s="16" t="s">
        <v>148</v>
      </c>
      <c r="AE341" s="16" t="s">
        <v>147</v>
      </c>
      <c r="AF341" s="14">
        <f>SUMIF('Trip Changes'!$B:$B,A341,'Trip Changes'!$E:$E)</f>
        <v>175.55</v>
      </c>
      <c r="AG341" s="23">
        <f>SUMIF('Trip Cancellations'!$B:$B,A341,'Trip Cancellations'!$E:$E)</f>
        <v>0</v>
      </c>
      <c r="AH341" s="14">
        <f>SUMIF('Trip Cancellations'!$B:$B,A341,'Trip Cancellations'!$F:$F)</f>
        <v>0</v>
      </c>
      <c r="AI341" s="14">
        <f t="shared" si="107"/>
        <v>750.01</v>
      </c>
      <c r="AJ341" s="14" t="str">
        <f t="shared" si="108"/>
        <v>Yes</v>
      </c>
      <c r="AK341" s="14" t="str">
        <f>IF(Y341=0,"N/A",
IF(_xlfn.XLOOKUP(U341,Hotels!A:A,Hotels!C:C)=TRUE,"Yes","No"))</f>
        <v>Yes</v>
      </c>
      <c r="AL341" s="14" t="str">
        <f>IF(N341="Rail","N/A",IF(_xlfn.XLOOKUP(T341,Airlines!A:A,Airlines!C:C)=TRUE,"Yes","No"))</f>
        <v>Yes</v>
      </c>
      <c r="AM341" s="14" t="str">
        <f t="shared" si="109"/>
        <v>Yes</v>
      </c>
      <c r="AN341" s="14" t="str">
        <f t="shared" si="110"/>
        <v>No</v>
      </c>
      <c r="AO341" s="14" t="str">
        <f t="shared" si="111"/>
        <v>Yes</v>
      </c>
      <c r="AP341" s="16" t="s">
        <v>148</v>
      </c>
      <c r="AQ341" t="str">
        <f t="shared" si="112"/>
        <v>No</v>
      </c>
      <c r="AR341" s="21">
        <v>5</v>
      </c>
      <c r="AS341" s="5">
        <v>170.1</v>
      </c>
      <c r="AT341" s="5" t="str">
        <f>IF(T341="","",_xlfn.XLOOKUP(T341,Airlines!A:A,Airlines!B:B,"Not Found"))</f>
        <v>easyJet</v>
      </c>
      <c r="AU341" s="5" t="str">
        <f>IF(U341="","",_xlfn.XLOOKUP(U341,Hotels!A:A,Hotels!B:B,"Not found"))</f>
        <v>Premier Inn</v>
      </c>
      <c r="AV341" t="s">
        <v>148</v>
      </c>
      <c r="AW341" s="16" t="str">
        <f t="shared" si="113"/>
        <v>OK</v>
      </c>
      <c r="AX341" s="16" t="str">
        <f t="shared" si="114"/>
        <v>OK</v>
      </c>
      <c r="AY341" s="16" t="str">
        <f t="shared" si="115"/>
        <v>OK</v>
      </c>
      <c r="AZ341" s="16" t="str">
        <f t="shared" si="116"/>
        <v>OK</v>
      </c>
      <c r="BA341" s="16" t="str">
        <f t="shared" si="120"/>
        <v>OK</v>
      </c>
      <c r="BB341" s="21">
        <f>COUNTIF('Trip Changes'!B:B,A341)</f>
        <v>1</v>
      </c>
      <c r="BC341" s="16" t="str">
        <f>IF(OR(AND(AD341="Yes",COUNTIF('Trip Changes'!B:B,A341)&gt;0),AND(AD341="No",COUNTIF('Trip Changes'!B:B,A341)=0)),"OK","Check")</f>
        <v>OK</v>
      </c>
      <c r="BD341" t="str">
        <f t="shared" si="121"/>
        <v>OK</v>
      </c>
      <c r="BE341" t="str">
        <f t="shared" si="122"/>
        <v>OK</v>
      </c>
      <c r="BF341" t="str">
        <f t="shared" si="123"/>
        <v>OK</v>
      </c>
      <c r="BG341" t="str">
        <f t="shared" si="124"/>
        <v>OK</v>
      </c>
      <c r="BH341" t="str">
        <f t="shared" si="125"/>
        <v>OK</v>
      </c>
      <c r="BI341" t="str">
        <f t="shared" si="117"/>
        <v>OK</v>
      </c>
      <c r="BJ341" t="str">
        <f t="shared" si="118"/>
        <v>OK</v>
      </c>
      <c r="BK341" t="str">
        <f t="shared" si="119"/>
        <v>OK</v>
      </c>
    </row>
    <row r="342" spans="1:63">
      <c r="A342" s="16" t="s">
        <v>644</v>
      </c>
      <c r="B342" s="16" t="s">
        <v>645</v>
      </c>
      <c r="C342" s="16" t="s">
        <v>203</v>
      </c>
      <c r="D342" s="16" t="s">
        <v>138</v>
      </c>
      <c r="E342" s="16" t="s">
        <v>268</v>
      </c>
      <c r="F342" s="16" t="s">
        <v>162</v>
      </c>
      <c r="G342" s="15">
        <v>46150</v>
      </c>
      <c r="H342" s="15">
        <v>46162</v>
      </c>
      <c r="I342" s="15">
        <v>46165</v>
      </c>
      <c r="J342" s="15" t="s">
        <v>163</v>
      </c>
      <c r="K342" s="16" t="s">
        <v>203</v>
      </c>
      <c r="L342" t="s">
        <v>233</v>
      </c>
      <c r="M342" s="16" t="s">
        <v>152</v>
      </c>
      <c r="N342" s="16" t="s">
        <v>153</v>
      </c>
      <c r="O342" t="s">
        <v>1614</v>
      </c>
      <c r="P342" s="18">
        <v>2048</v>
      </c>
      <c r="Q342" s="21">
        <v>12</v>
      </c>
      <c r="R342" s="21" t="str">
        <f t="shared" si="105"/>
        <v>8-14 days</v>
      </c>
      <c r="S342" s="16" t="s">
        <v>207</v>
      </c>
      <c r="T342" s="16" t="s">
        <v>154</v>
      </c>
      <c r="U342" s="16" t="s">
        <v>155</v>
      </c>
      <c r="V342" t="str">
        <f>IF(U342="","",IFERROR(VLOOKUP(U342,Hotels!A:B,2,FALSE),"Not Found"))</f>
        <v>Hilton</v>
      </c>
      <c r="W342" s="14">
        <v>253.4</v>
      </c>
      <c r="X342" s="14">
        <v>0</v>
      </c>
      <c r="Y342" s="21">
        <v>2</v>
      </c>
      <c r="Z342" s="29">
        <f t="shared" si="106"/>
        <v>202.435</v>
      </c>
      <c r="AA342" s="14">
        <v>404.87</v>
      </c>
      <c r="AB342" s="14">
        <v>37.75</v>
      </c>
      <c r="AC342" s="14">
        <v>696.02</v>
      </c>
      <c r="AD342" s="16" t="s">
        <v>147</v>
      </c>
      <c r="AE342" s="16" t="s">
        <v>147</v>
      </c>
      <c r="AF342" s="14">
        <f>SUMIF('Trip Changes'!$B:$B,A342,'Trip Changes'!$E:$E)</f>
        <v>0</v>
      </c>
      <c r="AG342" s="23">
        <f>SUMIF('Trip Cancellations'!$B:$B,A342,'Trip Cancellations'!$E:$E)</f>
        <v>0</v>
      </c>
      <c r="AH342" s="14">
        <f>SUMIF('Trip Cancellations'!$B:$B,A342,'Trip Cancellations'!$F:$F)</f>
        <v>0</v>
      </c>
      <c r="AI342" s="14">
        <f t="shared" si="107"/>
        <v>696.02</v>
      </c>
      <c r="AJ342" s="14" t="str">
        <f t="shared" si="108"/>
        <v>No</v>
      </c>
      <c r="AK342" s="14" t="str">
        <f>IF(Y342=0,"N/A",
IF(_xlfn.XLOOKUP(U342,Hotels!A:A,Hotels!C:C)=TRUE,"Yes","No"))</f>
        <v>Yes</v>
      </c>
      <c r="AL342" s="14" t="str">
        <f>IF(N342="Rail","N/A",IF(_xlfn.XLOOKUP(T342,Airlines!A:A,Airlines!C:C)=TRUE,"Yes","No"))</f>
        <v>Yes</v>
      </c>
      <c r="AM342" s="14" t="str">
        <f t="shared" si="109"/>
        <v>Yes</v>
      </c>
      <c r="AN342" s="14" t="str">
        <f t="shared" si="110"/>
        <v>No</v>
      </c>
      <c r="AO342" s="14" t="str">
        <f t="shared" si="111"/>
        <v>Yes</v>
      </c>
      <c r="AP342" s="16" t="s">
        <v>148</v>
      </c>
      <c r="AQ342" t="str">
        <f t="shared" si="112"/>
        <v>No</v>
      </c>
      <c r="AR342" s="21">
        <v>4</v>
      </c>
      <c r="AS342" s="5">
        <v>307.2</v>
      </c>
      <c r="AT342" s="5" t="str">
        <f>IF(T342="","",_xlfn.XLOOKUP(T342,Airlines!A:A,Airlines!B:B,"Not Found"))</f>
        <v>British Airways</v>
      </c>
      <c r="AU342" s="5" t="str">
        <f>IF(U342="","",_xlfn.XLOOKUP(U342,Hotels!A:A,Hotels!B:B,"Not found"))</f>
        <v>Hilton</v>
      </c>
      <c r="AV342" t="s">
        <v>147</v>
      </c>
      <c r="AW342" s="16" t="str">
        <f t="shared" si="113"/>
        <v>OK</v>
      </c>
      <c r="AX342" s="16" t="str">
        <f t="shared" si="114"/>
        <v>OK</v>
      </c>
      <c r="AY342" s="16" t="str">
        <f t="shared" si="115"/>
        <v>OK</v>
      </c>
      <c r="AZ342" s="16" t="str">
        <f t="shared" si="116"/>
        <v>OK</v>
      </c>
      <c r="BA342" s="16" t="str">
        <f t="shared" si="120"/>
        <v>OK</v>
      </c>
      <c r="BB342" s="21">
        <f>COUNTIF('Trip Changes'!B:B,A342)</f>
        <v>0</v>
      </c>
      <c r="BC342" s="16" t="str">
        <f>IF(OR(AND(AD342="Yes",COUNTIF('Trip Changes'!B:B,A342)&gt;0),AND(AD342="No",COUNTIF('Trip Changes'!B:B,A342)=0)),"OK","Check")</f>
        <v>OK</v>
      </c>
      <c r="BD342" t="str">
        <f t="shared" si="121"/>
        <v>OK</v>
      </c>
      <c r="BE342" t="str">
        <f t="shared" si="122"/>
        <v>OK</v>
      </c>
      <c r="BF342" t="str">
        <f t="shared" si="123"/>
        <v>OK</v>
      </c>
      <c r="BG342" t="str">
        <f t="shared" si="124"/>
        <v>OK</v>
      </c>
      <c r="BH342" t="str">
        <f t="shared" si="125"/>
        <v>OK</v>
      </c>
      <c r="BI342" t="str">
        <f t="shared" si="117"/>
        <v>OK</v>
      </c>
      <c r="BJ342" t="str">
        <f t="shared" si="118"/>
        <v>OK</v>
      </c>
      <c r="BK342" t="str">
        <f t="shared" si="119"/>
        <v>OK</v>
      </c>
    </row>
    <row r="343" spans="1:63">
      <c r="A343" s="16" t="s">
        <v>646</v>
      </c>
      <c r="B343" s="16" t="s">
        <v>645</v>
      </c>
      <c r="C343" s="16" t="s">
        <v>203</v>
      </c>
      <c r="D343" s="16" t="s">
        <v>138</v>
      </c>
      <c r="E343" s="16" t="s">
        <v>268</v>
      </c>
      <c r="F343" s="16" t="s">
        <v>140</v>
      </c>
      <c r="G343" s="15">
        <v>46198</v>
      </c>
      <c r="H343" s="15">
        <v>46199</v>
      </c>
      <c r="I343" s="15">
        <v>46202</v>
      </c>
      <c r="J343" s="15" t="s">
        <v>141</v>
      </c>
      <c r="K343" s="16" t="s">
        <v>203</v>
      </c>
      <c r="L343" t="s">
        <v>264</v>
      </c>
      <c r="M343" s="16" t="s">
        <v>152</v>
      </c>
      <c r="N343" s="16" t="s">
        <v>153</v>
      </c>
      <c r="O343" t="s">
        <v>1614</v>
      </c>
      <c r="P343" s="18">
        <v>3382</v>
      </c>
      <c r="Q343" s="21">
        <v>1</v>
      </c>
      <c r="R343" s="21" t="str">
        <f t="shared" si="105"/>
        <v>0-3 days</v>
      </c>
      <c r="S343" s="16" t="s">
        <v>207</v>
      </c>
      <c r="T343" s="16" t="s">
        <v>160</v>
      </c>
      <c r="U343" s="16" t="s">
        <v>187</v>
      </c>
      <c r="V343" t="str">
        <f>IF(U343="","",IFERROR(VLOOKUP(U343,Hotels!A:B,2,FALSE),"Not Found"))</f>
        <v>IHG Hotels &amp; Resorts</v>
      </c>
      <c r="W343" s="14">
        <v>349.43</v>
      </c>
      <c r="X343" s="14">
        <v>0</v>
      </c>
      <c r="Y343" s="21">
        <v>2</v>
      </c>
      <c r="Z343" s="29">
        <f t="shared" si="106"/>
        <v>137.80500000000001</v>
      </c>
      <c r="AA343" s="14">
        <v>275.61</v>
      </c>
      <c r="AB343" s="14">
        <v>66.58</v>
      </c>
      <c r="AC343" s="14">
        <v>691.62</v>
      </c>
      <c r="AD343" s="16" t="s">
        <v>147</v>
      </c>
      <c r="AE343" s="16" t="s">
        <v>147</v>
      </c>
      <c r="AF343" s="14">
        <f>SUMIF('Trip Changes'!$B:$B,A343,'Trip Changes'!$E:$E)</f>
        <v>0</v>
      </c>
      <c r="AG343" s="23">
        <f>SUMIF('Trip Cancellations'!$B:$B,A343,'Trip Cancellations'!$E:$E)</f>
        <v>0</v>
      </c>
      <c r="AH343" s="14">
        <f>SUMIF('Trip Cancellations'!$B:$B,A343,'Trip Cancellations'!$F:$F)</f>
        <v>0</v>
      </c>
      <c r="AI343" s="14">
        <f t="shared" si="107"/>
        <v>691.62</v>
      </c>
      <c r="AJ343" s="14" t="str">
        <f t="shared" si="108"/>
        <v>Yes</v>
      </c>
      <c r="AK343" s="14" t="str">
        <f>IF(Y343=0,"N/A",
IF(_xlfn.XLOOKUP(U343,Hotels!A:A,Hotels!C:C)=TRUE,"Yes","No"))</f>
        <v>Yes</v>
      </c>
      <c r="AL343" s="14" t="str">
        <f>IF(N343="Rail","N/A",IF(_xlfn.XLOOKUP(T343,Airlines!A:A,Airlines!C:C)=TRUE,"Yes","No"))</f>
        <v>Yes</v>
      </c>
      <c r="AM343" s="14" t="str">
        <f t="shared" si="109"/>
        <v>Yes</v>
      </c>
      <c r="AN343" s="14" t="str">
        <f t="shared" si="110"/>
        <v>No</v>
      </c>
      <c r="AO343" s="14" t="str">
        <f t="shared" si="111"/>
        <v>Yes</v>
      </c>
      <c r="AP343" s="16" t="s">
        <v>148</v>
      </c>
      <c r="AQ343" t="str">
        <f t="shared" si="112"/>
        <v>No</v>
      </c>
      <c r="AR343" s="21">
        <v>3</v>
      </c>
      <c r="AS343" s="5">
        <v>507.3</v>
      </c>
      <c r="AT343" s="5" t="str">
        <f>IF(T343="","",_xlfn.XLOOKUP(T343,Airlines!A:A,Airlines!B:B,"Not Found"))</f>
        <v>Air France</v>
      </c>
      <c r="AU343" s="5" t="str">
        <f>IF(U343="","",_xlfn.XLOOKUP(U343,Hotels!A:A,Hotels!B:B,"Not found"))</f>
        <v>IHG Hotels &amp; Resorts</v>
      </c>
      <c r="AV343" t="s">
        <v>147</v>
      </c>
      <c r="AW343" s="16" t="str">
        <f t="shared" si="113"/>
        <v>OK</v>
      </c>
      <c r="AX343" s="16" t="str">
        <f t="shared" si="114"/>
        <v>OK</v>
      </c>
      <c r="AY343" s="16" t="str">
        <f t="shared" si="115"/>
        <v>OK</v>
      </c>
      <c r="AZ343" s="16" t="str">
        <f t="shared" si="116"/>
        <v>OK</v>
      </c>
      <c r="BA343" s="16" t="str">
        <f t="shared" si="120"/>
        <v>OK</v>
      </c>
      <c r="BB343" s="21">
        <f>COUNTIF('Trip Changes'!B:B,A343)</f>
        <v>0</v>
      </c>
      <c r="BC343" s="16" t="str">
        <f>IF(OR(AND(AD343="Yes",COUNTIF('Trip Changes'!B:B,A343)&gt;0),AND(AD343="No",COUNTIF('Trip Changes'!B:B,A343)=0)),"OK","Check")</f>
        <v>OK</v>
      </c>
      <c r="BD343" t="str">
        <f t="shared" si="121"/>
        <v>OK</v>
      </c>
      <c r="BE343" t="str">
        <f t="shared" si="122"/>
        <v>OK</v>
      </c>
      <c r="BF343" t="str">
        <f t="shared" si="123"/>
        <v>OK</v>
      </c>
      <c r="BG343" t="str">
        <f t="shared" si="124"/>
        <v>OK</v>
      </c>
      <c r="BH343" t="str">
        <f t="shared" si="125"/>
        <v>OK</v>
      </c>
      <c r="BI343" t="str">
        <f t="shared" si="117"/>
        <v>OK</v>
      </c>
      <c r="BJ343" t="str">
        <f t="shared" si="118"/>
        <v>OK</v>
      </c>
      <c r="BK343" t="str">
        <f t="shared" si="119"/>
        <v>OK</v>
      </c>
    </row>
    <row r="344" spans="1:63">
      <c r="A344" s="16" t="s">
        <v>647</v>
      </c>
      <c r="B344" s="16" t="s">
        <v>645</v>
      </c>
      <c r="C344" s="16" t="s">
        <v>203</v>
      </c>
      <c r="D344" s="16" t="s">
        <v>138</v>
      </c>
      <c r="E344" s="16" t="s">
        <v>268</v>
      </c>
      <c r="F344" s="16" t="s">
        <v>162</v>
      </c>
      <c r="G344" s="15">
        <v>46181</v>
      </c>
      <c r="H344" s="15">
        <v>46197</v>
      </c>
      <c r="I344" s="15">
        <v>46199</v>
      </c>
      <c r="J344" s="15" t="s">
        <v>141</v>
      </c>
      <c r="K344" s="16" t="s">
        <v>203</v>
      </c>
      <c r="L344" t="s">
        <v>225</v>
      </c>
      <c r="M344" s="16" t="s">
        <v>152</v>
      </c>
      <c r="N344" s="16" t="s">
        <v>153</v>
      </c>
      <c r="O344" t="s">
        <v>1614</v>
      </c>
      <c r="P344" s="18">
        <v>2568</v>
      </c>
      <c r="Q344" s="21">
        <v>16</v>
      </c>
      <c r="R344" s="21" t="str">
        <f t="shared" si="105"/>
        <v>15-30 days</v>
      </c>
      <c r="S344" s="16" t="s">
        <v>159</v>
      </c>
      <c r="T344" s="16" t="s">
        <v>236</v>
      </c>
      <c r="U344" s="16" t="s">
        <v>190</v>
      </c>
      <c r="V344" t="str">
        <f>IF(U344="","",IFERROR(VLOOKUP(U344,Hotels!A:B,2,FALSE),"Not Found"))</f>
        <v>Radisson Hotel Group</v>
      </c>
      <c r="W344" s="14">
        <v>465.97</v>
      </c>
      <c r="X344" s="14">
        <v>0</v>
      </c>
      <c r="Y344" s="21">
        <v>1</v>
      </c>
      <c r="Z344" s="29">
        <f t="shared" si="106"/>
        <v>147.83000000000001</v>
      </c>
      <c r="AA344" s="14">
        <v>147.83000000000001</v>
      </c>
      <c r="AB344" s="14">
        <v>100.36</v>
      </c>
      <c r="AC344" s="14">
        <v>714.16</v>
      </c>
      <c r="AD344" s="16" t="s">
        <v>148</v>
      </c>
      <c r="AE344" s="16" t="s">
        <v>147</v>
      </c>
      <c r="AF344" s="14">
        <f>SUMIF('Trip Changes'!$B:$B,A344,'Trip Changes'!$E:$E)</f>
        <v>217.03</v>
      </c>
      <c r="AG344" s="23">
        <f>SUMIF('Trip Cancellations'!$B:$B,A344,'Trip Cancellations'!$E:$E)</f>
        <v>0</v>
      </c>
      <c r="AH344" s="14">
        <f>SUMIF('Trip Cancellations'!$B:$B,A344,'Trip Cancellations'!$F:$F)</f>
        <v>0</v>
      </c>
      <c r="AI344" s="14">
        <f t="shared" si="107"/>
        <v>931.18999999999994</v>
      </c>
      <c r="AJ344" s="14" t="str">
        <f t="shared" si="108"/>
        <v>Yes</v>
      </c>
      <c r="AK344" s="14" t="str">
        <f>IF(Y344=0,"N/A",
IF(_xlfn.XLOOKUP(U344,Hotels!A:A,Hotels!C:C)=TRUE,"Yes","No"))</f>
        <v>No</v>
      </c>
      <c r="AL344" s="14" t="str">
        <f>IF(N344="Rail","N/A",IF(_xlfn.XLOOKUP(T344,Airlines!A:A,Airlines!C:C)=TRUE,"Yes","No"))</f>
        <v>Yes</v>
      </c>
      <c r="AM344" s="14" t="str">
        <f t="shared" si="109"/>
        <v>Yes</v>
      </c>
      <c r="AN344" s="14" t="str">
        <f t="shared" si="110"/>
        <v>Yes</v>
      </c>
      <c r="AO344" s="14" t="str">
        <f t="shared" si="111"/>
        <v>No</v>
      </c>
      <c r="AP344" s="16" t="s">
        <v>148</v>
      </c>
      <c r="AQ344" t="str">
        <f t="shared" si="112"/>
        <v>No</v>
      </c>
      <c r="AR344" s="21">
        <v>4</v>
      </c>
      <c r="AS344" s="5">
        <v>385.2</v>
      </c>
      <c r="AT344" s="5" t="str">
        <f>IF(T344="","",_xlfn.XLOOKUP(T344,Airlines!A:A,Airlines!B:B,"Not Found"))</f>
        <v>KLM</v>
      </c>
      <c r="AU344" s="5" t="str">
        <f>IF(U344="","",_xlfn.XLOOKUP(U344,Hotels!A:A,Hotels!B:B,"Not found"))</f>
        <v>Radisson Hotel Group</v>
      </c>
      <c r="AV344" t="s">
        <v>148</v>
      </c>
      <c r="AW344" s="16" t="str">
        <f t="shared" si="113"/>
        <v>OK</v>
      </c>
      <c r="AX344" s="16" t="str">
        <f t="shared" si="114"/>
        <v>OK</v>
      </c>
      <c r="AY344" s="16" t="str">
        <f t="shared" si="115"/>
        <v>OK</v>
      </c>
      <c r="AZ344" s="16" t="str">
        <f t="shared" si="116"/>
        <v>OK</v>
      </c>
      <c r="BA344" s="16" t="str">
        <f t="shared" si="120"/>
        <v>OK</v>
      </c>
      <c r="BB344" s="21">
        <f>COUNTIF('Trip Changes'!B:B,A344)</f>
        <v>1</v>
      </c>
      <c r="BC344" s="16" t="str">
        <f>IF(OR(AND(AD344="Yes",COUNTIF('Trip Changes'!B:B,A344)&gt;0),AND(AD344="No",COUNTIF('Trip Changes'!B:B,A344)=0)),"OK","Check")</f>
        <v>OK</v>
      </c>
      <c r="BD344" t="str">
        <f t="shared" si="121"/>
        <v>OK</v>
      </c>
      <c r="BE344" t="str">
        <f t="shared" si="122"/>
        <v>OK</v>
      </c>
      <c r="BF344" t="str">
        <f t="shared" si="123"/>
        <v>OK</v>
      </c>
      <c r="BG344" t="str">
        <f t="shared" si="124"/>
        <v>OK</v>
      </c>
      <c r="BH344" t="str">
        <f t="shared" si="125"/>
        <v>OK</v>
      </c>
      <c r="BI344" t="str">
        <f t="shared" si="117"/>
        <v>OK</v>
      </c>
      <c r="BJ344" t="str">
        <f t="shared" si="118"/>
        <v>OK</v>
      </c>
      <c r="BK344" t="str">
        <f t="shared" si="119"/>
        <v>OK</v>
      </c>
    </row>
    <row r="345" spans="1:63">
      <c r="A345" s="16" t="s">
        <v>648</v>
      </c>
      <c r="B345" s="16" t="s">
        <v>645</v>
      </c>
      <c r="C345" s="16" t="s">
        <v>203</v>
      </c>
      <c r="D345" s="16" t="s">
        <v>138</v>
      </c>
      <c r="E345" s="16" t="s">
        <v>268</v>
      </c>
      <c r="F345" s="16" t="s">
        <v>157</v>
      </c>
      <c r="G345" s="15">
        <v>46191</v>
      </c>
      <c r="H345" s="15">
        <v>46192</v>
      </c>
      <c r="I345" s="15">
        <v>46194</v>
      </c>
      <c r="J345" s="15" t="s">
        <v>141</v>
      </c>
      <c r="K345" s="16" t="s">
        <v>203</v>
      </c>
      <c r="L345" t="s">
        <v>185</v>
      </c>
      <c r="M345" s="16" t="s">
        <v>152</v>
      </c>
      <c r="N345" s="16" t="s">
        <v>153</v>
      </c>
      <c r="O345" t="s">
        <v>1614</v>
      </c>
      <c r="P345" s="18">
        <v>12146</v>
      </c>
      <c r="Q345" s="21">
        <v>1</v>
      </c>
      <c r="R345" s="21" t="str">
        <f t="shared" si="105"/>
        <v>0-3 days</v>
      </c>
      <c r="S345" s="16" t="s">
        <v>145</v>
      </c>
      <c r="T345" s="16" t="s">
        <v>186</v>
      </c>
      <c r="U345" s="16" t="s">
        <v>173</v>
      </c>
      <c r="V345" t="str">
        <f>IF(U345="","",IFERROR(VLOOKUP(U345,Hotels!A:B,2,FALSE),"Not Found"))</f>
        <v>Accor</v>
      </c>
      <c r="W345" s="14">
        <v>1305.6099999999999</v>
      </c>
      <c r="X345" s="14">
        <v>0</v>
      </c>
      <c r="Y345" s="21">
        <v>1</v>
      </c>
      <c r="Z345" s="29">
        <f t="shared" si="106"/>
        <v>172.74</v>
      </c>
      <c r="AA345" s="14">
        <v>172.74</v>
      </c>
      <c r="AB345" s="14">
        <v>98.15</v>
      </c>
      <c r="AC345" s="14">
        <v>1576.5</v>
      </c>
      <c r="AD345" s="16" t="s">
        <v>148</v>
      </c>
      <c r="AE345" s="16" t="s">
        <v>147</v>
      </c>
      <c r="AF345" s="14">
        <f>SUMIF('Trip Changes'!$B:$B,A345,'Trip Changes'!$E:$E)</f>
        <v>15</v>
      </c>
      <c r="AG345" s="23">
        <f>SUMIF('Trip Cancellations'!$B:$B,A345,'Trip Cancellations'!$E:$E)</f>
        <v>0</v>
      </c>
      <c r="AH345" s="14">
        <f>SUMIF('Trip Cancellations'!$B:$B,A345,'Trip Cancellations'!$F:$F)</f>
        <v>0</v>
      </c>
      <c r="AI345" s="14">
        <f t="shared" si="107"/>
        <v>1591.5</v>
      </c>
      <c r="AJ345" s="14" t="str">
        <f t="shared" si="108"/>
        <v>Yes</v>
      </c>
      <c r="AK345" s="14" t="str">
        <f>IF(Y345=0,"N/A",
IF(_xlfn.XLOOKUP(U345,Hotels!A:A,Hotels!C:C)=TRUE,"Yes","No"))</f>
        <v>Yes</v>
      </c>
      <c r="AL345" s="14" t="str">
        <f>IF(N345="Rail","N/A",IF(_xlfn.XLOOKUP(T345,Airlines!A:A,Airlines!C:C)=TRUE,"Yes","No"))</f>
        <v>Yes</v>
      </c>
      <c r="AM345" s="14" t="str">
        <f t="shared" si="109"/>
        <v>Yes</v>
      </c>
      <c r="AN345" s="14" t="str">
        <f t="shared" si="110"/>
        <v>Yes</v>
      </c>
      <c r="AO345" s="14" t="str">
        <f t="shared" si="111"/>
        <v>Yes</v>
      </c>
      <c r="AP345" s="16" t="s">
        <v>148</v>
      </c>
      <c r="AQ345" t="str">
        <f t="shared" si="112"/>
        <v>Yes</v>
      </c>
      <c r="AR345" s="21">
        <v>4</v>
      </c>
      <c r="AS345" s="5">
        <v>1821.9</v>
      </c>
      <c r="AT345" s="5" t="str">
        <f>IF(T345="","",_xlfn.XLOOKUP(T345,Airlines!A:A,Airlines!B:B,"Not Found"))</f>
        <v>Virgin Atlantic</v>
      </c>
      <c r="AU345" s="5" t="str">
        <f>IF(U345="","",_xlfn.XLOOKUP(U345,Hotels!A:A,Hotels!B:B,"Not found"))</f>
        <v>Accor</v>
      </c>
      <c r="AV345" t="s">
        <v>147</v>
      </c>
      <c r="AW345" s="16" t="str">
        <f t="shared" si="113"/>
        <v>OK</v>
      </c>
      <c r="AX345" s="16" t="str">
        <f t="shared" si="114"/>
        <v>OK</v>
      </c>
      <c r="AY345" s="16" t="str">
        <f t="shared" si="115"/>
        <v>OK</v>
      </c>
      <c r="AZ345" s="16" t="str">
        <f t="shared" si="116"/>
        <v>OK</v>
      </c>
      <c r="BA345" s="16" t="str">
        <f t="shared" si="120"/>
        <v>OK</v>
      </c>
      <c r="BB345" s="21">
        <f>COUNTIF('Trip Changes'!B:B,A345)</f>
        <v>1</v>
      </c>
      <c r="BC345" s="16" t="str">
        <f>IF(OR(AND(AD345="Yes",COUNTIF('Trip Changes'!B:B,A345)&gt;0),AND(AD345="No",COUNTIF('Trip Changes'!B:B,A345)=0)),"OK","Check")</f>
        <v>OK</v>
      </c>
      <c r="BD345" t="str">
        <f t="shared" si="121"/>
        <v>OK</v>
      </c>
      <c r="BE345" t="str">
        <f t="shared" si="122"/>
        <v>OK</v>
      </c>
      <c r="BF345" t="str">
        <f t="shared" si="123"/>
        <v>OK</v>
      </c>
      <c r="BG345" t="str">
        <f t="shared" si="124"/>
        <v>OK</v>
      </c>
      <c r="BH345" t="str">
        <f t="shared" si="125"/>
        <v>OK</v>
      </c>
      <c r="BI345" t="str">
        <f t="shared" si="117"/>
        <v>OK</v>
      </c>
      <c r="BJ345" t="str">
        <f t="shared" si="118"/>
        <v>OK</v>
      </c>
      <c r="BK345" t="str">
        <f t="shared" si="119"/>
        <v>OK</v>
      </c>
    </row>
    <row r="346" spans="1:63">
      <c r="A346" s="16" t="s">
        <v>649</v>
      </c>
      <c r="B346" s="16" t="s">
        <v>650</v>
      </c>
      <c r="C346" s="16" t="s">
        <v>307</v>
      </c>
      <c r="D346" s="16" t="s">
        <v>248</v>
      </c>
      <c r="E346" s="16" t="s">
        <v>249</v>
      </c>
      <c r="F346" s="16" t="s">
        <v>162</v>
      </c>
      <c r="G346" s="15">
        <v>46155</v>
      </c>
      <c r="H346" s="15">
        <v>46169</v>
      </c>
      <c r="I346" s="15">
        <v>46173</v>
      </c>
      <c r="J346" s="15" t="s">
        <v>163</v>
      </c>
      <c r="K346" s="16" t="s">
        <v>307</v>
      </c>
      <c r="L346" t="s">
        <v>233</v>
      </c>
      <c r="M346" s="16" t="s">
        <v>152</v>
      </c>
      <c r="N346" s="16" t="s">
        <v>153</v>
      </c>
      <c r="O346" t="s">
        <v>1614</v>
      </c>
      <c r="P346" s="18">
        <v>2042</v>
      </c>
      <c r="Q346" s="21">
        <v>14</v>
      </c>
      <c r="R346" s="21" t="str">
        <f t="shared" si="105"/>
        <v>8-14 days</v>
      </c>
      <c r="S346" s="16" t="s">
        <v>145</v>
      </c>
      <c r="T346" s="16" t="s">
        <v>154</v>
      </c>
      <c r="U346" s="16" t="s">
        <v>164</v>
      </c>
      <c r="V346" t="str">
        <f>IF(U346="","",IFERROR(VLOOKUP(U346,Hotels!A:B,2,FALSE),"Not Found"))</f>
        <v>Marriott</v>
      </c>
      <c r="W346" s="14">
        <v>369.29</v>
      </c>
      <c r="X346" s="14">
        <v>0</v>
      </c>
      <c r="Y346" s="21">
        <v>3</v>
      </c>
      <c r="Z346" s="29">
        <f t="shared" si="106"/>
        <v>169.10999999999999</v>
      </c>
      <c r="AA346" s="14">
        <v>507.33</v>
      </c>
      <c r="AB346" s="14">
        <v>107.45</v>
      </c>
      <c r="AC346" s="14">
        <v>984.07</v>
      </c>
      <c r="AD346" s="16" t="s">
        <v>147</v>
      </c>
      <c r="AE346" s="16" t="s">
        <v>147</v>
      </c>
      <c r="AF346" s="14">
        <f>SUMIF('Trip Changes'!$B:$B,A346,'Trip Changes'!$E:$E)</f>
        <v>0</v>
      </c>
      <c r="AG346" s="23">
        <f>SUMIF('Trip Cancellations'!$B:$B,A346,'Trip Cancellations'!$E:$E)</f>
        <v>0</v>
      </c>
      <c r="AH346" s="14">
        <f>SUMIF('Trip Cancellations'!$B:$B,A346,'Trip Cancellations'!$F:$F)</f>
        <v>0</v>
      </c>
      <c r="AI346" s="14">
        <f t="shared" si="107"/>
        <v>984.07</v>
      </c>
      <c r="AJ346" s="14" t="str">
        <f t="shared" si="108"/>
        <v>Yes</v>
      </c>
      <c r="AK346" s="14" t="str">
        <f>IF(Y346=0,"N/A",
IF(_xlfn.XLOOKUP(U346,Hotels!A:A,Hotels!C:C)=TRUE,"Yes","No"))</f>
        <v>Yes</v>
      </c>
      <c r="AL346" s="14" t="str">
        <f>IF(N346="Rail","N/A",IF(_xlfn.XLOOKUP(T346,Airlines!A:A,Airlines!C:C)=TRUE,"Yes","No"))</f>
        <v>Yes</v>
      </c>
      <c r="AM346" s="14" t="str">
        <f t="shared" si="109"/>
        <v>Yes</v>
      </c>
      <c r="AN346" s="14" t="str">
        <f t="shared" si="110"/>
        <v>Yes</v>
      </c>
      <c r="AO346" s="14" t="str">
        <f t="shared" si="111"/>
        <v>Yes</v>
      </c>
      <c r="AP346" s="16" t="s">
        <v>148</v>
      </c>
      <c r="AQ346" t="str">
        <f t="shared" si="112"/>
        <v>Yes</v>
      </c>
      <c r="AR346" s="21">
        <v>5</v>
      </c>
      <c r="AS346" s="5">
        <v>306.3</v>
      </c>
      <c r="AT346" s="5" t="str">
        <f>IF(T346="","",_xlfn.XLOOKUP(T346,Airlines!A:A,Airlines!B:B,"Not Found"))</f>
        <v>British Airways</v>
      </c>
      <c r="AU346" s="5" t="str">
        <f>IF(U346="","",_xlfn.XLOOKUP(U346,Hotels!A:A,Hotels!B:B,"Not found"))</f>
        <v>Marriott</v>
      </c>
      <c r="AV346" t="s">
        <v>147</v>
      </c>
      <c r="AW346" s="16" t="str">
        <f t="shared" si="113"/>
        <v>OK</v>
      </c>
      <c r="AX346" s="16" t="str">
        <f t="shared" si="114"/>
        <v>OK</v>
      </c>
      <c r="AY346" s="16" t="str">
        <f t="shared" si="115"/>
        <v>OK</v>
      </c>
      <c r="AZ346" s="16" t="str">
        <f t="shared" si="116"/>
        <v>OK</v>
      </c>
      <c r="BA346" s="16" t="str">
        <f t="shared" si="120"/>
        <v>OK</v>
      </c>
      <c r="BB346" s="21">
        <f>COUNTIF('Trip Changes'!B:B,A346)</f>
        <v>0</v>
      </c>
      <c r="BC346" s="16" t="str">
        <f>IF(OR(AND(AD346="Yes",COUNTIF('Trip Changes'!B:B,A346)&gt;0),AND(AD346="No",COUNTIF('Trip Changes'!B:B,A346)=0)),"OK","Check")</f>
        <v>OK</v>
      </c>
      <c r="BD346" t="str">
        <f t="shared" si="121"/>
        <v>OK</v>
      </c>
      <c r="BE346" t="str">
        <f t="shared" si="122"/>
        <v>OK</v>
      </c>
      <c r="BF346" t="str">
        <f t="shared" si="123"/>
        <v>OK</v>
      </c>
      <c r="BG346" t="str">
        <f t="shared" si="124"/>
        <v>OK</v>
      </c>
      <c r="BH346" t="str">
        <f t="shared" si="125"/>
        <v>OK</v>
      </c>
      <c r="BI346" t="str">
        <f t="shared" si="117"/>
        <v>OK</v>
      </c>
      <c r="BJ346" t="str">
        <f t="shared" si="118"/>
        <v>OK</v>
      </c>
      <c r="BK346" t="str">
        <f t="shared" si="119"/>
        <v>OK</v>
      </c>
    </row>
    <row r="347" spans="1:63">
      <c r="A347" s="16" t="s">
        <v>651</v>
      </c>
      <c r="B347" s="16" t="s">
        <v>650</v>
      </c>
      <c r="C347" s="16" t="s">
        <v>307</v>
      </c>
      <c r="D347" s="16" t="s">
        <v>248</v>
      </c>
      <c r="E347" s="16" t="s">
        <v>249</v>
      </c>
      <c r="F347" s="16" t="s">
        <v>140</v>
      </c>
      <c r="G347" s="15">
        <v>46191</v>
      </c>
      <c r="H347" s="15">
        <v>46207</v>
      </c>
      <c r="I347" s="15">
        <v>46210</v>
      </c>
      <c r="J347" s="15" t="s">
        <v>150</v>
      </c>
      <c r="K347" s="16" t="s">
        <v>307</v>
      </c>
      <c r="L347" t="s">
        <v>199</v>
      </c>
      <c r="M347" s="16" t="s">
        <v>152</v>
      </c>
      <c r="N347" s="16" t="s">
        <v>153</v>
      </c>
      <c r="O347" t="s">
        <v>1631</v>
      </c>
      <c r="P347" s="18">
        <v>2274</v>
      </c>
      <c r="Q347" s="21">
        <v>16</v>
      </c>
      <c r="R347" s="21" t="str">
        <f t="shared" si="105"/>
        <v>15-30 days</v>
      </c>
      <c r="S347" s="16" t="s">
        <v>145</v>
      </c>
      <c r="T347" s="16" t="s">
        <v>154</v>
      </c>
      <c r="U347" s="16" t="s">
        <v>187</v>
      </c>
      <c r="V347" t="str">
        <f>IF(U347="","",IFERROR(VLOOKUP(U347,Hotels!A:B,2,FALSE),"Not Found"))</f>
        <v>IHG Hotels &amp; Resorts</v>
      </c>
      <c r="W347" s="14">
        <v>499.41</v>
      </c>
      <c r="X347" s="14">
        <v>0</v>
      </c>
      <c r="Y347" s="21">
        <v>2</v>
      </c>
      <c r="Z347" s="29">
        <f t="shared" si="106"/>
        <v>186.65</v>
      </c>
      <c r="AA347" s="14">
        <v>373.3</v>
      </c>
      <c r="AB347" s="14">
        <v>76.569999999999993</v>
      </c>
      <c r="AC347" s="14">
        <v>949.28</v>
      </c>
      <c r="AD347" s="16" t="s">
        <v>147</v>
      </c>
      <c r="AE347" s="16" t="s">
        <v>147</v>
      </c>
      <c r="AF347" s="14">
        <f>SUMIF('Trip Changes'!$B:$B,A347,'Trip Changes'!$E:$E)</f>
        <v>0</v>
      </c>
      <c r="AG347" s="23">
        <f>SUMIF('Trip Cancellations'!$B:$B,A347,'Trip Cancellations'!$E:$E)</f>
        <v>0</v>
      </c>
      <c r="AH347" s="14">
        <f>SUMIF('Trip Cancellations'!$B:$B,A347,'Trip Cancellations'!$F:$F)</f>
        <v>0</v>
      </c>
      <c r="AI347" s="14">
        <f t="shared" si="107"/>
        <v>949.28</v>
      </c>
      <c r="AJ347" s="14" t="str">
        <f t="shared" si="108"/>
        <v>No</v>
      </c>
      <c r="AK347" s="14" t="str">
        <f>IF(Y347=0,"N/A",
IF(_xlfn.XLOOKUP(U347,Hotels!A:A,Hotels!C:C)=TRUE,"Yes","No"))</f>
        <v>Yes</v>
      </c>
      <c r="AL347" s="14" t="str">
        <f>IF(N347="Rail","N/A",IF(_xlfn.XLOOKUP(T347,Airlines!A:A,Airlines!C:C)=TRUE,"Yes","No"))</f>
        <v>Yes</v>
      </c>
      <c r="AM347" s="14" t="str">
        <f t="shared" si="109"/>
        <v>No</v>
      </c>
      <c r="AN347" s="14" t="str">
        <f t="shared" si="110"/>
        <v>Yes</v>
      </c>
      <c r="AO347" s="14" t="str">
        <f t="shared" si="111"/>
        <v>Yes</v>
      </c>
      <c r="AP347" s="16" t="s">
        <v>148</v>
      </c>
      <c r="AQ347" t="str">
        <f t="shared" si="112"/>
        <v>No</v>
      </c>
      <c r="AR347" s="21">
        <v>4</v>
      </c>
      <c r="AS347" s="5">
        <v>341.1</v>
      </c>
      <c r="AT347" s="5" t="str">
        <f>IF(T347="","",_xlfn.XLOOKUP(T347,Airlines!A:A,Airlines!B:B,"Not Found"))</f>
        <v>British Airways</v>
      </c>
      <c r="AU347" s="5" t="str">
        <f>IF(U347="","",_xlfn.XLOOKUP(U347,Hotels!A:A,Hotels!B:B,"Not found"))</f>
        <v>IHG Hotels &amp; Resorts</v>
      </c>
      <c r="AV347" t="s">
        <v>148</v>
      </c>
      <c r="AW347" s="16" t="str">
        <f t="shared" si="113"/>
        <v>OK</v>
      </c>
      <c r="AX347" s="16" t="str">
        <f t="shared" si="114"/>
        <v>OK</v>
      </c>
      <c r="AY347" s="16" t="str">
        <f t="shared" si="115"/>
        <v>OK</v>
      </c>
      <c r="AZ347" s="16" t="str">
        <f t="shared" si="116"/>
        <v>OK</v>
      </c>
      <c r="BA347" s="16" t="str">
        <f t="shared" si="120"/>
        <v>OK</v>
      </c>
      <c r="BB347" s="21">
        <f>COUNTIF('Trip Changes'!B:B,A347)</f>
        <v>0</v>
      </c>
      <c r="BC347" s="16" t="str">
        <f>IF(OR(AND(AD347="Yes",COUNTIF('Trip Changes'!B:B,A347)&gt;0),AND(AD347="No",COUNTIF('Trip Changes'!B:B,A347)=0)),"OK","Check")</f>
        <v>OK</v>
      </c>
      <c r="BD347" t="str">
        <f t="shared" si="121"/>
        <v>OK</v>
      </c>
      <c r="BE347" t="str">
        <f t="shared" si="122"/>
        <v>OK</v>
      </c>
      <c r="BF347" t="str">
        <f t="shared" si="123"/>
        <v>OK</v>
      </c>
      <c r="BG347" t="str">
        <f t="shared" si="124"/>
        <v>OK</v>
      </c>
      <c r="BH347" t="str">
        <f t="shared" si="125"/>
        <v>OK</v>
      </c>
      <c r="BI347" t="str">
        <f t="shared" si="117"/>
        <v>OK</v>
      </c>
      <c r="BJ347" t="str">
        <f t="shared" si="118"/>
        <v>OK</v>
      </c>
      <c r="BK347" t="str">
        <f t="shared" si="119"/>
        <v>OK</v>
      </c>
    </row>
    <row r="348" spans="1:63">
      <c r="A348" s="16" t="s">
        <v>652</v>
      </c>
      <c r="B348" s="16" t="s">
        <v>650</v>
      </c>
      <c r="C348" s="16" t="s">
        <v>307</v>
      </c>
      <c r="D348" s="16" t="s">
        <v>248</v>
      </c>
      <c r="E348" s="16" t="s">
        <v>249</v>
      </c>
      <c r="F348" s="16" t="s">
        <v>162</v>
      </c>
      <c r="G348" s="15">
        <v>46155</v>
      </c>
      <c r="H348" s="15">
        <v>46165</v>
      </c>
      <c r="I348" s="15">
        <v>46168</v>
      </c>
      <c r="J348" s="15" t="s">
        <v>163</v>
      </c>
      <c r="K348" s="16" t="s">
        <v>307</v>
      </c>
      <c r="L348" t="s">
        <v>203</v>
      </c>
      <c r="M348" s="16" t="s">
        <v>143</v>
      </c>
      <c r="N348" s="16" t="s">
        <v>144</v>
      </c>
      <c r="O348" t="s">
        <v>1630</v>
      </c>
      <c r="P348" s="18">
        <v>1102</v>
      </c>
      <c r="Q348" s="21">
        <v>10</v>
      </c>
      <c r="R348" s="21" t="str">
        <f t="shared" si="105"/>
        <v>8-14 days</v>
      </c>
      <c r="S348" s="16" t="s">
        <v>145</v>
      </c>
      <c r="U348" s="16" t="s">
        <v>164</v>
      </c>
      <c r="V348" t="str">
        <f>IF(U348="","",IFERROR(VLOOKUP(U348,Hotels!A:B,2,FALSE),"Not Found"))</f>
        <v>Marriott</v>
      </c>
      <c r="W348" s="14">
        <v>0</v>
      </c>
      <c r="X348" s="14">
        <v>218.19</v>
      </c>
      <c r="Y348" s="21">
        <v>2</v>
      </c>
      <c r="Z348" s="29">
        <f t="shared" si="106"/>
        <v>144.81</v>
      </c>
      <c r="AA348" s="14">
        <v>289.62</v>
      </c>
      <c r="AB348" s="14">
        <v>45.73</v>
      </c>
      <c r="AC348" s="14">
        <v>553.54</v>
      </c>
      <c r="AD348" s="16" t="s">
        <v>147</v>
      </c>
      <c r="AE348" s="16" t="s">
        <v>147</v>
      </c>
      <c r="AF348" s="14">
        <f>SUMIF('Trip Changes'!$B:$B,A348,'Trip Changes'!$E:$E)</f>
        <v>0</v>
      </c>
      <c r="AG348" s="23">
        <f>SUMIF('Trip Cancellations'!$B:$B,A348,'Trip Cancellations'!$E:$E)</f>
        <v>0</v>
      </c>
      <c r="AH348" s="14">
        <f>SUMIF('Trip Cancellations'!$B:$B,A348,'Trip Cancellations'!$F:$F)</f>
        <v>0</v>
      </c>
      <c r="AI348" s="14">
        <f t="shared" si="107"/>
        <v>553.54</v>
      </c>
      <c r="AJ348" s="14" t="str">
        <f t="shared" si="108"/>
        <v>Yes</v>
      </c>
      <c r="AK348" s="14" t="str">
        <f>IF(Y348=0,"N/A",
IF(_xlfn.XLOOKUP(U348,Hotels!A:A,Hotels!C:C)=TRUE,"Yes","No"))</f>
        <v>Yes</v>
      </c>
      <c r="AL348" s="14" t="str">
        <f>IF(N348="Rail","N/A",IF(_xlfn.XLOOKUP(T348,Airlines!A:A,Airlines!C:C)=TRUE,"Yes","No"))</f>
        <v>N/A</v>
      </c>
      <c r="AM348" s="14" t="str">
        <f t="shared" si="109"/>
        <v>Yes</v>
      </c>
      <c r="AN348" s="14" t="str">
        <f t="shared" si="110"/>
        <v>Yes</v>
      </c>
      <c r="AO348" s="14" t="str">
        <f t="shared" si="111"/>
        <v>Yes</v>
      </c>
      <c r="AP348" s="16" t="s">
        <v>148</v>
      </c>
      <c r="AQ348" t="str">
        <f t="shared" si="112"/>
        <v>Yes</v>
      </c>
      <c r="AR348" s="21">
        <v>5</v>
      </c>
      <c r="AS348" s="5">
        <v>44.1</v>
      </c>
      <c r="AT348" s="5" t="str">
        <f>IF(T348="","",_xlfn.XLOOKUP(T348,Airlines!A:A,Airlines!B:B,"Not Found"))</f>
        <v/>
      </c>
      <c r="AU348" s="5" t="str">
        <f>IF(U348="","",_xlfn.XLOOKUP(U348,Hotels!A:A,Hotels!B:B,"Not found"))</f>
        <v>Marriott</v>
      </c>
      <c r="AV348" t="s">
        <v>147</v>
      </c>
      <c r="AW348" s="16" t="str">
        <f t="shared" si="113"/>
        <v>OK</v>
      </c>
      <c r="AX348" s="16" t="str">
        <f t="shared" si="114"/>
        <v>OK</v>
      </c>
      <c r="AY348" s="16" t="str">
        <f t="shared" si="115"/>
        <v>OK</v>
      </c>
      <c r="AZ348" s="16" t="str">
        <f t="shared" si="116"/>
        <v>OK</v>
      </c>
      <c r="BA348" s="16" t="str">
        <f t="shared" si="120"/>
        <v>OK</v>
      </c>
      <c r="BB348" s="21">
        <f>COUNTIF('Trip Changes'!B:B,A348)</f>
        <v>0</v>
      </c>
      <c r="BC348" s="16" t="str">
        <f>IF(OR(AND(AD348="Yes",COUNTIF('Trip Changes'!B:B,A348)&gt;0),AND(AD348="No",COUNTIF('Trip Changes'!B:B,A348)=0)),"OK","Check")</f>
        <v>OK</v>
      </c>
      <c r="BD348" t="str">
        <f t="shared" si="121"/>
        <v>OK</v>
      </c>
      <c r="BE348" t="str">
        <f t="shared" si="122"/>
        <v>OK</v>
      </c>
      <c r="BF348" t="str">
        <f t="shared" si="123"/>
        <v>OK</v>
      </c>
      <c r="BG348" t="str">
        <f t="shared" si="124"/>
        <v>OK</v>
      </c>
      <c r="BH348" t="str">
        <f t="shared" si="125"/>
        <v>OK</v>
      </c>
      <c r="BI348" t="str">
        <f t="shared" si="117"/>
        <v>OK</v>
      </c>
      <c r="BJ348" t="str">
        <f t="shared" si="118"/>
        <v>OK</v>
      </c>
      <c r="BK348" t="str">
        <f t="shared" si="119"/>
        <v>OK</v>
      </c>
    </row>
    <row r="349" spans="1:63">
      <c r="A349" s="16" t="s">
        <v>653</v>
      </c>
      <c r="B349" s="16" t="s">
        <v>654</v>
      </c>
      <c r="C349" s="16" t="s">
        <v>282</v>
      </c>
      <c r="D349" s="16" t="s">
        <v>138</v>
      </c>
      <c r="E349" s="16" t="s">
        <v>268</v>
      </c>
      <c r="F349" s="16" t="s">
        <v>157</v>
      </c>
      <c r="G349" s="15">
        <v>46182</v>
      </c>
      <c r="H349" s="15">
        <v>46211</v>
      </c>
      <c r="I349" s="15">
        <v>46214</v>
      </c>
      <c r="J349" s="15" t="s">
        <v>150</v>
      </c>
      <c r="K349" s="16" t="s">
        <v>282</v>
      </c>
      <c r="L349" t="s">
        <v>264</v>
      </c>
      <c r="M349" s="16" t="s">
        <v>152</v>
      </c>
      <c r="N349" s="16" t="s">
        <v>153</v>
      </c>
      <c r="O349" t="s">
        <v>1614</v>
      </c>
      <c r="P349" s="18">
        <v>3536</v>
      </c>
      <c r="Q349" s="21">
        <v>29</v>
      </c>
      <c r="R349" s="21" t="str">
        <f t="shared" si="105"/>
        <v>15-30 days</v>
      </c>
      <c r="S349" s="16" t="s">
        <v>145</v>
      </c>
      <c r="T349" s="16" t="s">
        <v>154</v>
      </c>
      <c r="U349" s="16" t="s">
        <v>187</v>
      </c>
      <c r="V349" t="str">
        <f>IF(U349="","",IFERROR(VLOOKUP(U349,Hotels!A:B,2,FALSE),"Not Found"))</f>
        <v>IHG Hotels &amp; Resorts</v>
      </c>
      <c r="W349" s="14">
        <v>304.56</v>
      </c>
      <c r="X349" s="14">
        <v>0</v>
      </c>
      <c r="Y349" s="21">
        <v>2</v>
      </c>
      <c r="Z349" s="29">
        <f t="shared" si="106"/>
        <v>110.89</v>
      </c>
      <c r="AA349" s="14">
        <v>221.78</v>
      </c>
      <c r="AB349" s="14">
        <v>92.47</v>
      </c>
      <c r="AC349" s="14">
        <v>618.80999999999995</v>
      </c>
      <c r="AD349" s="16" t="s">
        <v>147</v>
      </c>
      <c r="AE349" s="16" t="s">
        <v>147</v>
      </c>
      <c r="AF349" s="14">
        <f>SUMIF('Trip Changes'!$B:$B,A349,'Trip Changes'!$E:$E)</f>
        <v>0</v>
      </c>
      <c r="AG349" s="23">
        <f>SUMIF('Trip Cancellations'!$B:$B,A349,'Trip Cancellations'!$E:$E)</f>
        <v>0</v>
      </c>
      <c r="AH349" s="14">
        <f>SUMIF('Trip Cancellations'!$B:$B,A349,'Trip Cancellations'!$F:$F)</f>
        <v>0</v>
      </c>
      <c r="AI349" s="14">
        <f t="shared" si="107"/>
        <v>618.80999999999995</v>
      </c>
      <c r="AJ349" s="14" t="str">
        <f t="shared" si="108"/>
        <v>Yes</v>
      </c>
      <c r="AK349" s="14" t="str">
        <f>IF(Y349=0,"N/A",
IF(_xlfn.XLOOKUP(U349,Hotels!A:A,Hotels!C:C)=TRUE,"Yes","No"))</f>
        <v>Yes</v>
      </c>
      <c r="AL349" s="14" t="str">
        <f>IF(N349="Rail","N/A",IF(_xlfn.XLOOKUP(T349,Airlines!A:A,Airlines!C:C)=TRUE,"Yes","No"))</f>
        <v>Yes</v>
      </c>
      <c r="AM349" s="14" t="str">
        <f t="shared" si="109"/>
        <v>Yes</v>
      </c>
      <c r="AN349" s="14" t="str">
        <f t="shared" si="110"/>
        <v>Yes</v>
      </c>
      <c r="AO349" s="14" t="str">
        <f t="shared" si="111"/>
        <v>Yes</v>
      </c>
      <c r="AP349" s="16" t="s">
        <v>148</v>
      </c>
      <c r="AQ349" t="str">
        <f t="shared" si="112"/>
        <v>Yes</v>
      </c>
      <c r="AR349" s="21">
        <v>3</v>
      </c>
      <c r="AS349" s="5">
        <v>530.4</v>
      </c>
      <c r="AT349" s="5" t="str">
        <f>IF(T349="","",_xlfn.XLOOKUP(T349,Airlines!A:A,Airlines!B:B,"Not Found"))</f>
        <v>British Airways</v>
      </c>
      <c r="AU349" s="5" t="str">
        <f>IF(U349="","",_xlfn.XLOOKUP(U349,Hotels!A:A,Hotels!B:B,"Not found"))</f>
        <v>IHG Hotels &amp; Resorts</v>
      </c>
      <c r="AV349" t="s">
        <v>147</v>
      </c>
      <c r="AW349" s="16" t="str">
        <f t="shared" si="113"/>
        <v>OK</v>
      </c>
      <c r="AX349" s="16" t="str">
        <f t="shared" si="114"/>
        <v>OK</v>
      </c>
      <c r="AY349" s="16" t="str">
        <f t="shared" si="115"/>
        <v>OK</v>
      </c>
      <c r="AZ349" s="16" t="str">
        <f t="shared" si="116"/>
        <v>OK</v>
      </c>
      <c r="BA349" s="16" t="str">
        <f t="shared" si="120"/>
        <v>OK</v>
      </c>
      <c r="BB349" s="21">
        <f>COUNTIF('Trip Changes'!B:B,A349)</f>
        <v>0</v>
      </c>
      <c r="BC349" s="16" t="str">
        <f>IF(OR(AND(AD349="Yes",COUNTIF('Trip Changes'!B:B,A349)&gt;0),AND(AD349="No",COUNTIF('Trip Changes'!B:B,A349)=0)),"OK","Check")</f>
        <v>OK</v>
      </c>
      <c r="BD349" t="str">
        <f t="shared" si="121"/>
        <v>OK</v>
      </c>
      <c r="BE349" t="str">
        <f t="shared" si="122"/>
        <v>OK</v>
      </c>
      <c r="BF349" t="str">
        <f t="shared" si="123"/>
        <v>OK</v>
      </c>
      <c r="BG349" t="str">
        <f t="shared" si="124"/>
        <v>OK</v>
      </c>
      <c r="BH349" t="str">
        <f t="shared" si="125"/>
        <v>OK</v>
      </c>
      <c r="BI349" t="str">
        <f t="shared" si="117"/>
        <v>OK</v>
      </c>
      <c r="BJ349" t="str">
        <f t="shared" si="118"/>
        <v>OK</v>
      </c>
      <c r="BK349" t="str">
        <f t="shared" si="119"/>
        <v>OK</v>
      </c>
    </row>
    <row r="350" spans="1:63">
      <c r="A350" s="16" t="s">
        <v>655</v>
      </c>
      <c r="B350" s="16" t="s">
        <v>654</v>
      </c>
      <c r="C350" s="16" t="s">
        <v>282</v>
      </c>
      <c r="D350" s="16" t="s">
        <v>138</v>
      </c>
      <c r="E350" s="16" t="s">
        <v>268</v>
      </c>
      <c r="F350" s="16" t="s">
        <v>140</v>
      </c>
      <c r="G350" s="15">
        <v>46192</v>
      </c>
      <c r="H350" s="15">
        <v>46212</v>
      </c>
      <c r="I350" s="15">
        <v>46216</v>
      </c>
      <c r="J350" s="15" t="s">
        <v>150</v>
      </c>
      <c r="K350" s="16" t="s">
        <v>282</v>
      </c>
      <c r="L350" t="s">
        <v>151</v>
      </c>
      <c r="M350" s="16" t="s">
        <v>152</v>
      </c>
      <c r="N350" s="16" t="s">
        <v>153</v>
      </c>
      <c r="O350" t="s">
        <v>1614</v>
      </c>
      <c r="P350" s="18">
        <v>1106</v>
      </c>
      <c r="Q350" s="21">
        <v>20</v>
      </c>
      <c r="R350" s="21" t="str">
        <f t="shared" si="105"/>
        <v>15-30 days</v>
      </c>
      <c r="S350" s="16" t="s">
        <v>207</v>
      </c>
      <c r="T350" s="16" t="s">
        <v>172</v>
      </c>
      <c r="U350" s="16" t="s">
        <v>155</v>
      </c>
      <c r="V350" t="str">
        <f>IF(U350="","",IFERROR(VLOOKUP(U350,Hotels!A:B,2,FALSE),"Not Found"))</f>
        <v>Hilton</v>
      </c>
      <c r="W350" s="14">
        <v>431.94</v>
      </c>
      <c r="X350" s="14">
        <v>0</v>
      </c>
      <c r="Y350" s="21">
        <v>3</v>
      </c>
      <c r="Z350" s="29">
        <f t="shared" si="106"/>
        <v>177.07666666666668</v>
      </c>
      <c r="AA350" s="14">
        <v>531.23</v>
      </c>
      <c r="AB350" s="14">
        <v>49.36</v>
      </c>
      <c r="AC350" s="14">
        <v>1012.53</v>
      </c>
      <c r="AD350" s="16" t="s">
        <v>147</v>
      </c>
      <c r="AE350" s="16" t="s">
        <v>147</v>
      </c>
      <c r="AF350" s="14">
        <f>SUMIF('Trip Changes'!$B:$B,A350,'Trip Changes'!$E:$E)</f>
        <v>0</v>
      </c>
      <c r="AG350" s="23">
        <f>SUMIF('Trip Cancellations'!$B:$B,A350,'Trip Cancellations'!$E:$E)</f>
        <v>0</v>
      </c>
      <c r="AH350" s="14">
        <f>SUMIF('Trip Cancellations'!$B:$B,A350,'Trip Cancellations'!$F:$F)</f>
        <v>0</v>
      </c>
      <c r="AI350" s="14">
        <f t="shared" si="107"/>
        <v>1012.53</v>
      </c>
      <c r="AJ350" s="14" t="str">
        <f t="shared" si="108"/>
        <v>Yes</v>
      </c>
      <c r="AK350" s="14" t="str">
        <f>IF(Y350=0,"N/A",
IF(_xlfn.XLOOKUP(U350,Hotels!A:A,Hotels!C:C)=TRUE,"Yes","No"))</f>
        <v>Yes</v>
      </c>
      <c r="AL350" s="14" t="str">
        <f>IF(N350="Rail","N/A",IF(_xlfn.XLOOKUP(T350,Airlines!A:A,Airlines!C:C)=TRUE,"Yes","No"))</f>
        <v>Yes</v>
      </c>
      <c r="AM350" s="14" t="str">
        <f t="shared" si="109"/>
        <v>Yes</v>
      </c>
      <c r="AN350" s="14" t="str">
        <f t="shared" si="110"/>
        <v>No</v>
      </c>
      <c r="AO350" s="14" t="str">
        <f t="shared" si="111"/>
        <v>Yes</v>
      </c>
      <c r="AP350" s="16" t="s">
        <v>148</v>
      </c>
      <c r="AQ350" t="str">
        <f t="shared" si="112"/>
        <v>No</v>
      </c>
      <c r="AR350" s="21">
        <v>5</v>
      </c>
      <c r="AS350" s="5">
        <v>165.9</v>
      </c>
      <c r="AT350" s="5" t="str">
        <f>IF(T350="","",_xlfn.XLOOKUP(T350,Airlines!A:A,Airlines!B:B,"Not Found"))</f>
        <v>Lufthansa</v>
      </c>
      <c r="AU350" s="5" t="str">
        <f>IF(U350="","",_xlfn.XLOOKUP(U350,Hotels!A:A,Hotels!B:B,"Not found"))</f>
        <v>Hilton</v>
      </c>
      <c r="AV350" t="s">
        <v>148</v>
      </c>
      <c r="AW350" s="16" t="str">
        <f t="shared" si="113"/>
        <v>OK</v>
      </c>
      <c r="AX350" s="16" t="str">
        <f t="shared" si="114"/>
        <v>OK</v>
      </c>
      <c r="AY350" s="16" t="str">
        <f t="shared" si="115"/>
        <v>OK</v>
      </c>
      <c r="AZ350" s="16" t="str">
        <f t="shared" si="116"/>
        <v>OK</v>
      </c>
      <c r="BA350" s="16" t="str">
        <f t="shared" si="120"/>
        <v>OK</v>
      </c>
      <c r="BB350" s="21">
        <f>COUNTIF('Trip Changes'!B:B,A350)</f>
        <v>0</v>
      </c>
      <c r="BC350" s="16" t="str">
        <f>IF(OR(AND(AD350="Yes",COUNTIF('Trip Changes'!B:B,A350)&gt;0),AND(AD350="No",COUNTIF('Trip Changes'!B:B,A350)=0)),"OK","Check")</f>
        <v>OK</v>
      </c>
      <c r="BD350" t="str">
        <f t="shared" si="121"/>
        <v>OK</v>
      </c>
      <c r="BE350" t="str">
        <f t="shared" si="122"/>
        <v>OK</v>
      </c>
      <c r="BF350" t="str">
        <f t="shared" si="123"/>
        <v>OK</v>
      </c>
      <c r="BG350" t="str">
        <f t="shared" si="124"/>
        <v>OK</v>
      </c>
      <c r="BH350" t="str">
        <f t="shared" si="125"/>
        <v>OK</v>
      </c>
      <c r="BI350" t="str">
        <f t="shared" si="117"/>
        <v>OK</v>
      </c>
      <c r="BJ350" t="str">
        <f t="shared" si="118"/>
        <v>OK</v>
      </c>
      <c r="BK350" t="str">
        <f t="shared" si="119"/>
        <v>OK</v>
      </c>
    </row>
    <row r="351" spans="1:63">
      <c r="A351" s="16" t="s">
        <v>656</v>
      </c>
      <c r="B351" s="16" t="s">
        <v>657</v>
      </c>
      <c r="C351" s="16" t="s">
        <v>182</v>
      </c>
      <c r="D351" s="16" t="s">
        <v>168</v>
      </c>
      <c r="E351" s="16" t="s">
        <v>169</v>
      </c>
      <c r="F351" s="16" t="s">
        <v>162</v>
      </c>
      <c r="G351" s="15">
        <v>46203</v>
      </c>
      <c r="H351" s="15">
        <v>46225</v>
      </c>
      <c r="I351" s="15">
        <v>46231</v>
      </c>
      <c r="J351" s="15" t="s">
        <v>150</v>
      </c>
      <c r="K351" s="16" t="s">
        <v>182</v>
      </c>
      <c r="L351" t="s">
        <v>199</v>
      </c>
      <c r="M351" s="16" t="s">
        <v>152</v>
      </c>
      <c r="N351" s="16" t="s">
        <v>153</v>
      </c>
      <c r="O351" t="s">
        <v>1614</v>
      </c>
      <c r="P351" s="18">
        <v>1372</v>
      </c>
      <c r="Q351" s="21">
        <v>22</v>
      </c>
      <c r="R351" s="21" t="str">
        <f t="shared" si="105"/>
        <v>15-30 days</v>
      </c>
      <c r="S351" s="16" t="s">
        <v>145</v>
      </c>
      <c r="T351" s="16" t="s">
        <v>291</v>
      </c>
      <c r="U351" s="16" t="s">
        <v>187</v>
      </c>
      <c r="V351" t="str">
        <f>IF(U351="","",IFERROR(VLOOKUP(U351,Hotels!A:B,2,FALSE),"Not Found"))</f>
        <v>IHG Hotels &amp; Resorts</v>
      </c>
      <c r="W351" s="14">
        <v>245.02</v>
      </c>
      <c r="X351" s="14">
        <v>0</v>
      </c>
      <c r="Y351" s="21">
        <v>5</v>
      </c>
      <c r="Z351" s="29">
        <f t="shared" si="106"/>
        <v>213.40600000000001</v>
      </c>
      <c r="AA351" s="14">
        <v>1067.03</v>
      </c>
      <c r="AB351" s="14">
        <v>124.05</v>
      </c>
      <c r="AC351" s="14">
        <v>1436.1</v>
      </c>
      <c r="AD351" s="16" t="s">
        <v>147</v>
      </c>
      <c r="AE351" s="16" t="s">
        <v>147</v>
      </c>
      <c r="AF351" s="14">
        <f>SUMIF('Trip Changes'!$B:$B,A351,'Trip Changes'!$E:$E)</f>
        <v>0</v>
      </c>
      <c r="AG351" s="23">
        <f>SUMIF('Trip Cancellations'!$B:$B,A351,'Trip Cancellations'!$E:$E)</f>
        <v>0</v>
      </c>
      <c r="AH351" s="14">
        <f>SUMIF('Trip Cancellations'!$B:$B,A351,'Trip Cancellations'!$F:$F)</f>
        <v>0</v>
      </c>
      <c r="AI351" s="14">
        <f t="shared" si="107"/>
        <v>1436.1</v>
      </c>
      <c r="AJ351" s="14" t="str">
        <f t="shared" si="108"/>
        <v>No</v>
      </c>
      <c r="AK351" s="14" t="str">
        <f>IF(Y351=0,"N/A",
IF(_xlfn.XLOOKUP(U351,Hotels!A:A,Hotels!C:C)=TRUE,"Yes","No"))</f>
        <v>Yes</v>
      </c>
      <c r="AL351" s="14" t="str">
        <f>IF(N351="Rail","N/A",IF(_xlfn.XLOOKUP(T351,Airlines!A:A,Airlines!C:C)=TRUE,"Yes","No"))</f>
        <v>No</v>
      </c>
      <c r="AM351" s="14" t="str">
        <f t="shared" si="109"/>
        <v>Yes</v>
      </c>
      <c r="AN351" s="14" t="str">
        <f t="shared" si="110"/>
        <v>Yes</v>
      </c>
      <c r="AO351" s="14" t="str">
        <f t="shared" si="111"/>
        <v>No</v>
      </c>
      <c r="AP351" s="16" t="s">
        <v>148</v>
      </c>
      <c r="AQ351" t="str">
        <f t="shared" si="112"/>
        <v>No</v>
      </c>
      <c r="AR351" s="21">
        <v>5</v>
      </c>
      <c r="AS351" s="5">
        <v>205.8</v>
      </c>
      <c r="AT351" s="5" t="str">
        <f>IF(T351="","",_xlfn.XLOOKUP(T351,Airlines!A:A,Airlines!B:B,"Not Found"))</f>
        <v>Ryanair</v>
      </c>
      <c r="AU351" s="5" t="str">
        <f>IF(U351="","",_xlfn.XLOOKUP(U351,Hotels!A:A,Hotels!B:B,"Not found"))</f>
        <v>IHG Hotels &amp; Resorts</v>
      </c>
      <c r="AV351" t="s">
        <v>147</v>
      </c>
      <c r="AW351" s="16" t="str">
        <f t="shared" si="113"/>
        <v>OK</v>
      </c>
      <c r="AX351" s="16" t="str">
        <f t="shared" si="114"/>
        <v>OK</v>
      </c>
      <c r="AY351" s="16" t="str">
        <f t="shared" si="115"/>
        <v>OK</v>
      </c>
      <c r="AZ351" s="16" t="str">
        <f t="shared" si="116"/>
        <v>OK</v>
      </c>
      <c r="BA351" s="16" t="str">
        <f t="shared" si="120"/>
        <v>OK</v>
      </c>
      <c r="BB351" s="21">
        <f>COUNTIF('Trip Changes'!B:B,A351)</f>
        <v>0</v>
      </c>
      <c r="BC351" s="16" t="str">
        <f>IF(OR(AND(AD351="Yes",COUNTIF('Trip Changes'!B:B,A351)&gt;0),AND(AD351="No",COUNTIF('Trip Changes'!B:B,A351)=0)),"OK","Check")</f>
        <v>OK</v>
      </c>
      <c r="BD351" t="str">
        <f t="shared" si="121"/>
        <v>OK</v>
      </c>
      <c r="BE351" t="str">
        <f t="shared" si="122"/>
        <v>OK</v>
      </c>
      <c r="BF351" t="str">
        <f t="shared" si="123"/>
        <v>OK</v>
      </c>
      <c r="BG351" t="str">
        <f t="shared" si="124"/>
        <v>OK</v>
      </c>
      <c r="BH351" t="str">
        <f t="shared" si="125"/>
        <v>OK</v>
      </c>
      <c r="BI351" t="str">
        <f t="shared" si="117"/>
        <v>OK</v>
      </c>
      <c r="BJ351" t="str">
        <f t="shared" si="118"/>
        <v>OK</v>
      </c>
      <c r="BK351" t="str">
        <f t="shared" si="119"/>
        <v>OK</v>
      </c>
    </row>
    <row r="352" spans="1:63">
      <c r="A352" s="16" t="s">
        <v>658</v>
      </c>
      <c r="B352" s="16" t="s">
        <v>657</v>
      </c>
      <c r="C352" s="16" t="s">
        <v>182</v>
      </c>
      <c r="D352" s="16" t="s">
        <v>168</v>
      </c>
      <c r="E352" s="16" t="s">
        <v>169</v>
      </c>
      <c r="F352" s="16" t="s">
        <v>157</v>
      </c>
      <c r="G352" s="15">
        <v>46200</v>
      </c>
      <c r="H352" s="15">
        <v>46217</v>
      </c>
      <c r="I352" s="15">
        <v>46221</v>
      </c>
      <c r="J352" s="15" t="s">
        <v>150</v>
      </c>
      <c r="K352" s="16" t="s">
        <v>182</v>
      </c>
      <c r="L352" t="s">
        <v>151</v>
      </c>
      <c r="M352" s="16" t="s">
        <v>152</v>
      </c>
      <c r="N352" s="16" t="s">
        <v>153</v>
      </c>
      <c r="O352" t="s">
        <v>1614</v>
      </c>
      <c r="P352" s="18">
        <v>1654</v>
      </c>
      <c r="Q352" s="21">
        <v>17</v>
      </c>
      <c r="R352" s="21" t="str">
        <f t="shared" si="105"/>
        <v>15-30 days</v>
      </c>
      <c r="S352" s="16" t="s">
        <v>145</v>
      </c>
      <c r="T352" s="16" t="s">
        <v>172</v>
      </c>
      <c r="U352" s="16" t="s">
        <v>173</v>
      </c>
      <c r="V352" t="str">
        <f>IF(U352="","",IFERROR(VLOOKUP(U352,Hotels!A:B,2,FALSE),"Not Found"))</f>
        <v>Accor</v>
      </c>
      <c r="W352" s="14">
        <v>416.17</v>
      </c>
      <c r="X352" s="14">
        <v>0</v>
      </c>
      <c r="Y352" s="21">
        <v>3</v>
      </c>
      <c r="Z352" s="29">
        <f t="shared" si="106"/>
        <v>193.50333333333333</v>
      </c>
      <c r="AA352" s="14">
        <v>580.51</v>
      </c>
      <c r="AB352" s="14">
        <v>50.28</v>
      </c>
      <c r="AC352" s="14">
        <v>1046.96</v>
      </c>
      <c r="AD352" s="16" t="s">
        <v>147</v>
      </c>
      <c r="AE352" s="16" t="s">
        <v>147</v>
      </c>
      <c r="AF352" s="14">
        <f>SUMIF('Trip Changes'!$B:$B,A352,'Trip Changes'!$E:$E)</f>
        <v>0</v>
      </c>
      <c r="AG352" s="23">
        <f>SUMIF('Trip Cancellations'!$B:$B,A352,'Trip Cancellations'!$E:$E)</f>
        <v>0</v>
      </c>
      <c r="AH352" s="14">
        <f>SUMIF('Trip Cancellations'!$B:$B,A352,'Trip Cancellations'!$F:$F)</f>
        <v>0</v>
      </c>
      <c r="AI352" s="14">
        <f t="shared" si="107"/>
        <v>1046.96</v>
      </c>
      <c r="AJ352" s="14" t="str">
        <f t="shared" si="108"/>
        <v>No</v>
      </c>
      <c r="AK352" s="14" t="str">
        <f>IF(Y352=0,"N/A",
IF(_xlfn.XLOOKUP(U352,Hotels!A:A,Hotels!C:C)=TRUE,"Yes","No"))</f>
        <v>Yes</v>
      </c>
      <c r="AL352" s="14" t="str">
        <f>IF(N352="Rail","N/A",IF(_xlfn.XLOOKUP(T352,Airlines!A:A,Airlines!C:C)=TRUE,"Yes","No"))</f>
        <v>Yes</v>
      </c>
      <c r="AM352" s="14" t="str">
        <f t="shared" si="109"/>
        <v>Yes</v>
      </c>
      <c r="AN352" s="14" t="str">
        <f t="shared" si="110"/>
        <v>Yes</v>
      </c>
      <c r="AO352" s="14" t="str">
        <f t="shared" si="111"/>
        <v>Yes</v>
      </c>
      <c r="AP352" s="16" t="s">
        <v>148</v>
      </c>
      <c r="AQ352" t="str">
        <f t="shared" si="112"/>
        <v>No</v>
      </c>
      <c r="AR352" s="21">
        <v>4</v>
      </c>
      <c r="AS352" s="5">
        <v>248.1</v>
      </c>
      <c r="AT352" s="5" t="str">
        <f>IF(T352="","",_xlfn.XLOOKUP(T352,Airlines!A:A,Airlines!B:B,"Not Found"))</f>
        <v>Lufthansa</v>
      </c>
      <c r="AU352" s="5" t="str">
        <f>IF(U352="","",_xlfn.XLOOKUP(U352,Hotels!A:A,Hotels!B:B,"Not found"))</f>
        <v>Accor</v>
      </c>
      <c r="AV352" t="s">
        <v>147</v>
      </c>
      <c r="AW352" s="16" t="str">
        <f t="shared" si="113"/>
        <v>OK</v>
      </c>
      <c r="AX352" s="16" t="str">
        <f t="shared" si="114"/>
        <v>OK</v>
      </c>
      <c r="AY352" s="16" t="str">
        <f t="shared" si="115"/>
        <v>OK</v>
      </c>
      <c r="AZ352" s="16" t="str">
        <f t="shared" si="116"/>
        <v>OK</v>
      </c>
      <c r="BA352" s="16" t="str">
        <f t="shared" si="120"/>
        <v>OK</v>
      </c>
      <c r="BB352" s="21">
        <f>COUNTIF('Trip Changes'!B:B,A352)</f>
        <v>0</v>
      </c>
      <c r="BC352" s="16" t="str">
        <f>IF(OR(AND(AD352="Yes",COUNTIF('Trip Changes'!B:B,A352)&gt;0),AND(AD352="No",COUNTIF('Trip Changes'!B:B,A352)=0)),"OK","Check")</f>
        <v>OK</v>
      </c>
      <c r="BD352" t="str">
        <f t="shared" si="121"/>
        <v>OK</v>
      </c>
      <c r="BE352" t="str">
        <f t="shared" si="122"/>
        <v>OK</v>
      </c>
      <c r="BF352" t="str">
        <f t="shared" si="123"/>
        <v>OK</v>
      </c>
      <c r="BG352" t="str">
        <f t="shared" si="124"/>
        <v>OK</v>
      </c>
      <c r="BH352" t="str">
        <f t="shared" si="125"/>
        <v>OK</v>
      </c>
      <c r="BI352" t="str">
        <f t="shared" si="117"/>
        <v>OK</v>
      </c>
      <c r="BJ352" t="str">
        <f t="shared" si="118"/>
        <v>OK</v>
      </c>
      <c r="BK352" t="str">
        <f t="shared" si="119"/>
        <v>OK</v>
      </c>
    </row>
    <row r="353" spans="1:63">
      <c r="A353" s="16" t="s">
        <v>659</v>
      </c>
      <c r="B353" s="16" t="s">
        <v>657</v>
      </c>
      <c r="C353" s="16" t="s">
        <v>182</v>
      </c>
      <c r="D353" s="16" t="s">
        <v>168</v>
      </c>
      <c r="E353" s="16" t="s">
        <v>169</v>
      </c>
      <c r="F353" s="16" t="s">
        <v>207</v>
      </c>
      <c r="G353" s="15">
        <v>46139</v>
      </c>
      <c r="H353" s="15">
        <v>46156</v>
      </c>
      <c r="I353" s="15">
        <v>46160</v>
      </c>
      <c r="J353" s="15" t="s">
        <v>163</v>
      </c>
      <c r="K353" s="16" t="s">
        <v>182</v>
      </c>
      <c r="L353" t="s">
        <v>233</v>
      </c>
      <c r="M353" s="16" t="s">
        <v>152</v>
      </c>
      <c r="N353" s="16" t="s">
        <v>153</v>
      </c>
      <c r="O353" t="s">
        <v>1614</v>
      </c>
      <c r="P353" s="18">
        <v>1782</v>
      </c>
      <c r="Q353" s="21">
        <v>17</v>
      </c>
      <c r="R353" s="21" t="str">
        <f t="shared" si="105"/>
        <v>15-30 days</v>
      </c>
      <c r="S353" s="16" t="s">
        <v>145</v>
      </c>
      <c r="T353" s="16" t="s">
        <v>160</v>
      </c>
      <c r="U353" s="16" t="s">
        <v>173</v>
      </c>
      <c r="V353" t="str">
        <f>IF(U353="","",IFERROR(VLOOKUP(U353,Hotels!A:B,2,FALSE),"Not Found"))</f>
        <v>Accor</v>
      </c>
      <c r="W353" s="14">
        <v>301.52</v>
      </c>
      <c r="X353" s="14">
        <v>0</v>
      </c>
      <c r="Y353" s="21">
        <v>3</v>
      </c>
      <c r="Z353" s="29">
        <f t="shared" si="106"/>
        <v>82.179999999999993</v>
      </c>
      <c r="AA353" s="14">
        <v>246.54</v>
      </c>
      <c r="AB353" s="14">
        <v>59.6</v>
      </c>
      <c r="AC353" s="14">
        <v>607.66</v>
      </c>
      <c r="AD353" s="16" t="s">
        <v>147</v>
      </c>
      <c r="AE353" s="16" t="s">
        <v>147</v>
      </c>
      <c r="AF353" s="14">
        <f>SUMIF('Trip Changes'!$B:$B,A353,'Trip Changes'!$E:$E)</f>
        <v>0</v>
      </c>
      <c r="AG353" s="23">
        <f>SUMIF('Trip Cancellations'!$B:$B,A353,'Trip Cancellations'!$E:$E)</f>
        <v>0</v>
      </c>
      <c r="AH353" s="14">
        <f>SUMIF('Trip Cancellations'!$B:$B,A353,'Trip Cancellations'!$F:$F)</f>
        <v>0</v>
      </c>
      <c r="AI353" s="14">
        <f t="shared" si="107"/>
        <v>607.66</v>
      </c>
      <c r="AJ353" s="14" t="str">
        <f t="shared" si="108"/>
        <v>Yes</v>
      </c>
      <c r="AK353" s="14" t="str">
        <f>IF(Y353=0,"N/A",
IF(_xlfn.XLOOKUP(U353,Hotels!A:A,Hotels!C:C)=TRUE,"Yes","No"))</f>
        <v>Yes</v>
      </c>
      <c r="AL353" s="14" t="str">
        <f>IF(N353="Rail","N/A",IF(_xlfn.XLOOKUP(T353,Airlines!A:A,Airlines!C:C)=TRUE,"Yes","No"))</f>
        <v>Yes</v>
      </c>
      <c r="AM353" s="14" t="str">
        <f t="shared" si="109"/>
        <v>Yes</v>
      </c>
      <c r="AN353" s="14" t="str">
        <f t="shared" si="110"/>
        <v>Yes</v>
      </c>
      <c r="AO353" s="14" t="str">
        <f t="shared" si="111"/>
        <v>Yes</v>
      </c>
      <c r="AP353" s="16" t="s">
        <v>147</v>
      </c>
      <c r="AQ353" t="str">
        <f t="shared" si="112"/>
        <v>Yes</v>
      </c>
      <c r="AR353" s="21">
        <v>5</v>
      </c>
      <c r="AS353" s="5">
        <v>267.3</v>
      </c>
      <c r="AT353" s="5" t="str">
        <f>IF(T353="","",_xlfn.XLOOKUP(T353,Airlines!A:A,Airlines!B:B,"Not Found"))</f>
        <v>Air France</v>
      </c>
      <c r="AU353" s="5" t="str">
        <f>IF(U353="","",_xlfn.XLOOKUP(U353,Hotels!A:A,Hotels!B:B,"Not found"))</f>
        <v>Accor</v>
      </c>
      <c r="AV353" t="s">
        <v>147</v>
      </c>
      <c r="AW353" s="16" t="str">
        <f t="shared" si="113"/>
        <v>OK</v>
      </c>
      <c r="AX353" s="16" t="str">
        <f t="shared" si="114"/>
        <v>OK</v>
      </c>
      <c r="AY353" s="16" t="str">
        <f t="shared" si="115"/>
        <v>OK</v>
      </c>
      <c r="AZ353" s="16" t="str">
        <f t="shared" si="116"/>
        <v>OK</v>
      </c>
      <c r="BA353" s="16" t="str">
        <f t="shared" si="120"/>
        <v>OK</v>
      </c>
      <c r="BB353" s="21">
        <f>COUNTIF('Trip Changes'!B:B,A353)</f>
        <v>0</v>
      </c>
      <c r="BC353" s="16" t="str">
        <f>IF(OR(AND(AD353="Yes",COUNTIF('Trip Changes'!B:B,A353)&gt;0),AND(AD353="No",COUNTIF('Trip Changes'!B:B,A353)=0)),"OK","Check")</f>
        <v>OK</v>
      </c>
      <c r="BD353" t="str">
        <f t="shared" si="121"/>
        <v>OK</v>
      </c>
      <c r="BE353" t="str">
        <f t="shared" si="122"/>
        <v>OK</v>
      </c>
      <c r="BF353" t="str">
        <f t="shared" si="123"/>
        <v>OK</v>
      </c>
      <c r="BG353" t="str">
        <f t="shared" si="124"/>
        <v>OK</v>
      </c>
      <c r="BH353" t="str">
        <f t="shared" si="125"/>
        <v>OK</v>
      </c>
      <c r="BI353" t="str">
        <f t="shared" si="117"/>
        <v>OK</v>
      </c>
      <c r="BJ353" t="str">
        <f t="shared" si="118"/>
        <v>OK</v>
      </c>
      <c r="BK353" t="str">
        <f t="shared" si="119"/>
        <v>OK</v>
      </c>
    </row>
    <row r="354" spans="1:63">
      <c r="A354" s="16" t="s">
        <v>660</v>
      </c>
      <c r="B354" s="16" t="s">
        <v>657</v>
      </c>
      <c r="C354" s="16" t="s">
        <v>182</v>
      </c>
      <c r="D354" s="16" t="s">
        <v>168</v>
      </c>
      <c r="E354" s="16" t="s">
        <v>169</v>
      </c>
      <c r="F354" s="16" t="s">
        <v>157</v>
      </c>
      <c r="G354" s="15">
        <v>46185</v>
      </c>
      <c r="H354" s="15">
        <v>46194</v>
      </c>
      <c r="I354" s="15">
        <v>46197</v>
      </c>
      <c r="J354" s="15" t="s">
        <v>141</v>
      </c>
      <c r="K354" s="16" t="s">
        <v>182</v>
      </c>
      <c r="L354" t="s">
        <v>307</v>
      </c>
      <c r="M354" s="16" t="s">
        <v>143</v>
      </c>
      <c r="N354" s="16" t="s">
        <v>153</v>
      </c>
      <c r="O354" t="s">
        <v>1614</v>
      </c>
      <c r="P354" s="18">
        <v>440</v>
      </c>
      <c r="Q354" s="21">
        <v>9</v>
      </c>
      <c r="R354" s="21" t="str">
        <f t="shared" si="105"/>
        <v>8-14 days</v>
      </c>
      <c r="S354" s="16" t="s">
        <v>216</v>
      </c>
      <c r="T354" s="16" t="s">
        <v>176</v>
      </c>
      <c r="U354" s="16" t="s">
        <v>195</v>
      </c>
      <c r="V354" t="str">
        <f>IF(U354="","",IFERROR(VLOOKUP(U354,Hotels!A:B,2,FALSE),"Not Found"))</f>
        <v>Travelodge</v>
      </c>
      <c r="W354" s="14">
        <v>140.4</v>
      </c>
      <c r="X354" s="14">
        <v>0</v>
      </c>
      <c r="Y354" s="21">
        <v>2</v>
      </c>
      <c r="Z354" s="29">
        <f t="shared" si="106"/>
        <v>97.8</v>
      </c>
      <c r="AA354" s="14">
        <v>195.6</v>
      </c>
      <c r="AB354" s="14">
        <v>94.36</v>
      </c>
      <c r="AC354" s="14">
        <v>430.36</v>
      </c>
      <c r="AD354" s="16" t="s">
        <v>147</v>
      </c>
      <c r="AE354" s="16" t="s">
        <v>147</v>
      </c>
      <c r="AF354" s="14">
        <f>SUMIF('Trip Changes'!$B:$B,A354,'Trip Changes'!$E:$E)</f>
        <v>0</v>
      </c>
      <c r="AG354" s="23">
        <f>SUMIF('Trip Cancellations'!$B:$B,A354,'Trip Cancellations'!$E:$E)</f>
        <v>0</v>
      </c>
      <c r="AH354" s="14">
        <f>SUMIF('Trip Cancellations'!$B:$B,A354,'Trip Cancellations'!$F:$F)</f>
        <v>0</v>
      </c>
      <c r="AI354" s="14">
        <f t="shared" si="107"/>
        <v>430.36</v>
      </c>
      <c r="AJ354" s="14" t="str">
        <f t="shared" si="108"/>
        <v>Yes</v>
      </c>
      <c r="AK354" s="14" t="str">
        <f>IF(Y354=0,"N/A",
IF(_xlfn.XLOOKUP(U354,Hotels!A:A,Hotels!C:C)=TRUE,"Yes","No"))</f>
        <v>No</v>
      </c>
      <c r="AL354" s="14" t="str">
        <f>IF(N354="Rail","N/A",IF(_xlfn.XLOOKUP(T354,Airlines!A:A,Airlines!C:C)=TRUE,"Yes","No"))</f>
        <v>Yes</v>
      </c>
      <c r="AM354" s="14" t="str">
        <f t="shared" si="109"/>
        <v>Yes</v>
      </c>
      <c r="AN354" s="14" t="str">
        <f t="shared" si="110"/>
        <v>No</v>
      </c>
      <c r="AO354" s="14" t="str">
        <f t="shared" si="111"/>
        <v>No</v>
      </c>
      <c r="AP354" s="16" t="s">
        <v>148</v>
      </c>
      <c r="AQ354" t="str">
        <f t="shared" si="112"/>
        <v>No</v>
      </c>
      <c r="AR354" s="21">
        <v>5</v>
      </c>
      <c r="AS354" s="5">
        <v>66</v>
      </c>
      <c r="AT354" s="5" t="str">
        <f>IF(T354="","",_xlfn.XLOOKUP(T354,Airlines!A:A,Airlines!B:B,"Not Found"))</f>
        <v>easyJet</v>
      </c>
      <c r="AU354" s="5" t="str">
        <f>IF(U354="","",_xlfn.XLOOKUP(U354,Hotels!A:A,Hotels!B:B,"Not found"))</f>
        <v>Travelodge</v>
      </c>
      <c r="AV354" t="s">
        <v>148</v>
      </c>
      <c r="AW354" s="16" t="str">
        <f t="shared" si="113"/>
        <v>OK</v>
      </c>
      <c r="AX354" s="16" t="str">
        <f t="shared" si="114"/>
        <v>OK</v>
      </c>
      <c r="AY354" s="16" t="str">
        <f t="shared" si="115"/>
        <v>OK</v>
      </c>
      <c r="AZ354" s="16" t="str">
        <f t="shared" si="116"/>
        <v>OK</v>
      </c>
      <c r="BA354" s="16" t="str">
        <f t="shared" si="120"/>
        <v>OK</v>
      </c>
      <c r="BB354" s="21">
        <f>COUNTIF('Trip Changes'!B:B,A354)</f>
        <v>0</v>
      </c>
      <c r="BC354" s="16" t="str">
        <f>IF(OR(AND(AD354="Yes",COUNTIF('Trip Changes'!B:B,A354)&gt;0),AND(AD354="No",COUNTIF('Trip Changes'!B:B,A354)=0)),"OK","Check")</f>
        <v>OK</v>
      </c>
      <c r="BD354" t="str">
        <f t="shared" si="121"/>
        <v>OK</v>
      </c>
      <c r="BE354" t="str">
        <f t="shared" si="122"/>
        <v>OK</v>
      </c>
      <c r="BF354" t="str">
        <f t="shared" si="123"/>
        <v>OK</v>
      </c>
      <c r="BG354" t="str">
        <f t="shared" si="124"/>
        <v>OK</v>
      </c>
      <c r="BH354" t="str">
        <f t="shared" si="125"/>
        <v>OK</v>
      </c>
      <c r="BI354" t="str">
        <f t="shared" si="117"/>
        <v>OK</v>
      </c>
      <c r="BJ354" t="str">
        <f t="shared" si="118"/>
        <v>OK</v>
      </c>
      <c r="BK354" t="str">
        <f t="shared" si="119"/>
        <v>OK</v>
      </c>
    </row>
    <row r="355" spans="1:63">
      <c r="A355" s="16" t="s">
        <v>661</v>
      </c>
      <c r="B355" s="16" t="s">
        <v>662</v>
      </c>
      <c r="C355" s="16" t="s">
        <v>182</v>
      </c>
      <c r="D355" s="16" t="s">
        <v>168</v>
      </c>
      <c r="E355" s="16" t="s">
        <v>169</v>
      </c>
      <c r="F355" s="16" t="s">
        <v>207</v>
      </c>
      <c r="G355" s="15">
        <v>46148</v>
      </c>
      <c r="H355" s="15">
        <v>46160</v>
      </c>
      <c r="I355" s="15">
        <v>46164</v>
      </c>
      <c r="J355" s="15" t="s">
        <v>163</v>
      </c>
      <c r="K355" s="16" t="s">
        <v>182</v>
      </c>
      <c r="L355" t="s">
        <v>151</v>
      </c>
      <c r="M355" s="16" t="s">
        <v>152</v>
      </c>
      <c r="N355" s="16" t="s">
        <v>153</v>
      </c>
      <c r="O355" t="s">
        <v>1614</v>
      </c>
      <c r="P355" s="18">
        <v>1448</v>
      </c>
      <c r="Q355" s="21">
        <v>12</v>
      </c>
      <c r="R355" s="21" t="str">
        <f t="shared" si="105"/>
        <v>8-14 days</v>
      </c>
      <c r="S355" s="16" t="s">
        <v>145</v>
      </c>
      <c r="T355" s="16" t="s">
        <v>172</v>
      </c>
      <c r="U355" s="16" t="s">
        <v>155</v>
      </c>
      <c r="V355" t="str">
        <f>IF(U355="","",IFERROR(VLOOKUP(U355,Hotels!A:B,2,FALSE),"Not Found"))</f>
        <v>Hilton</v>
      </c>
      <c r="W355" s="14">
        <v>426.29</v>
      </c>
      <c r="X355" s="14">
        <v>0</v>
      </c>
      <c r="Y355" s="21">
        <v>3</v>
      </c>
      <c r="Z355" s="29">
        <f t="shared" si="106"/>
        <v>211.37333333333333</v>
      </c>
      <c r="AA355" s="14">
        <v>634.12</v>
      </c>
      <c r="AB355" s="14">
        <v>69.19</v>
      </c>
      <c r="AC355" s="14">
        <v>1129.5999999999999</v>
      </c>
      <c r="AD355" s="16" t="s">
        <v>147</v>
      </c>
      <c r="AE355" s="16" t="s">
        <v>147</v>
      </c>
      <c r="AF355" s="14">
        <f>SUMIF('Trip Changes'!$B:$B,A355,'Trip Changes'!$E:$E)</f>
        <v>0</v>
      </c>
      <c r="AG355" s="23">
        <f>SUMIF('Trip Cancellations'!$B:$B,A355,'Trip Cancellations'!$E:$E)</f>
        <v>0</v>
      </c>
      <c r="AH355" s="14">
        <f>SUMIF('Trip Cancellations'!$B:$B,A355,'Trip Cancellations'!$F:$F)</f>
        <v>0</v>
      </c>
      <c r="AI355" s="14">
        <f t="shared" si="107"/>
        <v>1129.5999999999999</v>
      </c>
      <c r="AJ355" s="14" t="str">
        <f t="shared" si="108"/>
        <v>No</v>
      </c>
      <c r="AK355" s="14" t="str">
        <f>IF(Y355=0,"N/A",
IF(_xlfn.XLOOKUP(U355,Hotels!A:A,Hotels!C:C)=TRUE,"Yes","No"))</f>
        <v>Yes</v>
      </c>
      <c r="AL355" s="14" t="str">
        <f>IF(N355="Rail","N/A",IF(_xlfn.XLOOKUP(T355,Airlines!A:A,Airlines!C:C)=TRUE,"Yes","No"))</f>
        <v>Yes</v>
      </c>
      <c r="AM355" s="14" t="str">
        <f t="shared" si="109"/>
        <v>Yes</v>
      </c>
      <c r="AN355" s="14" t="str">
        <f t="shared" si="110"/>
        <v>Yes</v>
      </c>
      <c r="AO355" s="14" t="str">
        <f t="shared" si="111"/>
        <v>Yes</v>
      </c>
      <c r="AP355" s="16" t="s">
        <v>148</v>
      </c>
      <c r="AQ355" t="str">
        <f t="shared" si="112"/>
        <v>No</v>
      </c>
      <c r="AR355" s="21">
        <v>4</v>
      </c>
      <c r="AS355" s="5">
        <v>217.2</v>
      </c>
      <c r="AT355" s="5" t="str">
        <f>IF(T355="","",_xlfn.XLOOKUP(T355,Airlines!A:A,Airlines!B:B,"Not Found"))</f>
        <v>Lufthansa</v>
      </c>
      <c r="AU355" s="5" t="str">
        <f>IF(U355="","",_xlfn.XLOOKUP(U355,Hotels!A:A,Hotels!B:B,"Not found"))</f>
        <v>Hilton</v>
      </c>
      <c r="AV355" t="s">
        <v>147</v>
      </c>
      <c r="AW355" s="16" t="str">
        <f t="shared" si="113"/>
        <v>OK</v>
      </c>
      <c r="AX355" s="16" t="str">
        <f t="shared" si="114"/>
        <v>OK</v>
      </c>
      <c r="AY355" s="16" t="str">
        <f t="shared" si="115"/>
        <v>OK</v>
      </c>
      <c r="AZ355" s="16" t="str">
        <f t="shared" si="116"/>
        <v>OK</v>
      </c>
      <c r="BA355" s="16" t="str">
        <f t="shared" si="120"/>
        <v>OK</v>
      </c>
      <c r="BB355" s="21">
        <f>COUNTIF('Trip Changes'!B:B,A355)</f>
        <v>0</v>
      </c>
      <c r="BC355" s="16" t="str">
        <f>IF(OR(AND(AD355="Yes",COUNTIF('Trip Changes'!B:B,A355)&gt;0),AND(AD355="No",COUNTIF('Trip Changes'!B:B,A355)=0)),"OK","Check")</f>
        <v>OK</v>
      </c>
      <c r="BD355" t="str">
        <f t="shared" si="121"/>
        <v>OK</v>
      </c>
      <c r="BE355" t="str">
        <f t="shared" si="122"/>
        <v>OK</v>
      </c>
      <c r="BF355" t="str">
        <f t="shared" si="123"/>
        <v>OK</v>
      </c>
      <c r="BG355" t="str">
        <f t="shared" si="124"/>
        <v>OK</v>
      </c>
      <c r="BH355" t="str">
        <f t="shared" si="125"/>
        <v>OK</v>
      </c>
      <c r="BI355" t="str">
        <f t="shared" si="117"/>
        <v>OK</v>
      </c>
      <c r="BJ355" t="str">
        <f t="shared" si="118"/>
        <v>OK</v>
      </c>
      <c r="BK355" t="str">
        <f t="shared" si="119"/>
        <v>OK</v>
      </c>
    </row>
    <row r="356" spans="1:63">
      <c r="A356" s="16" t="s">
        <v>663</v>
      </c>
      <c r="B356" s="16" t="s">
        <v>662</v>
      </c>
      <c r="C356" s="16" t="s">
        <v>182</v>
      </c>
      <c r="D356" s="16" t="s">
        <v>168</v>
      </c>
      <c r="E356" s="16" t="s">
        <v>169</v>
      </c>
      <c r="F356" s="16" t="s">
        <v>140</v>
      </c>
      <c r="G356" s="15">
        <v>46125</v>
      </c>
      <c r="H356" s="15">
        <v>46152</v>
      </c>
      <c r="I356" s="15">
        <v>46157</v>
      </c>
      <c r="J356" s="15" t="s">
        <v>163</v>
      </c>
      <c r="K356" s="16" t="s">
        <v>182</v>
      </c>
      <c r="L356" t="s">
        <v>151</v>
      </c>
      <c r="M356" s="16" t="s">
        <v>152</v>
      </c>
      <c r="N356" s="16" t="s">
        <v>153</v>
      </c>
      <c r="O356" t="s">
        <v>1614</v>
      </c>
      <c r="P356" s="18">
        <v>1362</v>
      </c>
      <c r="Q356" s="21">
        <v>27</v>
      </c>
      <c r="R356" s="21" t="str">
        <f t="shared" si="105"/>
        <v>15-30 days</v>
      </c>
      <c r="S356" s="16" t="s">
        <v>159</v>
      </c>
      <c r="T356" s="16" t="s">
        <v>172</v>
      </c>
      <c r="U356" s="16" t="s">
        <v>173</v>
      </c>
      <c r="V356" t="str">
        <f>IF(U356="","",IFERROR(VLOOKUP(U356,Hotels!A:B,2,FALSE),"Not Found"))</f>
        <v>Accor</v>
      </c>
      <c r="W356" s="14">
        <v>344.22</v>
      </c>
      <c r="X356" s="14">
        <v>0</v>
      </c>
      <c r="Y356" s="21">
        <v>4</v>
      </c>
      <c r="Z356" s="29">
        <f t="shared" si="106"/>
        <v>215.755</v>
      </c>
      <c r="AA356" s="14">
        <v>863.02</v>
      </c>
      <c r="AB356" s="14">
        <v>62.43</v>
      </c>
      <c r="AC356" s="14">
        <v>1269.67</v>
      </c>
      <c r="AD356" s="16" t="s">
        <v>147</v>
      </c>
      <c r="AE356" s="16" t="s">
        <v>147</v>
      </c>
      <c r="AF356" s="14">
        <f>SUMIF('Trip Changes'!$B:$B,A356,'Trip Changes'!$E:$E)</f>
        <v>0</v>
      </c>
      <c r="AG356" s="23">
        <f>SUMIF('Trip Cancellations'!$B:$B,A356,'Trip Cancellations'!$E:$E)</f>
        <v>0</v>
      </c>
      <c r="AH356" s="14">
        <f>SUMIF('Trip Cancellations'!$B:$B,A356,'Trip Cancellations'!$F:$F)</f>
        <v>0</v>
      </c>
      <c r="AI356" s="14">
        <f t="shared" si="107"/>
        <v>1269.67</v>
      </c>
      <c r="AJ356" s="14" t="str">
        <f t="shared" si="108"/>
        <v>No</v>
      </c>
      <c r="AK356" s="14" t="str">
        <f>IF(Y356=0,"N/A",
IF(_xlfn.XLOOKUP(U356,Hotels!A:A,Hotels!C:C)=TRUE,"Yes","No"))</f>
        <v>Yes</v>
      </c>
      <c r="AL356" s="14" t="str">
        <f>IF(N356="Rail","N/A",IF(_xlfn.XLOOKUP(T356,Airlines!A:A,Airlines!C:C)=TRUE,"Yes","No"))</f>
        <v>Yes</v>
      </c>
      <c r="AM356" s="14" t="str">
        <f t="shared" si="109"/>
        <v>Yes</v>
      </c>
      <c r="AN356" s="14" t="str">
        <f t="shared" si="110"/>
        <v>Yes</v>
      </c>
      <c r="AO356" s="14" t="str">
        <f t="shared" si="111"/>
        <v>Yes</v>
      </c>
      <c r="AP356" s="16" t="s">
        <v>148</v>
      </c>
      <c r="AQ356" t="str">
        <f t="shared" si="112"/>
        <v>No</v>
      </c>
      <c r="AR356" s="21">
        <v>5</v>
      </c>
      <c r="AS356" s="5">
        <v>204.3</v>
      </c>
      <c r="AT356" s="5" t="str">
        <f>IF(T356="","",_xlfn.XLOOKUP(T356,Airlines!A:A,Airlines!B:B,"Not Found"))</f>
        <v>Lufthansa</v>
      </c>
      <c r="AU356" s="5" t="str">
        <f>IF(U356="","",_xlfn.XLOOKUP(U356,Hotels!A:A,Hotels!B:B,"Not found"))</f>
        <v>Accor</v>
      </c>
      <c r="AV356" t="s">
        <v>147</v>
      </c>
      <c r="AW356" s="16" t="str">
        <f t="shared" si="113"/>
        <v>OK</v>
      </c>
      <c r="AX356" s="16" t="str">
        <f t="shared" si="114"/>
        <v>OK</v>
      </c>
      <c r="AY356" s="16" t="str">
        <f t="shared" si="115"/>
        <v>OK</v>
      </c>
      <c r="AZ356" s="16" t="str">
        <f t="shared" si="116"/>
        <v>OK</v>
      </c>
      <c r="BA356" s="16" t="str">
        <f t="shared" si="120"/>
        <v>OK</v>
      </c>
      <c r="BB356" s="21">
        <f>COUNTIF('Trip Changes'!B:B,A356)</f>
        <v>0</v>
      </c>
      <c r="BC356" s="16" t="str">
        <f>IF(OR(AND(AD356="Yes",COUNTIF('Trip Changes'!B:B,A356)&gt;0),AND(AD356="No",COUNTIF('Trip Changes'!B:B,A356)=0)),"OK","Check")</f>
        <v>OK</v>
      </c>
      <c r="BD356" t="str">
        <f t="shared" si="121"/>
        <v>OK</v>
      </c>
      <c r="BE356" t="str">
        <f t="shared" si="122"/>
        <v>OK</v>
      </c>
      <c r="BF356" t="str">
        <f t="shared" si="123"/>
        <v>OK</v>
      </c>
      <c r="BG356" t="str">
        <f t="shared" si="124"/>
        <v>OK</v>
      </c>
      <c r="BH356" t="str">
        <f t="shared" si="125"/>
        <v>OK</v>
      </c>
      <c r="BI356" t="str">
        <f t="shared" si="117"/>
        <v>OK</v>
      </c>
      <c r="BJ356" t="str">
        <f t="shared" si="118"/>
        <v>OK</v>
      </c>
      <c r="BK356" t="str">
        <f t="shared" si="119"/>
        <v>OK</v>
      </c>
    </row>
    <row r="357" spans="1:63">
      <c r="A357" s="16" t="s">
        <v>664</v>
      </c>
      <c r="B357" s="16" t="s">
        <v>662</v>
      </c>
      <c r="C357" s="16" t="s">
        <v>182</v>
      </c>
      <c r="D357" s="16" t="s">
        <v>168</v>
      </c>
      <c r="E357" s="16" t="s">
        <v>169</v>
      </c>
      <c r="F357" s="16" t="s">
        <v>162</v>
      </c>
      <c r="G357" s="15">
        <v>46188</v>
      </c>
      <c r="H357" s="15">
        <v>46191</v>
      </c>
      <c r="I357" s="15">
        <v>46193</v>
      </c>
      <c r="J357" s="15" t="s">
        <v>141</v>
      </c>
      <c r="K357" s="16" t="s">
        <v>182</v>
      </c>
      <c r="L357" t="s">
        <v>203</v>
      </c>
      <c r="M357" s="16" t="s">
        <v>143</v>
      </c>
      <c r="N357" s="16" t="s">
        <v>144</v>
      </c>
      <c r="O357" t="s">
        <v>1630</v>
      </c>
      <c r="P357" s="18">
        <v>854</v>
      </c>
      <c r="Q357" s="21">
        <v>3</v>
      </c>
      <c r="R357" s="21" t="str">
        <f t="shared" si="105"/>
        <v>0-3 days</v>
      </c>
      <c r="S357" s="16" t="s">
        <v>159</v>
      </c>
      <c r="U357" s="16" t="s">
        <v>146</v>
      </c>
      <c r="V357" t="str">
        <f>IF(U357="","",IFERROR(VLOOKUP(U357,Hotels!A:B,2,FALSE),"Not Found"))</f>
        <v>Premier Inn</v>
      </c>
      <c r="W357" s="14">
        <v>0</v>
      </c>
      <c r="X357" s="14">
        <v>256.8</v>
      </c>
      <c r="Y357" s="21">
        <v>1</v>
      </c>
      <c r="Z357" s="29">
        <f t="shared" si="106"/>
        <v>117.14</v>
      </c>
      <c r="AA357" s="14">
        <v>117.14</v>
      </c>
      <c r="AB357" s="14">
        <v>59.81</v>
      </c>
      <c r="AC357" s="14">
        <v>433.75</v>
      </c>
      <c r="AD357" s="16" t="s">
        <v>147</v>
      </c>
      <c r="AE357" s="16" t="s">
        <v>147</v>
      </c>
      <c r="AF357" s="14">
        <f>SUMIF('Trip Changes'!$B:$B,A357,'Trip Changes'!$E:$E)</f>
        <v>0</v>
      </c>
      <c r="AG357" s="23">
        <f>SUMIF('Trip Cancellations'!$B:$B,A357,'Trip Cancellations'!$E:$E)</f>
        <v>0</v>
      </c>
      <c r="AH357" s="14">
        <f>SUMIF('Trip Cancellations'!$B:$B,A357,'Trip Cancellations'!$F:$F)</f>
        <v>0</v>
      </c>
      <c r="AI357" s="14">
        <f t="shared" si="107"/>
        <v>433.75</v>
      </c>
      <c r="AJ357" s="14" t="str">
        <f t="shared" si="108"/>
        <v>Yes</v>
      </c>
      <c r="AK357" s="14" t="str">
        <f>IF(Y357=0,"N/A",
IF(_xlfn.XLOOKUP(U357,Hotels!A:A,Hotels!C:C)=TRUE,"Yes","No"))</f>
        <v>Yes</v>
      </c>
      <c r="AL357" s="14" t="str">
        <f>IF(N357="Rail","N/A",IF(_xlfn.XLOOKUP(T357,Airlines!A:A,Airlines!C:C)=TRUE,"Yes","No"))</f>
        <v>N/A</v>
      </c>
      <c r="AM357" s="14" t="str">
        <f t="shared" si="109"/>
        <v>Yes</v>
      </c>
      <c r="AN357" s="14" t="str">
        <f t="shared" si="110"/>
        <v>Yes</v>
      </c>
      <c r="AO357" s="14" t="str">
        <f t="shared" si="111"/>
        <v>Yes</v>
      </c>
      <c r="AP357" s="16" t="s">
        <v>148</v>
      </c>
      <c r="AQ357" t="str">
        <f t="shared" si="112"/>
        <v>Yes</v>
      </c>
      <c r="AR357" s="21">
        <v>5</v>
      </c>
      <c r="AS357" s="5">
        <v>34.200000000000003</v>
      </c>
      <c r="AT357" s="5" t="str">
        <f>IF(T357="","",_xlfn.XLOOKUP(T357,Airlines!A:A,Airlines!B:B,"Not Found"))</f>
        <v/>
      </c>
      <c r="AU357" s="5" t="str">
        <f>IF(U357="","",_xlfn.XLOOKUP(U357,Hotels!A:A,Hotels!B:B,"Not found"))</f>
        <v>Premier Inn</v>
      </c>
      <c r="AV357" t="s">
        <v>148</v>
      </c>
      <c r="AW357" s="16" t="str">
        <f t="shared" si="113"/>
        <v>OK</v>
      </c>
      <c r="AX357" s="16" t="str">
        <f t="shared" si="114"/>
        <v>OK</v>
      </c>
      <c r="AY357" s="16" t="str">
        <f t="shared" si="115"/>
        <v>OK</v>
      </c>
      <c r="AZ357" s="16" t="str">
        <f t="shared" si="116"/>
        <v>OK</v>
      </c>
      <c r="BA357" s="16" t="str">
        <f t="shared" si="120"/>
        <v>OK</v>
      </c>
      <c r="BB357" s="21">
        <f>COUNTIF('Trip Changes'!B:B,A357)</f>
        <v>0</v>
      </c>
      <c r="BC357" s="16" t="str">
        <f>IF(OR(AND(AD357="Yes",COUNTIF('Trip Changes'!B:B,A357)&gt;0),AND(AD357="No",COUNTIF('Trip Changes'!B:B,A357)=0)),"OK","Check")</f>
        <v>OK</v>
      </c>
      <c r="BD357" t="str">
        <f t="shared" si="121"/>
        <v>OK</v>
      </c>
      <c r="BE357" t="str">
        <f t="shared" si="122"/>
        <v>OK</v>
      </c>
      <c r="BF357" t="str">
        <f t="shared" si="123"/>
        <v>OK</v>
      </c>
      <c r="BG357" t="str">
        <f t="shared" si="124"/>
        <v>OK</v>
      </c>
      <c r="BH357" t="str">
        <f t="shared" si="125"/>
        <v>OK</v>
      </c>
      <c r="BI357" t="str">
        <f t="shared" si="117"/>
        <v>OK</v>
      </c>
      <c r="BJ357" t="str">
        <f t="shared" si="118"/>
        <v>OK</v>
      </c>
      <c r="BK357" t="str">
        <f t="shared" si="119"/>
        <v>OK</v>
      </c>
    </row>
    <row r="358" spans="1:63">
      <c r="A358" s="16" t="s">
        <v>665</v>
      </c>
      <c r="B358" s="16" t="s">
        <v>666</v>
      </c>
      <c r="C358" s="16" t="s">
        <v>182</v>
      </c>
      <c r="D358" s="16" t="s">
        <v>230</v>
      </c>
      <c r="E358" s="16" t="s">
        <v>249</v>
      </c>
      <c r="F358" s="16" t="s">
        <v>157</v>
      </c>
      <c r="G358" s="15">
        <v>46148</v>
      </c>
      <c r="H358" s="15">
        <v>46175</v>
      </c>
      <c r="I358" s="15">
        <v>46177</v>
      </c>
      <c r="J358" s="15" t="s">
        <v>141</v>
      </c>
      <c r="K358" s="16" t="s">
        <v>182</v>
      </c>
      <c r="L358" t="s">
        <v>225</v>
      </c>
      <c r="M358" s="16" t="s">
        <v>152</v>
      </c>
      <c r="N358" s="16" t="s">
        <v>153</v>
      </c>
      <c r="O358" t="s">
        <v>1614</v>
      </c>
      <c r="P358" s="18">
        <v>1740</v>
      </c>
      <c r="Q358" s="21">
        <v>27</v>
      </c>
      <c r="R358" s="21" t="str">
        <f t="shared" si="105"/>
        <v>15-30 days</v>
      </c>
      <c r="S358" s="16" t="s">
        <v>145</v>
      </c>
      <c r="T358" s="16" t="s">
        <v>236</v>
      </c>
      <c r="U358" s="16" t="s">
        <v>187</v>
      </c>
      <c r="V358" t="str">
        <f>IF(U358="","",IFERROR(VLOOKUP(U358,Hotels!A:B,2,FALSE),"Not Found"))</f>
        <v>IHG Hotels &amp; Resorts</v>
      </c>
      <c r="W358" s="14">
        <v>450.19</v>
      </c>
      <c r="X358" s="14">
        <v>0</v>
      </c>
      <c r="Y358" s="21">
        <v>1</v>
      </c>
      <c r="Z358" s="29">
        <f t="shared" si="106"/>
        <v>153.44</v>
      </c>
      <c r="AA358" s="14">
        <v>153.44</v>
      </c>
      <c r="AB358" s="14">
        <v>20</v>
      </c>
      <c r="AC358" s="14">
        <v>623.63</v>
      </c>
      <c r="AD358" s="16" t="s">
        <v>147</v>
      </c>
      <c r="AE358" s="16" t="s">
        <v>147</v>
      </c>
      <c r="AF358" s="14">
        <f>SUMIF('Trip Changes'!$B:$B,A358,'Trip Changes'!$E:$E)</f>
        <v>0</v>
      </c>
      <c r="AG358" s="23">
        <f>SUMIF('Trip Cancellations'!$B:$B,A358,'Trip Cancellations'!$E:$E)</f>
        <v>0</v>
      </c>
      <c r="AH358" s="14">
        <f>SUMIF('Trip Cancellations'!$B:$B,A358,'Trip Cancellations'!$F:$F)</f>
        <v>0</v>
      </c>
      <c r="AI358" s="14">
        <f t="shared" si="107"/>
        <v>623.63</v>
      </c>
      <c r="AJ358" s="14" t="str">
        <f t="shared" si="108"/>
        <v>Yes</v>
      </c>
      <c r="AK358" s="14" t="str">
        <f>IF(Y358=0,"N/A",
IF(_xlfn.XLOOKUP(U358,Hotels!A:A,Hotels!C:C)=TRUE,"Yes","No"))</f>
        <v>Yes</v>
      </c>
      <c r="AL358" s="14" t="str">
        <f>IF(N358="Rail","N/A",IF(_xlfn.XLOOKUP(T358,Airlines!A:A,Airlines!C:C)=TRUE,"Yes","No"))</f>
        <v>Yes</v>
      </c>
      <c r="AM358" s="14" t="str">
        <f t="shared" si="109"/>
        <v>Yes</v>
      </c>
      <c r="AN358" s="14" t="str">
        <f t="shared" si="110"/>
        <v>Yes</v>
      </c>
      <c r="AO358" s="14" t="str">
        <f t="shared" si="111"/>
        <v>Yes</v>
      </c>
      <c r="AP358" s="16" t="s">
        <v>148</v>
      </c>
      <c r="AQ358" t="str">
        <f t="shared" si="112"/>
        <v>Yes</v>
      </c>
      <c r="AR358" s="21">
        <v>5</v>
      </c>
      <c r="AS358" s="5">
        <v>261</v>
      </c>
      <c r="AT358" s="5" t="str">
        <f>IF(T358="","",_xlfn.XLOOKUP(T358,Airlines!A:A,Airlines!B:B,"Not Found"))</f>
        <v>KLM</v>
      </c>
      <c r="AU358" s="5" t="str">
        <f>IF(U358="","",_xlfn.XLOOKUP(U358,Hotels!A:A,Hotels!B:B,"Not found"))</f>
        <v>IHG Hotels &amp; Resorts</v>
      </c>
      <c r="AV358" t="s">
        <v>147</v>
      </c>
      <c r="AW358" s="16" t="str">
        <f t="shared" si="113"/>
        <v>OK</v>
      </c>
      <c r="AX358" s="16" t="str">
        <f t="shared" si="114"/>
        <v>OK</v>
      </c>
      <c r="AY358" s="16" t="str">
        <f t="shared" si="115"/>
        <v>OK</v>
      </c>
      <c r="AZ358" s="16" t="str">
        <f t="shared" si="116"/>
        <v>OK</v>
      </c>
      <c r="BA358" s="16" t="str">
        <f t="shared" si="120"/>
        <v>OK</v>
      </c>
      <c r="BB358" s="21">
        <f>COUNTIF('Trip Changes'!B:B,A358)</f>
        <v>0</v>
      </c>
      <c r="BC358" s="16" t="str">
        <f>IF(OR(AND(AD358="Yes",COUNTIF('Trip Changes'!B:B,A358)&gt;0),AND(AD358="No",COUNTIF('Trip Changes'!B:B,A358)=0)),"OK","Check")</f>
        <v>OK</v>
      </c>
      <c r="BD358" t="str">
        <f t="shared" si="121"/>
        <v>OK</v>
      </c>
      <c r="BE358" t="str">
        <f t="shared" si="122"/>
        <v>OK</v>
      </c>
      <c r="BF358" t="str">
        <f t="shared" si="123"/>
        <v>OK</v>
      </c>
      <c r="BG358" t="str">
        <f t="shared" si="124"/>
        <v>OK</v>
      </c>
      <c r="BH358" t="str">
        <f t="shared" si="125"/>
        <v>OK</v>
      </c>
      <c r="BI358" t="str">
        <f t="shared" si="117"/>
        <v>OK</v>
      </c>
      <c r="BJ358" t="str">
        <f t="shared" si="118"/>
        <v>OK</v>
      </c>
      <c r="BK358" t="str">
        <f t="shared" si="119"/>
        <v>OK</v>
      </c>
    </row>
    <row r="359" spans="1:63">
      <c r="A359" s="16" t="s">
        <v>667</v>
      </c>
      <c r="B359" s="16" t="s">
        <v>666</v>
      </c>
      <c r="C359" s="16" t="s">
        <v>182</v>
      </c>
      <c r="D359" s="16" t="s">
        <v>230</v>
      </c>
      <c r="E359" s="16" t="s">
        <v>249</v>
      </c>
      <c r="F359" s="16" t="s">
        <v>162</v>
      </c>
      <c r="G359" s="15">
        <v>46182</v>
      </c>
      <c r="H359" s="15">
        <v>46188</v>
      </c>
      <c r="I359" s="15">
        <v>46193</v>
      </c>
      <c r="J359" s="15" t="s">
        <v>141</v>
      </c>
      <c r="K359" s="16" t="s">
        <v>182</v>
      </c>
      <c r="L359" t="s">
        <v>305</v>
      </c>
      <c r="M359" s="16" t="s">
        <v>152</v>
      </c>
      <c r="N359" s="16" t="s">
        <v>153</v>
      </c>
      <c r="O359" t="s">
        <v>1614</v>
      </c>
      <c r="P359" s="18">
        <v>12770</v>
      </c>
      <c r="Q359" s="21">
        <v>6</v>
      </c>
      <c r="R359" s="21" t="str">
        <f t="shared" si="105"/>
        <v>4-7 days</v>
      </c>
      <c r="S359" s="16" t="s">
        <v>145</v>
      </c>
      <c r="T359" s="16" t="s">
        <v>154</v>
      </c>
      <c r="U359" s="16" t="s">
        <v>155</v>
      </c>
      <c r="V359" t="str">
        <f>IF(U359="","",IFERROR(VLOOKUP(U359,Hotels!A:B,2,FALSE),"Not Found"))</f>
        <v>Hilton</v>
      </c>
      <c r="W359" s="14">
        <v>1231.75</v>
      </c>
      <c r="X359" s="14">
        <v>0</v>
      </c>
      <c r="Y359" s="21">
        <v>4</v>
      </c>
      <c r="Z359" s="29">
        <f t="shared" si="106"/>
        <v>225.26750000000001</v>
      </c>
      <c r="AA359" s="14">
        <v>901.07</v>
      </c>
      <c r="AB359" s="14">
        <v>20</v>
      </c>
      <c r="AC359" s="14">
        <v>2152.8200000000002</v>
      </c>
      <c r="AD359" s="16" t="s">
        <v>147</v>
      </c>
      <c r="AE359" s="16" t="s">
        <v>147</v>
      </c>
      <c r="AF359" s="14">
        <f>SUMIF('Trip Changes'!$B:$B,A359,'Trip Changes'!$E:$E)</f>
        <v>0</v>
      </c>
      <c r="AG359" s="23">
        <f>SUMIF('Trip Cancellations'!$B:$B,A359,'Trip Cancellations'!$E:$E)</f>
        <v>0</v>
      </c>
      <c r="AH359" s="14">
        <f>SUMIF('Trip Cancellations'!$B:$B,A359,'Trip Cancellations'!$F:$F)</f>
        <v>0</v>
      </c>
      <c r="AI359" s="14">
        <f t="shared" si="107"/>
        <v>2152.8200000000002</v>
      </c>
      <c r="AJ359" s="14" t="str">
        <f t="shared" si="108"/>
        <v>No</v>
      </c>
      <c r="AK359" s="14" t="str">
        <f>IF(Y359=0,"N/A",
IF(_xlfn.XLOOKUP(U359,Hotels!A:A,Hotels!C:C)=TRUE,"Yes","No"))</f>
        <v>Yes</v>
      </c>
      <c r="AL359" s="14" t="str">
        <f>IF(N359="Rail","N/A",IF(_xlfn.XLOOKUP(T359,Airlines!A:A,Airlines!C:C)=TRUE,"Yes","No"))</f>
        <v>Yes</v>
      </c>
      <c r="AM359" s="14" t="str">
        <f t="shared" si="109"/>
        <v>Yes</v>
      </c>
      <c r="AN359" s="14" t="str">
        <f t="shared" si="110"/>
        <v>Yes</v>
      </c>
      <c r="AO359" s="14" t="str">
        <f t="shared" si="111"/>
        <v>Yes</v>
      </c>
      <c r="AP359" s="16" t="s">
        <v>148</v>
      </c>
      <c r="AQ359" t="str">
        <f t="shared" si="112"/>
        <v>No</v>
      </c>
      <c r="AR359" s="21">
        <v>4</v>
      </c>
      <c r="AS359" s="5">
        <v>1915.5</v>
      </c>
      <c r="AT359" s="5" t="str">
        <f>IF(T359="","",_xlfn.XLOOKUP(T359,Airlines!A:A,Airlines!B:B,"Not Found"))</f>
        <v>British Airways</v>
      </c>
      <c r="AU359" s="5" t="str">
        <f>IF(U359="","",_xlfn.XLOOKUP(U359,Hotels!A:A,Hotels!B:B,"Not found"))</f>
        <v>Hilton</v>
      </c>
      <c r="AV359" t="s">
        <v>148</v>
      </c>
      <c r="AW359" s="16" t="str">
        <f t="shared" si="113"/>
        <v>OK</v>
      </c>
      <c r="AX359" s="16" t="str">
        <f t="shared" si="114"/>
        <v>OK</v>
      </c>
      <c r="AY359" s="16" t="str">
        <f t="shared" si="115"/>
        <v>OK</v>
      </c>
      <c r="AZ359" s="16" t="str">
        <f t="shared" si="116"/>
        <v>OK</v>
      </c>
      <c r="BA359" s="16" t="str">
        <f t="shared" si="120"/>
        <v>OK</v>
      </c>
      <c r="BB359" s="21">
        <f>COUNTIF('Trip Changes'!B:B,A359)</f>
        <v>0</v>
      </c>
      <c r="BC359" s="16" t="str">
        <f>IF(OR(AND(AD359="Yes",COUNTIF('Trip Changes'!B:B,A359)&gt;0),AND(AD359="No",COUNTIF('Trip Changes'!B:B,A359)=0)),"OK","Check")</f>
        <v>OK</v>
      </c>
      <c r="BD359" t="str">
        <f t="shared" si="121"/>
        <v>OK</v>
      </c>
      <c r="BE359" t="str">
        <f t="shared" si="122"/>
        <v>OK</v>
      </c>
      <c r="BF359" t="str">
        <f t="shared" si="123"/>
        <v>OK</v>
      </c>
      <c r="BG359" t="str">
        <f t="shared" si="124"/>
        <v>OK</v>
      </c>
      <c r="BH359" t="str">
        <f t="shared" si="125"/>
        <v>OK</v>
      </c>
      <c r="BI359" t="str">
        <f t="shared" si="117"/>
        <v>OK</v>
      </c>
      <c r="BJ359" t="str">
        <f t="shared" si="118"/>
        <v>OK</v>
      </c>
      <c r="BK359" t="str">
        <f t="shared" si="119"/>
        <v>OK</v>
      </c>
    </row>
    <row r="360" spans="1:63">
      <c r="A360" s="16" t="s">
        <v>668</v>
      </c>
      <c r="B360" s="16" t="s">
        <v>666</v>
      </c>
      <c r="C360" s="16" t="s">
        <v>182</v>
      </c>
      <c r="D360" s="16" t="s">
        <v>230</v>
      </c>
      <c r="E360" s="16" t="s">
        <v>249</v>
      </c>
      <c r="F360" s="16" t="s">
        <v>140</v>
      </c>
      <c r="G360" s="15">
        <v>46135</v>
      </c>
      <c r="H360" s="15">
        <v>46145</v>
      </c>
      <c r="I360" s="15">
        <v>46150</v>
      </c>
      <c r="J360" s="15" t="s">
        <v>163</v>
      </c>
      <c r="K360" s="16" t="s">
        <v>182</v>
      </c>
      <c r="L360" t="s">
        <v>199</v>
      </c>
      <c r="M360" s="16" t="s">
        <v>152</v>
      </c>
      <c r="N360" s="16" t="s">
        <v>153</v>
      </c>
      <c r="O360" t="s">
        <v>1614</v>
      </c>
      <c r="P360" s="18">
        <v>3508</v>
      </c>
      <c r="Q360" s="21">
        <v>10</v>
      </c>
      <c r="R360" s="21" t="str">
        <f t="shared" si="105"/>
        <v>8-14 days</v>
      </c>
      <c r="S360" s="16" t="s">
        <v>159</v>
      </c>
      <c r="T360" s="16" t="s">
        <v>291</v>
      </c>
      <c r="U360" s="16" t="s">
        <v>155</v>
      </c>
      <c r="V360" t="str">
        <f>IF(U360="","",IFERROR(VLOOKUP(U360,Hotels!A:B,2,FALSE),"Not Found"))</f>
        <v>Hilton</v>
      </c>
      <c r="W360" s="14">
        <v>396.44</v>
      </c>
      <c r="X360" s="14">
        <v>0</v>
      </c>
      <c r="Y360" s="21">
        <v>4</v>
      </c>
      <c r="Z360" s="29">
        <f t="shared" si="106"/>
        <v>171.73500000000001</v>
      </c>
      <c r="AA360" s="14">
        <v>686.94</v>
      </c>
      <c r="AB360" s="14">
        <v>86.21</v>
      </c>
      <c r="AC360" s="14">
        <v>1169.5899999999999</v>
      </c>
      <c r="AD360" s="16" t="s">
        <v>148</v>
      </c>
      <c r="AE360" s="16" t="s">
        <v>147</v>
      </c>
      <c r="AF360" s="14">
        <f>SUMIF('Trip Changes'!$B:$B,A360,'Trip Changes'!$E:$E)</f>
        <v>21.58</v>
      </c>
      <c r="AG360" s="23">
        <f>SUMIF('Trip Cancellations'!$B:$B,A360,'Trip Cancellations'!$E:$E)</f>
        <v>0</v>
      </c>
      <c r="AH360" s="14">
        <f>SUMIF('Trip Cancellations'!$B:$B,A360,'Trip Cancellations'!$F:$F)</f>
        <v>0</v>
      </c>
      <c r="AI360" s="14">
        <f t="shared" si="107"/>
        <v>1191.1699999999998</v>
      </c>
      <c r="AJ360" s="14" t="str">
        <f t="shared" si="108"/>
        <v>Yes</v>
      </c>
      <c r="AK360" s="14" t="str">
        <f>IF(Y360=0,"N/A",
IF(_xlfn.XLOOKUP(U360,Hotels!A:A,Hotels!C:C)=TRUE,"Yes","No"))</f>
        <v>Yes</v>
      </c>
      <c r="AL360" s="14" t="str">
        <f>IF(N360="Rail","N/A",IF(_xlfn.XLOOKUP(T360,Airlines!A:A,Airlines!C:C)=TRUE,"Yes","No"))</f>
        <v>No</v>
      </c>
      <c r="AM360" s="14" t="str">
        <f t="shared" si="109"/>
        <v>Yes</v>
      </c>
      <c r="AN360" s="14" t="str">
        <f t="shared" si="110"/>
        <v>Yes</v>
      </c>
      <c r="AO360" s="14" t="str">
        <f t="shared" si="111"/>
        <v>No</v>
      </c>
      <c r="AP360" s="16" t="s">
        <v>148</v>
      </c>
      <c r="AQ360" t="str">
        <f t="shared" si="112"/>
        <v>No</v>
      </c>
      <c r="AR360" s="21">
        <v>4</v>
      </c>
      <c r="AS360" s="5">
        <v>526.20000000000005</v>
      </c>
      <c r="AT360" s="5" t="str">
        <f>IF(T360="","",_xlfn.XLOOKUP(T360,Airlines!A:A,Airlines!B:B,"Not Found"))</f>
        <v>Ryanair</v>
      </c>
      <c r="AU360" s="5" t="str">
        <f>IF(U360="","",_xlfn.XLOOKUP(U360,Hotels!A:A,Hotels!B:B,"Not found"))</f>
        <v>Hilton</v>
      </c>
      <c r="AV360" t="s">
        <v>148</v>
      </c>
      <c r="AW360" s="16" t="str">
        <f t="shared" si="113"/>
        <v>OK</v>
      </c>
      <c r="AX360" s="16" t="str">
        <f t="shared" si="114"/>
        <v>OK</v>
      </c>
      <c r="AY360" s="16" t="str">
        <f t="shared" si="115"/>
        <v>OK</v>
      </c>
      <c r="AZ360" s="16" t="str">
        <f t="shared" si="116"/>
        <v>OK</v>
      </c>
      <c r="BA360" s="16" t="str">
        <f t="shared" si="120"/>
        <v>OK</v>
      </c>
      <c r="BB360" s="21">
        <f>COUNTIF('Trip Changes'!B:B,A360)</f>
        <v>1</v>
      </c>
      <c r="BC360" s="16" t="str">
        <f>IF(OR(AND(AD360="Yes",COUNTIF('Trip Changes'!B:B,A360)&gt;0),AND(AD360="No",COUNTIF('Trip Changes'!B:B,A360)=0)),"OK","Check")</f>
        <v>OK</v>
      </c>
      <c r="BD360" t="str">
        <f t="shared" si="121"/>
        <v>OK</v>
      </c>
      <c r="BE360" t="str">
        <f t="shared" si="122"/>
        <v>OK</v>
      </c>
      <c r="BF360" t="str">
        <f t="shared" si="123"/>
        <v>OK</v>
      </c>
      <c r="BG360" t="str">
        <f t="shared" si="124"/>
        <v>OK</v>
      </c>
      <c r="BH360" t="str">
        <f t="shared" si="125"/>
        <v>OK</v>
      </c>
      <c r="BI360" t="str">
        <f t="shared" si="117"/>
        <v>OK</v>
      </c>
      <c r="BJ360" t="str">
        <f t="shared" si="118"/>
        <v>OK</v>
      </c>
      <c r="BK360" t="str">
        <f t="shared" si="119"/>
        <v>OK</v>
      </c>
    </row>
    <row r="361" spans="1:63">
      <c r="A361" s="16" t="s">
        <v>669</v>
      </c>
      <c r="B361" s="16" t="s">
        <v>666</v>
      </c>
      <c r="C361" s="16" t="s">
        <v>182</v>
      </c>
      <c r="D361" s="16" t="s">
        <v>230</v>
      </c>
      <c r="E361" s="16" t="s">
        <v>249</v>
      </c>
      <c r="F361" s="16" t="s">
        <v>157</v>
      </c>
      <c r="G361" s="15">
        <v>46206</v>
      </c>
      <c r="H361" s="15">
        <v>46225</v>
      </c>
      <c r="I361" s="15">
        <v>46231</v>
      </c>
      <c r="J361" s="15" t="s">
        <v>150</v>
      </c>
      <c r="K361" s="16" t="s">
        <v>182</v>
      </c>
      <c r="L361" t="s">
        <v>185</v>
      </c>
      <c r="M361" s="16" t="s">
        <v>152</v>
      </c>
      <c r="N361" s="16" t="s">
        <v>153</v>
      </c>
      <c r="O361" t="s">
        <v>1614</v>
      </c>
      <c r="P361" s="18">
        <v>10762</v>
      </c>
      <c r="Q361" s="21">
        <v>19</v>
      </c>
      <c r="R361" s="21" t="str">
        <f t="shared" si="105"/>
        <v>15-30 days</v>
      </c>
      <c r="S361" s="16" t="s">
        <v>145</v>
      </c>
      <c r="T361" s="16" t="s">
        <v>154</v>
      </c>
      <c r="U361" s="16" t="s">
        <v>155</v>
      </c>
      <c r="V361" t="str">
        <f>IF(U361="","",IFERROR(VLOOKUP(U361,Hotels!A:B,2,FALSE),"Not Found"))</f>
        <v>Hilton</v>
      </c>
      <c r="W361" s="14">
        <v>1015.5</v>
      </c>
      <c r="X361" s="14">
        <v>0</v>
      </c>
      <c r="Y361" s="21">
        <v>5</v>
      </c>
      <c r="Z361" s="29">
        <f t="shared" si="106"/>
        <v>142.61799999999999</v>
      </c>
      <c r="AA361" s="14">
        <v>713.09</v>
      </c>
      <c r="AB361" s="14">
        <v>107.3</v>
      </c>
      <c r="AC361" s="14">
        <v>1835.89</v>
      </c>
      <c r="AD361" s="16" t="s">
        <v>147</v>
      </c>
      <c r="AE361" s="16" t="s">
        <v>147</v>
      </c>
      <c r="AF361" s="14">
        <f>SUMIF('Trip Changes'!$B:$B,A361,'Trip Changes'!$E:$E)</f>
        <v>0</v>
      </c>
      <c r="AG361" s="23">
        <f>SUMIF('Trip Cancellations'!$B:$B,A361,'Trip Cancellations'!$E:$E)</f>
        <v>0</v>
      </c>
      <c r="AH361" s="14">
        <f>SUMIF('Trip Cancellations'!$B:$B,A361,'Trip Cancellations'!$F:$F)</f>
        <v>0</v>
      </c>
      <c r="AI361" s="14">
        <f t="shared" si="107"/>
        <v>1835.89</v>
      </c>
      <c r="AJ361" s="14" t="str">
        <f t="shared" si="108"/>
        <v>Yes</v>
      </c>
      <c r="AK361" s="14" t="str">
        <f>IF(Y361=0,"N/A",
IF(_xlfn.XLOOKUP(U361,Hotels!A:A,Hotels!C:C)=TRUE,"Yes","No"))</f>
        <v>Yes</v>
      </c>
      <c r="AL361" s="14" t="str">
        <f>IF(N361="Rail","N/A",IF(_xlfn.XLOOKUP(T361,Airlines!A:A,Airlines!C:C)=TRUE,"Yes","No"))</f>
        <v>Yes</v>
      </c>
      <c r="AM361" s="14" t="str">
        <f t="shared" si="109"/>
        <v>Yes</v>
      </c>
      <c r="AN361" s="14" t="str">
        <f t="shared" si="110"/>
        <v>Yes</v>
      </c>
      <c r="AO361" s="14" t="str">
        <f t="shared" si="111"/>
        <v>Yes</v>
      </c>
      <c r="AP361" s="16" t="s">
        <v>148</v>
      </c>
      <c r="AQ361" t="str">
        <f t="shared" si="112"/>
        <v>Yes</v>
      </c>
      <c r="AR361" s="21">
        <v>4</v>
      </c>
      <c r="AS361" s="5">
        <v>1614.3</v>
      </c>
      <c r="AT361" s="5" t="str">
        <f>IF(T361="","",_xlfn.XLOOKUP(T361,Airlines!A:A,Airlines!B:B,"Not Found"))</f>
        <v>British Airways</v>
      </c>
      <c r="AU361" s="5" t="str">
        <f>IF(U361="","",_xlfn.XLOOKUP(U361,Hotels!A:A,Hotels!B:B,"Not found"))</f>
        <v>Hilton</v>
      </c>
      <c r="AV361" t="s">
        <v>147</v>
      </c>
      <c r="AW361" s="16" t="str">
        <f t="shared" si="113"/>
        <v>OK</v>
      </c>
      <c r="AX361" s="16" t="str">
        <f t="shared" si="114"/>
        <v>OK</v>
      </c>
      <c r="AY361" s="16" t="str">
        <f t="shared" si="115"/>
        <v>OK</v>
      </c>
      <c r="AZ361" s="16" t="str">
        <f t="shared" si="116"/>
        <v>OK</v>
      </c>
      <c r="BA361" s="16" t="str">
        <f t="shared" si="120"/>
        <v>OK</v>
      </c>
      <c r="BB361" s="21">
        <f>COUNTIF('Trip Changes'!B:B,A361)</f>
        <v>0</v>
      </c>
      <c r="BC361" s="16" t="str">
        <f>IF(OR(AND(AD361="Yes",COUNTIF('Trip Changes'!B:B,A361)&gt;0),AND(AD361="No",COUNTIF('Trip Changes'!B:B,A361)=0)),"OK","Check")</f>
        <v>OK</v>
      </c>
      <c r="BD361" t="str">
        <f t="shared" si="121"/>
        <v>OK</v>
      </c>
      <c r="BE361" t="str">
        <f t="shared" si="122"/>
        <v>OK</v>
      </c>
      <c r="BF361" t="str">
        <f t="shared" si="123"/>
        <v>OK</v>
      </c>
      <c r="BG361" t="str">
        <f t="shared" si="124"/>
        <v>OK</v>
      </c>
      <c r="BH361" t="str">
        <f t="shared" si="125"/>
        <v>OK</v>
      </c>
      <c r="BI361" t="str">
        <f t="shared" si="117"/>
        <v>OK</v>
      </c>
      <c r="BJ361" t="str">
        <f t="shared" si="118"/>
        <v>OK</v>
      </c>
      <c r="BK361" t="str">
        <f t="shared" si="119"/>
        <v>OK</v>
      </c>
    </row>
    <row r="362" spans="1:63">
      <c r="A362" s="16" t="s">
        <v>670</v>
      </c>
      <c r="B362" s="16" t="s">
        <v>671</v>
      </c>
      <c r="C362" s="16" t="s">
        <v>182</v>
      </c>
      <c r="D362" s="16" t="s">
        <v>168</v>
      </c>
      <c r="E362" s="16" t="s">
        <v>205</v>
      </c>
      <c r="F362" s="16" t="s">
        <v>162</v>
      </c>
      <c r="G362" s="15">
        <v>46164</v>
      </c>
      <c r="H362" s="15">
        <v>46181</v>
      </c>
      <c r="I362" s="15">
        <v>46183</v>
      </c>
      <c r="J362" s="15" t="s">
        <v>141</v>
      </c>
      <c r="K362" s="16" t="s">
        <v>182</v>
      </c>
      <c r="L362" t="s">
        <v>185</v>
      </c>
      <c r="M362" s="16" t="s">
        <v>152</v>
      </c>
      <c r="N362" s="16" t="s">
        <v>153</v>
      </c>
      <c r="O362" t="s">
        <v>1631</v>
      </c>
      <c r="P362" s="18">
        <v>10260</v>
      </c>
      <c r="Q362" s="21">
        <v>17</v>
      </c>
      <c r="R362" s="21" t="str">
        <f t="shared" si="105"/>
        <v>15-30 days</v>
      </c>
      <c r="S362" s="16" t="s">
        <v>159</v>
      </c>
      <c r="T362" s="16" t="s">
        <v>154</v>
      </c>
      <c r="U362" s="16" t="s">
        <v>164</v>
      </c>
      <c r="V362" t="str">
        <f>IF(U362="","",IFERROR(VLOOKUP(U362,Hotels!A:B,2,FALSE),"Not Found"))</f>
        <v>Marriott</v>
      </c>
      <c r="W362" s="14">
        <v>1067.05</v>
      </c>
      <c r="X362" s="14">
        <v>0</v>
      </c>
      <c r="Y362" s="21">
        <v>1</v>
      </c>
      <c r="Z362" s="29">
        <f t="shared" si="106"/>
        <v>144.41</v>
      </c>
      <c r="AA362" s="14">
        <v>144.41</v>
      </c>
      <c r="AB362" s="14">
        <v>84.36</v>
      </c>
      <c r="AC362" s="14">
        <v>1295.82</v>
      </c>
      <c r="AD362" s="16" t="s">
        <v>147</v>
      </c>
      <c r="AE362" s="16" t="s">
        <v>147</v>
      </c>
      <c r="AF362" s="14">
        <f>SUMIF('Trip Changes'!$B:$B,A362,'Trip Changes'!$E:$E)</f>
        <v>0</v>
      </c>
      <c r="AG362" s="23">
        <f>SUMIF('Trip Cancellations'!$B:$B,A362,'Trip Cancellations'!$E:$E)</f>
        <v>0</v>
      </c>
      <c r="AH362" s="14">
        <f>SUMIF('Trip Cancellations'!$B:$B,A362,'Trip Cancellations'!$F:$F)</f>
        <v>0</v>
      </c>
      <c r="AI362" s="14">
        <f t="shared" si="107"/>
        <v>1295.82</v>
      </c>
      <c r="AJ362" s="14" t="str">
        <f t="shared" si="108"/>
        <v>Yes</v>
      </c>
      <c r="AK362" s="14" t="str">
        <f>IF(Y362=0,"N/A",
IF(_xlfn.XLOOKUP(U362,Hotels!A:A,Hotels!C:C)=TRUE,"Yes","No"))</f>
        <v>Yes</v>
      </c>
      <c r="AL362" s="14" t="str">
        <f>IF(N362="Rail","N/A",IF(_xlfn.XLOOKUP(T362,Airlines!A:A,Airlines!C:C)=TRUE,"Yes","No"))</f>
        <v>Yes</v>
      </c>
      <c r="AM362" s="14" t="str">
        <f t="shared" si="109"/>
        <v>No</v>
      </c>
      <c r="AN362" s="14" t="str">
        <f t="shared" si="110"/>
        <v>Yes</v>
      </c>
      <c r="AO362" s="14" t="str">
        <f t="shared" si="111"/>
        <v>Yes</v>
      </c>
      <c r="AP362" s="16" t="s">
        <v>148</v>
      </c>
      <c r="AQ362" t="str">
        <f t="shared" si="112"/>
        <v>No</v>
      </c>
      <c r="AR362" s="21">
        <v>4</v>
      </c>
      <c r="AS362" s="5">
        <v>1539</v>
      </c>
      <c r="AT362" s="5" t="str">
        <f>IF(T362="","",_xlfn.XLOOKUP(T362,Airlines!A:A,Airlines!B:B,"Not Found"))</f>
        <v>British Airways</v>
      </c>
      <c r="AU362" s="5" t="str">
        <f>IF(U362="","",_xlfn.XLOOKUP(U362,Hotels!A:A,Hotels!B:B,"Not found"))</f>
        <v>Marriott</v>
      </c>
      <c r="AV362" t="s">
        <v>147</v>
      </c>
      <c r="AW362" s="16" t="str">
        <f t="shared" si="113"/>
        <v>OK</v>
      </c>
      <c r="AX362" s="16" t="str">
        <f t="shared" si="114"/>
        <v>OK</v>
      </c>
      <c r="AY362" s="16" t="str">
        <f t="shared" si="115"/>
        <v>OK</v>
      </c>
      <c r="AZ362" s="16" t="str">
        <f t="shared" si="116"/>
        <v>OK</v>
      </c>
      <c r="BA362" s="16" t="str">
        <f t="shared" si="120"/>
        <v>OK</v>
      </c>
      <c r="BB362" s="21">
        <f>COUNTIF('Trip Changes'!B:B,A362)</f>
        <v>0</v>
      </c>
      <c r="BC362" s="16" t="str">
        <f>IF(OR(AND(AD362="Yes",COUNTIF('Trip Changes'!B:B,A362)&gt;0),AND(AD362="No",COUNTIF('Trip Changes'!B:B,A362)=0)),"OK","Check")</f>
        <v>OK</v>
      </c>
      <c r="BD362" t="str">
        <f t="shared" si="121"/>
        <v>OK</v>
      </c>
      <c r="BE362" t="str">
        <f t="shared" si="122"/>
        <v>OK</v>
      </c>
      <c r="BF362" t="str">
        <f t="shared" si="123"/>
        <v>OK</v>
      </c>
      <c r="BG362" t="str">
        <f t="shared" si="124"/>
        <v>OK</v>
      </c>
      <c r="BH362" t="str">
        <f t="shared" si="125"/>
        <v>OK</v>
      </c>
      <c r="BI362" t="str">
        <f t="shared" si="117"/>
        <v>OK</v>
      </c>
      <c r="BJ362" t="str">
        <f t="shared" si="118"/>
        <v>OK</v>
      </c>
      <c r="BK362" t="str">
        <f t="shared" si="119"/>
        <v>OK</v>
      </c>
    </row>
    <row r="363" spans="1:63">
      <c r="A363" s="16" t="s">
        <v>672</v>
      </c>
      <c r="B363" s="16" t="s">
        <v>671</v>
      </c>
      <c r="C363" s="16" t="s">
        <v>182</v>
      </c>
      <c r="D363" s="16" t="s">
        <v>168</v>
      </c>
      <c r="E363" s="16" t="s">
        <v>205</v>
      </c>
      <c r="F363" s="16" t="s">
        <v>178</v>
      </c>
      <c r="G363" s="15">
        <v>46162</v>
      </c>
      <c r="H363" s="15">
        <v>46184</v>
      </c>
      <c r="I363" s="15">
        <v>46187</v>
      </c>
      <c r="J363" s="15" t="s">
        <v>141</v>
      </c>
      <c r="K363" s="16" t="s">
        <v>182</v>
      </c>
      <c r="L363" t="s">
        <v>199</v>
      </c>
      <c r="M363" s="16" t="s">
        <v>152</v>
      </c>
      <c r="N363" s="16" t="s">
        <v>153</v>
      </c>
      <c r="O363" t="s">
        <v>1614</v>
      </c>
      <c r="P363" s="18">
        <v>1986</v>
      </c>
      <c r="Q363" s="21">
        <v>22</v>
      </c>
      <c r="R363" s="21" t="str">
        <f t="shared" si="105"/>
        <v>15-30 days</v>
      </c>
      <c r="S363" s="16" t="s">
        <v>145</v>
      </c>
      <c r="T363" s="16" t="s">
        <v>200</v>
      </c>
      <c r="U363" s="16" t="s">
        <v>173</v>
      </c>
      <c r="V363" t="str">
        <f>IF(U363="","",IFERROR(VLOOKUP(U363,Hotels!A:B,2,FALSE),"Not Found"))</f>
        <v>Accor</v>
      </c>
      <c r="W363" s="14">
        <v>404.43</v>
      </c>
      <c r="X363" s="14">
        <v>0</v>
      </c>
      <c r="Y363" s="21">
        <v>2</v>
      </c>
      <c r="Z363" s="29">
        <f t="shared" si="106"/>
        <v>232.375</v>
      </c>
      <c r="AA363" s="14">
        <v>464.75</v>
      </c>
      <c r="AB363" s="14">
        <v>122.44</v>
      </c>
      <c r="AC363" s="14">
        <v>991.62</v>
      </c>
      <c r="AD363" s="16" t="s">
        <v>147</v>
      </c>
      <c r="AE363" s="16" t="s">
        <v>147</v>
      </c>
      <c r="AF363" s="14">
        <f>SUMIF('Trip Changes'!$B:$B,A363,'Trip Changes'!$E:$E)</f>
        <v>0</v>
      </c>
      <c r="AG363" s="23">
        <f>SUMIF('Trip Cancellations'!$B:$B,A363,'Trip Cancellations'!$E:$E)</f>
        <v>0</v>
      </c>
      <c r="AH363" s="14">
        <f>SUMIF('Trip Cancellations'!$B:$B,A363,'Trip Cancellations'!$F:$F)</f>
        <v>0</v>
      </c>
      <c r="AI363" s="14">
        <f t="shared" si="107"/>
        <v>991.62</v>
      </c>
      <c r="AJ363" s="14" t="str">
        <f t="shared" si="108"/>
        <v>No</v>
      </c>
      <c r="AK363" s="14" t="str">
        <f>IF(Y363=0,"N/A",
IF(_xlfn.XLOOKUP(U363,Hotels!A:A,Hotels!C:C)=TRUE,"Yes","No"))</f>
        <v>Yes</v>
      </c>
      <c r="AL363" s="14" t="str">
        <f>IF(N363="Rail","N/A",IF(_xlfn.XLOOKUP(T363,Airlines!A:A,Airlines!C:C)=TRUE,"Yes","No"))</f>
        <v>Yes</v>
      </c>
      <c r="AM363" s="14" t="str">
        <f t="shared" si="109"/>
        <v>Yes</v>
      </c>
      <c r="AN363" s="14" t="str">
        <f t="shared" si="110"/>
        <v>Yes</v>
      </c>
      <c r="AO363" s="14" t="str">
        <f t="shared" si="111"/>
        <v>Yes</v>
      </c>
      <c r="AP363" s="16" t="s">
        <v>148</v>
      </c>
      <c r="AQ363" t="str">
        <f t="shared" si="112"/>
        <v>No</v>
      </c>
      <c r="AR363" s="21">
        <v>5</v>
      </c>
      <c r="AS363" s="5">
        <v>297.89999999999998</v>
      </c>
      <c r="AT363" s="5" t="str">
        <f>IF(T363="","",_xlfn.XLOOKUP(T363,Airlines!A:A,Airlines!B:B,"Not Found"))</f>
        <v>Aer Lingus</v>
      </c>
      <c r="AU363" s="5" t="str">
        <f>IF(U363="","",_xlfn.XLOOKUP(U363,Hotels!A:A,Hotels!B:B,"Not found"))</f>
        <v>Accor</v>
      </c>
      <c r="AV363" t="s">
        <v>147</v>
      </c>
      <c r="AW363" s="16" t="str">
        <f t="shared" si="113"/>
        <v>OK</v>
      </c>
      <c r="AX363" s="16" t="str">
        <f t="shared" si="114"/>
        <v>OK</v>
      </c>
      <c r="AY363" s="16" t="str">
        <f t="shared" si="115"/>
        <v>OK</v>
      </c>
      <c r="AZ363" s="16" t="str">
        <f t="shared" si="116"/>
        <v>OK</v>
      </c>
      <c r="BA363" s="16" t="str">
        <f t="shared" si="120"/>
        <v>OK</v>
      </c>
      <c r="BB363" s="21">
        <f>COUNTIF('Trip Changes'!B:B,A363)</f>
        <v>0</v>
      </c>
      <c r="BC363" s="16" t="str">
        <f>IF(OR(AND(AD363="Yes",COUNTIF('Trip Changes'!B:B,A363)&gt;0),AND(AD363="No",COUNTIF('Trip Changes'!B:B,A363)=0)),"OK","Check")</f>
        <v>OK</v>
      </c>
      <c r="BD363" t="str">
        <f t="shared" si="121"/>
        <v>OK</v>
      </c>
      <c r="BE363" t="str">
        <f t="shared" si="122"/>
        <v>OK</v>
      </c>
      <c r="BF363" t="str">
        <f t="shared" si="123"/>
        <v>OK</v>
      </c>
      <c r="BG363" t="str">
        <f t="shared" si="124"/>
        <v>OK</v>
      </c>
      <c r="BH363" t="str">
        <f t="shared" si="125"/>
        <v>OK</v>
      </c>
      <c r="BI363" t="str">
        <f t="shared" si="117"/>
        <v>OK</v>
      </c>
      <c r="BJ363" t="str">
        <f t="shared" si="118"/>
        <v>OK</v>
      </c>
      <c r="BK363" t="str">
        <f t="shared" si="119"/>
        <v>OK</v>
      </c>
    </row>
    <row r="364" spans="1:63">
      <c r="A364" s="16" t="s">
        <v>673</v>
      </c>
      <c r="B364" s="16" t="s">
        <v>674</v>
      </c>
      <c r="C364" s="16" t="s">
        <v>182</v>
      </c>
      <c r="D364" s="16" t="s">
        <v>248</v>
      </c>
      <c r="E364" s="16" t="s">
        <v>262</v>
      </c>
      <c r="F364" s="16" t="s">
        <v>157</v>
      </c>
      <c r="G364" s="15">
        <v>46169</v>
      </c>
      <c r="H364" s="15">
        <v>46173</v>
      </c>
      <c r="I364" s="15">
        <v>46175</v>
      </c>
      <c r="J364" s="15" t="s">
        <v>163</v>
      </c>
      <c r="K364" s="16" t="s">
        <v>182</v>
      </c>
      <c r="L364" t="s">
        <v>142</v>
      </c>
      <c r="M364" s="16" t="s">
        <v>143</v>
      </c>
      <c r="N364" s="16" t="s">
        <v>144</v>
      </c>
      <c r="O364" t="s">
        <v>1630</v>
      </c>
      <c r="P364" s="18">
        <v>874</v>
      </c>
      <c r="Q364" s="21">
        <v>4</v>
      </c>
      <c r="R364" s="21" t="str">
        <f t="shared" si="105"/>
        <v>4-7 days</v>
      </c>
      <c r="S364" s="16" t="s">
        <v>159</v>
      </c>
      <c r="U364" s="16" t="s">
        <v>164</v>
      </c>
      <c r="V364" t="str">
        <f>IF(U364="","",IFERROR(VLOOKUP(U364,Hotels!A:B,2,FALSE),"Not Found"))</f>
        <v>Marriott</v>
      </c>
      <c r="W364" s="14">
        <v>0</v>
      </c>
      <c r="X364" s="14">
        <v>262.39</v>
      </c>
      <c r="Y364" s="21">
        <v>1</v>
      </c>
      <c r="Z364" s="29">
        <f t="shared" si="106"/>
        <v>144.53</v>
      </c>
      <c r="AA364" s="14">
        <v>144.53</v>
      </c>
      <c r="AB364" s="14">
        <v>20</v>
      </c>
      <c r="AC364" s="14">
        <v>426.92</v>
      </c>
      <c r="AD364" s="16" t="s">
        <v>147</v>
      </c>
      <c r="AE364" s="16" t="s">
        <v>147</v>
      </c>
      <c r="AF364" s="14">
        <f>SUMIF('Trip Changes'!$B:$B,A364,'Trip Changes'!$E:$E)</f>
        <v>0</v>
      </c>
      <c r="AG364" s="23">
        <f>SUMIF('Trip Cancellations'!$B:$B,A364,'Trip Cancellations'!$E:$E)</f>
        <v>0</v>
      </c>
      <c r="AH364" s="14">
        <f>SUMIF('Trip Cancellations'!$B:$B,A364,'Trip Cancellations'!$F:$F)</f>
        <v>0</v>
      </c>
      <c r="AI364" s="14">
        <f t="shared" si="107"/>
        <v>426.92</v>
      </c>
      <c r="AJ364" s="14" t="str">
        <f t="shared" si="108"/>
        <v>Yes</v>
      </c>
      <c r="AK364" s="14" t="str">
        <f>IF(Y364=0,"N/A",
IF(_xlfn.XLOOKUP(U364,Hotels!A:A,Hotels!C:C)=TRUE,"Yes","No"))</f>
        <v>Yes</v>
      </c>
      <c r="AL364" s="14" t="str">
        <f>IF(N364="Rail","N/A",IF(_xlfn.XLOOKUP(T364,Airlines!A:A,Airlines!C:C)=TRUE,"Yes","No"))</f>
        <v>N/A</v>
      </c>
      <c r="AM364" s="14" t="str">
        <f t="shared" si="109"/>
        <v>Yes</v>
      </c>
      <c r="AN364" s="14" t="str">
        <f t="shared" si="110"/>
        <v>Yes</v>
      </c>
      <c r="AO364" s="14" t="str">
        <f t="shared" si="111"/>
        <v>Yes</v>
      </c>
      <c r="AP364" s="16" t="s">
        <v>148</v>
      </c>
      <c r="AQ364" t="str">
        <f t="shared" si="112"/>
        <v>Yes</v>
      </c>
      <c r="AR364" s="21">
        <v>4</v>
      </c>
      <c r="AS364" s="5">
        <v>35</v>
      </c>
      <c r="AT364" s="5" t="str">
        <f>IF(T364="","",_xlfn.XLOOKUP(T364,Airlines!A:A,Airlines!B:B,"Not Found"))</f>
        <v/>
      </c>
      <c r="AU364" s="5" t="str">
        <f>IF(U364="","",_xlfn.XLOOKUP(U364,Hotels!A:A,Hotels!B:B,"Not found"))</f>
        <v>Marriott</v>
      </c>
      <c r="AV364" t="s">
        <v>147</v>
      </c>
      <c r="AW364" s="16" t="str">
        <f t="shared" si="113"/>
        <v>OK</v>
      </c>
      <c r="AX364" s="16" t="str">
        <f t="shared" si="114"/>
        <v>OK</v>
      </c>
      <c r="AY364" s="16" t="str">
        <f t="shared" si="115"/>
        <v>OK</v>
      </c>
      <c r="AZ364" s="16" t="str">
        <f t="shared" si="116"/>
        <v>OK</v>
      </c>
      <c r="BA364" s="16" t="str">
        <f t="shared" si="120"/>
        <v>OK</v>
      </c>
      <c r="BB364" s="21">
        <f>COUNTIF('Trip Changes'!B:B,A364)</f>
        <v>0</v>
      </c>
      <c r="BC364" s="16" t="str">
        <f>IF(OR(AND(AD364="Yes",COUNTIF('Trip Changes'!B:B,A364)&gt;0),AND(AD364="No",COUNTIF('Trip Changes'!B:B,A364)=0)),"OK","Check")</f>
        <v>OK</v>
      </c>
      <c r="BD364" t="str">
        <f t="shared" si="121"/>
        <v>OK</v>
      </c>
      <c r="BE364" t="str">
        <f t="shared" si="122"/>
        <v>OK</v>
      </c>
      <c r="BF364" t="str">
        <f t="shared" si="123"/>
        <v>OK</v>
      </c>
      <c r="BG364" t="str">
        <f t="shared" si="124"/>
        <v>OK</v>
      </c>
      <c r="BH364" t="str">
        <f t="shared" si="125"/>
        <v>OK</v>
      </c>
      <c r="BI364" t="str">
        <f t="shared" si="117"/>
        <v>OK</v>
      </c>
      <c r="BJ364" t="str">
        <f t="shared" si="118"/>
        <v>OK</v>
      </c>
      <c r="BK364" t="str">
        <f t="shared" si="119"/>
        <v>OK</v>
      </c>
    </row>
    <row r="365" spans="1:63">
      <c r="A365" s="16" t="s">
        <v>675</v>
      </c>
      <c r="B365" s="16" t="s">
        <v>674</v>
      </c>
      <c r="C365" s="16" t="s">
        <v>182</v>
      </c>
      <c r="D365" s="16" t="s">
        <v>248</v>
      </c>
      <c r="E365" s="16" t="s">
        <v>262</v>
      </c>
      <c r="F365" s="16" t="s">
        <v>162</v>
      </c>
      <c r="G365" s="15">
        <v>46190</v>
      </c>
      <c r="H365" s="15">
        <v>46206</v>
      </c>
      <c r="I365" s="15">
        <v>46210</v>
      </c>
      <c r="J365" s="15" t="s">
        <v>150</v>
      </c>
      <c r="K365" s="16" t="s">
        <v>182</v>
      </c>
      <c r="L365" t="s">
        <v>151</v>
      </c>
      <c r="M365" s="16" t="s">
        <v>152</v>
      </c>
      <c r="N365" s="16" t="s">
        <v>153</v>
      </c>
      <c r="O365" t="s">
        <v>1614</v>
      </c>
      <c r="P365" s="18">
        <v>2852</v>
      </c>
      <c r="Q365" s="21">
        <v>16</v>
      </c>
      <c r="R365" s="21" t="str">
        <f t="shared" si="105"/>
        <v>15-30 days</v>
      </c>
      <c r="S365" s="16" t="s">
        <v>159</v>
      </c>
      <c r="T365" s="16" t="s">
        <v>154</v>
      </c>
      <c r="U365" s="16" t="s">
        <v>173</v>
      </c>
      <c r="V365" t="str">
        <f>IF(U365="","",IFERROR(VLOOKUP(U365,Hotels!A:B,2,FALSE),"Not Found"))</f>
        <v>Accor</v>
      </c>
      <c r="W365" s="14">
        <v>285.99</v>
      </c>
      <c r="X365" s="14">
        <v>0</v>
      </c>
      <c r="Y365" s="21">
        <v>3</v>
      </c>
      <c r="Z365" s="29">
        <f t="shared" si="106"/>
        <v>182.53333333333333</v>
      </c>
      <c r="AA365" s="14">
        <v>547.6</v>
      </c>
      <c r="AB365" s="14">
        <v>79.64</v>
      </c>
      <c r="AC365" s="14">
        <v>913.23</v>
      </c>
      <c r="AD365" s="16" t="s">
        <v>147</v>
      </c>
      <c r="AE365" s="16" t="s">
        <v>147</v>
      </c>
      <c r="AF365" s="14">
        <f>SUMIF('Trip Changes'!$B:$B,A365,'Trip Changes'!$E:$E)</f>
        <v>0</v>
      </c>
      <c r="AG365" s="23">
        <f>SUMIF('Trip Cancellations'!$B:$B,A365,'Trip Cancellations'!$E:$E)</f>
        <v>0</v>
      </c>
      <c r="AH365" s="14">
        <f>SUMIF('Trip Cancellations'!$B:$B,A365,'Trip Cancellations'!$F:$F)</f>
        <v>0</v>
      </c>
      <c r="AI365" s="14">
        <f t="shared" si="107"/>
        <v>913.23</v>
      </c>
      <c r="AJ365" s="14" t="str">
        <f t="shared" si="108"/>
        <v>No</v>
      </c>
      <c r="AK365" s="14" t="str">
        <f>IF(Y365=0,"N/A",
IF(_xlfn.XLOOKUP(U365,Hotels!A:A,Hotels!C:C)=TRUE,"Yes","No"))</f>
        <v>Yes</v>
      </c>
      <c r="AL365" s="14" t="str">
        <f>IF(N365="Rail","N/A",IF(_xlfn.XLOOKUP(T365,Airlines!A:A,Airlines!C:C)=TRUE,"Yes","No"))</f>
        <v>Yes</v>
      </c>
      <c r="AM365" s="14" t="str">
        <f t="shared" si="109"/>
        <v>Yes</v>
      </c>
      <c r="AN365" s="14" t="str">
        <f t="shared" si="110"/>
        <v>Yes</v>
      </c>
      <c r="AO365" s="14" t="str">
        <f t="shared" si="111"/>
        <v>Yes</v>
      </c>
      <c r="AP365" s="16" t="s">
        <v>148</v>
      </c>
      <c r="AQ365" t="str">
        <f t="shared" si="112"/>
        <v>No</v>
      </c>
      <c r="AR365" s="21">
        <v>5</v>
      </c>
      <c r="AS365" s="5">
        <v>427.8</v>
      </c>
      <c r="AT365" s="5" t="str">
        <f>IF(T365="","",_xlfn.XLOOKUP(T365,Airlines!A:A,Airlines!B:B,"Not Found"))</f>
        <v>British Airways</v>
      </c>
      <c r="AU365" s="5" t="str">
        <f>IF(U365="","",_xlfn.XLOOKUP(U365,Hotels!A:A,Hotels!B:B,"Not found"))</f>
        <v>Accor</v>
      </c>
      <c r="AV365" t="s">
        <v>148</v>
      </c>
      <c r="AW365" s="16" t="str">
        <f t="shared" si="113"/>
        <v>OK</v>
      </c>
      <c r="AX365" s="16" t="str">
        <f t="shared" si="114"/>
        <v>OK</v>
      </c>
      <c r="AY365" s="16" t="str">
        <f t="shared" si="115"/>
        <v>OK</v>
      </c>
      <c r="AZ365" s="16" t="str">
        <f t="shared" si="116"/>
        <v>OK</v>
      </c>
      <c r="BA365" s="16" t="str">
        <f t="shared" si="120"/>
        <v>OK</v>
      </c>
      <c r="BB365" s="21">
        <f>COUNTIF('Trip Changes'!B:B,A365)</f>
        <v>0</v>
      </c>
      <c r="BC365" s="16" t="str">
        <f>IF(OR(AND(AD365="Yes",COUNTIF('Trip Changes'!B:B,A365)&gt;0),AND(AD365="No",COUNTIF('Trip Changes'!B:B,A365)=0)),"OK","Check")</f>
        <v>OK</v>
      </c>
      <c r="BD365" t="str">
        <f t="shared" si="121"/>
        <v>OK</v>
      </c>
      <c r="BE365" t="str">
        <f t="shared" si="122"/>
        <v>OK</v>
      </c>
      <c r="BF365" t="str">
        <f t="shared" si="123"/>
        <v>OK</v>
      </c>
      <c r="BG365" t="str">
        <f t="shared" si="124"/>
        <v>OK</v>
      </c>
      <c r="BH365" t="str">
        <f t="shared" si="125"/>
        <v>OK</v>
      </c>
      <c r="BI365" t="str">
        <f t="shared" si="117"/>
        <v>OK</v>
      </c>
      <c r="BJ365" t="str">
        <f t="shared" si="118"/>
        <v>OK</v>
      </c>
      <c r="BK365" t="str">
        <f t="shared" si="119"/>
        <v>OK</v>
      </c>
    </row>
    <row r="366" spans="1:63">
      <c r="A366" s="16" t="s">
        <v>676</v>
      </c>
      <c r="B366" s="16" t="s">
        <v>674</v>
      </c>
      <c r="C366" s="16" t="s">
        <v>182</v>
      </c>
      <c r="D366" s="16" t="s">
        <v>248</v>
      </c>
      <c r="E366" s="16" t="s">
        <v>262</v>
      </c>
      <c r="F366" s="16" t="s">
        <v>189</v>
      </c>
      <c r="G366" s="15">
        <v>46213</v>
      </c>
      <c r="H366" s="15">
        <v>46223</v>
      </c>
      <c r="I366" s="15">
        <v>46226</v>
      </c>
      <c r="J366" s="15" t="s">
        <v>150</v>
      </c>
      <c r="K366" s="16" t="s">
        <v>182</v>
      </c>
      <c r="L366" t="s">
        <v>264</v>
      </c>
      <c r="M366" s="16" t="s">
        <v>152</v>
      </c>
      <c r="N366" s="16" t="s">
        <v>153</v>
      </c>
      <c r="O366" t="s">
        <v>1614</v>
      </c>
      <c r="P366" s="18">
        <v>2974</v>
      </c>
      <c r="Q366" s="21">
        <v>10</v>
      </c>
      <c r="R366" s="21" t="str">
        <f t="shared" si="105"/>
        <v>8-14 days</v>
      </c>
      <c r="S366" s="16" t="s">
        <v>159</v>
      </c>
      <c r="T366" s="16" t="s">
        <v>172</v>
      </c>
      <c r="U366" s="16" t="s">
        <v>164</v>
      </c>
      <c r="V366" t="str">
        <f>IF(U366="","",IFERROR(VLOOKUP(U366,Hotels!A:B,2,FALSE),"Not Found"))</f>
        <v>Marriott</v>
      </c>
      <c r="W366" s="14">
        <v>375.07</v>
      </c>
      <c r="X366" s="14">
        <v>0</v>
      </c>
      <c r="Y366" s="21">
        <v>2</v>
      </c>
      <c r="Z366" s="29">
        <f t="shared" si="106"/>
        <v>182.13499999999999</v>
      </c>
      <c r="AA366" s="14">
        <v>364.27</v>
      </c>
      <c r="AB366" s="14">
        <v>88.91</v>
      </c>
      <c r="AC366" s="14">
        <v>828.25</v>
      </c>
      <c r="AD366" s="16" t="s">
        <v>147</v>
      </c>
      <c r="AE366" s="16" t="s">
        <v>147</v>
      </c>
      <c r="AF366" s="14">
        <f>SUMIF('Trip Changes'!$B:$B,A366,'Trip Changes'!$E:$E)</f>
        <v>0</v>
      </c>
      <c r="AG366" s="23">
        <f>SUMIF('Trip Cancellations'!$B:$B,A366,'Trip Cancellations'!$E:$E)</f>
        <v>0</v>
      </c>
      <c r="AH366" s="14">
        <f>SUMIF('Trip Cancellations'!$B:$B,A366,'Trip Cancellations'!$F:$F)</f>
        <v>0</v>
      </c>
      <c r="AI366" s="14">
        <f t="shared" si="107"/>
        <v>828.25</v>
      </c>
      <c r="AJ366" s="14" t="str">
        <f t="shared" si="108"/>
        <v>No</v>
      </c>
      <c r="AK366" s="14" t="str">
        <f>IF(Y366=0,"N/A",
IF(_xlfn.XLOOKUP(U366,Hotels!A:A,Hotels!C:C)=TRUE,"Yes","No"))</f>
        <v>Yes</v>
      </c>
      <c r="AL366" s="14" t="str">
        <f>IF(N366="Rail","N/A",IF(_xlfn.XLOOKUP(T366,Airlines!A:A,Airlines!C:C)=TRUE,"Yes","No"))</f>
        <v>Yes</v>
      </c>
      <c r="AM366" s="14" t="str">
        <f t="shared" si="109"/>
        <v>Yes</v>
      </c>
      <c r="AN366" s="14" t="str">
        <f t="shared" si="110"/>
        <v>Yes</v>
      </c>
      <c r="AO366" s="14" t="str">
        <f t="shared" si="111"/>
        <v>Yes</v>
      </c>
      <c r="AP366" s="16" t="s">
        <v>148</v>
      </c>
      <c r="AQ366" t="str">
        <f t="shared" si="112"/>
        <v>No</v>
      </c>
      <c r="AR366" s="21">
        <v>4</v>
      </c>
      <c r="AS366" s="5">
        <v>446.1</v>
      </c>
      <c r="AT366" s="5" t="str">
        <f>IF(T366="","",_xlfn.XLOOKUP(T366,Airlines!A:A,Airlines!B:B,"Not Found"))</f>
        <v>Lufthansa</v>
      </c>
      <c r="AU366" s="5" t="str">
        <f>IF(U366="","",_xlfn.XLOOKUP(U366,Hotels!A:A,Hotels!B:B,"Not found"))</f>
        <v>Marriott</v>
      </c>
      <c r="AV366" t="s">
        <v>148</v>
      </c>
      <c r="AW366" s="16" t="str">
        <f t="shared" si="113"/>
        <v>OK</v>
      </c>
      <c r="AX366" s="16" t="str">
        <f t="shared" si="114"/>
        <v>OK</v>
      </c>
      <c r="AY366" s="16" t="str">
        <f t="shared" si="115"/>
        <v>OK</v>
      </c>
      <c r="AZ366" s="16" t="str">
        <f t="shared" si="116"/>
        <v>OK</v>
      </c>
      <c r="BA366" s="16" t="str">
        <f t="shared" si="120"/>
        <v>OK</v>
      </c>
      <c r="BB366" s="21">
        <f>COUNTIF('Trip Changes'!B:B,A366)</f>
        <v>0</v>
      </c>
      <c r="BC366" s="16" t="str">
        <f>IF(OR(AND(AD366="Yes",COUNTIF('Trip Changes'!B:B,A366)&gt;0),AND(AD366="No",COUNTIF('Trip Changes'!B:B,A366)=0)),"OK","Check")</f>
        <v>OK</v>
      </c>
      <c r="BD366" t="str">
        <f t="shared" si="121"/>
        <v>OK</v>
      </c>
      <c r="BE366" t="str">
        <f t="shared" si="122"/>
        <v>OK</v>
      </c>
      <c r="BF366" t="str">
        <f t="shared" si="123"/>
        <v>OK</v>
      </c>
      <c r="BG366" t="str">
        <f t="shared" si="124"/>
        <v>OK</v>
      </c>
      <c r="BH366" t="str">
        <f t="shared" si="125"/>
        <v>OK</v>
      </c>
      <c r="BI366" t="str">
        <f t="shared" si="117"/>
        <v>OK</v>
      </c>
      <c r="BJ366" t="str">
        <f t="shared" si="118"/>
        <v>OK</v>
      </c>
      <c r="BK366" t="str">
        <f t="shared" si="119"/>
        <v>OK</v>
      </c>
    </row>
    <row r="367" spans="1:63">
      <c r="A367" s="16" t="s">
        <v>677</v>
      </c>
      <c r="B367" s="16" t="s">
        <v>674</v>
      </c>
      <c r="C367" s="16" t="s">
        <v>182</v>
      </c>
      <c r="D367" s="16" t="s">
        <v>248</v>
      </c>
      <c r="E367" s="16" t="s">
        <v>262</v>
      </c>
      <c r="F367" s="16" t="s">
        <v>162</v>
      </c>
      <c r="G367" s="15">
        <v>46169</v>
      </c>
      <c r="H367" s="15">
        <v>46187</v>
      </c>
      <c r="I367" s="15">
        <v>46193</v>
      </c>
      <c r="J367" s="15" t="s">
        <v>141</v>
      </c>
      <c r="K367" s="16" t="s">
        <v>182</v>
      </c>
      <c r="L367" t="s">
        <v>185</v>
      </c>
      <c r="M367" s="16" t="s">
        <v>152</v>
      </c>
      <c r="N367" s="16" t="s">
        <v>153</v>
      </c>
      <c r="O367" t="s">
        <v>1631</v>
      </c>
      <c r="P367" s="18">
        <v>10472</v>
      </c>
      <c r="Q367" s="21">
        <v>18</v>
      </c>
      <c r="R367" s="21" t="str">
        <f t="shared" si="105"/>
        <v>15-30 days</v>
      </c>
      <c r="S367" s="16" t="s">
        <v>159</v>
      </c>
      <c r="T367" s="16" t="s">
        <v>154</v>
      </c>
      <c r="U367" s="16" t="s">
        <v>190</v>
      </c>
      <c r="V367" t="str">
        <f>IF(U367="","",IFERROR(VLOOKUP(U367,Hotels!A:B,2,FALSE),"Not Found"))</f>
        <v>Radisson Hotel Group</v>
      </c>
      <c r="W367" s="14">
        <v>1171.78</v>
      </c>
      <c r="X367" s="14">
        <v>0</v>
      </c>
      <c r="Y367" s="21">
        <v>5</v>
      </c>
      <c r="Z367" s="29">
        <f t="shared" si="106"/>
        <v>141.61199999999999</v>
      </c>
      <c r="AA367" s="14">
        <v>708.06</v>
      </c>
      <c r="AB367" s="14">
        <v>116.89</v>
      </c>
      <c r="AC367" s="14">
        <v>1996.73</v>
      </c>
      <c r="AD367" s="16" t="s">
        <v>147</v>
      </c>
      <c r="AE367" s="16" t="s">
        <v>147</v>
      </c>
      <c r="AF367" s="14">
        <f>SUMIF('Trip Changes'!$B:$B,A367,'Trip Changes'!$E:$E)</f>
        <v>0</v>
      </c>
      <c r="AG367" s="23">
        <f>SUMIF('Trip Cancellations'!$B:$B,A367,'Trip Cancellations'!$E:$E)</f>
        <v>0</v>
      </c>
      <c r="AH367" s="14">
        <f>SUMIF('Trip Cancellations'!$B:$B,A367,'Trip Cancellations'!$F:$F)</f>
        <v>0</v>
      </c>
      <c r="AI367" s="14">
        <f t="shared" si="107"/>
        <v>1996.73</v>
      </c>
      <c r="AJ367" s="14" t="str">
        <f t="shared" si="108"/>
        <v>Yes</v>
      </c>
      <c r="AK367" s="14" t="str">
        <f>IF(Y367=0,"N/A",
IF(_xlfn.XLOOKUP(U367,Hotels!A:A,Hotels!C:C)=TRUE,"Yes","No"))</f>
        <v>No</v>
      </c>
      <c r="AL367" s="14" t="str">
        <f>IF(N367="Rail","N/A",IF(_xlfn.XLOOKUP(T367,Airlines!A:A,Airlines!C:C)=TRUE,"Yes","No"))</f>
        <v>Yes</v>
      </c>
      <c r="AM367" s="14" t="str">
        <f t="shared" si="109"/>
        <v>No</v>
      </c>
      <c r="AN367" s="14" t="str">
        <f t="shared" si="110"/>
        <v>Yes</v>
      </c>
      <c r="AO367" s="14" t="str">
        <f t="shared" si="111"/>
        <v>No</v>
      </c>
      <c r="AP367" s="16" t="s">
        <v>148</v>
      </c>
      <c r="AQ367" t="str">
        <f t="shared" si="112"/>
        <v>No</v>
      </c>
      <c r="AR367" s="21">
        <v>5</v>
      </c>
      <c r="AS367" s="5">
        <v>1570.8</v>
      </c>
      <c r="AT367" s="5" t="str">
        <f>IF(T367="","",_xlfn.XLOOKUP(T367,Airlines!A:A,Airlines!B:B,"Not Found"))</f>
        <v>British Airways</v>
      </c>
      <c r="AU367" s="5" t="str">
        <f>IF(U367="","",_xlfn.XLOOKUP(U367,Hotels!A:A,Hotels!B:B,"Not found"))</f>
        <v>Radisson Hotel Group</v>
      </c>
      <c r="AV367" t="s">
        <v>148</v>
      </c>
      <c r="AW367" s="16" t="str">
        <f t="shared" si="113"/>
        <v>OK</v>
      </c>
      <c r="AX367" s="16" t="str">
        <f t="shared" si="114"/>
        <v>OK</v>
      </c>
      <c r="AY367" s="16" t="str">
        <f t="shared" si="115"/>
        <v>OK</v>
      </c>
      <c r="AZ367" s="16" t="str">
        <f t="shared" si="116"/>
        <v>OK</v>
      </c>
      <c r="BA367" s="16" t="str">
        <f t="shared" si="120"/>
        <v>OK</v>
      </c>
      <c r="BB367" s="21">
        <f>COUNTIF('Trip Changes'!B:B,A367)</f>
        <v>0</v>
      </c>
      <c r="BC367" s="16" t="str">
        <f>IF(OR(AND(AD367="Yes",COUNTIF('Trip Changes'!B:B,A367)&gt;0),AND(AD367="No",COUNTIF('Trip Changes'!B:B,A367)=0)),"OK","Check")</f>
        <v>OK</v>
      </c>
      <c r="BD367" t="str">
        <f t="shared" si="121"/>
        <v>OK</v>
      </c>
      <c r="BE367" t="str">
        <f t="shared" si="122"/>
        <v>OK</v>
      </c>
      <c r="BF367" t="str">
        <f t="shared" si="123"/>
        <v>OK</v>
      </c>
      <c r="BG367" t="str">
        <f t="shared" si="124"/>
        <v>OK</v>
      </c>
      <c r="BH367" t="str">
        <f t="shared" si="125"/>
        <v>OK</v>
      </c>
      <c r="BI367" t="str">
        <f t="shared" si="117"/>
        <v>OK</v>
      </c>
      <c r="BJ367" t="str">
        <f t="shared" si="118"/>
        <v>OK</v>
      </c>
      <c r="BK367" t="str">
        <f t="shared" si="119"/>
        <v>OK</v>
      </c>
    </row>
    <row r="368" spans="1:63">
      <c r="A368" s="16" t="s">
        <v>678</v>
      </c>
      <c r="B368" s="16" t="s">
        <v>679</v>
      </c>
      <c r="C368" s="16" t="s">
        <v>182</v>
      </c>
      <c r="D368" s="16" t="s">
        <v>248</v>
      </c>
      <c r="E368" s="16" t="s">
        <v>169</v>
      </c>
      <c r="F368" s="16" t="s">
        <v>140</v>
      </c>
      <c r="G368" s="15">
        <v>46185</v>
      </c>
      <c r="H368" s="15">
        <v>46191</v>
      </c>
      <c r="I368" s="15">
        <v>46195</v>
      </c>
      <c r="J368" s="15" t="s">
        <v>141</v>
      </c>
      <c r="K368" s="16" t="s">
        <v>182</v>
      </c>
      <c r="L368" t="s">
        <v>199</v>
      </c>
      <c r="M368" s="16" t="s">
        <v>152</v>
      </c>
      <c r="N368" s="16" t="s">
        <v>153</v>
      </c>
      <c r="O368" t="s">
        <v>1614</v>
      </c>
      <c r="P368" s="18">
        <v>2144</v>
      </c>
      <c r="Q368" s="21">
        <v>6</v>
      </c>
      <c r="R368" s="21" t="str">
        <f t="shared" si="105"/>
        <v>4-7 days</v>
      </c>
      <c r="S368" s="16" t="s">
        <v>145</v>
      </c>
      <c r="T368" s="16" t="s">
        <v>200</v>
      </c>
      <c r="U368" s="16" t="s">
        <v>190</v>
      </c>
      <c r="V368" t="str">
        <f>IF(U368="","",IFERROR(VLOOKUP(U368,Hotels!A:B,2,FALSE),"Not Found"))</f>
        <v>Radisson Hotel Group</v>
      </c>
      <c r="W368" s="14">
        <v>516.44000000000005</v>
      </c>
      <c r="X368" s="14">
        <v>0</v>
      </c>
      <c r="Y368" s="21">
        <v>3</v>
      </c>
      <c r="Z368" s="29">
        <f t="shared" si="106"/>
        <v>186.80666666666664</v>
      </c>
      <c r="AA368" s="14">
        <v>560.41999999999996</v>
      </c>
      <c r="AB368" s="14">
        <v>135.87</v>
      </c>
      <c r="AC368" s="14">
        <v>1212.73</v>
      </c>
      <c r="AD368" s="16" t="s">
        <v>148</v>
      </c>
      <c r="AE368" s="16" t="s">
        <v>147</v>
      </c>
      <c r="AF368" s="14">
        <f>SUMIF('Trip Changes'!$B:$B,A368,'Trip Changes'!$E:$E)</f>
        <v>97.84</v>
      </c>
      <c r="AG368" s="23">
        <f>SUMIF('Trip Cancellations'!$B:$B,A368,'Trip Cancellations'!$E:$E)</f>
        <v>0</v>
      </c>
      <c r="AH368" s="14">
        <f>SUMIF('Trip Cancellations'!$B:$B,A368,'Trip Cancellations'!$F:$F)</f>
        <v>0</v>
      </c>
      <c r="AI368" s="14">
        <f t="shared" si="107"/>
        <v>1310.57</v>
      </c>
      <c r="AJ368" s="14" t="str">
        <f t="shared" si="108"/>
        <v>No</v>
      </c>
      <c r="AK368" s="14" t="str">
        <f>IF(Y368=0,"N/A",
IF(_xlfn.XLOOKUP(U368,Hotels!A:A,Hotels!C:C)=TRUE,"Yes","No"))</f>
        <v>No</v>
      </c>
      <c r="AL368" s="14" t="str">
        <f>IF(N368="Rail","N/A",IF(_xlfn.XLOOKUP(T368,Airlines!A:A,Airlines!C:C)=TRUE,"Yes","No"))</f>
        <v>Yes</v>
      </c>
      <c r="AM368" s="14" t="str">
        <f t="shared" si="109"/>
        <v>Yes</v>
      </c>
      <c r="AN368" s="14" t="str">
        <f t="shared" si="110"/>
        <v>Yes</v>
      </c>
      <c r="AO368" s="14" t="str">
        <f t="shared" si="111"/>
        <v>No</v>
      </c>
      <c r="AP368" s="16" t="s">
        <v>148</v>
      </c>
      <c r="AQ368" t="str">
        <f t="shared" si="112"/>
        <v>No</v>
      </c>
      <c r="AR368" s="21">
        <v>4</v>
      </c>
      <c r="AS368" s="5">
        <v>321.60000000000002</v>
      </c>
      <c r="AT368" s="5" t="str">
        <f>IF(T368="","",_xlfn.XLOOKUP(T368,Airlines!A:A,Airlines!B:B,"Not Found"))</f>
        <v>Aer Lingus</v>
      </c>
      <c r="AU368" s="5" t="str">
        <f>IF(U368="","",_xlfn.XLOOKUP(U368,Hotels!A:A,Hotels!B:B,"Not found"))</f>
        <v>Radisson Hotel Group</v>
      </c>
      <c r="AV368" t="s">
        <v>147</v>
      </c>
      <c r="AW368" s="16" t="str">
        <f t="shared" si="113"/>
        <v>OK</v>
      </c>
      <c r="AX368" s="16" t="str">
        <f t="shared" si="114"/>
        <v>OK</v>
      </c>
      <c r="AY368" s="16" t="str">
        <f t="shared" si="115"/>
        <v>OK</v>
      </c>
      <c r="AZ368" s="16" t="str">
        <f t="shared" si="116"/>
        <v>OK</v>
      </c>
      <c r="BA368" s="16" t="str">
        <f t="shared" si="120"/>
        <v>OK</v>
      </c>
      <c r="BB368" s="21">
        <f>COUNTIF('Trip Changes'!B:B,A368)</f>
        <v>1</v>
      </c>
      <c r="BC368" s="16" t="str">
        <f>IF(OR(AND(AD368="Yes",COUNTIF('Trip Changes'!B:B,A368)&gt;0),AND(AD368="No",COUNTIF('Trip Changes'!B:B,A368)=0)),"OK","Check")</f>
        <v>OK</v>
      </c>
      <c r="BD368" t="str">
        <f t="shared" si="121"/>
        <v>OK</v>
      </c>
      <c r="BE368" t="str">
        <f t="shared" si="122"/>
        <v>OK</v>
      </c>
      <c r="BF368" t="str">
        <f t="shared" si="123"/>
        <v>OK</v>
      </c>
      <c r="BG368" t="str">
        <f t="shared" si="124"/>
        <v>OK</v>
      </c>
      <c r="BH368" t="str">
        <f t="shared" si="125"/>
        <v>OK</v>
      </c>
      <c r="BI368" t="str">
        <f t="shared" si="117"/>
        <v>OK</v>
      </c>
      <c r="BJ368" t="str">
        <f t="shared" si="118"/>
        <v>OK</v>
      </c>
      <c r="BK368" t="str">
        <f t="shared" si="119"/>
        <v>OK</v>
      </c>
    </row>
    <row r="369" spans="1:63">
      <c r="A369" s="16" t="s">
        <v>680</v>
      </c>
      <c r="B369" s="16" t="s">
        <v>679</v>
      </c>
      <c r="C369" s="16" t="s">
        <v>182</v>
      </c>
      <c r="D369" s="16" t="s">
        <v>248</v>
      </c>
      <c r="E369" s="16" t="s">
        <v>169</v>
      </c>
      <c r="F369" s="16" t="s">
        <v>140</v>
      </c>
      <c r="G369" s="15">
        <v>46183</v>
      </c>
      <c r="H369" s="15">
        <v>46204</v>
      </c>
      <c r="I369" s="15">
        <v>46207</v>
      </c>
      <c r="J369" s="15" t="s">
        <v>150</v>
      </c>
      <c r="K369" s="16" t="s">
        <v>182</v>
      </c>
      <c r="L369" t="s">
        <v>171</v>
      </c>
      <c r="M369" s="16" t="s">
        <v>152</v>
      </c>
      <c r="N369" s="16" t="s">
        <v>153</v>
      </c>
      <c r="O369" t="s">
        <v>1614</v>
      </c>
      <c r="P369" s="18">
        <v>3462</v>
      </c>
      <c r="Q369" s="21">
        <v>21</v>
      </c>
      <c r="R369" s="21" t="str">
        <f t="shared" si="105"/>
        <v>15-30 days</v>
      </c>
      <c r="S369" s="16" t="s">
        <v>145</v>
      </c>
      <c r="T369" s="16" t="s">
        <v>172</v>
      </c>
      <c r="U369" s="16" t="s">
        <v>155</v>
      </c>
      <c r="V369" t="str">
        <f>IF(U369="","",IFERROR(VLOOKUP(U369,Hotels!A:B,2,FALSE),"Not Found"))</f>
        <v>Hilton</v>
      </c>
      <c r="W369" s="14">
        <v>275.14999999999998</v>
      </c>
      <c r="X369" s="14">
        <v>0</v>
      </c>
      <c r="Y369" s="21">
        <v>2</v>
      </c>
      <c r="Z369" s="29">
        <f t="shared" si="106"/>
        <v>154.38499999999999</v>
      </c>
      <c r="AA369" s="14">
        <v>308.77</v>
      </c>
      <c r="AB369" s="14">
        <v>93.37</v>
      </c>
      <c r="AC369" s="14">
        <v>677.29</v>
      </c>
      <c r="AD369" s="16" t="s">
        <v>147</v>
      </c>
      <c r="AE369" s="16" t="s">
        <v>147</v>
      </c>
      <c r="AF369" s="14">
        <f>SUMIF('Trip Changes'!$B:$B,A369,'Trip Changes'!$E:$E)</f>
        <v>0</v>
      </c>
      <c r="AG369" s="23">
        <f>SUMIF('Trip Cancellations'!$B:$B,A369,'Trip Cancellations'!$E:$E)</f>
        <v>0</v>
      </c>
      <c r="AH369" s="14">
        <f>SUMIF('Trip Cancellations'!$B:$B,A369,'Trip Cancellations'!$F:$F)</f>
        <v>0</v>
      </c>
      <c r="AI369" s="14">
        <f t="shared" si="107"/>
        <v>677.29</v>
      </c>
      <c r="AJ369" s="14" t="str">
        <f t="shared" si="108"/>
        <v>Yes</v>
      </c>
      <c r="AK369" s="14" t="str">
        <f>IF(Y369=0,"N/A",
IF(_xlfn.XLOOKUP(U369,Hotels!A:A,Hotels!C:C)=TRUE,"Yes","No"))</f>
        <v>Yes</v>
      </c>
      <c r="AL369" s="14" t="str">
        <f>IF(N369="Rail","N/A",IF(_xlfn.XLOOKUP(T369,Airlines!A:A,Airlines!C:C)=TRUE,"Yes","No"))</f>
        <v>Yes</v>
      </c>
      <c r="AM369" s="14" t="str">
        <f t="shared" si="109"/>
        <v>Yes</v>
      </c>
      <c r="AN369" s="14" t="str">
        <f t="shared" si="110"/>
        <v>Yes</v>
      </c>
      <c r="AO369" s="14" t="str">
        <f t="shared" si="111"/>
        <v>Yes</v>
      </c>
      <c r="AP369" s="16" t="s">
        <v>148</v>
      </c>
      <c r="AQ369" t="str">
        <f t="shared" si="112"/>
        <v>Yes</v>
      </c>
      <c r="AR369" s="21">
        <v>4</v>
      </c>
      <c r="AS369" s="5">
        <v>519.29999999999995</v>
      </c>
      <c r="AT369" s="5" t="str">
        <f>IF(T369="","",_xlfn.XLOOKUP(T369,Airlines!A:A,Airlines!B:B,"Not Found"))</f>
        <v>Lufthansa</v>
      </c>
      <c r="AU369" s="5" t="str">
        <f>IF(U369="","",_xlfn.XLOOKUP(U369,Hotels!A:A,Hotels!B:B,"Not found"))</f>
        <v>Hilton</v>
      </c>
      <c r="AV369" t="s">
        <v>147</v>
      </c>
      <c r="AW369" s="16" t="str">
        <f t="shared" si="113"/>
        <v>OK</v>
      </c>
      <c r="AX369" s="16" t="str">
        <f t="shared" si="114"/>
        <v>OK</v>
      </c>
      <c r="AY369" s="16" t="str">
        <f t="shared" si="115"/>
        <v>OK</v>
      </c>
      <c r="AZ369" s="16" t="str">
        <f t="shared" si="116"/>
        <v>OK</v>
      </c>
      <c r="BA369" s="16" t="str">
        <f t="shared" si="120"/>
        <v>OK</v>
      </c>
      <c r="BB369" s="21">
        <f>COUNTIF('Trip Changes'!B:B,A369)</f>
        <v>0</v>
      </c>
      <c r="BC369" s="16" t="str">
        <f>IF(OR(AND(AD369="Yes",COUNTIF('Trip Changes'!B:B,A369)&gt;0),AND(AD369="No",COUNTIF('Trip Changes'!B:B,A369)=0)),"OK","Check")</f>
        <v>OK</v>
      </c>
      <c r="BD369" t="str">
        <f t="shared" si="121"/>
        <v>OK</v>
      </c>
      <c r="BE369" t="str">
        <f t="shared" si="122"/>
        <v>OK</v>
      </c>
      <c r="BF369" t="str">
        <f t="shared" si="123"/>
        <v>OK</v>
      </c>
      <c r="BG369" t="str">
        <f t="shared" si="124"/>
        <v>OK</v>
      </c>
      <c r="BH369" t="str">
        <f t="shared" si="125"/>
        <v>OK</v>
      </c>
      <c r="BI369" t="str">
        <f t="shared" si="117"/>
        <v>OK</v>
      </c>
      <c r="BJ369" t="str">
        <f t="shared" si="118"/>
        <v>OK</v>
      </c>
      <c r="BK369" t="str">
        <f t="shared" si="119"/>
        <v>OK</v>
      </c>
    </row>
    <row r="370" spans="1:63">
      <c r="A370" s="16" t="s">
        <v>681</v>
      </c>
      <c r="B370" s="16" t="s">
        <v>679</v>
      </c>
      <c r="C370" s="16" t="s">
        <v>182</v>
      </c>
      <c r="D370" s="16" t="s">
        <v>248</v>
      </c>
      <c r="E370" s="16" t="s">
        <v>169</v>
      </c>
      <c r="F370" s="16" t="s">
        <v>140</v>
      </c>
      <c r="G370" s="15">
        <v>46161</v>
      </c>
      <c r="H370" s="15">
        <v>46170</v>
      </c>
      <c r="I370" s="15">
        <v>46172</v>
      </c>
      <c r="J370" s="15" t="s">
        <v>163</v>
      </c>
      <c r="K370" s="16" t="s">
        <v>182</v>
      </c>
      <c r="L370" t="s">
        <v>199</v>
      </c>
      <c r="M370" s="16" t="s">
        <v>152</v>
      </c>
      <c r="N370" s="16" t="s">
        <v>153</v>
      </c>
      <c r="O370" t="s">
        <v>1614</v>
      </c>
      <c r="P370" s="18">
        <v>2664</v>
      </c>
      <c r="Q370" s="21">
        <v>9</v>
      </c>
      <c r="R370" s="21" t="str">
        <f t="shared" si="105"/>
        <v>8-14 days</v>
      </c>
      <c r="S370" s="16" t="s">
        <v>145</v>
      </c>
      <c r="T370" s="16" t="s">
        <v>154</v>
      </c>
      <c r="U370" s="16" t="s">
        <v>164</v>
      </c>
      <c r="V370" t="str">
        <f>IF(U370="","",IFERROR(VLOOKUP(U370,Hotels!A:B,2,FALSE),"Not Found"))</f>
        <v>Marriott</v>
      </c>
      <c r="W370" s="14">
        <v>298.58999999999997</v>
      </c>
      <c r="X370" s="14">
        <v>0</v>
      </c>
      <c r="Y370" s="21">
        <v>1</v>
      </c>
      <c r="Z370" s="29">
        <f t="shared" si="106"/>
        <v>191.51</v>
      </c>
      <c r="AA370" s="14">
        <v>191.51</v>
      </c>
      <c r="AB370" s="14">
        <v>87.98</v>
      </c>
      <c r="AC370" s="14">
        <v>578.08000000000004</v>
      </c>
      <c r="AD370" s="16" t="s">
        <v>147</v>
      </c>
      <c r="AE370" s="16" t="s">
        <v>147</v>
      </c>
      <c r="AF370" s="14">
        <f>SUMIF('Trip Changes'!$B:$B,A370,'Trip Changes'!$E:$E)</f>
        <v>0</v>
      </c>
      <c r="AG370" s="23">
        <f>SUMIF('Trip Cancellations'!$B:$B,A370,'Trip Cancellations'!$E:$E)</f>
        <v>0</v>
      </c>
      <c r="AH370" s="14">
        <f>SUMIF('Trip Cancellations'!$B:$B,A370,'Trip Cancellations'!$F:$F)</f>
        <v>0</v>
      </c>
      <c r="AI370" s="14">
        <f t="shared" si="107"/>
        <v>578.08000000000004</v>
      </c>
      <c r="AJ370" s="14" t="str">
        <f t="shared" si="108"/>
        <v>No</v>
      </c>
      <c r="AK370" s="14" t="str">
        <f>IF(Y370=0,"N/A",
IF(_xlfn.XLOOKUP(U370,Hotels!A:A,Hotels!C:C)=TRUE,"Yes","No"))</f>
        <v>Yes</v>
      </c>
      <c r="AL370" s="14" t="str">
        <f>IF(N370="Rail","N/A",IF(_xlfn.XLOOKUP(T370,Airlines!A:A,Airlines!C:C)=TRUE,"Yes","No"))</f>
        <v>Yes</v>
      </c>
      <c r="AM370" s="14" t="str">
        <f t="shared" si="109"/>
        <v>Yes</v>
      </c>
      <c r="AN370" s="14" t="str">
        <f t="shared" si="110"/>
        <v>Yes</v>
      </c>
      <c r="AO370" s="14" t="str">
        <f t="shared" si="111"/>
        <v>Yes</v>
      </c>
      <c r="AP370" s="16" t="s">
        <v>147</v>
      </c>
      <c r="AQ370" t="str">
        <f t="shared" si="112"/>
        <v>No</v>
      </c>
      <c r="AR370" s="21">
        <v>5</v>
      </c>
      <c r="AS370" s="5">
        <v>399.6</v>
      </c>
      <c r="AT370" s="5" t="str">
        <f>IF(T370="","",_xlfn.XLOOKUP(T370,Airlines!A:A,Airlines!B:B,"Not Found"))</f>
        <v>British Airways</v>
      </c>
      <c r="AU370" s="5" t="str">
        <f>IF(U370="","",_xlfn.XLOOKUP(U370,Hotels!A:A,Hotels!B:B,"Not found"))</f>
        <v>Marriott</v>
      </c>
      <c r="AV370" t="s">
        <v>147</v>
      </c>
      <c r="AW370" s="16" t="str">
        <f t="shared" si="113"/>
        <v>OK</v>
      </c>
      <c r="AX370" s="16" t="str">
        <f t="shared" si="114"/>
        <v>OK</v>
      </c>
      <c r="AY370" s="16" t="str">
        <f t="shared" si="115"/>
        <v>OK</v>
      </c>
      <c r="AZ370" s="16" t="str">
        <f t="shared" si="116"/>
        <v>OK</v>
      </c>
      <c r="BA370" s="16" t="str">
        <f t="shared" si="120"/>
        <v>OK</v>
      </c>
      <c r="BB370" s="21">
        <f>COUNTIF('Trip Changes'!B:B,A370)</f>
        <v>0</v>
      </c>
      <c r="BC370" s="16" t="str">
        <f>IF(OR(AND(AD370="Yes",COUNTIF('Trip Changes'!B:B,A370)&gt;0),AND(AD370="No",COUNTIF('Trip Changes'!B:B,A370)=0)),"OK","Check")</f>
        <v>OK</v>
      </c>
      <c r="BD370" t="str">
        <f t="shared" si="121"/>
        <v>OK</v>
      </c>
      <c r="BE370" t="str">
        <f t="shared" si="122"/>
        <v>OK</v>
      </c>
      <c r="BF370" t="str">
        <f t="shared" si="123"/>
        <v>OK</v>
      </c>
      <c r="BG370" t="str">
        <f t="shared" si="124"/>
        <v>OK</v>
      </c>
      <c r="BH370" t="str">
        <f t="shared" si="125"/>
        <v>OK</v>
      </c>
      <c r="BI370" t="str">
        <f t="shared" si="117"/>
        <v>OK</v>
      </c>
      <c r="BJ370" t="str">
        <f t="shared" si="118"/>
        <v>OK</v>
      </c>
      <c r="BK370" t="str">
        <f t="shared" si="119"/>
        <v>OK</v>
      </c>
    </row>
    <row r="371" spans="1:63">
      <c r="A371" s="16" t="s">
        <v>682</v>
      </c>
      <c r="B371" s="16" t="s">
        <v>683</v>
      </c>
      <c r="C371" s="16" t="s">
        <v>182</v>
      </c>
      <c r="D371" s="16" t="s">
        <v>138</v>
      </c>
      <c r="E371" s="16" t="s">
        <v>169</v>
      </c>
      <c r="F371" s="16" t="s">
        <v>189</v>
      </c>
      <c r="G371" s="15">
        <v>46137</v>
      </c>
      <c r="H371" s="15">
        <v>46147</v>
      </c>
      <c r="I371" s="15">
        <v>46150</v>
      </c>
      <c r="J371" s="15" t="s">
        <v>163</v>
      </c>
      <c r="K371" s="16" t="s">
        <v>182</v>
      </c>
      <c r="L371" t="s">
        <v>151</v>
      </c>
      <c r="M371" s="16" t="s">
        <v>152</v>
      </c>
      <c r="N371" s="16" t="s">
        <v>153</v>
      </c>
      <c r="O371" t="s">
        <v>1614</v>
      </c>
      <c r="P371" s="18">
        <v>2810</v>
      </c>
      <c r="Q371" s="21">
        <v>10</v>
      </c>
      <c r="R371" s="21" t="str">
        <f t="shared" si="105"/>
        <v>8-14 days</v>
      </c>
      <c r="S371" s="16" t="s">
        <v>159</v>
      </c>
      <c r="T371" s="16" t="s">
        <v>172</v>
      </c>
      <c r="U371" s="16" t="s">
        <v>190</v>
      </c>
      <c r="V371" t="str">
        <f>IF(U371="","",IFERROR(VLOOKUP(U371,Hotels!A:B,2,FALSE),"Not Found"))</f>
        <v>Radisson Hotel Group</v>
      </c>
      <c r="W371" s="14">
        <v>467.61</v>
      </c>
      <c r="X371" s="14">
        <v>0</v>
      </c>
      <c r="Y371" s="21">
        <v>2</v>
      </c>
      <c r="Z371" s="29">
        <f t="shared" si="106"/>
        <v>222.79499999999999</v>
      </c>
      <c r="AA371" s="14">
        <v>445.59</v>
      </c>
      <c r="AB371" s="14">
        <v>122.69</v>
      </c>
      <c r="AC371" s="14">
        <v>1035.8900000000001</v>
      </c>
      <c r="AD371" s="16" t="s">
        <v>147</v>
      </c>
      <c r="AE371" s="16" t="s">
        <v>147</v>
      </c>
      <c r="AF371" s="14">
        <f>SUMIF('Trip Changes'!$B:$B,A371,'Trip Changes'!$E:$E)</f>
        <v>0</v>
      </c>
      <c r="AG371" s="23">
        <f>SUMIF('Trip Cancellations'!$B:$B,A371,'Trip Cancellations'!$E:$E)</f>
        <v>0</v>
      </c>
      <c r="AH371" s="14">
        <f>SUMIF('Trip Cancellations'!$B:$B,A371,'Trip Cancellations'!$F:$F)</f>
        <v>0</v>
      </c>
      <c r="AI371" s="14">
        <f t="shared" si="107"/>
        <v>1035.8900000000001</v>
      </c>
      <c r="AJ371" s="14" t="str">
        <f t="shared" si="108"/>
        <v>No</v>
      </c>
      <c r="AK371" s="14" t="str">
        <f>IF(Y371=0,"N/A",
IF(_xlfn.XLOOKUP(U371,Hotels!A:A,Hotels!C:C)=TRUE,"Yes","No"))</f>
        <v>No</v>
      </c>
      <c r="AL371" s="14" t="str">
        <f>IF(N371="Rail","N/A",IF(_xlfn.XLOOKUP(T371,Airlines!A:A,Airlines!C:C)=TRUE,"Yes","No"))</f>
        <v>Yes</v>
      </c>
      <c r="AM371" s="14" t="str">
        <f t="shared" si="109"/>
        <v>Yes</v>
      </c>
      <c r="AN371" s="14" t="str">
        <f t="shared" si="110"/>
        <v>Yes</v>
      </c>
      <c r="AO371" s="14" t="str">
        <f t="shared" si="111"/>
        <v>No</v>
      </c>
      <c r="AP371" s="16" t="s">
        <v>148</v>
      </c>
      <c r="AQ371" t="str">
        <f t="shared" si="112"/>
        <v>No</v>
      </c>
      <c r="AR371" s="21">
        <v>4</v>
      </c>
      <c r="AS371" s="5">
        <v>421.5</v>
      </c>
      <c r="AT371" s="5" t="str">
        <f>IF(T371="","",_xlfn.XLOOKUP(T371,Airlines!A:A,Airlines!B:B,"Not Found"))</f>
        <v>Lufthansa</v>
      </c>
      <c r="AU371" s="5" t="str">
        <f>IF(U371="","",_xlfn.XLOOKUP(U371,Hotels!A:A,Hotels!B:B,"Not found"))</f>
        <v>Radisson Hotel Group</v>
      </c>
      <c r="AV371" t="s">
        <v>147</v>
      </c>
      <c r="AW371" s="16" t="str">
        <f t="shared" si="113"/>
        <v>OK</v>
      </c>
      <c r="AX371" s="16" t="str">
        <f t="shared" si="114"/>
        <v>OK</v>
      </c>
      <c r="AY371" s="16" t="str">
        <f t="shared" si="115"/>
        <v>OK</v>
      </c>
      <c r="AZ371" s="16" t="str">
        <f t="shared" si="116"/>
        <v>OK</v>
      </c>
      <c r="BA371" s="16" t="str">
        <f t="shared" si="120"/>
        <v>OK</v>
      </c>
      <c r="BB371" s="21">
        <f>COUNTIF('Trip Changes'!B:B,A371)</f>
        <v>0</v>
      </c>
      <c r="BC371" s="16" t="str">
        <f>IF(OR(AND(AD371="Yes",COUNTIF('Trip Changes'!B:B,A371)&gt;0),AND(AD371="No",COUNTIF('Trip Changes'!B:B,A371)=0)),"OK","Check")</f>
        <v>OK</v>
      </c>
      <c r="BD371" t="str">
        <f t="shared" si="121"/>
        <v>OK</v>
      </c>
      <c r="BE371" t="str">
        <f t="shared" si="122"/>
        <v>OK</v>
      </c>
      <c r="BF371" t="str">
        <f t="shared" si="123"/>
        <v>OK</v>
      </c>
      <c r="BG371" t="str">
        <f t="shared" si="124"/>
        <v>OK</v>
      </c>
      <c r="BH371" t="str">
        <f t="shared" si="125"/>
        <v>OK</v>
      </c>
      <c r="BI371" t="str">
        <f t="shared" si="117"/>
        <v>OK</v>
      </c>
      <c r="BJ371" t="str">
        <f t="shared" si="118"/>
        <v>OK</v>
      </c>
      <c r="BK371" t="str">
        <f t="shared" si="119"/>
        <v>OK</v>
      </c>
    </row>
    <row r="372" spans="1:63">
      <c r="A372" s="16" t="s">
        <v>684</v>
      </c>
      <c r="B372" s="16" t="s">
        <v>683</v>
      </c>
      <c r="C372" s="16" t="s">
        <v>182</v>
      </c>
      <c r="D372" s="16" t="s">
        <v>138</v>
      </c>
      <c r="E372" s="16" t="s">
        <v>169</v>
      </c>
      <c r="F372" s="16" t="s">
        <v>140</v>
      </c>
      <c r="G372" s="15">
        <v>46198</v>
      </c>
      <c r="H372" s="15">
        <v>46203</v>
      </c>
      <c r="I372" s="15">
        <v>46209</v>
      </c>
      <c r="J372" s="15" t="s">
        <v>141</v>
      </c>
      <c r="K372" s="16" t="s">
        <v>182</v>
      </c>
      <c r="L372" t="s">
        <v>199</v>
      </c>
      <c r="M372" s="16" t="s">
        <v>152</v>
      </c>
      <c r="N372" s="16" t="s">
        <v>153</v>
      </c>
      <c r="O372" t="s">
        <v>1614</v>
      </c>
      <c r="P372" s="18">
        <v>2292</v>
      </c>
      <c r="Q372" s="21">
        <v>5</v>
      </c>
      <c r="R372" s="21" t="str">
        <f t="shared" si="105"/>
        <v>4-7 days</v>
      </c>
      <c r="S372" s="16" t="s">
        <v>145</v>
      </c>
      <c r="T372" s="16" t="s">
        <v>200</v>
      </c>
      <c r="U372" s="16" t="s">
        <v>164</v>
      </c>
      <c r="V372" t="str">
        <f>IF(U372="","",IFERROR(VLOOKUP(U372,Hotels!A:B,2,FALSE),"Not Found"))</f>
        <v>Marriott</v>
      </c>
      <c r="W372" s="14">
        <v>628.79999999999995</v>
      </c>
      <c r="X372" s="14">
        <v>0</v>
      </c>
      <c r="Y372" s="21">
        <v>5</v>
      </c>
      <c r="Z372" s="29">
        <f t="shared" si="106"/>
        <v>225.84200000000001</v>
      </c>
      <c r="AA372" s="14">
        <v>1129.21</v>
      </c>
      <c r="AB372" s="14">
        <v>105.74</v>
      </c>
      <c r="AC372" s="14">
        <v>1863.75</v>
      </c>
      <c r="AD372" s="16" t="s">
        <v>147</v>
      </c>
      <c r="AE372" s="16" t="s">
        <v>147</v>
      </c>
      <c r="AF372" s="14">
        <f>SUMIF('Trip Changes'!$B:$B,A372,'Trip Changes'!$E:$E)</f>
        <v>0</v>
      </c>
      <c r="AG372" s="23">
        <f>SUMIF('Trip Cancellations'!$B:$B,A372,'Trip Cancellations'!$E:$E)</f>
        <v>0</v>
      </c>
      <c r="AH372" s="14">
        <f>SUMIF('Trip Cancellations'!$B:$B,A372,'Trip Cancellations'!$F:$F)</f>
        <v>0</v>
      </c>
      <c r="AI372" s="14">
        <f t="shared" si="107"/>
        <v>1863.75</v>
      </c>
      <c r="AJ372" s="14" t="str">
        <f t="shared" si="108"/>
        <v>No</v>
      </c>
      <c r="AK372" s="14" t="str">
        <f>IF(Y372=0,"N/A",
IF(_xlfn.XLOOKUP(U372,Hotels!A:A,Hotels!C:C)=TRUE,"Yes","No"))</f>
        <v>Yes</v>
      </c>
      <c r="AL372" s="14" t="str">
        <f>IF(N372="Rail","N/A",IF(_xlfn.XLOOKUP(T372,Airlines!A:A,Airlines!C:C)=TRUE,"Yes","No"))</f>
        <v>Yes</v>
      </c>
      <c r="AM372" s="14" t="str">
        <f t="shared" si="109"/>
        <v>Yes</v>
      </c>
      <c r="AN372" s="14" t="str">
        <f t="shared" si="110"/>
        <v>Yes</v>
      </c>
      <c r="AO372" s="14" t="str">
        <f t="shared" si="111"/>
        <v>Yes</v>
      </c>
      <c r="AP372" s="16" t="s">
        <v>148</v>
      </c>
      <c r="AQ372" t="str">
        <f t="shared" si="112"/>
        <v>No</v>
      </c>
      <c r="AR372" s="21">
        <v>4</v>
      </c>
      <c r="AS372" s="5">
        <v>343.8</v>
      </c>
      <c r="AT372" s="5" t="str">
        <f>IF(T372="","",_xlfn.XLOOKUP(T372,Airlines!A:A,Airlines!B:B,"Not Found"))</f>
        <v>Aer Lingus</v>
      </c>
      <c r="AU372" s="5" t="str">
        <f>IF(U372="","",_xlfn.XLOOKUP(U372,Hotels!A:A,Hotels!B:B,"Not found"))</f>
        <v>Marriott</v>
      </c>
      <c r="AV372" t="s">
        <v>147</v>
      </c>
      <c r="AW372" s="16" t="str">
        <f t="shared" si="113"/>
        <v>OK</v>
      </c>
      <c r="AX372" s="16" t="str">
        <f t="shared" si="114"/>
        <v>OK</v>
      </c>
      <c r="AY372" s="16" t="str">
        <f t="shared" si="115"/>
        <v>OK</v>
      </c>
      <c r="AZ372" s="16" t="str">
        <f t="shared" si="116"/>
        <v>OK</v>
      </c>
      <c r="BA372" s="16" t="str">
        <f t="shared" si="120"/>
        <v>OK</v>
      </c>
      <c r="BB372" s="21">
        <f>COUNTIF('Trip Changes'!B:B,A372)</f>
        <v>0</v>
      </c>
      <c r="BC372" s="16" t="str">
        <f>IF(OR(AND(AD372="Yes",COUNTIF('Trip Changes'!B:B,A372)&gt;0),AND(AD372="No",COUNTIF('Trip Changes'!B:B,A372)=0)),"OK","Check")</f>
        <v>OK</v>
      </c>
      <c r="BD372" t="str">
        <f t="shared" si="121"/>
        <v>OK</v>
      </c>
      <c r="BE372" t="str">
        <f t="shared" si="122"/>
        <v>OK</v>
      </c>
      <c r="BF372" t="str">
        <f t="shared" si="123"/>
        <v>OK</v>
      </c>
      <c r="BG372" t="str">
        <f t="shared" si="124"/>
        <v>OK</v>
      </c>
      <c r="BH372" t="str">
        <f t="shared" si="125"/>
        <v>OK</v>
      </c>
      <c r="BI372" t="str">
        <f t="shared" si="117"/>
        <v>OK</v>
      </c>
      <c r="BJ372" t="str">
        <f t="shared" si="118"/>
        <v>OK</v>
      </c>
      <c r="BK372" t="str">
        <f t="shared" si="119"/>
        <v>OK</v>
      </c>
    </row>
    <row r="373" spans="1:63">
      <c r="A373" s="16" t="s">
        <v>685</v>
      </c>
      <c r="B373" s="16" t="s">
        <v>683</v>
      </c>
      <c r="C373" s="16" t="s">
        <v>182</v>
      </c>
      <c r="D373" s="16" t="s">
        <v>138</v>
      </c>
      <c r="E373" s="16" t="s">
        <v>169</v>
      </c>
      <c r="F373" s="16" t="s">
        <v>162</v>
      </c>
      <c r="G373" s="15">
        <v>46215</v>
      </c>
      <c r="H373" s="15">
        <v>46229</v>
      </c>
      <c r="I373" s="15">
        <v>46233</v>
      </c>
      <c r="J373" s="15" t="s">
        <v>150</v>
      </c>
      <c r="K373" s="16" t="s">
        <v>182</v>
      </c>
      <c r="L373" t="s">
        <v>362</v>
      </c>
      <c r="M373" s="16" t="s">
        <v>152</v>
      </c>
      <c r="N373" s="16" t="s">
        <v>153</v>
      </c>
      <c r="O373" t="s">
        <v>1614</v>
      </c>
      <c r="P373" s="18">
        <v>2606</v>
      </c>
      <c r="Q373" s="21">
        <v>14</v>
      </c>
      <c r="R373" s="21" t="str">
        <f t="shared" si="105"/>
        <v>8-14 days</v>
      </c>
      <c r="S373" s="16" t="s">
        <v>216</v>
      </c>
      <c r="T373" s="16" t="s">
        <v>172</v>
      </c>
      <c r="U373" s="16" t="s">
        <v>155</v>
      </c>
      <c r="V373" t="str">
        <f>IF(U373="","",IFERROR(VLOOKUP(U373,Hotels!A:B,2,FALSE),"Not Found"))</f>
        <v>Hilton</v>
      </c>
      <c r="W373" s="14">
        <v>344.56</v>
      </c>
      <c r="X373" s="14">
        <v>0</v>
      </c>
      <c r="Y373" s="21">
        <v>3</v>
      </c>
      <c r="Z373" s="29">
        <f t="shared" si="106"/>
        <v>233.22666666666666</v>
      </c>
      <c r="AA373" s="14">
        <v>699.68</v>
      </c>
      <c r="AB373" s="14">
        <v>59.19</v>
      </c>
      <c r="AC373" s="14">
        <v>1103.43</v>
      </c>
      <c r="AD373" s="16" t="s">
        <v>147</v>
      </c>
      <c r="AE373" s="16" t="s">
        <v>147</v>
      </c>
      <c r="AF373" s="14">
        <f>SUMIF('Trip Changes'!$B:$B,A373,'Trip Changes'!$E:$E)</f>
        <v>0</v>
      </c>
      <c r="AG373" s="23">
        <f>SUMIF('Trip Cancellations'!$B:$B,A373,'Trip Cancellations'!$E:$E)</f>
        <v>0</v>
      </c>
      <c r="AH373" s="14">
        <f>SUMIF('Trip Cancellations'!$B:$B,A373,'Trip Cancellations'!$F:$F)</f>
        <v>0</v>
      </c>
      <c r="AI373" s="14">
        <f t="shared" si="107"/>
        <v>1103.43</v>
      </c>
      <c r="AJ373" s="14" t="str">
        <f t="shared" si="108"/>
        <v>No</v>
      </c>
      <c r="AK373" s="14" t="str">
        <f>IF(Y373=0,"N/A",
IF(_xlfn.XLOOKUP(U373,Hotels!A:A,Hotels!C:C)=TRUE,"Yes","No"))</f>
        <v>Yes</v>
      </c>
      <c r="AL373" s="14" t="str">
        <f>IF(N373="Rail","N/A",IF(_xlfn.XLOOKUP(T373,Airlines!A:A,Airlines!C:C)=TRUE,"Yes","No"))</f>
        <v>Yes</v>
      </c>
      <c r="AM373" s="14" t="str">
        <f t="shared" si="109"/>
        <v>Yes</v>
      </c>
      <c r="AN373" s="14" t="str">
        <f t="shared" si="110"/>
        <v>No</v>
      </c>
      <c r="AO373" s="14" t="str">
        <f t="shared" si="111"/>
        <v>Yes</v>
      </c>
      <c r="AP373" s="16" t="s">
        <v>148</v>
      </c>
      <c r="AQ373" t="str">
        <f t="shared" si="112"/>
        <v>No</v>
      </c>
      <c r="AR373" s="21">
        <v>5</v>
      </c>
      <c r="AS373" s="5">
        <v>390.9</v>
      </c>
      <c r="AT373" s="5" t="str">
        <f>IF(T373="","",_xlfn.XLOOKUP(T373,Airlines!A:A,Airlines!B:B,"Not Found"))</f>
        <v>Lufthansa</v>
      </c>
      <c r="AU373" s="5" t="str">
        <f>IF(U373="","",_xlfn.XLOOKUP(U373,Hotels!A:A,Hotels!B:B,"Not found"))</f>
        <v>Hilton</v>
      </c>
      <c r="AV373" t="s">
        <v>148</v>
      </c>
      <c r="AW373" s="16" t="str">
        <f t="shared" si="113"/>
        <v>OK</v>
      </c>
      <c r="AX373" s="16" t="str">
        <f t="shared" si="114"/>
        <v>OK</v>
      </c>
      <c r="AY373" s="16" t="str">
        <f t="shared" si="115"/>
        <v>OK</v>
      </c>
      <c r="AZ373" s="16" t="str">
        <f t="shared" si="116"/>
        <v>OK</v>
      </c>
      <c r="BA373" s="16" t="str">
        <f t="shared" si="120"/>
        <v>OK</v>
      </c>
      <c r="BB373" s="21">
        <f>COUNTIF('Trip Changes'!B:B,A373)</f>
        <v>0</v>
      </c>
      <c r="BC373" s="16" t="str">
        <f>IF(OR(AND(AD373="Yes",COUNTIF('Trip Changes'!B:B,A373)&gt;0),AND(AD373="No",COUNTIF('Trip Changes'!B:B,A373)=0)),"OK","Check")</f>
        <v>OK</v>
      </c>
      <c r="BD373" t="str">
        <f t="shared" si="121"/>
        <v>OK</v>
      </c>
      <c r="BE373" t="str">
        <f t="shared" si="122"/>
        <v>OK</v>
      </c>
      <c r="BF373" t="str">
        <f t="shared" si="123"/>
        <v>OK</v>
      </c>
      <c r="BG373" t="str">
        <f t="shared" si="124"/>
        <v>OK</v>
      </c>
      <c r="BH373" t="str">
        <f t="shared" si="125"/>
        <v>OK</v>
      </c>
      <c r="BI373" t="str">
        <f t="shared" si="117"/>
        <v>OK</v>
      </c>
      <c r="BJ373" t="str">
        <f t="shared" si="118"/>
        <v>OK</v>
      </c>
      <c r="BK373" t="str">
        <f t="shared" si="119"/>
        <v>OK</v>
      </c>
    </row>
    <row r="374" spans="1:63">
      <c r="A374" s="16" t="s">
        <v>686</v>
      </c>
      <c r="B374" s="16" t="s">
        <v>683</v>
      </c>
      <c r="C374" s="16" t="s">
        <v>182</v>
      </c>
      <c r="D374" s="16" t="s">
        <v>138</v>
      </c>
      <c r="E374" s="16" t="s">
        <v>169</v>
      </c>
      <c r="F374" s="16" t="s">
        <v>157</v>
      </c>
      <c r="G374" s="15">
        <v>46155</v>
      </c>
      <c r="H374" s="15">
        <v>46165</v>
      </c>
      <c r="I374" s="15">
        <v>46167</v>
      </c>
      <c r="J374" s="15" t="s">
        <v>163</v>
      </c>
      <c r="K374" s="16" t="s">
        <v>182</v>
      </c>
      <c r="L374" t="s">
        <v>199</v>
      </c>
      <c r="M374" s="16" t="s">
        <v>152</v>
      </c>
      <c r="N374" s="16" t="s">
        <v>153</v>
      </c>
      <c r="O374" t="s">
        <v>1614</v>
      </c>
      <c r="P374" s="18">
        <v>3252</v>
      </c>
      <c r="Q374" s="21">
        <v>10</v>
      </c>
      <c r="R374" s="21" t="str">
        <f t="shared" si="105"/>
        <v>8-14 days</v>
      </c>
      <c r="S374" s="16" t="s">
        <v>145</v>
      </c>
      <c r="T374" s="16" t="s">
        <v>154</v>
      </c>
      <c r="U374" s="16" t="s">
        <v>164</v>
      </c>
      <c r="V374" t="str">
        <f>IF(U374="","",IFERROR(VLOOKUP(U374,Hotels!A:B,2,FALSE),"Not Found"))</f>
        <v>Marriott</v>
      </c>
      <c r="W374" s="14">
        <v>525.64</v>
      </c>
      <c r="X374" s="14">
        <v>0</v>
      </c>
      <c r="Y374" s="21">
        <v>1</v>
      </c>
      <c r="Z374" s="29">
        <f t="shared" si="106"/>
        <v>119.82</v>
      </c>
      <c r="AA374" s="14">
        <v>119.82</v>
      </c>
      <c r="AB374" s="14">
        <v>102.9</v>
      </c>
      <c r="AC374" s="14">
        <v>748.36</v>
      </c>
      <c r="AD374" s="16" t="s">
        <v>148</v>
      </c>
      <c r="AE374" s="16" t="s">
        <v>147</v>
      </c>
      <c r="AF374" s="14">
        <f>SUMIF('Trip Changes'!$B:$B,A374,'Trip Changes'!$E:$E)</f>
        <v>55.17</v>
      </c>
      <c r="AG374" s="23">
        <f>SUMIF('Trip Cancellations'!$B:$B,A374,'Trip Cancellations'!$E:$E)</f>
        <v>0</v>
      </c>
      <c r="AH374" s="14">
        <f>SUMIF('Trip Cancellations'!$B:$B,A374,'Trip Cancellations'!$F:$F)</f>
        <v>0</v>
      </c>
      <c r="AI374" s="14">
        <f t="shared" si="107"/>
        <v>803.53</v>
      </c>
      <c r="AJ374" s="14" t="str">
        <f t="shared" si="108"/>
        <v>Yes</v>
      </c>
      <c r="AK374" s="14" t="str">
        <f>IF(Y374=0,"N/A",
IF(_xlfn.XLOOKUP(U374,Hotels!A:A,Hotels!C:C)=TRUE,"Yes","No"))</f>
        <v>Yes</v>
      </c>
      <c r="AL374" s="14" t="str">
        <f>IF(N374="Rail","N/A",IF(_xlfn.XLOOKUP(T374,Airlines!A:A,Airlines!C:C)=TRUE,"Yes","No"))</f>
        <v>Yes</v>
      </c>
      <c r="AM374" s="14" t="str">
        <f t="shared" si="109"/>
        <v>Yes</v>
      </c>
      <c r="AN374" s="14" t="str">
        <f t="shared" si="110"/>
        <v>Yes</v>
      </c>
      <c r="AO374" s="14" t="str">
        <f t="shared" si="111"/>
        <v>Yes</v>
      </c>
      <c r="AP374" s="16" t="s">
        <v>148</v>
      </c>
      <c r="AQ374" t="str">
        <f t="shared" si="112"/>
        <v>Yes</v>
      </c>
      <c r="AR374" s="21">
        <v>4</v>
      </c>
      <c r="AS374" s="5">
        <v>487.8</v>
      </c>
      <c r="AT374" s="5" t="str">
        <f>IF(T374="","",_xlfn.XLOOKUP(T374,Airlines!A:A,Airlines!B:B,"Not Found"))</f>
        <v>British Airways</v>
      </c>
      <c r="AU374" s="5" t="str">
        <f>IF(U374="","",_xlfn.XLOOKUP(U374,Hotels!A:A,Hotels!B:B,"Not found"))</f>
        <v>Marriott</v>
      </c>
      <c r="AV374" t="s">
        <v>147</v>
      </c>
      <c r="AW374" s="16" t="str">
        <f t="shared" si="113"/>
        <v>OK</v>
      </c>
      <c r="AX374" s="16" t="str">
        <f t="shared" si="114"/>
        <v>OK</v>
      </c>
      <c r="AY374" s="16" t="str">
        <f t="shared" si="115"/>
        <v>OK</v>
      </c>
      <c r="AZ374" s="16" t="str">
        <f t="shared" si="116"/>
        <v>OK</v>
      </c>
      <c r="BA374" s="16" t="str">
        <f t="shared" si="120"/>
        <v>OK</v>
      </c>
      <c r="BB374" s="21">
        <f>COUNTIF('Trip Changes'!B:B,A374)</f>
        <v>1</v>
      </c>
      <c r="BC374" s="16" t="str">
        <f>IF(OR(AND(AD374="Yes",COUNTIF('Trip Changes'!B:B,A374)&gt;0),AND(AD374="No",COUNTIF('Trip Changes'!B:B,A374)=0)),"OK","Check")</f>
        <v>OK</v>
      </c>
      <c r="BD374" t="str">
        <f t="shared" si="121"/>
        <v>OK</v>
      </c>
      <c r="BE374" t="str">
        <f t="shared" si="122"/>
        <v>OK</v>
      </c>
      <c r="BF374" t="str">
        <f t="shared" si="123"/>
        <v>OK</v>
      </c>
      <c r="BG374" t="str">
        <f t="shared" si="124"/>
        <v>OK</v>
      </c>
      <c r="BH374" t="str">
        <f t="shared" si="125"/>
        <v>OK</v>
      </c>
      <c r="BI374" t="str">
        <f t="shared" si="117"/>
        <v>OK</v>
      </c>
      <c r="BJ374" t="str">
        <f t="shared" si="118"/>
        <v>OK</v>
      </c>
      <c r="BK374" t="str">
        <f t="shared" si="119"/>
        <v>OK</v>
      </c>
    </row>
    <row r="375" spans="1:63">
      <c r="A375" s="16" t="s">
        <v>687</v>
      </c>
      <c r="B375" s="16" t="s">
        <v>683</v>
      </c>
      <c r="C375" s="16" t="s">
        <v>182</v>
      </c>
      <c r="D375" s="16" t="s">
        <v>138</v>
      </c>
      <c r="E375" s="16" t="s">
        <v>169</v>
      </c>
      <c r="F375" s="16" t="s">
        <v>162</v>
      </c>
      <c r="G375" s="15">
        <v>46213</v>
      </c>
      <c r="H375" s="15">
        <v>46227</v>
      </c>
      <c r="I375" s="15">
        <v>46231</v>
      </c>
      <c r="J375" s="15" t="s">
        <v>150</v>
      </c>
      <c r="K375" s="16" t="s">
        <v>182</v>
      </c>
      <c r="L375" t="s">
        <v>158</v>
      </c>
      <c r="M375" s="16" t="s">
        <v>152</v>
      </c>
      <c r="N375" s="16" t="s">
        <v>153</v>
      </c>
      <c r="O375" t="s">
        <v>1614</v>
      </c>
      <c r="P375" s="18">
        <v>3228</v>
      </c>
      <c r="Q375" s="21">
        <v>14</v>
      </c>
      <c r="R375" s="21" t="str">
        <f t="shared" si="105"/>
        <v>8-14 days</v>
      </c>
      <c r="S375" s="16" t="s">
        <v>145</v>
      </c>
      <c r="T375" s="16" t="s">
        <v>176</v>
      </c>
      <c r="U375" s="16" t="s">
        <v>155</v>
      </c>
      <c r="V375" t="str">
        <f>IF(U375="","",IFERROR(VLOOKUP(U375,Hotels!A:B,2,FALSE),"Not Found"))</f>
        <v>Hilton</v>
      </c>
      <c r="W375" s="14">
        <v>295.83</v>
      </c>
      <c r="X375" s="14">
        <v>0</v>
      </c>
      <c r="Y375" s="21">
        <v>3</v>
      </c>
      <c r="Z375" s="29">
        <f t="shared" si="106"/>
        <v>159.38333333333333</v>
      </c>
      <c r="AA375" s="14">
        <v>478.15</v>
      </c>
      <c r="AB375" s="14">
        <v>56.75</v>
      </c>
      <c r="AC375" s="14">
        <v>830.73</v>
      </c>
      <c r="AD375" s="16" t="s">
        <v>148</v>
      </c>
      <c r="AE375" s="16" t="s">
        <v>147</v>
      </c>
      <c r="AF375" s="14">
        <f>SUMIF('Trip Changes'!$B:$B,A375,'Trip Changes'!$E:$E)</f>
        <v>115.66</v>
      </c>
      <c r="AG375" s="23">
        <f>SUMIF('Trip Cancellations'!$B:$B,A375,'Trip Cancellations'!$E:$E)</f>
        <v>0</v>
      </c>
      <c r="AH375" s="14">
        <f>SUMIF('Trip Cancellations'!$B:$B,A375,'Trip Cancellations'!$F:$F)</f>
        <v>0</v>
      </c>
      <c r="AI375" s="14">
        <f t="shared" si="107"/>
        <v>946.39</v>
      </c>
      <c r="AJ375" s="14" t="str">
        <f t="shared" si="108"/>
        <v>Yes</v>
      </c>
      <c r="AK375" s="14" t="str">
        <f>IF(Y375=0,"N/A",
IF(_xlfn.XLOOKUP(U375,Hotels!A:A,Hotels!C:C)=TRUE,"Yes","No"))</f>
        <v>Yes</v>
      </c>
      <c r="AL375" s="14" t="str">
        <f>IF(N375="Rail","N/A",IF(_xlfn.XLOOKUP(T375,Airlines!A:A,Airlines!C:C)=TRUE,"Yes","No"))</f>
        <v>Yes</v>
      </c>
      <c r="AM375" s="14" t="str">
        <f t="shared" si="109"/>
        <v>Yes</v>
      </c>
      <c r="AN375" s="14" t="str">
        <f t="shared" si="110"/>
        <v>Yes</v>
      </c>
      <c r="AO375" s="14" t="str">
        <f t="shared" si="111"/>
        <v>Yes</v>
      </c>
      <c r="AP375" s="16" t="s">
        <v>148</v>
      </c>
      <c r="AQ375" t="str">
        <f t="shared" si="112"/>
        <v>Yes</v>
      </c>
      <c r="AR375" s="21">
        <v>4</v>
      </c>
      <c r="AS375" s="5">
        <v>484.2</v>
      </c>
      <c r="AT375" s="5" t="str">
        <f>IF(T375="","",_xlfn.XLOOKUP(T375,Airlines!A:A,Airlines!B:B,"Not Found"))</f>
        <v>easyJet</v>
      </c>
      <c r="AU375" s="5" t="str">
        <f>IF(U375="","",_xlfn.XLOOKUP(U375,Hotels!A:A,Hotels!B:B,"Not found"))</f>
        <v>Hilton</v>
      </c>
      <c r="AV375" t="s">
        <v>147</v>
      </c>
      <c r="AW375" s="16" t="str">
        <f t="shared" si="113"/>
        <v>OK</v>
      </c>
      <c r="AX375" s="16" t="str">
        <f t="shared" si="114"/>
        <v>OK</v>
      </c>
      <c r="AY375" s="16" t="str">
        <f t="shared" si="115"/>
        <v>OK</v>
      </c>
      <c r="AZ375" s="16" t="str">
        <f t="shared" si="116"/>
        <v>OK</v>
      </c>
      <c r="BA375" s="16" t="str">
        <f t="shared" si="120"/>
        <v>OK</v>
      </c>
      <c r="BB375" s="21">
        <f>COUNTIF('Trip Changes'!B:B,A375)</f>
        <v>1</v>
      </c>
      <c r="BC375" s="16" t="str">
        <f>IF(OR(AND(AD375="Yes",COUNTIF('Trip Changes'!B:B,A375)&gt;0),AND(AD375="No",COUNTIF('Trip Changes'!B:B,A375)=0)),"OK","Check")</f>
        <v>OK</v>
      </c>
      <c r="BD375" t="str">
        <f t="shared" si="121"/>
        <v>OK</v>
      </c>
      <c r="BE375" t="str">
        <f t="shared" si="122"/>
        <v>OK</v>
      </c>
      <c r="BF375" t="str">
        <f t="shared" si="123"/>
        <v>OK</v>
      </c>
      <c r="BG375" t="str">
        <f t="shared" si="124"/>
        <v>OK</v>
      </c>
      <c r="BH375" t="str">
        <f t="shared" si="125"/>
        <v>OK</v>
      </c>
      <c r="BI375" t="str">
        <f t="shared" si="117"/>
        <v>OK</v>
      </c>
      <c r="BJ375" t="str">
        <f t="shared" si="118"/>
        <v>OK</v>
      </c>
      <c r="BK375" t="str">
        <f t="shared" si="119"/>
        <v>OK</v>
      </c>
    </row>
    <row r="376" spans="1:63">
      <c r="A376" s="16" t="s">
        <v>688</v>
      </c>
      <c r="B376" s="16" t="s">
        <v>689</v>
      </c>
      <c r="C376" s="16" t="s">
        <v>193</v>
      </c>
      <c r="D376" s="16" t="s">
        <v>168</v>
      </c>
      <c r="E376" s="16" t="s">
        <v>205</v>
      </c>
      <c r="F376" s="16" t="s">
        <v>189</v>
      </c>
      <c r="G376" s="15">
        <v>46179</v>
      </c>
      <c r="H376" s="15">
        <v>46194</v>
      </c>
      <c r="I376" s="15">
        <v>46199</v>
      </c>
      <c r="J376" s="15" t="s">
        <v>141</v>
      </c>
      <c r="K376" s="16" t="s">
        <v>193</v>
      </c>
      <c r="L376" t="s">
        <v>225</v>
      </c>
      <c r="M376" s="16" t="s">
        <v>152</v>
      </c>
      <c r="N376" s="16" t="s">
        <v>153</v>
      </c>
      <c r="O376" t="s">
        <v>1614</v>
      </c>
      <c r="P376" s="18">
        <v>2962</v>
      </c>
      <c r="Q376" s="21">
        <v>15</v>
      </c>
      <c r="R376" s="21" t="str">
        <f t="shared" si="105"/>
        <v>15-30 days</v>
      </c>
      <c r="S376" s="16" t="s">
        <v>207</v>
      </c>
      <c r="T376" s="16" t="s">
        <v>236</v>
      </c>
      <c r="U376" s="16" t="s">
        <v>173</v>
      </c>
      <c r="V376" t="str">
        <f>IF(U376="","",IFERROR(VLOOKUP(U376,Hotels!A:B,2,FALSE),"Not Found"))</f>
        <v>Accor</v>
      </c>
      <c r="W376" s="14">
        <v>545.48</v>
      </c>
      <c r="X376" s="14">
        <v>0</v>
      </c>
      <c r="Y376" s="21">
        <v>4</v>
      </c>
      <c r="Z376" s="29">
        <f t="shared" si="106"/>
        <v>144.8475</v>
      </c>
      <c r="AA376" s="14">
        <v>579.39</v>
      </c>
      <c r="AB376" s="14">
        <v>69.59</v>
      </c>
      <c r="AC376" s="14">
        <v>1194.46</v>
      </c>
      <c r="AD376" s="16" t="s">
        <v>147</v>
      </c>
      <c r="AE376" s="16" t="s">
        <v>147</v>
      </c>
      <c r="AF376" s="14">
        <f>SUMIF('Trip Changes'!$B:$B,A376,'Trip Changes'!$E:$E)</f>
        <v>0</v>
      </c>
      <c r="AG376" s="23">
        <f>SUMIF('Trip Cancellations'!$B:$B,A376,'Trip Cancellations'!$E:$E)</f>
        <v>0</v>
      </c>
      <c r="AH376" s="14">
        <f>SUMIF('Trip Cancellations'!$B:$B,A376,'Trip Cancellations'!$F:$F)</f>
        <v>0</v>
      </c>
      <c r="AI376" s="14">
        <f t="shared" si="107"/>
        <v>1194.46</v>
      </c>
      <c r="AJ376" s="14" t="str">
        <f t="shared" si="108"/>
        <v>Yes</v>
      </c>
      <c r="AK376" s="14" t="str">
        <f>IF(Y376=0,"N/A",
IF(_xlfn.XLOOKUP(U376,Hotels!A:A,Hotels!C:C)=TRUE,"Yes","No"))</f>
        <v>Yes</v>
      </c>
      <c r="AL376" s="14" t="str">
        <f>IF(N376="Rail","N/A",IF(_xlfn.XLOOKUP(T376,Airlines!A:A,Airlines!C:C)=TRUE,"Yes","No"))</f>
        <v>Yes</v>
      </c>
      <c r="AM376" s="14" t="str">
        <f t="shared" si="109"/>
        <v>Yes</v>
      </c>
      <c r="AN376" s="14" t="str">
        <f t="shared" si="110"/>
        <v>No</v>
      </c>
      <c r="AO376" s="14" t="str">
        <f t="shared" si="111"/>
        <v>Yes</v>
      </c>
      <c r="AP376" s="16" t="s">
        <v>148</v>
      </c>
      <c r="AQ376" t="str">
        <f t="shared" si="112"/>
        <v>No</v>
      </c>
      <c r="AR376" s="21">
        <v>3</v>
      </c>
      <c r="AS376" s="5">
        <v>444.3</v>
      </c>
      <c r="AT376" s="5" t="str">
        <f>IF(T376="","",_xlfn.XLOOKUP(T376,Airlines!A:A,Airlines!B:B,"Not Found"))</f>
        <v>KLM</v>
      </c>
      <c r="AU376" s="5" t="str">
        <f>IF(U376="","",_xlfn.XLOOKUP(U376,Hotels!A:A,Hotels!B:B,"Not found"))</f>
        <v>Accor</v>
      </c>
      <c r="AV376" t="s">
        <v>148</v>
      </c>
      <c r="AW376" s="16" t="str">
        <f t="shared" si="113"/>
        <v>OK</v>
      </c>
      <c r="AX376" s="16" t="str">
        <f t="shared" si="114"/>
        <v>OK</v>
      </c>
      <c r="AY376" s="16" t="str">
        <f t="shared" si="115"/>
        <v>OK</v>
      </c>
      <c r="AZ376" s="16" t="str">
        <f t="shared" si="116"/>
        <v>OK</v>
      </c>
      <c r="BA376" s="16" t="str">
        <f t="shared" si="120"/>
        <v>OK</v>
      </c>
      <c r="BB376" s="21">
        <f>COUNTIF('Trip Changes'!B:B,A376)</f>
        <v>0</v>
      </c>
      <c r="BC376" s="16" t="str">
        <f>IF(OR(AND(AD376="Yes",COUNTIF('Trip Changes'!B:B,A376)&gt;0),AND(AD376="No",COUNTIF('Trip Changes'!B:B,A376)=0)),"OK","Check")</f>
        <v>OK</v>
      </c>
      <c r="BD376" t="str">
        <f t="shared" si="121"/>
        <v>OK</v>
      </c>
      <c r="BE376" t="str">
        <f t="shared" si="122"/>
        <v>OK</v>
      </c>
      <c r="BF376" t="str">
        <f t="shared" si="123"/>
        <v>OK</v>
      </c>
      <c r="BG376" t="str">
        <f t="shared" si="124"/>
        <v>OK</v>
      </c>
      <c r="BH376" t="str">
        <f t="shared" si="125"/>
        <v>OK</v>
      </c>
      <c r="BI376" t="str">
        <f t="shared" si="117"/>
        <v>OK</v>
      </c>
      <c r="BJ376" t="str">
        <f t="shared" si="118"/>
        <v>OK</v>
      </c>
      <c r="BK376" t="str">
        <f t="shared" si="119"/>
        <v>OK</v>
      </c>
    </row>
    <row r="377" spans="1:63">
      <c r="A377" s="16" t="s">
        <v>690</v>
      </c>
      <c r="B377" s="16" t="s">
        <v>689</v>
      </c>
      <c r="C377" s="16" t="s">
        <v>193</v>
      </c>
      <c r="D377" s="16" t="s">
        <v>168</v>
      </c>
      <c r="E377" s="16" t="s">
        <v>205</v>
      </c>
      <c r="F377" s="16" t="s">
        <v>140</v>
      </c>
      <c r="G377" s="15">
        <v>46143</v>
      </c>
      <c r="H377" s="15">
        <v>46161</v>
      </c>
      <c r="I377" s="15">
        <v>46164</v>
      </c>
      <c r="J377" s="15" t="s">
        <v>163</v>
      </c>
      <c r="K377" s="16" t="s">
        <v>193</v>
      </c>
      <c r="L377" t="s">
        <v>199</v>
      </c>
      <c r="M377" s="16" t="s">
        <v>152</v>
      </c>
      <c r="N377" s="16" t="s">
        <v>153</v>
      </c>
      <c r="O377" t="s">
        <v>1614</v>
      </c>
      <c r="P377" s="18">
        <v>1636</v>
      </c>
      <c r="Q377" s="21">
        <v>18</v>
      </c>
      <c r="R377" s="21" t="str">
        <f t="shared" si="105"/>
        <v>15-30 days</v>
      </c>
      <c r="S377" s="16" t="s">
        <v>216</v>
      </c>
      <c r="T377" s="16" t="s">
        <v>291</v>
      </c>
      <c r="U377" s="16" t="s">
        <v>187</v>
      </c>
      <c r="V377" t="str">
        <f>IF(U377="","",IFERROR(VLOOKUP(U377,Hotels!A:B,2,FALSE),"Not Found"))</f>
        <v>IHG Hotels &amp; Resorts</v>
      </c>
      <c r="W377" s="14">
        <v>338.07</v>
      </c>
      <c r="X377" s="14">
        <v>0</v>
      </c>
      <c r="Y377" s="21">
        <v>2</v>
      </c>
      <c r="Z377" s="29">
        <f t="shared" si="106"/>
        <v>197.69</v>
      </c>
      <c r="AA377" s="14">
        <v>395.38</v>
      </c>
      <c r="AB377" s="14">
        <v>67.34</v>
      </c>
      <c r="AC377" s="14">
        <v>800.79</v>
      </c>
      <c r="AD377" s="16" t="s">
        <v>147</v>
      </c>
      <c r="AE377" s="16" t="s">
        <v>147</v>
      </c>
      <c r="AF377" s="14">
        <f>SUMIF('Trip Changes'!$B:$B,A377,'Trip Changes'!$E:$E)</f>
        <v>0</v>
      </c>
      <c r="AG377" s="23">
        <f>SUMIF('Trip Cancellations'!$B:$B,A377,'Trip Cancellations'!$E:$E)</f>
        <v>0</v>
      </c>
      <c r="AH377" s="14">
        <f>SUMIF('Trip Cancellations'!$B:$B,A377,'Trip Cancellations'!$F:$F)</f>
        <v>0</v>
      </c>
      <c r="AI377" s="14">
        <f t="shared" si="107"/>
        <v>800.79</v>
      </c>
      <c r="AJ377" s="14" t="str">
        <f t="shared" si="108"/>
        <v>No</v>
      </c>
      <c r="AK377" s="14" t="str">
        <f>IF(Y377=0,"N/A",
IF(_xlfn.XLOOKUP(U377,Hotels!A:A,Hotels!C:C)=TRUE,"Yes","No"))</f>
        <v>Yes</v>
      </c>
      <c r="AL377" s="14" t="str">
        <f>IF(N377="Rail","N/A",IF(_xlfn.XLOOKUP(T377,Airlines!A:A,Airlines!C:C)=TRUE,"Yes","No"))</f>
        <v>No</v>
      </c>
      <c r="AM377" s="14" t="str">
        <f t="shared" si="109"/>
        <v>Yes</v>
      </c>
      <c r="AN377" s="14" t="str">
        <f t="shared" si="110"/>
        <v>No</v>
      </c>
      <c r="AO377" s="14" t="str">
        <f t="shared" si="111"/>
        <v>No</v>
      </c>
      <c r="AP377" s="16" t="s">
        <v>147</v>
      </c>
      <c r="AQ377" t="str">
        <f t="shared" si="112"/>
        <v>No</v>
      </c>
      <c r="AR377" s="21">
        <v>5</v>
      </c>
      <c r="AS377" s="5">
        <v>245.4</v>
      </c>
      <c r="AT377" s="5" t="str">
        <f>IF(T377="","",_xlfn.XLOOKUP(T377,Airlines!A:A,Airlines!B:B,"Not Found"))</f>
        <v>Ryanair</v>
      </c>
      <c r="AU377" s="5" t="str">
        <f>IF(U377="","",_xlfn.XLOOKUP(U377,Hotels!A:A,Hotels!B:B,"Not found"))</f>
        <v>IHG Hotels &amp; Resorts</v>
      </c>
      <c r="AV377" t="s">
        <v>147</v>
      </c>
      <c r="AW377" s="16" t="str">
        <f t="shared" si="113"/>
        <v>OK</v>
      </c>
      <c r="AX377" s="16" t="str">
        <f t="shared" si="114"/>
        <v>OK</v>
      </c>
      <c r="AY377" s="16" t="str">
        <f t="shared" si="115"/>
        <v>OK</v>
      </c>
      <c r="AZ377" s="16" t="str">
        <f t="shared" si="116"/>
        <v>OK</v>
      </c>
      <c r="BA377" s="16" t="str">
        <f t="shared" si="120"/>
        <v>OK</v>
      </c>
      <c r="BB377" s="21">
        <f>COUNTIF('Trip Changes'!B:B,A377)</f>
        <v>0</v>
      </c>
      <c r="BC377" s="16" t="str">
        <f>IF(OR(AND(AD377="Yes",COUNTIF('Trip Changes'!B:B,A377)&gt;0),AND(AD377="No",COUNTIF('Trip Changes'!B:B,A377)=0)),"OK","Check")</f>
        <v>OK</v>
      </c>
      <c r="BD377" t="str">
        <f t="shared" si="121"/>
        <v>OK</v>
      </c>
      <c r="BE377" t="str">
        <f t="shared" si="122"/>
        <v>OK</v>
      </c>
      <c r="BF377" t="str">
        <f t="shared" si="123"/>
        <v>OK</v>
      </c>
      <c r="BG377" t="str">
        <f t="shared" si="124"/>
        <v>OK</v>
      </c>
      <c r="BH377" t="str">
        <f t="shared" si="125"/>
        <v>OK</v>
      </c>
      <c r="BI377" t="str">
        <f t="shared" si="117"/>
        <v>OK</v>
      </c>
      <c r="BJ377" t="str">
        <f t="shared" si="118"/>
        <v>OK</v>
      </c>
      <c r="BK377" t="str">
        <f t="shared" si="119"/>
        <v>OK</v>
      </c>
    </row>
    <row r="378" spans="1:63">
      <c r="A378" s="16" t="s">
        <v>691</v>
      </c>
      <c r="B378" s="16" t="s">
        <v>689</v>
      </c>
      <c r="C378" s="16" t="s">
        <v>193</v>
      </c>
      <c r="D378" s="16" t="s">
        <v>168</v>
      </c>
      <c r="E378" s="16" t="s">
        <v>205</v>
      </c>
      <c r="F378" s="16" t="s">
        <v>162</v>
      </c>
      <c r="G378" s="15">
        <v>46137</v>
      </c>
      <c r="H378" s="15">
        <v>46169</v>
      </c>
      <c r="I378" s="15">
        <v>46172</v>
      </c>
      <c r="J378" s="15" t="s">
        <v>163</v>
      </c>
      <c r="K378" s="16" t="s">
        <v>193</v>
      </c>
      <c r="L378" t="s">
        <v>182</v>
      </c>
      <c r="M378" s="16" t="s">
        <v>143</v>
      </c>
      <c r="N378" s="16" t="s">
        <v>153</v>
      </c>
      <c r="O378" t="s">
        <v>1614</v>
      </c>
      <c r="P378" s="18">
        <v>690</v>
      </c>
      <c r="Q378" s="21">
        <v>32</v>
      </c>
      <c r="R378" s="21" t="str">
        <f t="shared" si="105"/>
        <v>31+ days</v>
      </c>
      <c r="S378" s="16" t="s">
        <v>145</v>
      </c>
      <c r="T378" s="16" t="s">
        <v>154</v>
      </c>
      <c r="U378" s="16" t="s">
        <v>164</v>
      </c>
      <c r="V378" t="str">
        <f>IF(U378="","",IFERROR(VLOOKUP(U378,Hotels!A:B,2,FALSE),"Not Found"))</f>
        <v>Marriott</v>
      </c>
      <c r="W378" s="14">
        <v>285.26</v>
      </c>
      <c r="X378" s="14">
        <v>0</v>
      </c>
      <c r="Y378" s="21">
        <v>2</v>
      </c>
      <c r="Z378" s="29">
        <f t="shared" si="106"/>
        <v>153.04499999999999</v>
      </c>
      <c r="AA378" s="14">
        <v>306.08999999999997</v>
      </c>
      <c r="AB378" s="14">
        <v>30.65</v>
      </c>
      <c r="AC378" s="14">
        <v>622</v>
      </c>
      <c r="AD378" s="16" t="s">
        <v>147</v>
      </c>
      <c r="AE378" s="16" t="s">
        <v>147</v>
      </c>
      <c r="AF378" s="14">
        <f>SUMIF('Trip Changes'!$B:$B,A378,'Trip Changes'!$E:$E)</f>
        <v>0</v>
      </c>
      <c r="AG378" s="23">
        <f>SUMIF('Trip Cancellations'!$B:$B,A378,'Trip Cancellations'!$E:$E)</f>
        <v>0</v>
      </c>
      <c r="AH378" s="14">
        <f>SUMIF('Trip Cancellations'!$B:$B,A378,'Trip Cancellations'!$F:$F)</f>
        <v>0</v>
      </c>
      <c r="AI378" s="14">
        <f t="shared" si="107"/>
        <v>622</v>
      </c>
      <c r="AJ378" s="14" t="str">
        <f t="shared" si="108"/>
        <v>Yes</v>
      </c>
      <c r="AK378" s="14" t="str">
        <f>IF(Y378=0,"N/A",
IF(_xlfn.XLOOKUP(U378,Hotels!A:A,Hotels!C:C)=TRUE,"Yes","No"))</f>
        <v>Yes</v>
      </c>
      <c r="AL378" s="14" t="str">
        <f>IF(N378="Rail","N/A",IF(_xlfn.XLOOKUP(T378,Airlines!A:A,Airlines!C:C)=TRUE,"Yes","No"))</f>
        <v>Yes</v>
      </c>
      <c r="AM378" s="14" t="str">
        <f t="shared" si="109"/>
        <v>Yes</v>
      </c>
      <c r="AN378" s="14" t="str">
        <f t="shared" si="110"/>
        <v>Yes</v>
      </c>
      <c r="AO378" s="14" t="str">
        <f t="shared" si="111"/>
        <v>Yes</v>
      </c>
      <c r="AP378" s="16" t="s">
        <v>148</v>
      </c>
      <c r="AQ378" t="str">
        <f t="shared" si="112"/>
        <v>Yes</v>
      </c>
      <c r="AR378" s="21">
        <v>5</v>
      </c>
      <c r="AS378" s="5">
        <v>103.5</v>
      </c>
      <c r="AT378" s="5" t="str">
        <f>IF(T378="","",_xlfn.XLOOKUP(T378,Airlines!A:A,Airlines!B:B,"Not Found"))</f>
        <v>British Airways</v>
      </c>
      <c r="AU378" s="5" t="str">
        <f>IF(U378="","",_xlfn.XLOOKUP(U378,Hotels!A:A,Hotels!B:B,"Not found"))</f>
        <v>Marriott</v>
      </c>
      <c r="AV378" t="s">
        <v>148</v>
      </c>
      <c r="AW378" s="16" t="str">
        <f t="shared" si="113"/>
        <v>OK</v>
      </c>
      <c r="AX378" s="16" t="str">
        <f t="shared" si="114"/>
        <v>OK</v>
      </c>
      <c r="AY378" s="16" t="str">
        <f t="shared" si="115"/>
        <v>OK</v>
      </c>
      <c r="AZ378" s="16" t="str">
        <f t="shared" si="116"/>
        <v>OK</v>
      </c>
      <c r="BA378" s="16" t="str">
        <f t="shared" si="120"/>
        <v>OK</v>
      </c>
      <c r="BB378" s="21">
        <f>COUNTIF('Trip Changes'!B:B,A378)</f>
        <v>0</v>
      </c>
      <c r="BC378" s="16" t="str">
        <f>IF(OR(AND(AD378="Yes",COUNTIF('Trip Changes'!B:B,A378)&gt;0),AND(AD378="No",COUNTIF('Trip Changes'!B:B,A378)=0)),"OK","Check")</f>
        <v>OK</v>
      </c>
      <c r="BD378" t="str">
        <f t="shared" si="121"/>
        <v>OK</v>
      </c>
      <c r="BE378" t="str">
        <f t="shared" si="122"/>
        <v>OK</v>
      </c>
      <c r="BF378" t="str">
        <f t="shared" si="123"/>
        <v>OK</v>
      </c>
      <c r="BG378" t="str">
        <f t="shared" si="124"/>
        <v>OK</v>
      </c>
      <c r="BH378" t="str">
        <f t="shared" si="125"/>
        <v>OK</v>
      </c>
      <c r="BI378" t="str">
        <f t="shared" si="117"/>
        <v>OK</v>
      </c>
      <c r="BJ378" t="str">
        <f t="shared" si="118"/>
        <v>OK</v>
      </c>
      <c r="BK378" t="str">
        <f t="shared" si="119"/>
        <v>OK</v>
      </c>
    </row>
    <row r="379" spans="1:63">
      <c r="A379" s="16" t="s">
        <v>692</v>
      </c>
      <c r="B379" s="16" t="s">
        <v>693</v>
      </c>
      <c r="C379" s="16" t="s">
        <v>307</v>
      </c>
      <c r="D379" s="16" t="s">
        <v>138</v>
      </c>
      <c r="E379" s="16" t="s">
        <v>169</v>
      </c>
      <c r="F379" s="16" t="s">
        <v>140</v>
      </c>
      <c r="G379" s="15">
        <v>46170</v>
      </c>
      <c r="H379" s="15">
        <v>46189</v>
      </c>
      <c r="I379" s="15">
        <v>46196</v>
      </c>
      <c r="J379" s="15" t="s">
        <v>141</v>
      </c>
      <c r="K379" s="16" t="s">
        <v>307</v>
      </c>
      <c r="L379" t="s">
        <v>305</v>
      </c>
      <c r="M379" s="16" t="s">
        <v>152</v>
      </c>
      <c r="N379" s="16" t="s">
        <v>153</v>
      </c>
      <c r="O379" t="s">
        <v>1614</v>
      </c>
      <c r="P379" s="18">
        <v>11408</v>
      </c>
      <c r="Q379" s="21">
        <v>19</v>
      </c>
      <c r="R379" s="21" t="str">
        <f t="shared" si="105"/>
        <v>15-30 days</v>
      </c>
      <c r="S379" s="16" t="s">
        <v>145</v>
      </c>
      <c r="T379" s="16" t="s">
        <v>278</v>
      </c>
      <c r="U379" s="16" t="s">
        <v>173</v>
      </c>
      <c r="V379" t="str">
        <f>IF(U379="","",IFERROR(VLOOKUP(U379,Hotels!A:B,2,FALSE),"Not Found"))</f>
        <v>Accor</v>
      </c>
      <c r="W379" s="14">
        <v>1611.5</v>
      </c>
      <c r="X379" s="14">
        <v>0</v>
      </c>
      <c r="Y379" s="21">
        <v>6</v>
      </c>
      <c r="Z379" s="29">
        <f t="shared" si="106"/>
        <v>178.99166666666667</v>
      </c>
      <c r="AA379" s="14">
        <v>1073.95</v>
      </c>
      <c r="AB379" s="14">
        <v>58.63</v>
      </c>
      <c r="AC379" s="14">
        <v>2744.08</v>
      </c>
      <c r="AD379" s="16" t="s">
        <v>147</v>
      </c>
      <c r="AE379" s="16" t="s">
        <v>147</v>
      </c>
      <c r="AF379" s="14">
        <f>SUMIF('Trip Changes'!$B:$B,A379,'Trip Changes'!$E:$E)</f>
        <v>0</v>
      </c>
      <c r="AG379" s="23">
        <f>SUMIF('Trip Cancellations'!$B:$B,A379,'Trip Cancellations'!$E:$E)</f>
        <v>0</v>
      </c>
      <c r="AH379" s="14">
        <f>SUMIF('Trip Cancellations'!$B:$B,A379,'Trip Cancellations'!$F:$F)</f>
        <v>0</v>
      </c>
      <c r="AI379" s="14">
        <f t="shared" si="107"/>
        <v>2744.08</v>
      </c>
      <c r="AJ379" s="14" t="str">
        <f t="shared" si="108"/>
        <v>Yes</v>
      </c>
      <c r="AK379" s="14" t="str">
        <f>IF(Y379=0,"N/A",
IF(_xlfn.XLOOKUP(U379,Hotels!A:A,Hotels!C:C)=TRUE,"Yes","No"))</f>
        <v>Yes</v>
      </c>
      <c r="AL379" s="14" t="str">
        <f>IF(N379="Rail","N/A",IF(_xlfn.XLOOKUP(T379,Airlines!A:A,Airlines!C:C)=TRUE,"Yes","No"))</f>
        <v>No</v>
      </c>
      <c r="AM379" s="14" t="str">
        <f t="shared" si="109"/>
        <v>Yes</v>
      </c>
      <c r="AN379" s="14" t="str">
        <f t="shared" si="110"/>
        <v>Yes</v>
      </c>
      <c r="AO379" s="14" t="str">
        <f t="shared" si="111"/>
        <v>No</v>
      </c>
      <c r="AP379" s="16" t="s">
        <v>148</v>
      </c>
      <c r="AQ379" t="str">
        <f t="shared" si="112"/>
        <v>No</v>
      </c>
      <c r="AR379" s="21">
        <v>4</v>
      </c>
      <c r="AS379" s="5">
        <v>1711.2</v>
      </c>
      <c r="AT379" s="5" t="str">
        <f>IF(T379="","",_xlfn.XLOOKUP(T379,Airlines!A:A,Airlines!B:B,"Not Found"))</f>
        <v>United Airlines</v>
      </c>
      <c r="AU379" s="5" t="str">
        <f>IF(U379="","",_xlfn.XLOOKUP(U379,Hotels!A:A,Hotels!B:B,"Not found"))</f>
        <v>Accor</v>
      </c>
      <c r="AV379" t="s">
        <v>147</v>
      </c>
      <c r="AW379" s="16" t="str">
        <f t="shared" si="113"/>
        <v>OK</v>
      </c>
      <c r="AX379" s="16" t="str">
        <f t="shared" si="114"/>
        <v>OK</v>
      </c>
      <c r="AY379" s="16" t="str">
        <f t="shared" si="115"/>
        <v>OK</v>
      </c>
      <c r="AZ379" s="16" t="str">
        <f t="shared" si="116"/>
        <v>OK</v>
      </c>
      <c r="BA379" s="16" t="str">
        <f t="shared" si="120"/>
        <v>OK</v>
      </c>
      <c r="BB379" s="21">
        <f>COUNTIF('Trip Changes'!B:B,A379)</f>
        <v>0</v>
      </c>
      <c r="BC379" s="16" t="str">
        <f>IF(OR(AND(AD379="Yes",COUNTIF('Trip Changes'!B:B,A379)&gt;0),AND(AD379="No",COUNTIF('Trip Changes'!B:B,A379)=0)),"OK","Check")</f>
        <v>OK</v>
      </c>
      <c r="BD379" t="str">
        <f t="shared" si="121"/>
        <v>OK</v>
      </c>
      <c r="BE379" t="str">
        <f t="shared" si="122"/>
        <v>OK</v>
      </c>
      <c r="BF379" t="str">
        <f t="shared" si="123"/>
        <v>OK</v>
      </c>
      <c r="BG379" t="str">
        <f t="shared" si="124"/>
        <v>OK</v>
      </c>
      <c r="BH379" t="str">
        <f t="shared" si="125"/>
        <v>OK</v>
      </c>
      <c r="BI379" t="str">
        <f t="shared" si="117"/>
        <v>OK</v>
      </c>
      <c r="BJ379" t="str">
        <f t="shared" si="118"/>
        <v>OK</v>
      </c>
      <c r="BK379" t="str">
        <f t="shared" si="119"/>
        <v>OK</v>
      </c>
    </row>
    <row r="380" spans="1:63">
      <c r="A380" s="16" t="s">
        <v>694</v>
      </c>
      <c r="B380" s="16" t="s">
        <v>693</v>
      </c>
      <c r="C380" s="16" t="s">
        <v>307</v>
      </c>
      <c r="D380" s="16" t="s">
        <v>138</v>
      </c>
      <c r="E380" s="16" t="s">
        <v>169</v>
      </c>
      <c r="F380" s="16" t="s">
        <v>162</v>
      </c>
      <c r="G380" s="15">
        <v>46215</v>
      </c>
      <c r="H380" s="15">
        <v>46228</v>
      </c>
      <c r="I380" s="15">
        <v>46232</v>
      </c>
      <c r="J380" s="15" t="s">
        <v>150</v>
      </c>
      <c r="K380" s="16" t="s">
        <v>307</v>
      </c>
      <c r="L380" t="s">
        <v>227</v>
      </c>
      <c r="M380" s="16" t="s">
        <v>152</v>
      </c>
      <c r="N380" s="16" t="s">
        <v>153</v>
      </c>
      <c r="O380" t="s">
        <v>1614</v>
      </c>
      <c r="P380" s="18">
        <v>1880</v>
      </c>
      <c r="Q380" s="21">
        <v>13</v>
      </c>
      <c r="R380" s="21" t="str">
        <f t="shared" si="105"/>
        <v>8-14 days</v>
      </c>
      <c r="S380" s="16" t="s">
        <v>145</v>
      </c>
      <c r="T380" s="16" t="s">
        <v>236</v>
      </c>
      <c r="U380" s="16" t="s">
        <v>173</v>
      </c>
      <c r="V380" t="str">
        <f>IF(U380="","",IFERROR(VLOOKUP(U380,Hotels!A:B,2,FALSE),"Not Found"))</f>
        <v>Accor</v>
      </c>
      <c r="W380" s="14">
        <v>476.47</v>
      </c>
      <c r="X380" s="14">
        <v>0</v>
      </c>
      <c r="Y380" s="21">
        <v>3</v>
      </c>
      <c r="Z380" s="29">
        <f t="shared" si="106"/>
        <v>258.16000000000003</v>
      </c>
      <c r="AA380" s="14">
        <v>774.48</v>
      </c>
      <c r="AB380" s="14">
        <v>69.22</v>
      </c>
      <c r="AC380" s="14">
        <v>1320.17</v>
      </c>
      <c r="AD380" s="16" t="s">
        <v>147</v>
      </c>
      <c r="AE380" s="16" t="s">
        <v>147</v>
      </c>
      <c r="AF380" s="14">
        <f>SUMIF('Trip Changes'!$B:$B,A380,'Trip Changes'!$E:$E)</f>
        <v>0</v>
      </c>
      <c r="AG380" s="23">
        <f>SUMIF('Trip Cancellations'!$B:$B,A380,'Trip Cancellations'!$E:$E)</f>
        <v>0</v>
      </c>
      <c r="AH380" s="14">
        <f>SUMIF('Trip Cancellations'!$B:$B,A380,'Trip Cancellations'!$F:$F)</f>
        <v>0</v>
      </c>
      <c r="AI380" s="14">
        <f t="shared" si="107"/>
        <v>1320.17</v>
      </c>
      <c r="AJ380" s="14" t="str">
        <f t="shared" si="108"/>
        <v>No</v>
      </c>
      <c r="AK380" s="14" t="str">
        <f>IF(Y380=0,"N/A",
IF(_xlfn.XLOOKUP(U380,Hotels!A:A,Hotels!C:C)=TRUE,"Yes","No"))</f>
        <v>Yes</v>
      </c>
      <c r="AL380" s="14" t="str">
        <f>IF(N380="Rail","N/A",IF(_xlfn.XLOOKUP(T380,Airlines!A:A,Airlines!C:C)=TRUE,"Yes","No"))</f>
        <v>Yes</v>
      </c>
      <c r="AM380" s="14" t="str">
        <f t="shared" si="109"/>
        <v>Yes</v>
      </c>
      <c r="AN380" s="14" t="str">
        <f t="shared" si="110"/>
        <v>Yes</v>
      </c>
      <c r="AO380" s="14" t="str">
        <f t="shared" si="111"/>
        <v>Yes</v>
      </c>
      <c r="AP380" s="16" t="s">
        <v>148</v>
      </c>
      <c r="AQ380" t="str">
        <f t="shared" si="112"/>
        <v>No</v>
      </c>
      <c r="AR380" s="21">
        <v>4</v>
      </c>
      <c r="AS380" s="5">
        <v>282</v>
      </c>
      <c r="AT380" s="5" t="str">
        <f>IF(T380="","",_xlfn.XLOOKUP(T380,Airlines!A:A,Airlines!B:B,"Not Found"))</f>
        <v>KLM</v>
      </c>
      <c r="AU380" s="5" t="str">
        <f>IF(U380="","",_xlfn.XLOOKUP(U380,Hotels!A:A,Hotels!B:B,"Not found"))</f>
        <v>Accor</v>
      </c>
      <c r="AV380" t="s">
        <v>147</v>
      </c>
      <c r="AW380" s="16" t="str">
        <f t="shared" si="113"/>
        <v>OK</v>
      </c>
      <c r="AX380" s="16" t="str">
        <f t="shared" si="114"/>
        <v>OK</v>
      </c>
      <c r="AY380" s="16" t="str">
        <f t="shared" si="115"/>
        <v>OK</v>
      </c>
      <c r="AZ380" s="16" t="str">
        <f t="shared" si="116"/>
        <v>OK</v>
      </c>
      <c r="BA380" s="16" t="str">
        <f t="shared" si="120"/>
        <v>OK</v>
      </c>
      <c r="BB380" s="21">
        <f>COUNTIF('Trip Changes'!B:B,A380)</f>
        <v>0</v>
      </c>
      <c r="BC380" s="16" t="str">
        <f>IF(OR(AND(AD380="Yes",COUNTIF('Trip Changes'!B:B,A380)&gt;0),AND(AD380="No",COUNTIF('Trip Changes'!B:B,A380)=0)),"OK","Check")</f>
        <v>OK</v>
      </c>
      <c r="BD380" t="str">
        <f t="shared" si="121"/>
        <v>OK</v>
      </c>
      <c r="BE380" t="str">
        <f t="shared" si="122"/>
        <v>OK</v>
      </c>
      <c r="BF380" t="str">
        <f t="shared" si="123"/>
        <v>OK</v>
      </c>
      <c r="BG380" t="str">
        <f t="shared" si="124"/>
        <v>OK</v>
      </c>
      <c r="BH380" t="str">
        <f t="shared" si="125"/>
        <v>OK</v>
      </c>
      <c r="BI380" t="str">
        <f t="shared" si="117"/>
        <v>OK</v>
      </c>
      <c r="BJ380" t="str">
        <f t="shared" si="118"/>
        <v>OK</v>
      </c>
      <c r="BK380" t="str">
        <f t="shared" si="119"/>
        <v>OK</v>
      </c>
    </row>
    <row r="381" spans="1:63">
      <c r="A381" s="16" t="s">
        <v>695</v>
      </c>
      <c r="B381" s="16" t="s">
        <v>693</v>
      </c>
      <c r="C381" s="16" t="s">
        <v>307</v>
      </c>
      <c r="D381" s="16" t="s">
        <v>138</v>
      </c>
      <c r="E381" s="16" t="s">
        <v>169</v>
      </c>
      <c r="F381" s="16" t="s">
        <v>157</v>
      </c>
      <c r="G381" s="15">
        <v>46192</v>
      </c>
      <c r="H381" s="15">
        <v>46209</v>
      </c>
      <c r="I381" s="15">
        <v>46211</v>
      </c>
      <c r="J381" s="15" t="s">
        <v>150</v>
      </c>
      <c r="K381" s="16" t="s">
        <v>307</v>
      </c>
      <c r="L381" t="s">
        <v>199</v>
      </c>
      <c r="M381" s="16" t="s">
        <v>152</v>
      </c>
      <c r="N381" s="16" t="s">
        <v>153</v>
      </c>
      <c r="O381" t="s">
        <v>1614</v>
      </c>
      <c r="P381" s="18">
        <v>3374</v>
      </c>
      <c r="Q381" s="21">
        <v>17</v>
      </c>
      <c r="R381" s="21" t="str">
        <f t="shared" si="105"/>
        <v>15-30 days</v>
      </c>
      <c r="S381" s="16" t="s">
        <v>145</v>
      </c>
      <c r="T381" s="16" t="s">
        <v>200</v>
      </c>
      <c r="U381" s="16" t="s">
        <v>164</v>
      </c>
      <c r="V381" t="str">
        <f>IF(U381="","",IFERROR(VLOOKUP(U381,Hotels!A:B,2,FALSE),"Not Found"))</f>
        <v>Marriott</v>
      </c>
      <c r="W381" s="14">
        <v>344.49</v>
      </c>
      <c r="X381" s="14">
        <v>0</v>
      </c>
      <c r="Y381" s="21">
        <v>1</v>
      </c>
      <c r="Z381" s="29">
        <f t="shared" si="106"/>
        <v>175.03</v>
      </c>
      <c r="AA381" s="14">
        <v>175.03</v>
      </c>
      <c r="AB381" s="14">
        <v>80.760000000000005</v>
      </c>
      <c r="AC381" s="14">
        <v>600.28</v>
      </c>
      <c r="AD381" s="16" t="s">
        <v>147</v>
      </c>
      <c r="AE381" s="16" t="s">
        <v>147</v>
      </c>
      <c r="AF381" s="14">
        <f>SUMIF('Trip Changes'!$B:$B,A381,'Trip Changes'!$E:$E)</f>
        <v>0</v>
      </c>
      <c r="AG381" s="23">
        <f>SUMIF('Trip Cancellations'!$B:$B,A381,'Trip Cancellations'!$E:$E)</f>
        <v>0</v>
      </c>
      <c r="AH381" s="14">
        <f>SUMIF('Trip Cancellations'!$B:$B,A381,'Trip Cancellations'!$F:$F)</f>
        <v>0</v>
      </c>
      <c r="AI381" s="14">
        <f t="shared" si="107"/>
        <v>600.28</v>
      </c>
      <c r="AJ381" s="14" t="str">
        <f t="shared" si="108"/>
        <v>Yes</v>
      </c>
      <c r="AK381" s="14" t="str">
        <f>IF(Y381=0,"N/A",
IF(_xlfn.XLOOKUP(U381,Hotels!A:A,Hotels!C:C)=TRUE,"Yes","No"))</f>
        <v>Yes</v>
      </c>
      <c r="AL381" s="14" t="str">
        <f>IF(N381="Rail","N/A",IF(_xlfn.XLOOKUP(T381,Airlines!A:A,Airlines!C:C)=TRUE,"Yes","No"))</f>
        <v>Yes</v>
      </c>
      <c r="AM381" s="14" t="str">
        <f t="shared" si="109"/>
        <v>Yes</v>
      </c>
      <c r="AN381" s="14" t="str">
        <f t="shared" si="110"/>
        <v>Yes</v>
      </c>
      <c r="AO381" s="14" t="str">
        <f t="shared" si="111"/>
        <v>Yes</v>
      </c>
      <c r="AP381" s="16" t="s">
        <v>148</v>
      </c>
      <c r="AQ381" t="str">
        <f t="shared" si="112"/>
        <v>Yes</v>
      </c>
      <c r="AR381" s="21">
        <v>4</v>
      </c>
      <c r="AS381" s="5">
        <v>506.1</v>
      </c>
      <c r="AT381" s="5" t="str">
        <f>IF(T381="","",_xlfn.XLOOKUP(T381,Airlines!A:A,Airlines!B:B,"Not Found"))</f>
        <v>Aer Lingus</v>
      </c>
      <c r="AU381" s="5" t="str">
        <f>IF(U381="","",_xlfn.XLOOKUP(U381,Hotels!A:A,Hotels!B:B,"Not found"))</f>
        <v>Marriott</v>
      </c>
      <c r="AV381" t="s">
        <v>148</v>
      </c>
      <c r="AW381" s="16" t="str">
        <f t="shared" si="113"/>
        <v>OK</v>
      </c>
      <c r="AX381" s="16" t="str">
        <f t="shared" si="114"/>
        <v>OK</v>
      </c>
      <c r="AY381" s="16" t="str">
        <f t="shared" si="115"/>
        <v>OK</v>
      </c>
      <c r="AZ381" s="16" t="str">
        <f t="shared" si="116"/>
        <v>OK</v>
      </c>
      <c r="BA381" s="16" t="str">
        <f t="shared" si="120"/>
        <v>OK</v>
      </c>
      <c r="BB381" s="21">
        <f>COUNTIF('Trip Changes'!B:B,A381)</f>
        <v>0</v>
      </c>
      <c r="BC381" s="16" t="str">
        <f>IF(OR(AND(AD381="Yes",COUNTIF('Trip Changes'!B:B,A381)&gt;0),AND(AD381="No",COUNTIF('Trip Changes'!B:B,A381)=0)),"OK","Check")</f>
        <v>OK</v>
      </c>
      <c r="BD381" t="str">
        <f t="shared" si="121"/>
        <v>OK</v>
      </c>
      <c r="BE381" t="str">
        <f t="shared" si="122"/>
        <v>OK</v>
      </c>
      <c r="BF381" t="str">
        <f t="shared" si="123"/>
        <v>OK</v>
      </c>
      <c r="BG381" t="str">
        <f t="shared" si="124"/>
        <v>OK</v>
      </c>
      <c r="BH381" t="str">
        <f t="shared" si="125"/>
        <v>OK</v>
      </c>
      <c r="BI381" t="str">
        <f t="shared" si="117"/>
        <v>OK</v>
      </c>
      <c r="BJ381" t="str">
        <f t="shared" si="118"/>
        <v>OK</v>
      </c>
      <c r="BK381" t="str">
        <f t="shared" si="119"/>
        <v>OK</v>
      </c>
    </row>
    <row r="382" spans="1:63">
      <c r="A382" s="16" t="s">
        <v>696</v>
      </c>
      <c r="B382" s="16" t="s">
        <v>697</v>
      </c>
      <c r="C382" s="16" t="s">
        <v>182</v>
      </c>
      <c r="D382" s="16" t="s">
        <v>194</v>
      </c>
      <c r="E382" s="16" t="s">
        <v>139</v>
      </c>
      <c r="F382" s="16" t="s">
        <v>170</v>
      </c>
      <c r="G382" s="15">
        <v>46205</v>
      </c>
      <c r="H382" s="15">
        <v>46228</v>
      </c>
      <c r="I382" s="15">
        <v>46230</v>
      </c>
      <c r="J382" s="15" t="s">
        <v>150</v>
      </c>
      <c r="K382" s="16" t="s">
        <v>182</v>
      </c>
      <c r="L382" t="s">
        <v>233</v>
      </c>
      <c r="M382" s="16" t="s">
        <v>152</v>
      </c>
      <c r="N382" s="16" t="s">
        <v>153</v>
      </c>
      <c r="O382" t="s">
        <v>1614</v>
      </c>
      <c r="P382" s="18">
        <v>1186</v>
      </c>
      <c r="Q382" s="21">
        <v>23</v>
      </c>
      <c r="R382" s="21" t="str">
        <f t="shared" si="105"/>
        <v>15-30 days</v>
      </c>
      <c r="S382" s="16" t="s">
        <v>145</v>
      </c>
      <c r="T382" s="16" t="s">
        <v>160</v>
      </c>
      <c r="U382" s="16" t="s">
        <v>173</v>
      </c>
      <c r="V382" t="str">
        <f>IF(U382="","",IFERROR(VLOOKUP(U382,Hotels!A:B,2,FALSE),"Not Found"))</f>
        <v>Accor</v>
      </c>
      <c r="W382" s="14">
        <v>374.99</v>
      </c>
      <c r="X382" s="14">
        <v>0</v>
      </c>
      <c r="Y382" s="21">
        <v>1</v>
      </c>
      <c r="Z382" s="29">
        <f t="shared" si="106"/>
        <v>248.36</v>
      </c>
      <c r="AA382" s="14">
        <v>248.36</v>
      </c>
      <c r="AB382" s="14">
        <v>77.459999999999994</v>
      </c>
      <c r="AC382" s="14">
        <v>700.81</v>
      </c>
      <c r="AD382" s="16" t="s">
        <v>147</v>
      </c>
      <c r="AE382" s="16" t="s">
        <v>147</v>
      </c>
      <c r="AF382" s="14">
        <f>SUMIF('Trip Changes'!$B:$B,A382,'Trip Changes'!$E:$E)</f>
        <v>0</v>
      </c>
      <c r="AG382" s="23">
        <f>SUMIF('Trip Cancellations'!$B:$B,A382,'Trip Cancellations'!$E:$E)</f>
        <v>0</v>
      </c>
      <c r="AH382" s="14">
        <f>SUMIF('Trip Cancellations'!$B:$B,A382,'Trip Cancellations'!$F:$F)</f>
        <v>0</v>
      </c>
      <c r="AI382" s="14">
        <f t="shared" si="107"/>
        <v>700.81</v>
      </c>
      <c r="AJ382" s="14" t="str">
        <f t="shared" si="108"/>
        <v>No</v>
      </c>
      <c r="AK382" s="14" t="str">
        <f>IF(Y382=0,"N/A",
IF(_xlfn.XLOOKUP(U382,Hotels!A:A,Hotels!C:C)=TRUE,"Yes","No"))</f>
        <v>Yes</v>
      </c>
      <c r="AL382" s="14" t="str">
        <f>IF(N382="Rail","N/A",IF(_xlfn.XLOOKUP(T382,Airlines!A:A,Airlines!C:C)=TRUE,"Yes","No"))</f>
        <v>Yes</v>
      </c>
      <c r="AM382" s="14" t="str">
        <f t="shared" si="109"/>
        <v>Yes</v>
      </c>
      <c r="AN382" s="14" t="str">
        <f t="shared" si="110"/>
        <v>Yes</v>
      </c>
      <c r="AO382" s="14" t="str">
        <f t="shared" si="111"/>
        <v>Yes</v>
      </c>
      <c r="AP382" s="16" t="s">
        <v>148</v>
      </c>
      <c r="AQ382" t="str">
        <f t="shared" si="112"/>
        <v>No</v>
      </c>
      <c r="AR382" s="21">
        <v>5</v>
      </c>
      <c r="AS382" s="5">
        <v>177.9</v>
      </c>
      <c r="AT382" s="5" t="str">
        <f>IF(T382="","",_xlfn.XLOOKUP(T382,Airlines!A:A,Airlines!B:B,"Not Found"))</f>
        <v>Air France</v>
      </c>
      <c r="AU382" s="5" t="str">
        <f>IF(U382="","",_xlfn.XLOOKUP(U382,Hotels!A:A,Hotels!B:B,"Not found"))</f>
        <v>Accor</v>
      </c>
      <c r="AV382" t="s">
        <v>147</v>
      </c>
      <c r="AW382" s="16" t="str">
        <f t="shared" si="113"/>
        <v>OK</v>
      </c>
      <c r="AX382" s="16" t="str">
        <f t="shared" si="114"/>
        <v>OK</v>
      </c>
      <c r="AY382" s="16" t="str">
        <f t="shared" si="115"/>
        <v>OK</v>
      </c>
      <c r="AZ382" s="16" t="str">
        <f t="shared" si="116"/>
        <v>OK</v>
      </c>
      <c r="BA382" s="16" t="str">
        <f t="shared" si="120"/>
        <v>OK</v>
      </c>
      <c r="BB382" s="21">
        <f>COUNTIF('Trip Changes'!B:B,A382)</f>
        <v>0</v>
      </c>
      <c r="BC382" s="16" t="str">
        <f>IF(OR(AND(AD382="Yes",COUNTIF('Trip Changes'!B:B,A382)&gt;0),AND(AD382="No",COUNTIF('Trip Changes'!B:B,A382)=0)),"OK","Check")</f>
        <v>OK</v>
      </c>
      <c r="BD382" t="str">
        <f t="shared" si="121"/>
        <v>OK</v>
      </c>
      <c r="BE382" t="str">
        <f t="shared" si="122"/>
        <v>OK</v>
      </c>
      <c r="BF382" t="str">
        <f t="shared" si="123"/>
        <v>OK</v>
      </c>
      <c r="BG382" t="str">
        <f t="shared" si="124"/>
        <v>OK</v>
      </c>
      <c r="BH382" t="str">
        <f t="shared" si="125"/>
        <v>OK</v>
      </c>
      <c r="BI382" t="str">
        <f t="shared" si="117"/>
        <v>OK</v>
      </c>
      <c r="BJ382" t="str">
        <f t="shared" si="118"/>
        <v>OK</v>
      </c>
      <c r="BK382" t="str">
        <f t="shared" si="119"/>
        <v>OK</v>
      </c>
    </row>
    <row r="383" spans="1:63">
      <c r="A383" s="16" t="s">
        <v>698</v>
      </c>
      <c r="B383" s="16" t="s">
        <v>697</v>
      </c>
      <c r="C383" s="16" t="s">
        <v>182</v>
      </c>
      <c r="D383" s="16" t="s">
        <v>194</v>
      </c>
      <c r="E383" s="16" t="s">
        <v>139</v>
      </c>
      <c r="F383" s="16" t="s">
        <v>181</v>
      </c>
      <c r="G383" s="15">
        <v>46187</v>
      </c>
      <c r="H383" s="15">
        <v>46196</v>
      </c>
      <c r="I383" s="15">
        <v>46199</v>
      </c>
      <c r="J383" s="15" t="s">
        <v>141</v>
      </c>
      <c r="K383" s="16" t="s">
        <v>182</v>
      </c>
      <c r="L383" t="s">
        <v>199</v>
      </c>
      <c r="M383" s="16" t="s">
        <v>152</v>
      </c>
      <c r="N383" s="16" t="s">
        <v>153</v>
      </c>
      <c r="O383" t="s">
        <v>1614</v>
      </c>
      <c r="P383" s="18">
        <v>1584</v>
      </c>
      <c r="Q383" s="21">
        <v>9</v>
      </c>
      <c r="R383" s="21" t="str">
        <f t="shared" si="105"/>
        <v>8-14 days</v>
      </c>
      <c r="S383" s="16" t="s">
        <v>159</v>
      </c>
      <c r="T383" s="16" t="s">
        <v>291</v>
      </c>
      <c r="U383" s="16" t="s">
        <v>164</v>
      </c>
      <c r="V383" t="str">
        <f>IF(U383="","",IFERROR(VLOOKUP(U383,Hotels!A:B,2,FALSE),"Not Found"))</f>
        <v>Marriott</v>
      </c>
      <c r="W383" s="14">
        <v>541.41</v>
      </c>
      <c r="X383" s="14">
        <v>0</v>
      </c>
      <c r="Y383" s="21">
        <v>2</v>
      </c>
      <c r="Z383" s="29">
        <f t="shared" si="106"/>
        <v>107.175</v>
      </c>
      <c r="AA383" s="14">
        <v>214.35</v>
      </c>
      <c r="AB383" s="14">
        <v>56.23</v>
      </c>
      <c r="AC383" s="14">
        <v>811.99</v>
      </c>
      <c r="AD383" s="16" t="s">
        <v>148</v>
      </c>
      <c r="AE383" s="16" t="s">
        <v>147</v>
      </c>
      <c r="AF383" s="14">
        <f>SUMIF('Trip Changes'!$B:$B,A383,'Trip Changes'!$E:$E)</f>
        <v>21.01</v>
      </c>
      <c r="AG383" s="23">
        <f>SUMIF('Trip Cancellations'!$B:$B,A383,'Trip Cancellations'!$E:$E)</f>
        <v>0</v>
      </c>
      <c r="AH383" s="14">
        <f>SUMIF('Trip Cancellations'!$B:$B,A383,'Trip Cancellations'!$F:$F)</f>
        <v>0</v>
      </c>
      <c r="AI383" s="14">
        <f t="shared" si="107"/>
        <v>833</v>
      </c>
      <c r="AJ383" s="14" t="str">
        <f t="shared" si="108"/>
        <v>Yes</v>
      </c>
      <c r="AK383" s="14" t="str">
        <f>IF(Y383=0,"N/A",
IF(_xlfn.XLOOKUP(U383,Hotels!A:A,Hotels!C:C)=TRUE,"Yes","No"))</f>
        <v>Yes</v>
      </c>
      <c r="AL383" s="14" t="str">
        <f>IF(N383="Rail","N/A",IF(_xlfn.XLOOKUP(T383,Airlines!A:A,Airlines!C:C)=TRUE,"Yes","No"))</f>
        <v>No</v>
      </c>
      <c r="AM383" s="14" t="str">
        <f t="shared" si="109"/>
        <v>Yes</v>
      </c>
      <c r="AN383" s="14" t="str">
        <f t="shared" si="110"/>
        <v>Yes</v>
      </c>
      <c r="AO383" s="14" t="str">
        <f t="shared" si="111"/>
        <v>No</v>
      </c>
      <c r="AP383" s="16" t="s">
        <v>148</v>
      </c>
      <c r="AQ383" t="str">
        <f t="shared" si="112"/>
        <v>No</v>
      </c>
      <c r="AR383" s="21">
        <v>4</v>
      </c>
      <c r="AS383" s="5">
        <v>237.6</v>
      </c>
      <c r="AT383" s="5" t="str">
        <f>IF(T383="","",_xlfn.XLOOKUP(T383,Airlines!A:A,Airlines!B:B,"Not Found"))</f>
        <v>Ryanair</v>
      </c>
      <c r="AU383" s="5" t="str">
        <f>IF(U383="","",_xlfn.XLOOKUP(U383,Hotels!A:A,Hotels!B:B,"Not found"))</f>
        <v>Marriott</v>
      </c>
      <c r="AV383" t="s">
        <v>148</v>
      </c>
      <c r="AW383" s="16" t="str">
        <f t="shared" si="113"/>
        <v>OK</v>
      </c>
      <c r="AX383" s="16" t="str">
        <f t="shared" si="114"/>
        <v>OK</v>
      </c>
      <c r="AY383" s="16" t="str">
        <f t="shared" si="115"/>
        <v>OK</v>
      </c>
      <c r="AZ383" s="16" t="str">
        <f t="shared" si="116"/>
        <v>OK</v>
      </c>
      <c r="BA383" s="16" t="str">
        <f t="shared" si="120"/>
        <v>OK</v>
      </c>
      <c r="BB383" s="21">
        <f>COUNTIF('Trip Changes'!B:B,A383)</f>
        <v>1</v>
      </c>
      <c r="BC383" s="16" t="str">
        <f>IF(OR(AND(AD383="Yes",COUNTIF('Trip Changes'!B:B,A383)&gt;0),AND(AD383="No",COUNTIF('Trip Changes'!B:B,A383)=0)),"OK","Check")</f>
        <v>OK</v>
      </c>
      <c r="BD383" t="str">
        <f t="shared" si="121"/>
        <v>OK</v>
      </c>
      <c r="BE383" t="str">
        <f t="shared" si="122"/>
        <v>OK</v>
      </c>
      <c r="BF383" t="str">
        <f t="shared" si="123"/>
        <v>OK</v>
      </c>
      <c r="BG383" t="str">
        <f t="shared" si="124"/>
        <v>OK</v>
      </c>
      <c r="BH383" t="str">
        <f t="shared" si="125"/>
        <v>OK</v>
      </c>
      <c r="BI383" t="str">
        <f t="shared" si="117"/>
        <v>OK</v>
      </c>
      <c r="BJ383" t="str">
        <f t="shared" si="118"/>
        <v>OK</v>
      </c>
      <c r="BK383" t="str">
        <f t="shared" si="119"/>
        <v>OK</v>
      </c>
    </row>
    <row r="384" spans="1:63">
      <c r="A384" s="16" t="s">
        <v>699</v>
      </c>
      <c r="B384" s="16" t="s">
        <v>697</v>
      </c>
      <c r="C384" s="16" t="s">
        <v>182</v>
      </c>
      <c r="D384" s="16" t="s">
        <v>194</v>
      </c>
      <c r="E384" s="16" t="s">
        <v>139</v>
      </c>
      <c r="F384" s="16" t="s">
        <v>170</v>
      </c>
      <c r="G384" s="15">
        <v>46214</v>
      </c>
      <c r="H384" s="15">
        <v>46224</v>
      </c>
      <c r="I384" s="15">
        <v>46228</v>
      </c>
      <c r="J384" s="15" t="s">
        <v>150</v>
      </c>
      <c r="K384" s="16" t="s">
        <v>182</v>
      </c>
      <c r="L384" t="s">
        <v>233</v>
      </c>
      <c r="M384" s="16" t="s">
        <v>152</v>
      </c>
      <c r="N384" s="16" t="s">
        <v>153</v>
      </c>
      <c r="O384" t="s">
        <v>1614</v>
      </c>
      <c r="P384" s="18">
        <v>1422</v>
      </c>
      <c r="Q384" s="21">
        <v>10</v>
      </c>
      <c r="R384" s="21" t="str">
        <f t="shared" si="105"/>
        <v>8-14 days</v>
      </c>
      <c r="S384" s="16" t="s">
        <v>159</v>
      </c>
      <c r="T384" s="16" t="s">
        <v>160</v>
      </c>
      <c r="U384" s="16" t="s">
        <v>187</v>
      </c>
      <c r="V384" t="str">
        <f>IF(U384="","",IFERROR(VLOOKUP(U384,Hotels!A:B,2,FALSE),"Not Found"))</f>
        <v>IHG Hotels &amp; Resorts</v>
      </c>
      <c r="W384" s="14">
        <v>226.9</v>
      </c>
      <c r="X384" s="14">
        <v>0</v>
      </c>
      <c r="Y384" s="21">
        <v>3</v>
      </c>
      <c r="Z384" s="29">
        <f t="shared" si="106"/>
        <v>151.45666666666668</v>
      </c>
      <c r="AA384" s="14">
        <v>454.37</v>
      </c>
      <c r="AB384" s="14">
        <v>70.25</v>
      </c>
      <c r="AC384" s="14">
        <v>751.52</v>
      </c>
      <c r="AD384" s="16" t="s">
        <v>147</v>
      </c>
      <c r="AE384" s="16" t="s">
        <v>147</v>
      </c>
      <c r="AF384" s="14">
        <f>SUMIF('Trip Changes'!$B:$B,A384,'Trip Changes'!$E:$E)</f>
        <v>0</v>
      </c>
      <c r="AG384" s="23">
        <f>SUMIF('Trip Cancellations'!$B:$B,A384,'Trip Cancellations'!$E:$E)</f>
        <v>0</v>
      </c>
      <c r="AH384" s="14">
        <f>SUMIF('Trip Cancellations'!$B:$B,A384,'Trip Cancellations'!$F:$F)</f>
        <v>0</v>
      </c>
      <c r="AI384" s="14">
        <f t="shared" si="107"/>
        <v>751.52</v>
      </c>
      <c r="AJ384" s="14" t="str">
        <f t="shared" si="108"/>
        <v>Yes</v>
      </c>
      <c r="AK384" s="14" t="str">
        <f>IF(Y384=0,"N/A",
IF(_xlfn.XLOOKUP(U384,Hotels!A:A,Hotels!C:C)=TRUE,"Yes","No"))</f>
        <v>Yes</v>
      </c>
      <c r="AL384" s="14" t="str">
        <f>IF(N384="Rail","N/A",IF(_xlfn.XLOOKUP(T384,Airlines!A:A,Airlines!C:C)=TRUE,"Yes","No"))</f>
        <v>Yes</v>
      </c>
      <c r="AM384" s="14" t="str">
        <f t="shared" si="109"/>
        <v>Yes</v>
      </c>
      <c r="AN384" s="14" t="str">
        <f t="shared" si="110"/>
        <v>Yes</v>
      </c>
      <c r="AO384" s="14" t="str">
        <f t="shared" si="111"/>
        <v>Yes</v>
      </c>
      <c r="AP384" s="16" t="s">
        <v>148</v>
      </c>
      <c r="AQ384" t="str">
        <f t="shared" si="112"/>
        <v>Yes</v>
      </c>
      <c r="AR384" s="21">
        <v>3</v>
      </c>
      <c r="AS384" s="5">
        <v>213.3</v>
      </c>
      <c r="AT384" s="5" t="str">
        <f>IF(T384="","",_xlfn.XLOOKUP(T384,Airlines!A:A,Airlines!B:B,"Not Found"))</f>
        <v>Air France</v>
      </c>
      <c r="AU384" s="5" t="str">
        <f>IF(U384="","",_xlfn.XLOOKUP(U384,Hotels!A:A,Hotels!B:B,"Not found"))</f>
        <v>IHG Hotels &amp; Resorts</v>
      </c>
      <c r="AV384" t="s">
        <v>147</v>
      </c>
      <c r="AW384" s="16" t="str">
        <f t="shared" si="113"/>
        <v>OK</v>
      </c>
      <c r="AX384" s="16" t="str">
        <f t="shared" si="114"/>
        <v>OK</v>
      </c>
      <c r="AY384" s="16" t="str">
        <f t="shared" si="115"/>
        <v>OK</v>
      </c>
      <c r="AZ384" s="16" t="str">
        <f t="shared" si="116"/>
        <v>OK</v>
      </c>
      <c r="BA384" s="16" t="str">
        <f t="shared" si="120"/>
        <v>OK</v>
      </c>
      <c r="BB384" s="21">
        <f>COUNTIF('Trip Changes'!B:B,A384)</f>
        <v>0</v>
      </c>
      <c r="BC384" s="16" t="str">
        <f>IF(OR(AND(AD384="Yes",COUNTIF('Trip Changes'!B:B,A384)&gt;0),AND(AD384="No",COUNTIF('Trip Changes'!B:B,A384)=0)),"OK","Check")</f>
        <v>OK</v>
      </c>
      <c r="BD384" t="str">
        <f t="shared" si="121"/>
        <v>OK</v>
      </c>
      <c r="BE384" t="str">
        <f t="shared" si="122"/>
        <v>OK</v>
      </c>
      <c r="BF384" t="str">
        <f t="shared" si="123"/>
        <v>OK</v>
      </c>
      <c r="BG384" t="str">
        <f t="shared" si="124"/>
        <v>OK</v>
      </c>
      <c r="BH384" t="str">
        <f t="shared" si="125"/>
        <v>OK</v>
      </c>
      <c r="BI384" t="str">
        <f t="shared" si="117"/>
        <v>OK</v>
      </c>
      <c r="BJ384" t="str">
        <f t="shared" si="118"/>
        <v>OK</v>
      </c>
      <c r="BK384" t="str">
        <f t="shared" si="119"/>
        <v>OK</v>
      </c>
    </row>
    <row r="385" spans="1:63">
      <c r="A385" s="16" t="s">
        <v>700</v>
      </c>
      <c r="B385" s="16" t="s">
        <v>697</v>
      </c>
      <c r="C385" s="16" t="s">
        <v>182</v>
      </c>
      <c r="D385" s="16" t="s">
        <v>194</v>
      </c>
      <c r="E385" s="16" t="s">
        <v>139</v>
      </c>
      <c r="F385" s="16" t="s">
        <v>157</v>
      </c>
      <c r="G385" s="15">
        <v>46145</v>
      </c>
      <c r="H385" s="15">
        <v>46155</v>
      </c>
      <c r="I385" s="15">
        <v>46157</v>
      </c>
      <c r="J385" s="15" t="s">
        <v>163</v>
      </c>
      <c r="K385" s="16" t="s">
        <v>182</v>
      </c>
      <c r="L385" t="s">
        <v>171</v>
      </c>
      <c r="M385" s="16" t="s">
        <v>152</v>
      </c>
      <c r="N385" s="16" t="s">
        <v>153</v>
      </c>
      <c r="O385" t="s">
        <v>1614</v>
      </c>
      <c r="P385" s="18">
        <v>1822</v>
      </c>
      <c r="Q385" s="21">
        <v>10</v>
      </c>
      <c r="R385" s="21" t="str">
        <f t="shared" si="105"/>
        <v>8-14 days</v>
      </c>
      <c r="S385" s="16" t="s">
        <v>159</v>
      </c>
      <c r="T385" s="16" t="s">
        <v>154</v>
      </c>
      <c r="U385" s="16" t="s">
        <v>173</v>
      </c>
      <c r="V385" t="str">
        <f>IF(U385="","",IFERROR(VLOOKUP(U385,Hotels!A:B,2,FALSE),"Not Found"))</f>
        <v>Accor</v>
      </c>
      <c r="W385" s="14">
        <v>709.26</v>
      </c>
      <c r="X385" s="14">
        <v>0</v>
      </c>
      <c r="Y385" s="21">
        <v>1</v>
      </c>
      <c r="Z385" s="29">
        <f t="shared" si="106"/>
        <v>130.22999999999999</v>
      </c>
      <c r="AA385" s="14">
        <v>130.22999999999999</v>
      </c>
      <c r="AB385" s="14">
        <v>134.97999999999999</v>
      </c>
      <c r="AC385" s="14">
        <v>974.47</v>
      </c>
      <c r="AD385" s="16" t="s">
        <v>147</v>
      </c>
      <c r="AE385" s="16" t="s">
        <v>147</v>
      </c>
      <c r="AF385" s="14">
        <f>SUMIF('Trip Changes'!$B:$B,A385,'Trip Changes'!$E:$E)</f>
        <v>0</v>
      </c>
      <c r="AG385" s="23">
        <f>SUMIF('Trip Cancellations'!$B:$B,A385,'Trip Cancellations'!$E:$E)</f>
        <v>0</v>
      </c>
      <c r="AH385" s="14">
        <f>SUMIF('Trip Cancellations'!$B:$B,A385,'Trip Cancellations'!$F:$F)</f>
        <v>0</v>
      </c>
      <c r="AI385" s="14">
        <f t="shared" si="107"/>
        <v>974.47</v>
      </c>
      <c r="AJ385" s="14" t="str">
        <f t="shared" si="108"/>
        <v>Yes</v>
      </c>
      <c r="AK385" s="14" t="str">
        <f>IF(Y385=0,"N/A",
IF(_xlfn.XLOOKUP(U385,Hotels!A:A,Hotels!C:C)=TRUE,"Yes","No"))</f>
        <v>Yes</v>
      </c>
      <c r="AL385" s="14" t="str">
        <f>IF(N385="Rail","N/A",IF(_xlfn.XLOOKUP(T385,Airlines!A:A,Airlines!C:C)=TRUE,"Yes","No"))</f>
        <v>Yes</v>
      </c>
      <c r="AM385" s="14" t="str">
        <f t="shared" si="109"/>
        <v>Yes</v>
      </c>
      <c r="AN385" s="14" t="str">
        <f t="shared" si="110"/>
        <v>Yes</v>
      </c>
      <c r="AO385" s="14" t="str">
        <f t="shared" si="111"/>
        <v>Yes</v>
      </c>
      <c r="AP385" s="16" t="s">
        <v>148</v>
      </c>
      <c r="AQ385" t="str">
        <f t="shared" si="112"/>
        <v>Yes</v>
      </c>
      <c r="AR385" s="21">
        <v>4</v>
      </c>
      <c r="AS385" s="5">
        <v>273.3</v>
      </c>
      <c r="AT385" s="5" t="str">
        <f>IF(T385="","",_xlfn.XLOOKUP(T385,Airlines!A:A,Airlines!B:B,"Not Found"))</f>
        <v>British Airways</v>
      </c>
      <c r="AU385" s="5" t="str">
        <f>IF(U385="","",_xlfn.XLOOKUP(U385,Hotels!A:A,Hotels!B:B,"Not found"))</f>
        <v>Accor</v>
      </c>
      <c r="AV385" t="s">
        <v>148</v>
      </c>
      <c r="AW385" s="16" t="str">
        <f t="shared" si="113"/>
        <v>OK</v>
      </c>
      <c r="AX385" s="16" t="str">
        <f t="shared" si="114"/>
        <v>OK</v>
      </c>
      <c r="AY385" s="16" t="str">
        <f t="shared" si="115"/>
        <v>OK</v>
      </c>
      <c r="AZ385" s="16" t="str">
        <f t="shared" si="116"/>
        <v>OK</v>
      </c>
      <c r="BA385" s="16" t="str">
        <f t="shared" si="120"/>
        <v>OK</v>
      </c>
      <c r="BB385" s="21">
        <f>COUNTIF('Trip Changes'!B:B,A385)</f>
        <v>0</v>
      </c>
      <c r="BC385" s="16" t="str">
        <f>IF(OR(AND(AD385="Yes",COUNTIF('Trip Changes'!B:B,A385)&gt;0),AND(AD385="No",COUNTIF('Trip Changes'!B:B,A385)=0)),"OK","Check")</f>
        <v>OK</v>
      </c>
      <c r="BD385" t="str">
        <f t="shared" si="121"/>
        <v>OK</v>
      </c>
      <c r="BE385" t="str">
        <f t="shared" si="122"/>
        <v>OK</v>
      </c>
      <c r="BF385" t="str">
        <f t="shared" si="123"/>
        <v>OK</v>
      </c>
      <c r="BG385" t="str">
        <f t="shared" si="124"/>
        <v>OK</v>
      </c>
      <c r="BH385" t="str">
        <f t="shared" si="125"/>
        <v>OK</v>
      </c>
      <c r="BI385" t="str">
        <f t="shared" si="117"/>
        <v>OK</v>
      </c>
      <c r="BJ385" t="str">
        <f t="shared" si="118"/>
        <v>OK</v>
      </c>
      <c r="BK385" t="str">
        <f t="shared" si="119"/>
        <v>OK</v>
      </c>
    </row>
    <row r="386" spans="1:63">
      <c r="A386" s="16" t="s">
        <v>701</v>
      </c>
      <c r="B386" s="16" t="s">
        <v>702</v>
      </c>
      <c r="C386" s="16" t="s">
        <v>182</v>
      </c>
      <c r="D386" s="16" t="s">
        <v>230</v>
      </c>
      <c r="E386" s="16" t="s">
        <v>139</v>
      </c>
      <c r="F386" s="16" t="s">
        <v>207</v>
      </c>
      <c r="G386" s="15">
        <v>46191</v>
      </c>
      <c r="H386" s="15">
        <v>46207</v>
      </c>
      <c r="I386" s="15">
        <v>46210</v>
      </c>
      <c r="J386" s="15" t="s">
        <v>150</v>
      </c>
      <c r="K386" s="16" t="s">
        <v>182</v>
      </c>
      <c r="L386" t="s">
        <v>199</v>
      </c>
      <c r="M386" s="16" t="s">
        <v>152</v>
      </c>
      <c r="N386" s="16" t="s">
        <v>153</v>
      </c>
      <c r="O386" t="s">
        <v>1614</v>
      </c>
      <c r="P386" s="18">
        <v>1886</v>
      </c>
      <c r="Q386" s="21">
        <v>16</v>
      </c>
      <c r="R386" s="21" t="str">
        <f t="shared" ref="R386:R449" si="126">IF(Q386&lt;=3,"0-3 days",IF(Q386&lt;=7,"4-7 days",IF(Q386&lt;=14,"8-14 days",IF(Q386&lt;=30,"15-30 days","31+ days"))))</f>
        <v>15-30 days</v>
      </c>
      <c r="S386" s="16" t="s">
        <v>159</v>
      </c>
      <c r="T386" s="16" t="s">
        <v>291</v>
      </c>
      <c r="U386" s="16" t="s">
        <v>164</v>
      </c>
      <c r="V386" t="str">
        <f>IF(U386="","",IFERROR(VLOOKUP(U386,Hotels!A:B,2,FALSE),"Not Found"))</f>
        <v>Marriott</v>
      </c>
      <c r="W386" s="14">
        <v>367.96</v>
      </c>
      <c r="X386" s="14">
        <v>0</v>
      </c>
      <c r="Y386" s="21">
        <v>2</v>
      </c>
      <c r="Z386" s="29">
        <f t="shared" ref="Z386:Z449" si="127">IF(Y386&gt;0,AA386/Y386,0)</f>
        <v>153.96</v>
      </c>
      <c r="AA386" s="14">
        <v>307.92</v>
      </c>
      <c r="AB386" s="14">
        <v>95.39</v>
      </c>
      <c r="AC386" s="14">
        <v>771.27</v>
      </c>
      <c r="AD386" s="16" t="s">
        <v>147</v>
      </c>
      <c r="AE386" s="16" t="s">
        <v>147</v>
      </c>
      <c r="AF386" s="14">
        <f>SUMIF('Trip Changes'!$B:$B,A386,'Trip Changes'!$E:$E)</f>
        <v>0</v>
      </c>
      <c r="AG386" s="23">
        <f>SUMIF('Trip Cancellations'!$B:$B,A386,'Trip Cancellations'!$E:$E)</f>
        <v>0</v>
      </c>
      <c r="AH386" s="14">
        <f>SUMIF('Trip Cancellations'!$B:$B,A386,'Trip Cancellations'!$F:$F)</f>
        <v>0</v>
      </c>
      <c r="AI386" s="14">
        <f t="shared" ref="AI386:AI449" si="128">AC386+AF386+AG386-AH386</f>
        <v>771.27</v>
      </c>
      <c r="AJ386" s="14" t="str">
        <f t="shared" ref="AJ386:AJ449" si="129">IF(Y386=0,"N/A",
IF(OR(L386="London",L386="Manchester",L386="Birmingham",L386="Edinburgh",L386="Glasgow",
L386="New York",L386="Boston",L386="Chicago",L386="Zurich",L386="Singapore",L386="Hong Kong",L386="Dubai"),
IF(Z386&lt;=220,"Yes","No"),
IF(Z386&lt;=180,"Yes","No")))</f>
        <v>Yes</v>
      </c>
      <c r="AK386" s="14" t="str">
        <f>IF(Y386=0,"N/A",
IF(_xlfn.XLOOKUP(U386,Hotels!A:A,Hotels!C:C)=TRUE,"Yes","No"))</f>
        <v>Yes</v>
      </c>
      <c r="AL386" s="14" t="str">
        <f>IF(N386="Rail","N/A",IF(_xlfn.XLOOKUP(T386,Airlines!A:A,Airlines!C:C)=TRUE,"Yes","No"))</f>
        <v>No</v>
      </c>
      <c r="AM386" s="14" t="str">
        <f t="shared" ref="AM386:AM449" si="130">IF(OR(
AND(N386="Air",O386="Economy"),
AND(N386="Rail",O386="Standard / 2nd Class")
),"Yes","No")</f>
        <v>Yes</v>
      </c>
      <c r="AN386" s="14" t="str">
        <f t="shared" ref="AN386:AN449" si="131">IF(OR(S386="Online Booking Tool",S386="TMC Assisted"),"Yes","No")</f>
        <v>Yes</v>
      </c>
      <c r="AO386" s="14" t="str">
        <f t="shared" ref="AO386:AO449" si="132">IF(AND(OR(AK386="Yes",AK386="N/A"),OR(AL386="Yes",AL386="N/A")),"Yes","No")</f>
        <v>No</v>
      </c>
      <c r="AP386" s="16" t="s">
        <v>148</v>
      </c>
      <c r="AQ386" t="str">
        <f t="shared" ref="AQ386:AQ449" si="133">IF(AND(OR(AJ386="Yes",AJ386="N/A"),OR(AK386="Yes",AK386="N/A"),OR(AL386="Yes",AL386="N/A"),AM386="Yes",AN386="Yes"),"Yes","No")</f>
        <v>No</v>
      </c>
      <c r="AR386" s="21">
        <v>5</v>
      </c>
      <c r="AS386" s="5">
        <v>282.89999999999998</v>
      </c>
      <c r="AT386" s="5" t="str">
        <f>IF(T386="","",_xlfn.XLOOKUP(T386,Airlines!A:A,Airlines!B:B,"Not Found"))</f>
        <v>Ryanair</v>
      </c>
      <c r="AU386" s="5" t="str">
        <f>IF(U386="","",_xlfn.XLOOKUP(U386,Hotels!A:A,Hotels!B:B,"Not found"))</f>
        <v>Marriott</v>
      </c>
      <c r="AV386" t="s">
        <v>148</v>
      </c>
      <c r="AW386" s="16" t="str">
        <f t="shared" ref="AW386:AW449" si="134">IF(OR(A386="",B386="",G386="",H386="",I386="",K386="",L386="",M386="",N386="",S386="",AC386="",AI386=""),"Check","OK")</f>
        <v>OK</v>
      </c>
      <c r="AX386" s="16" t="str">
        <f t="shared" ref="AX386:AX449" si="135">IF(AND(G386&lt;=H386, H386&lt;=I386),"OK","CHECK")</f>
        <v>OK</v>
      </c>
      <c r="AY386" s="16" t="str">
        <f t="shared" ref="AY386:AY449" si="136">IF(Q386=H386-G386,"OK","Check")</f>
        <v>OK</v>
      </c>
      <c r="AZ386" s="16" t="str">
        <f t="shared" ref="AZ386:AZ449" si="137">IF(ROUND(W386+X386+AA386+AB386,2)=ROUND(AC386,2),"OK","Check")</f>
        <v>OK</v>
      </c>
      <c r="BA386" s="16" t="str">
        <f t="shared" si="120"/>
        <v>OK</v>
      </c>
      <c r="BB386" s="21">
        <f>COUNTIF('Trip Changes'!B:B,A386)</f>
        <v>0</v>
      </c>
      <c r="BC386" s="16" t="str">
        <f>IF(OR(AND(AD386="Yes",COUNTIF('Trip Changes'!B:B,A386)&gt;0),AND(AD386="No",COUNTIF('Trip Changes'!B:B,A386)=0)),"OK","Check")</f>
        <v>OK</v>
      </c>
      <c r="BD386" t="str">
        <f t="shared" si="121"/>
        <v>OK</v>
      </c>
      <c r="BE386" t="str">
        <f t="shared" si="122"/>
        <v>OK</v>
      </c>
      <c r="BF386" t="str">
        <f t="shared" si="123"/>
        <v>OK</v>
      </c>
      <c r="BG386" t="str">
        <f t="shared" si="124"/>
        <v>OK</v>
      </c>
      <c r="BH386" t="str">
        <f t="shared" si="125"/>
        <v>OK</v>
      </c>
      <c r="BI386" t="str">
        <f t="shared" ref="BI386:BI449" si="138">IF(OR(N386="Air",N386="Rail"),"OK","Check")</f>
        <v>OK</v>
      </c>
      <c r="BJ386" t="str">
        <f t="shared" ref="BJ386:BJ449" si="139">IF(OR(M386="Domestic",M386="International"),"OK","Check")</f>
        <v>OK</v>
      </c>
      <c r="BK386" t="str">
        <f t="shared" ref="BK386:BK449" si="140">IF(OR(S386="Online Booking Tool",S386="TMC Assisted",S386="Direct Supplier",S386="Other"),"OK","Check")</f>
        <v>OK</v>
      </c>
    </row>
    <row r="387" spans="1:63">
      <c r="A387" s="16" t="s">
        <v>703</v>
      </c>
      <c r="B387" s="16" t="s">
        <v>702</v>
      </c>
      <c r="C387" s="16" t="s">
        <v>182</v>
      </c>
      <c r="D387" s="16" t="s">
        <v>230</v>
      </c>
      <c r="E387" s="16" t="s">
        <v>139</v>
      </c>
      <c r="F387" s="16" t="s">
        <v>162</v>
      </c>
      <c r="G387" s="15">
        <v>46180</v>
      </c>
      <c r="H387" s="15">
        <v>46186</v>
      </c>
      <c r="I387" s="15">
        <v>46190</v>
      </c>
      <c r="J387" s="15" t="s">
        <v>141</v>
      </c>
      <c r="K387" s="16" t="s">
        <v>182</v>
      </c>
      <c r="L387" t="s">
        <v>179</v>
      </c>
      <c r="M387" s="16" t="s">
        <v>152</v>
      </c>
      <c r="N387" s="16" t="s">
        <v>153</v>
      </c>
      <c r="O387" t="s">
        <v>1614</v>
      </c>
      <c r="P387" s="18">
        <v>16510</v>
      </c>
      <c r="Q387" s="21">
        <v>6</v>
      </c>
      <c r="R387" s="21" t="str">
        <f t="shared" si="126"/>
        <v>4-7 days</v>
      </c>
      <c r="S387" s="16" t="s">
        <v>145</v>
      </c>
      <c r="T387" s="16" t="s">
        <v>441</v>
      </c>
      <c r="U387" s="16" t="s">
        <v>187</v>
      </c>
      <c r="V387" t="str">
        <f>IF(U387="","",IFERROR(VLOOKUP(U387,Hotels!A:B,2,FALSE),"Not Found"))</f>
        <v>IHG Hotels &amp; Resorts</v>
      </c>
      <c r="W387" s="14">
        <v>932.65</v>
      </c>
      <c r="X387" s="14">
        <v>0</v>
      </c>
      <c r="Y387" s="21">
        <v>3</v>
      </c>
      <c r="Z387" s="29">
        <f t="shared" si="127"/>
        <v>276.31</v>
      </c>
      <c r="AA387" s="14">
        <v>828.93</v>
      </c>
      <c r="AB387" s="14">
        <v>142.69</v>
      </c>
      <c r="AC387" s="14">
        <v>1904.27</v>
      </c>
      <c r="AD387" s="16" t="s">
        <v>147</v>
      </c>
      <c r="AE387" s="16" t="s">
        <v>147</v>
      </c>
      <c r="AF387" s="14">
        <f>SUMIF('Trip Changes'!$B:$B,A387,'Trip Changes'!$E:$E)</f>
        <v>0</v>
      </c>
      <c r="AG387" s="23">
        <f>SUMIF('Trip Cancellations'!$B:$B,A387,'Trip Cancellations'!$E:$E)</f>
        <v>0</v>
      </c>
      <c r="AH387" s="14">
        <f>SUMIF('Trip Cancellations'!$B:$B,A387,'Trip Cancellations'!$F:$F)</f>
        <v>0</v>
      </c>
      <c r="AI387" s="14">
        <f t="shared" si="128"/>
        <v>1904.27</v>
      </c>
      <c r="AJ387" s="14" t="str">
        <f t="shared" si="129"/>
        <v>No</v>
      </c>
      <c r="AK387" s="14" t="str">
        <f>IF(Y387=0,"N/A",
IF(_xlfn.XLOOKUP(U387,Hotels!A:A,Hotels!C:C)=TRUE,"Yes","No"))</f>
        <v>Yes</v>
      </c>
      <c r="AL387" s="14" t="str">
        <f>IF(N387="Rail","N/A",IF(_xlfn.XLOOKUP(T387,Airlines!A:A,Airlines!C:C)=TRUE,"Yes","No"))</f>
        <v>Yes</v>
      </c>
      <c r="AM387" s="14" t="str">
        <f t="shared" si="130"/>
        <v>Yes</v>
      </c>
      <c r="AN387" s="14" t="str">
        <f t="shared" si="131"/>
        <v>Yes</v>
      </c>
      <c r="AO387" s="14" t="str">
        <f t="shared" si="132"/>
        <v>Yes</v>
      </c>
      <c r="AP387" s="16" t="s">
        <v>148</v>
      </c>
      <c r="AQ387" t="str">
        <f t="shared" si="133"/>
        <v>No</v>
      </c>
      <c r="AR387" s="21">
        <v>5</v>
      </c>
      <c r="AS387" s="5">
        <v>2476.5</v>
      </c>
      <c r="AT387" s="5" t="str">
        <f>IF(T387="","",_xlfn.XLOOKUP(T387,Airlines!A:A,Airlines!B:B,"Not Found"))</f>
        <v>Emirates</v>
      </c>
      <c r="AU387" s="5" t="str">
        <f>IF(U387="","",_xlfn.XLOOKUP(U387,Hotels!A:A,Hotels!B:B,"Not found"))</f>
        <v>IHG Hotels &amp; Resorts</v>
      </c>
      <c r="AV387" t="s">
        <v>148</v>
      </c>
      <c r="AW387" s="16" t="str">
        <f t="shared" si="134"/>
        <v>OK</v>
      </c>
      <c r="AX387" s="16" t="str">
        <f t="shared" si="135"/>
        <v>OK</v>
      </c>
      <c r="AY387" s="16" t="str">
        <f t="shared" si="136"/>
        <v>OK</v>
      </c>
      <c r="AZ387" s="16" t="str">
        <f t="shared" si="137"/>
        <v>OK</v>
      </c>
      <c r="BA387" s="16" t="str">
        <f t="shared" ref="BA387:BA450" si="141">IF(ROUND(AC387+AF387+AG387-AH387,2)=ROUND(AI387,2),"OK","Check")</f>
        <v>OK</v>
      </c>
      <c r="BB387" s="21">
        <f>COUNTIF('Trip Changes'!B:B,A387)</f>
        <v>0</v>
      </c>
      <c r="BC387" s="16" t="str">
        <f>IF(OR(AND(AD387="Yes",COUNTIF('Trip Changes'!B:B,A387)&gt;0),AND(AD387="No",COUNTIF('Trip Changes'!B:B,A387)=0)),"OK","Check")</f>
        <v>OK</v>
      </c>
      <c r="BD387" t="str">
        <f t="shared" ref="BD387:BD450" si="142">IF(OR(AD387="Yes",AD387="No"),"OK","Check")</f>
        <v>OK</v>
      </c>
      <c r="BE387" t="str">
        <f t="shared" ref="BE387:BE450" si="143">IF(OR(AE387="Yes",AE387="No"),"OK","Check")</f>
        <v>OK</v>
      </c>
      <c r="BF387" t="str">
        <f t="shared" ref="BF387:BF450" si="144">IF(OR(AP387="Yes",AP387="No"),"OK","Check")</f>
        <v>OK</v>
      </c>
      <c r="BG387" t="str">
        <f t="shared" ref="BG387:BG450" si="145">IF(OR(AV387="Yes",AV387="No"),"OK","Check")</f>
        <v>OK</v>
      </c>
      <c r="BH387" t="str">
        <f t="shared" ref="BH387:BH450" si="146">IF(AND(ISNUMBER(AR387),AR387&gt;=1,AR387&lt;=5),"OK","Check")</f>
        <v>OK</v>
      </c>
      <c r="BI387" t="str">
        <f t="shared" si="138"/>
        <v>OK</v>
      </c>
      <c r="BJ387" t="str">
        <f t="shared" si="139"/>
        <v>OK</v>
      </c>
      <c r="BK387" t="str">
        <f t="shared" si="140"/>
        <v>OK</v>
      </c>
    </row>
    <row r="388" spans="1:63">
      <c r="A388" s="16" t="s">
        <v>704</v>
      </c>
      <c r="B388" s="16" t="s">
        <v>705</v>
      </c>
      <c r="C388" s="16" t="s">
        <v>182</v>
      </c>
      <c r="D388" s="16" t="s">
        <v>248</v>
      </c>
      <c r="E388" s="16" t="s">
        <v>169</v>
      </c>
      <c r="F388" s="16" t="s">
        <v>162</v>
      </c>
      <c r="G388" s="15">
        <v>46120</v>
      </c>
      <c r="H388" s="15">
        <v>46149</v>
      </c>
      <c r="I388" s="15">
        <v>46153</v>
      </c>
      <c r="J388" s="15" t="s">
        <v>163</v>
      </c>
      <c r="K388" s="16" t="s">
        <v>182</v>
      </c>
      <c r="L388" t="s">
        <v>199</v>
      </c>
      <c r="M388" s="16" t="s">
        <v>152</v>
      </c>
      <c r="N388" s="16" t="s">
        <v>153</v>
      </c>
      <c r="O388" t="s">
        <v>1614</v>
      </c>
      <c r="P388" s="18">
        <v>3512</v>
      </c>
      <c r="Q388" s="21">
        <v>29</v>
      </c>
      <c r="R388" s="21" t="str">
        <f t="shared" si="126"/>
        <v>15-30 days</v>
      </c>
      <c r="S388" s="16" t="s">
        <v>145</v>
      </c>
      <c r="T388" s="16" t="s">
        <v>200</v>
      </c>
      <c r="U388" s="16" t="s">
        <v>155</v>
      </c>
      <c r="V388" t="str">
        <f>IF(U388="","",IFERROR(VLOOKUP(U388,Hotels!A:B,2,FALSE),"Not Found"))</f>
        <v>Hilton</v>
      </c>
      <c r="W388" s="14">
        <v>523.28</v>
      </c>
      <c r="X388" s="14">
        <v>0</v>
      </c>
      <c r="Y388" s="21">
        <v>3</v>
      </c>
      <c r="Z388" s="29">
        <f t="shared" si="127"/>
        <v>190.64333333333332</v>
      </c>
      <c r="AA388" s="14">
        <v>571.92999999999995</v>
      </c>
      <c r="AB388" s="14">
        <v>159.07</v>
      </c>
      <c r="AC388" s="14">
        <v>1254.28</v>
      </c>
      <c r="AD388" s="16" t="s">
        <v>147</v>
      </c>
      <c r="AE388" s="16" t="s">
        <v>147</v>
      </c>
      <c r="AF388" s="14">
        <f>SUMIF('Trip Changes'!$B:$B,A388,'Trip Changes'!$E:$E)</f>
        <v>0</v>
      </c>
      <c r="AG388" s="23">
        <f>SUMIF('Trip Cancellations'!$B:$B,A388,'Trip Cancellations'!$E:$E)</f>
        <v>0</v>
      </c>
      <c r="AH388" s="14">
        <f>SUMIF('Trip Cancellations'!$B:$B,A388,'Trip Cancellations'!$F:$F)</f>
        <v>0</v>
      </c>
      <c r="AI388" s="14">
        <f t="shared" si="128"/>
        <v>1254.28</v>
      </c>
      <c r="AJ388" s="14" t="str">
        <f t="shared" si="129"/>
        <v>No</v>
      </c>
      <c r="AK388" s="14" t="str">
        <f>IF(Y388=0,"N/A",
IF(_xlfn.XLOOKUP(U388,Hotels!A:A,Hotels!C:C)=TRUE,"Yes","No"))</f>
        <v>Yes</v>
      </c>
      <c r="AL388" s="14" t="str">
        <f>IF(N388="Rail","N/A",IF(_xlfn.XLOOKUP(T388,Airlines!A:A,Airlines!C:C)=TRUE,"Yes","No"))</f>
        <v>Yes</v>
      </c>
      <c r="AM388" s="14" t="str">
        <f t="shared" si="130"/>
        <v>Yes</v>
      </c>
      <c r="AN388" s="14" t="str">
        <f t="shared" si="131"/>
        <v>Yes</v>
      </c>
      <c r="AO388" s="14" t="str">
        <f t="shared" si="132"/>
        <v>Yes</v>
      </c>
      <c r="AP388" s="16" t="s">
        <v>148</v>
      </c>
      <c r="AQ388" t="str">
        <f t="shared" si="133"/>
        <v>No</v>
      </c>
      <c r="AR388" s="21">
        <v>4</v>
      </c>
      <c r="AS388" s="5">
        <v>526.79999999999995</v>
      </c>
      <c r="AT388" s="5" t="str">
        <f>IF(T388="","",_xlfn.XLOOKUP(T388,Airlines!A:A,Airlines!B:B,"Not Found"))</f>
        <v>Aer Lingus</v>
      </c>
      <c r="AU388" s="5" t="str">
        <f>IF(U388="","",_xlfn.XLOOKUP(U388,Hotels!A:A,Hotels!B:B,"Not found"))</f>
        <v>Hilton</v>
      </c>
      <c r="AV388" t="s">
        <v>148</v>
      </c>
      <c r="AW388" s="16" t="str">
        <f t="shared" si="134"/>
        <v>OK</v>
      </c>
      <c r="AX388" s="16" t="str">
        <f t="shared" si="135"/>
        <v>OK</v>
      </c>
      <c r="AY388" s="16" t="str">
        <f t="shared" si="136"/>
        <v>OK</v>
      </c>
      <c r="AZ388" s="16" t="str">
        <f t="shared" si="137"/>
        <v>OK</v>
      </c>
      <c r="BA388" s="16" t="str">
        <f t="shared" si="141"/>
        <v>OK</v>
      </c>
      <c r="BB388" s="21">
        <f>COUNTIF('Trip Changes'!B:B,A388)</f>
        <v>0</v>
      </c>
      <c r="BC388" s="16" t="str">
        <f>IF(OR(AND(AD388="Yes",COUNTIF('Trip Changes'!B:B,A388)&gt;0),AND(AD388="No",COUNTIF('Trip Changes'!B:B,A388)=0)),"OK","Check")</f>
        <v>OK</v>
      </c>
      <c r="BD388" t="str">
        <f t="shared" si="142"/>
        <v>OK</v>
      </c>
      <c r="BE388" t="str">
        <f t="shared" si="143"/>
        <v>OK</v>
      </c>
      <c r="BF388" t="str">
        <f t="shared" si="144"/>
        <v>OK</v>
      </c>
      <c r="BG388" t="str">
        <f t="shared" si="145"/>
        <v>OK</v>
      </c>
      <c r="BH388" t="str">
        <f t="shared" si="146"/>
        <v>OK</v>
      </c>
      <c r="BI388" t="str">
        <f t="shared" si="138"/>
        <v>OK</v>
      </c>
      <c r="BJ388" t="str">
        <f t="shared" si="139"/>
        <v>OK</v>
      </c>
      <c r="BK388" t="str">
        <f t="shared" si="140"/>
        <v>OK</v>
      </c>
    </row>
    <row r="389" spans="1:63">
      <c r="A389" s="16" t="s">
        <v>706</v>
      </c>
      <c r="B389" s="16" t="s">
        <v>705</v>
      </c>
      <c r="C389" s="16" t="s">
        <v>182</v>
      </c>
      <c r="D389" s="16" t="s">
        <v>248</v>
      </c>
      <c r="E389" s="16" t="s">
        <v>169</v>
      </c>
      <c r="F389" s="16" t="s">
        <v>207</v>
      </c>
      <c r="G389" s="15">
        <v>46178</v>
      </c>
      <c r="H389" s="15">
        <v>46201</v>
      </c>
      <c r="I389" s="15">
        <v>46203</v>
      </c>
      <c r="J389" s="15" t="s">
        <v>141</v>
      </c>
      <c r="K389" s="16" t="s">
        <v>182</v>
      </c>
      <c r="L389" t="s">
        <v>209</v>
      </c>
      <c r="M389" s="16" t="s">
        <v>152</v>
      </c>
      <c r="N389" s="16" t="s">
        <v>153</v>
      </c>
      <c r="O389" t="s">
        <v>1614</v>
      </c>
      <c r="P389" s="18">
        <v>2160</v>
      </c>
      <c r="Q389" s="21">
        <v>23</v>
      </c>
      <c r="R389" s="21" t="str">
        <f t="shared" si="126"/>
        <v>15-30 days</v>
      </c>
      <c r="S389" s="16" t="s">
        <v>145</v>
      </c>
      <c r="T389" s="16" t="s">
        <v>154</v>
      </c>
      <c r="U389" s="16" t="s">
        <v>173</v>
      </c>
      <c r="V389" t="str">
        <f>IF(U389="","",IFERROR(VLOOKUP(U389,Hotels!A:B,2,FALSE),"Not Found"))</f>
        <v>Accor</v>
      </c>
      <c r="W389" s="14">
        <v>381.4</v>
      </c>
      <c r="X389" s="14">
        <v>0</v>
      </c>
      <c r="Y389" s="21">
        <v>1</v>
      </c>
      <c r="Z389" s="29">
        <f t="shared" si="127"/>
        <v>172.68</v>
      </c>
      <c r="AA389" s="14">
        <v>172.68</v>
      </c>
      <c r="AB389" s="14">
        <v>131.43</v>
      </c>
      <c r="AC389" s="14">
        <v>685.51</v>
      </c>
      <c r="AD389" s="16" t="s">
        <v>147</v>
      </c>
      <c r="AE389" s="16" t="s">
        <v>148</v>
      </c>
      <c r="AF389" s="14">
        <f>SUMIF('Trip Changes'!$B:$B,A389,'Trip Changes'!$E:$E)</f>
        <v>0</v>
      </c>
      <c r="AG389" s="23">
        <f>SUMIF('Trip Cancellations'!$B:$B,A389,'Trip Cancellations'!$E:$E)</f>
        <v>77</v>
      </c>
      <c r="AH389" s="14">
        <f>SUMIF('Trip Cancellations'!$B:$B,A389,'Trip Cancellations'!$F:$F)</f>
        <v>415.56</v>
      </c>
      <c r="AI389" s="14">
        <f t="shared" si="128"/>
        <v>346.95</v>
      </c>
      <c r="AJ389" s="14" t="str">
        <f t="shared" si="129"/>
        <v>Yes</v>
      </c>
      <c r="AK389" s="14" t="str">
        <f>IF(Y389=0,"N/A",
IF(_xlfn.XLOOKUP(U389,Hotels!A:A,Hotels!C:C)=TRUE,"Yes","No"))</f>
        <v>Yes</v>
      </c>
      <c r="AL389" s="14" t="str">
        <f>IF(N389="Rail","N/A",IF(_xlfn.XLOOKUP(T389,Airlines!A:A,Airlines!C:C)=TRUE,"Yes","No"))</f>
        <v>Yes</v>
      </c>
      <c r="AM389" s="14" t="str">
        <f t="shared" si="130"/>
        <v>Yes</v>
      </c>
      <c r="AN389" s="14" t="str">
        <f t="shared" si="131"/>
        <v>Yes</v>
      </c>
      <c r="AO389" s="14" t="str">
        <f t="shared" si="132"/>
        <v>Yes</v>
      </c>
      <c r="AP389" s="16" t="s">
        <v>148</v>
      </c>
      <c r="AQ389" t="str">
        <f t="shared" si="133"/>
        <v>Yes</v>
      </c>
      <c r="AR389" s="21">
        <v>3</v>
      </c>
      <c r="AS389" s="5">
        <v>324</v>
      </c>
      <c r="AT389" s="5" t="str">
        <f>IF(T389="","",_xlfn.XLOOKUP(T389,Airlines!A:A,Airlines!B:B,"Not Found"))</f>
        <v>British Airways</v>
      </c>
      <c r="AU389" s="5" t="str">
        <f>IF(U389="","",_xlfn.XLOOKUP(U389,Hotels!A:A,Hotels!B:B,"Not found"))</f>
        <v>Accor</v>
      </c>
      <c r="AV389" t="s">
        <v>148</v>
      </c>
      <c r="AW389" s="16" t="str">
        <f t="shared" si="134"/>
        <v>OK</v>
      </c>
      <c r="AX389" s="16" t="str">
        <f t="shared" si="135"/>
        <v>OK</v>
      </c>
      <c r="AY389" s="16" t="str">
        <f t="shared" si="136"/>
        <v>OK</v>
      </c>
      <c r="AZ389" s="16" t="str">
        <f t="shared" si="137"/>
        <v>OK</v>
      </c>
      <c r="BA389" s="16" t="str">
        <f t="shared" si="141"/>
        <v>OK</v>
      </c>
      <c r="BB389" s="21">
        <f>COUNTIF('Trip Changes'!B:B,A389)</f>
        <v>0</v>
      </c>
      <c r="BC389" s="16" t="str">
        <f>IF(OR(AND(AD389="Yes",COUNTIF('Trip Changes'!B:B,A389)&gt;0),AND(AD389="No",COUNTIF('Trip Changes'!B:B,A389)=0)),"OK","Check")</f>
        <v>OK</v>
      </c>
      <c r="BD389" t="str">
        <f t="shared" si="142"/>
        <v>OK</v>
      </c>
      <c r="BE389" t="str">
        <f t="shared" si="143"/>
        <v>OK</v>
      </c>
      <c r="BF389" t="str">
        <f t="shared" si="144"/>
        <v>OK</v>
      </c>
      <c r="BG389" t="str">
        <f t="shared" si="145"/>
        <v>OK</v>
      </c>
      <c r="BH389" t="str">
        <f t="shared" si="146"/>
        <v>OK</v>
      </c>
      <c r="BI389" t="str">
        <f t="shared" si="138"/>
        <v>OK</v>
      </c>
      <c r="BJ389" t="str">
        <f t="shared" si="139"/>
        <v>OK</v>
      </c>
      <c r="BK389" t="str">
        <f t="shared" si="140"/>
        <v>OK</v>
      </c>
    </row>
    <row r="390" spans="1:63">
      <c r="A390" s="16" t="s">
        <v>707</v>
      </c>
      <c r="B390" s="16" t="s">
        <v>705</v>
      </c>
      <c r="C390" s="16" t="s">
        <v>182</v>
      </c>
      <c r="D390" s="16" t="s">
        <v>248</v>
      </c>
      <c r="E390" s="16" t="s">
        <v>169</v>
      </c>
      <c r="F390" s="16" t="s">
        <v>189</v>
      </c>
      <c r="G390" s="15">
        <v>46202</v>
      </c>
      <c r="H390" s="15">
        <v>46213</v>
      </c>
      <c r="I390" s="15">
        <v>46217</v>
      </c>
      <c r="J390" s="15" t="s">
        <v>150</v>
      </c>
      <c r="K390" s="16" t="s">
        <v>182</v>
      </c>
      <c r="L390" t="s">
        <v>233</v>
      </c>
      <c r="M390" s="16" t="s">
        <v>152</v>
      </c>
      <c r="N390" s="16" t="s">
        <v>153</v>
      </c>
      <c r="O390" t="s">
        <v>1614</v>
      </c>
      <c r="P390" s="18">
        <v>2108</v>
      </c>
      <c r="Q390" s="21">
        <v>11</v>
      </c>
      <c r="R390" s="21" t="str">
        <f t="shared" si="126"/>
        <v>8-14 days</v>
      </c>
      <c r="S390" s="16" t="s">
        <v>159</v>
      </c>
      <c r="T390" s="16" t="s">
        <v>154</v>
      </c>
      <c r="U390" s="16" t="s">
        <v>190</v>
      </c>
      <c r="V390" t="str">
        <f>IF(U390="","",IFERROR(VLOOKUP(U390,Hotels!A:B,2,FALSE),"Not Found"))</f>
        <v>Radisson Hotel Group</v>
      </c>
      <c r="W390" s="14">
        <v>426.76</v>
      </c>
      <c r="X390" s="14">
        <v>0</v>
      </c>
      <c r="Y390" s="21">
        <v>3</v>
      </c>
      <c r="Z390" s="29">
        <f t="shared" si="127"/>
        <v>141.49333333333334</v>
      </c>
      <c r="AA390" s="14">
        <v>424.48</v>
      </c>
      <c r="AB390" s="14">
        <v>122.5</v>
      </c>
      <c r="AC390" s="14">
        <v>973.74</v>
      </c>
      <c r="AD390" s="16" t="s">
        <v>148</v>
      </c>
      <c r="AE390" s="16" t="s">
        <v>147</v>
      </c>
      <c r="AF390" s="14">
        <f>SUMIF('Trip Changes'!$B:$B,A390,'Trip Changes'!$E:$E)</f>
        <v>83.59</v>
      </c>
      <c r="AG390" s="23">
        <f>SUMIF('Trip Cancellations'!$B:$B,A390,'Trip Cancellations'!$E:$E)</f>
        <v>0</v>
      </c>
      <c r="AH390" s="14">
        <f>SUMIF('Trip Cancellations'!$B:$B,A390,'Trip Cancellations'!$F:$F)</f>
        <v>0</v>
      </c>
      <c r="AI390" s="14">
        <f t="shared" si="128"/>
        <v>1057.33</v>
      </c>
      <c r="AJ390" s="14" t="str">
        <f t="shared" si="129"/>
        <v>Yes</v>
      </c>
      <c r="AK390" s="14" t="str">
        <f>IF(Y390=0,"N/A",
IF(_xlfn.XLOOKUP(U390,Hotels!A:A,Hotels!C:C)=TRUE,"Yes","No"))</f>
        <v>No</v>
      </c>
      <c r="AL390" s="14" t="str">
        <f>IF(N390="Rail","N/A",IF(_xlfn.XLOOKUP(T390,Airlines!A:A,Airlines!C:C)=TRUE,"Yes","No"))</f>
        <v>Yes</v>
      </c>
      <c r="AM390" s="14" t="str">
        <f t="shared" si="130"/>
        <v>Yes</v>
      </c>
      <c r="AN390" s="14" t="str">
        <f t="shared" si="131"/>
        <v>Yes</v>
      </c>
      <c r="AO390" s="14" t="str">
        <f t="shared" si="132"/>
        <v>No</v>
      </c>
      <c r="AP390" s="16" t="s">
        <v>148</v>
      </c>
      <c r="AQ390" t="str">
        <f t="shared" si="133"/>
        <v>No</v>
      </c>
      <c r="AR390" s="21">
        <v>3</v>
      </c>
      <c r="AS390" s="5">
        <v>316.2</v>
      </c>
      <c r="AT390" s="5" t="str">
        <f>IF(T390="","",_xlfn.XLOOKUP(T390,Airlines!A:A,Airlines!B:B,"Not Found"))</f>
        <v>British Airways</v>
      </c>
      <c r="AU390" s="5" t="str">
        <f>IF(U390="","",_xlfn.XLOOKUP(U390,Hotels!A:A,Hotels!B:B,"Not found"))</f>
        <v>Radisson Hotel Group</v>
      </c>
      <c r="AV390" t="s">
        <v>147</v>
      </c>
      <c r="AW390" s="16" t="str">
        <f t="shared" si="134"/>
        <v>OK</v>
      </c>
      <c r="AX390" s="16" t="str">
        <f t="shared" si="135"/>
        <v>OK</v>
      </c>
      <c r="AY390" s="16" t="str">
        <f t="shared" si="136"/>
        <v>OK</v>
      </c>
      <c r="AZ390" s="16" t="str">
        <f t="shared" si="137"/>
        <v>OK</v>
      </c>
      <c r="BA390" s="16" t="str">
        <f t="shared" si="141"/>
        <v>OK</v>
      </c>
      <c r="BB390" s="21">
        <f>COUNTIF('Trip Changes'!B:B,A390)</f>
        <v>2</v>
      </c>
      <c r="BC390" s="16" t="str">
        <f>IF(OR(AND(AD390="Yes",COUNTIF('Trip Changes'!B:B,A390)&gt;0),AND(AD390="No",COUNTIF('Trip Changes'!B:B,A390)=0)),"OK","Check")</f>
        <v>OK</v>
      </c>
      <c r="BD390" t="str">
        <f t="shared" si="142"/>
        <v>OK</v>
      </c>
      <c r="BE390" t="str">
        <f t="shared" si="143"/>
        <v>OK</v>
      </c>
      <c r="BF390" t="str">
        <f t="shared" si="144"/>
        <v>OK</v>
      </c>
      <c r="BG390" t="str">
        <f t="shared" si="145"/>
        <v>OK</v>
      </c>
      <c r="BH390" t="str">
        <f t="shared" si="146"/>
        <v>OK</v>
      </c>
      <c r="BI390" t="str">
        <f t="shared" si="138"/>
        <v>OK</v>
      </c>
      <c r="BJ390" t="str">
        <f t="shared" si="139"/>
        <v>OK</v>
      </c>
      <c r="BK390" t="str">
        <f t="shared" si="140"/>
        <v>OK</v>
      </c>
    </row>
    <row r="391" spans="1:63">
      <c r="A391" s="16" t="s">
        <v>708</v>
      </c>
      <c r="B391" s="16" t="s">
        <v>709</v>
      </c>
      <c r="C391" s="16" t="s">
        <v>182</v>
      </c>
      <c r="D391" s="16" t="s">
        <v>168</v>
      </c>
      <c r="E391" s="16" t="s">
        <v>262</v>
      </c>
      <c r="F391" s="16" t="s">
        <v>162</v>
      </c>
      <c r="G391" s="15">
        <v>46205</v>
      </c>
      <c r="H391" s="15">
        <v>46234</v>
      </c>
      <c r="I391" s="15">
        <v>46238</v>
      </c>
      <c r="J391" s="15" t="s">
        <v>150</v>
      </c>
      <c r="K391" s="16" t="s">
        <v>182</v>
      </c>
      <c r="L391" t="s">
        <v>215</v>
      </c>
      <c r="M391" s="16" t="s">
        <v>152</v>
      </c>
      <c r="N391" s="16" t="s">
        <v>153</v>
      </c>
      <c r="O391" t="s">
        <v>1614</v>
      </c>
      <c r="P391" s="18">
        <v>3278</v>
      </c>
      <c r="Q391" s="21">
        <v>29</v>
      </c>
      <c r="R391" s="21" t="str">
        <f t="shared" si="126"/>
        <v>15-30 days</v>
      </c>
      <c r="S391" s="16" t="s">
        <v>159</v>
      </c>
      <c r="T391" s="16" t="s">
        <v>154</v>
      </c>
      <c r="U391" s="16" t="s">
        <v>155</v>
      </c>
      <c r="V391" t="str">
        <f>IF(U391="","",IFERROR(VLOOKUP(U391,Hotels!A:B,2,FALSE),"Not Found"))</f>
        <v>Hilton</v>
      </c>
      <c r="W391" s="14">
        <v>427.29</v>
      </c>
      <c r="X391" s="14">
        <v>0</v>
      </c>
      <c r="Y391" s="21">
        <v>3</v>
      </c>
      <c r="Z391" s="29">
        <f t="shared" si="127"/>
        <v>226.62333333333333</v>
      </c>
      <c r="AA391" s="14">
        <v>679.87</v>
      </c>
      <c r="AB391" s="14">
        <v>98.94</v>
      </c>
      <c r="AC391" s="14">
        <v>1206.0999999999999</v>
      </c>
      <c r="AD391" s="16" t="s">
        <v>147</v>
      </c>
      <c r="AE391" s="16" t="s">
        <v>147</v>
      </c>
      <c r="AF391" s="14">
        <f>SUMIF('Trip Changes'!$B:$B,A391,'Trip Changes'!$E:$E)</f>
        <v>0</v>
      </c>
      <c r="AG391" s="23">
        <f>SUMIF('Trip Cancellations'!$B:$B,A391,'Trip Cancellations'!$E:$E)</f>
        <v>0</v>
      </c>
      <c r="AH391" s="14">
        <f>SUMIF('Trip Cancellations'!$B:$B,A391,'Trip Cancellations'!$F:$F)</f>
        <v>0</v>
      </c>
      <c r="AI391" s="14">
        <f t="shared" si="128"/>
        <v>1206.0999999999999</v>
      </c>
      <c r="AJ391" s="14" t="str">
        <f t="shared" si="129"/>
        <v>No</v>
      </c>
      <c r="AK391" s="14" t="str">
        <f>IF(Y391=0,"N/A",
IF(_xlfn.XLOOKUP(U391,Hotels!A:A,Hotels!C:C)=TRUE,"Yes","No"))</f>
        <v>Yes</v>
      </c>
      <c r="AL391" s="14" t="str">
        <f>IF(N391="Rail","N/A",IF(_xlfn.XLOOKUP(T391,Airlines!A:A,Airlines!C:C)=TRUE,"Yes","No"))</f>
        <v>Yes</v>
      </c>
      <c r="AM391" s="14" t="str">
        <f t="shared" si="130"/>
        <v>Yes</v>
      </c>
      <c r="AN391" s="14" t="str">
        <f t="shared" si="131"/>
        <v>Yes</v>
      </c>
      <c r="AO391" s="14" t="str">
        <f t="shared" si="132"/>
        <v>Yes</v>
      </c>
      <c r="AP391" s="16" t="s">
        <v>148</v>
      </c>
      <c r="AQ391" t="str">
        <f t="shared" si="133"/>
        <v>No</v>
      </c>
      <c r="AR391" s="21">
        <v>5</v>
      </c>
      <c r="AS391" s="5">
        <v>491.7</v>
      </c>
      <c r="AT391" s="5" t="str">
        <f>IF(T391="","",_xlfn.XLOOKUP(T391,Airlines!A:A,Airlines!B:B,"Not Found"))</f>
        <v>British Airways</v>
      </c>
      <c r="AU391" s="5" t="str">
        <f>IF(U391="","",_xlfn.XLOOKUP(U391,Hotels!A:A,Hotels!B:B,"Not found"))</f>
        <v>Hilton</v>
      </c>
      <c r="AV391" t="s">
        <v>148</v>
      </c>
      <c r="AW391" s="16" t="str">
        <f t="shared" si="134"/>
        <v>OK</v>
      </c>
      <c r="AX391" s="16" t="str">
        <f t="shared" si="135"/>
        <v>OK</v>
      </c>
      <c r="AY391" s="16" t="str">
        <f t="shared" si="136"/>
        <v>OK</v>
      </c>
      <c r="AZ391" s="16" t="str">
        <f t="shared" si="137"/>
        <v>OK</v>
      </c>
      <c r="BA391" s="16" t="str">
        <f t="shared" si="141"/>
        <v>OK</v>
      </c>
      <c r="BB391" s="21">
        <f>COUNTIF('Trip Changes'!B:B,A391)</f>
        <v>0</v>
      </c>
      <c r="BC391" s="16" t="str">
        <f>IF(OR(AND(AD391="Yes",COUNTIF('Trip Changes'!B:B,A391)&gt;0),AND(AD391="No",COUNTIF('Trip Changes'!B:B,A391)=0)),"OK","Check")</f>
        <v>OK</v>
      </c>
      <c r="BD391" t="str">
        <f t="shared" si="142"/>
        <v>OK</v>
      </c>
      <c r="BE391" t="str">
        <f t="shared" si="143"/>
        <v>OK</v>
      </c>
      <c r="BF391" t="str">
        <f t="shared" si="144"/>
        <v>OK</v>
      </c>
      <c r="BG391" t="str">
        <f t="shared" si="145"/>
        <v>OK</v>
      </c>
      <c r="BH391" t="str">
        <f t="shared" si="146"/>
        <v>OK</v>
      </c>
      <c r="BI391" t="str">
        <f t="shared" si="138"/>
        <v>OK</v>
      </c>
      <c r="BJ391" t="str">
        <f t="shared" si="139"/>
        <v>OK</v>
      </c>
      <c r="BK391" t="str">
        <f t="shared" si="140"/>
        <v>OK</v>
      </c>
    </row>
    <row r="392" spans="1:63">
      <c r="A392" s="16" t="s">
        <v>710</v>
      </c>
      <c r="B392" s="16" t="s">
        <v>709</v>
      </c>
      <c r="C392" s="16" t="s">
        <v>182</v>
      </c>
      <c r="D392" s="16" t="s">
        <v>168</v>
      </c>
      <c r="E392" s="16" t="s">
        <v>262</v>
      </c>
      <c r="F392" s="16" t="s">
        <v>189</v>
      </c>
      <c r="G392" s="15">
        <v>46144</v>
      </c>
      <c r="H392" s="15">
        <v>46145</v>
      </c>
      <c r="I392" s="15">
        <v>46147</v>
      </c>
      <c r="J392" s="15" t="s">
        <v>163</v>
      </c>
      <c r="K392" s="16" t="s">
        <v>182</v>
      </c>
      <c r="L392" t="s">
        <v>175</v>
      </c>
      <c r="M392" s="16" t="s">
        <v>152</v>
      </c>
      <c r="N392" s="16" t="s">
        <v>153</v>
      </c>
      <c r="O392" t="s">
        <v>1614</v>
      </c>
      <c r="P392" s="18">
        <v>3324</v>
      </c>
      <c r="Q392" s="21">
        <v>1</v>
      </c>
      <c r="R392" s="21" t="str">
        <f t="shared" si="126"/>
        <v>0-3 days</v>
      </c>
      <c r="S392" s="16" t="s">
        <v>216</v>
      </c>
      <c r="T392" s="16" t="s">
        <v>154</v>
      </c>
      <c r="U392" s="16" t="s">
        <v>164</v>
      </c>
      <c r="V392" t="str">
        <f>IF(U392="","",IFERROR(VLOOKUP(U392,Hotels!A:B,2,FALSE),"Not Found"))</f>
        <v>Marriott</v>
      </c>
      <c r="W392" s="14">
        <v>692.2</v>
      </c>
      <c r="X392" s="14">
        <v>0</v>
      </c>
      <c r="Y392" s="21">
        <v>1</v>
      </c>
      <c r="Z392" s="29">
        <f t="shared" si="127"/>
        <v>92.54</v>
      </c>
      <c r="AA392" s="14">
        <v>92.54</v>
      </c>
      <c r="AB392" s="14">
        <v>81.75</v>
      </c>
      <c r="AC392" s="14">
        <v>866.49</v>
      </c>
      <c r="AD392" s="16" t="s">
        <v>147</v>
      </c>
      <c r="AE392" s="16" t="s">
        <v>147</v>
      </c>
      <c r="AF392" s="14">
        <f>SUMIF('Trip Changes'!$B:$B,A392,'Trip Changes'!$E:$E)</f>
        <v>0</v>
      </c>
      <c r="AG392" s="23">
        <f>SUMIF('Trip Cancellations'!$B:$B,A392,'Trip Cancellations'!$E:$E)</f>
        <v>0</v>
      </c>
      <c r="AH392" s="14">
        <f>SUMIF('Trip Cancellations'!$B:$B,A392,'Trip Cancellations'!$F:$F)</f>
        <v>0</v>
      </c>
      <c r="AI392" s="14">
        <f t="shared" si="128"/>
        <v>866.49</v>
      </c>
      <c r="AJ392" s="14" t="str">
        <f t="shared" si="129"/>
        <v>Yes</v>
      </c>
      <c r="AK392" s="14" t="str">
        <f>IF(Y392=0,"N/A",
IF(_xlfn.XLOOKUP(U392,Hotels!A:A,Hotels!C:C)=TRUE,"Yes","No"))</f>
        <v>Yes</v>
      </c>
      <c r="AL392" s="14" t="str">
        <f>IF(N392="Rail","N/A",IF(_xlfn.XLOOKUP(T392,Airlines!A:A,Airlines!C:C)=TRUE,"Yes","No"))</f>
        <v>Yes</v>
      </c>
      <c r="AM392" s="14" t="str">
        <f t="shared" si="130"/>
        <v>Yes</v>
      </c>
      <c r="AN392" s="14" t="str">
        <f t="shared" si="131"/>
        <v>No</v>
      </c>
      <c r="AO392" s="14" t="str">
        <f t="shared" si="132"/>
        <v>Yes</v>
      </c>
      <c r="AP392" s="16" t="s">
        <v>148</v>
      </c>
      <c r="AQ392" t="str">
        <f t="shared" si="133"/>
        <v>No</v>
      </c>
      <c r="AR392" s="21">
        <v>5</v>
      </c>
      <c r="AS392" s="5">
        <v>498.6</v>
      </c>
      <c r="AT392" s="5" t="str">
        <f>IF(T392="","",_xlfn.XLOOKUP(T392,Airlines!A:A,Airlines!B:B,"Not Found"))</f>
        <v>British Airways</v>
      </c>
      <c r="AU392" s="5" t="str">
        <f>IF(U392="","",_xlfn.XLOOKUP(U392,Hotels!A:A,Hotels!B:B,"Not found"))</f>
        <v>Marriott</v>
      </c>
      <c r="AV392" t="s">
        <v>148</v>
      </c>
      <c r="AW392" s="16" t="str">
        <f t="shared" si="134"/>
        <v>OK</v>
      </c>
      <c r="AX392" s="16" t="str">
        <f t="shared" si="135"/>
        <v>OK</v>
      </c>
      <c r="AY392" s="16" t="str">
        <f t="shared" si="136"/>
        <v>OK</v>
      </c>
      <c r="AZ392" s="16" t="str">
        <f t="shared" si="137"/>
        <v>OK</v>
      </c>
      <c r="BA392" s="16" t="str">
        <f t="shared" si="141"/>
        <v>OK</v>
      </c>
      <c r="BB392" s="21">
        <f>COUNTIF('Trip Changes'!B:B,A392)</f>
        <v>0</v>
      </c>
      <c r="BC392" s="16" t="str">
        <f>IF(OR(AND(AD392="Yes",COUNTIF('Trip Changes'!B:B,A392)&gt;0),AND(AD392="No",COUNTIF('Trip Changes'!B:B,A392)=0)),"OK","Check")</f>
        <v>OK</v>
      </c>
      <c r="BD392" t="str">
        <f t="shared" si="142"/>
        <v>OK</v>
      </c>
      <c r="BE392" t="str">
        <f t="shared" si="143"/>
        <v>OK</v>
      </c>
      <c r="BF392" t="str">
        <f t="shared" si="144"/>
        <v>OK</v>
      </c>
      <c r="BG392" t="str">
        <f t="shared" si="145"/>
        <v>OK</v>
      </c>
      <c r="BH392" t="str">
        <f t="shared" si="146"/>
        <v>OK</v>
      </c>
      <c r="BI392" t="str">
        <f t="shared" si="138"/>
        <v>OK</v>
      </c>
      <c r="BJ392" t="str">
        <f t="shared" si="139"/>
        <v>OK</v>
      </c>
      <c r="BK392" t="str">
        <f t="shared" si="140"/>
        <v>OK</v>
      </c>
    </row>
    <row r="393" spans="1:63">
      <c r="A393" s="16" t="s">
        <v>711</v>
      </c>
      <c r="B393" s="16" t="s">
        <v>709</v>
      </c>
      <c r="C393" s="16" t="s">
        <v>182</v>
      </c>
      <c r="D393" s="16" t="s">
        <v>168</v>
      </c>
      <c r="E393" s="16" t="s">
        <v>262</v>
      </c>
      <c r="F393" s="16" t="s">
        <v>170</v>
      </c>
      <c r="G393" s="15">
        <v>46213</v>
      </c>
      <c r="H393" s="15">
        <v>46214</v>
      </c>
      <c r="I393" s="15">
        <v>46219</v>
      </c>
      <c r="J393" s="15" t="s">
        <v>150</v>
      </c>
      <c r="K393" s="16" t="s">
        <v>182</v>
      </c>
      <c r="L393" t="s">
        <v>233</v>
      </c>
      <c r="M393" s="16" t="s">
        <v>152</v>
      </c>
      <c r="N393" s="16" t="s">
        <v>153</v>
      </c>
      <c r="O393" t="s">
        <v>1614</v>
      </c>
      <c r="P393" s="18">
        <v>2376</v>
      </c>
      <c r="Q393" s="21">
        <v>1</v>
      </c>
      <c r="R393" s="21" t="str">
        <f t="shared" si="126"/>
        <v>0-3 days</v>
      </c>
      <c r="S393" s="16" t="s">
        <v>145</v>
      </c>
      <c r="T393" s="16" t="s">
        <v>160</v>
      </c>
      <c r="U393" s="16" t="s">
        <v>155</v>
      </c>
      <c r="V393" t="str">
        <f>IF(U393="","",IFERROR(VLOOKUP(U393,Hotels!A:B,2,FALSE),"Not Found"))</f>
        <v>Hilton</v>
      </c>
      <c r="W393" s="14">
        <v>581.76</v>
      </c>
      <c r="X393" s="14">
        <v>0</v>
      </c>
      <c r="Y393" s="21">
        <v>4</v>
      </c>
      <c r="Z393" s="29">
        <f t="shared" si="127"/>
        <v>118.35250000000001</v>
      </c>
      <c r="AA393" s="14">
        <v>473.41</v>
      </c>
      <c r="AB393" s="14">
        <v>51.12</v>
      </c>
      <c r="AC393" s="14">
        <v>1106.29</v>
      </c>
      <c r="AD393" s="16" t="s">
        <v>147</v>
      </c>
      <c r="AE393" s="16" t="s">
        <v>147</v>
      </c>
      <c r="AF393" s="14">
        <f>SUMIF('Trip Changes'!$B:$B,A393,'Trip Changes'!$E:$E)</f>
        <v>0</v>
      </c>
      <c r="AG393" s="23">
        <f>SUMIF('Trip Cancellations'!$B:$B,A393,'Trip Cancellations'!$E:$E)</f>
        <v>0</v>
      </c>
      <c r="AH393" s="14">
        <f>SUMIF('Trip Cancellations'!$B:$B,A393,'Trip Cancellations'!$F:$F)</f>
        <v>0</v>
      </c>
      <c r="AI393" s="14">
        <f t="shared" si="128"/>
        <v>1106.29</v>
      </c>
      <c r="AJ393" s="14" t="str">
        <f t="shared" si="129"/>
        <v>Yes</v>
      </c>
      <c r="AK393" s="14" t="str">
        <f>IF(Y393=0,"N/A",
IF(_xlfn.XLOOKUP(U393,Hotels!A:A,Hotels!C:C)=TRUE,"Yes","No"))</f>
        <v>Yes</v>
      </c>
      <c r="AL393" s="14" t="str">
        <f>IF(N393="Rail","N/A",IF(_xlfn.XLOOKUP(T393,Airlines!A:A,Airlines!C:C)=TRUE,"Yes","No"))</f>
        <v>Yes</v>
      </c>
      <c r="AM393" s="14" t="str">
        <f t="shared" si="130"/>
        <v>Yes</v>
      </c>
      <c r="AN393" s="14" t="str">
        <f t="shared" si="131"/>
        <v>Yes</v>
      </c>
      <c r="AO393" s="14" t="str">
        <f t="shared" si="132"/>
        <v>Yes</v>
      </c>
      <c r="AP393" s="16" t="s">
        <v>148</v>
      </c>
      <c r="AQ393" t="str">
        <f t="shared" si="133"/>
        <v>Yes</v>
      </c>
      <c r="AR393" s="21">
        <v>4</v>
      </c>
      <c r="AS393" s="5">
        <v>356.4</v>
      </c>
      <c r="AT393" s="5" t="str">
        <f>IF(T393="","",_xlfn.XLOOKUP(T393,Airlines!A:A,Airlines!B:B,"Not Found"))</f>
        <v>Air France</v>
      </c>
      <c r="AU393" s="5" t="str">
        <f>IF(U393="","",_xlfn.XLOOKUP(U393,Hotels!A:A,Hotels!B:B,"Not found"))</f>
        <v>Hilton</v>
      </c>
      <c r="AV393" t="s">
        <v>147</v>
      </c>
      <c r="AW393" s="16" t="str">
        <f t="shared" si="134"/>
        <v>OK</v>
      </c>
      <c r="AX393" s="16" t="str">
        <f t="shared" si="135"/>
        <v>OK</v>
      </c>
      <c r="AY393" s="16" t="str">
        <f t="shared" si="136"/>
        <v>OK</v>
      </c>
      <c r="AZ393" s="16" t="str">
        <f t="shared" si="137"/>
        <v>OK</v>
      </c>
      <c r="BA393" s="16" t="str">
        <f t="shared" si="141"/>
        <v>OK</v>
      </c>
      <c r="BB393" s="21">
        <f>COUNTIF('Trip Changes'!B:B,A393)</f>
        <v>0</v>
      </c>
      <c r="BC393" s="16" t="str">
        <f>IF(OR(AND(AD393="Yes",COUNTIF('Trip Changes'!B:B,A393)&gt;0),AND(AD393="No",COUNTIF('Trip Changes'!B:B,A393)=0)),"OK","Check")</f>
        <v>OK</v>
      </c>
      <c r="BD393" t="str">
        <f t="shared" si="142"/>
        <v>OK</v>
      </c>
      <c r="BE393" t="str">
        <f t="shared" si="143"/>
        <v>OK</v>
      </c>
      <c r="BF393" t="str">
        <f t="shared" si="144"/>
        <v>OK</v>
      </c>
      <c r="BG393" t="str">
        <f t="shared" si="145"/>
        <v>OK</v>
      </c>
      <c r="BH393" t="str">
        <f t="shared" si="146"/>
        <v>OK</v>
      </c>
      <c r="BI393" t="str">
        <f t="shared" si="138"/>
        <v>OK</v>
      </c>
      <c r="BJ393" t="str">
        <f t="shared" si="139"/>
        <v>OK</v>
      </c>
      <c r="BK393" t="str">
        <f t="shared" si="140"/>
        <v>OK</v>
      </c>
    </row>
    <row r="394" spans="1:63">
      <c r="A394" s="16" t="s">
        <v>712</v>
      </c>
      <c r="B394" s="16" t="s">
        <v>713</v>
      </c>
      <c r="C394" s="16" t="s">
        <v>257</v>
      </c>
      <c r="D394" s="16" t="s">
        <v>168</v>
      </c>
      <c r="E394" s="16" t="s">
        <v>169</v>
      </c>
      <c r="F394" s="16" t="s">
        <v>140</v>
      </c>
      <c r="G394" s="15">
        <v>46156</v>
      </c>
      <c r="H394" s="15">
        <v>46160</v>
      </c>
      <c r="I394" s="15">
        <v>46164</v>
      </c>
      <c r="J394" s="15" t="s">
        <v>163</v>
      </c>
      <c r="K394" s="16" t="s">
        <v>257</v>
      </c>
      <c r="L394" t="s">
        <v>171</v>
      </c>
      <c r="M394" s="16" t="s">
        <v>152</v>
      </c>
      <c r="N394" s="16" t="s">
        <v>153</v>
      </c>
      <c r="O394" t="s">
        <v>1614</v>
      </c>
      <c r="P394" s="18">
        <v>2876</v>
      </c>
      <c r="Q394" s="21">
        <v>4</v>
      </c>
      <c r="R394" s="21" t="str">
        <f t="shared" si="126"/>
        <v>4-7 days</v>
      </c>
      <c r="S394" s="16" t="s">
        <v>145</v>
      </c>
      <c r="T394" s="16" t="s">
        <v>172</v>
      </c>
      <c r="U394" s="16" t="s">
        <v>155</v>
      </c>
      <c r="V394" t="str">
        <f>IF(U394="","",IFERROR(VLOOKUP(U394,Hotels!A:B,2,FALSE),"Not Found"))</f>
        <v>Hilton</v>
      </c>
      <c r="W394" s="14">
        <v>263.91000000000003</v>
      </c>
      <c r="X394" s="14">
        <v>0</v>
      </c>
      <c r="Y394" s="21">
        <v>3</v>
      </c>
      <c r="Z394" s="29">
        <f t="shared" si="127"/>
        <v>201.85333333333332</v>
      </c>
      <c r="AA394" s="14">
        <v>605.55999999999995</v>
      </c>
      <c r="AB394" s="14">
        <v>95.23</v>
      </c>
      <c r="AC394" s="14">
        <v>964.7</v>
      </c>
      <c r="AD394" s="16" t="s">
        <v>147</v>
      </c>
      <c r="AE394" s="16" t="s">
        <v>147</v>
      </c>
      <c r="AF394" s="14">
        <f>SUMIF('Trip Changes'!$B:$B,A394,'Trip Changes'!$E:$E)</f>
        <v>0</v>
      </c>
      <c r="AG394" s="23">
        <f>SUMIF('Trip Cancellations'!$B:$B,A394,'Trip Cancellations'!$E:$E)</f>
        <v>0</v>
      </c>
      <c r="AH394" s="14">
        <f>SUMIF('Trip Cancellations'!$B:$B,A394,'Trip Cancellations'!$F:$F)</f>
        <v>0</v>
      </c>
      <c r="AI394" s="14">
        <f t="shared" si="128"/>
        <v>964.7</v>
      </c>
      <c r="AJ394" s="14" t="str">
        <f t="shared" si="129"/>
        <v>No</v>
      </c>
      <c r="AK394" s="14" t="str">
        <f>IF(Y394=0,"N/A",
IF(_xlfn.XLOOKUP(U394,Hotels!A:A,Hotels!C:C)=TRUE,"Yes","No"))</f>
        <v>Yes</v>
      </c>
      <c r="AL394" s="14" t="str">
        <f>IF(N394="Rail","N/A",IF(_xlfn.XLOOKUP(T394,Airlines!A:A,Airlines!C:C)=TRUE,"Yes","No"))</f>
        <v>Yes</v>
      </c>
      <c r="AM394" s="14" t="str">
        <f t="shared" si="130"/>
        <v>Yes</v>
      </c>
      <c r="AN394" s="14" t="str">
        <f t="shared" si="131"/>
        <v>Yes</v>
      </c>
      <c r="AO394" s="14" t="str">
        <f t="shared" si="132"/>
        <v>Yes</v>
      </c>
      <c r="AP394" s="16" t="s">
        <v>148</v>
      </c>
      <c r="AQ394" t="str">
        <f t="shared" si="133"/>
        <v>No</v>
      </c>
      <c r="AR394" s="21">
        <v>5</v>
      </c>
      <c r="AS394" s="5">
        <v>431.4</v>
      </c>
      <c r="AT394" s="5" t="str">
        <f>IF(T394="","",_xlfn.XLOOKUP(T394,Airlines!A:A,Airlines!B:B,"Not Found"))</f>
        <v>Lufthansa</v>
      </c>
      <c r="AU394" s="5" t="str">
        <f>IF(U394="","",_xlfn.XLOOKUP(U394,Hotels!A:A,Hotels!B:B,"Not found"))</f>
        <v>Hilton</v>
      </c>
      <c r="AV394" t="s">
        <v>148</v>
      </c>
      <c r="AW394" s="16" t="str">
        <f t="shared" si="134"/>
        <v>OK</v>
      </c>
      <c r="AX394" s="16" t="str">
        <f t="shared" si="135"/>
        <v>OK</v>
      </c>
      <c r="AY394" s="16" t="str">
        <f t="shared" si="136"/>
        <v>OK</v>
      </c>
      <c r="AZ394" s="16" t="str">
        <f t="shared" si="137"/>
        <v>OK</v>
      </c>
      <c r="BA394" s="16" t="str">
        <f t="shared" si="141"/>
        <v>OK</v>
      </c>
      <c r="BB394" s="21">
        <f>COUNTIF('Trip Changes'!B:B,A394)</f>
        <v>0</v>
      </c>
      <c r="BC394" s="16" t="str">
        <f>IF(OR(AND(AD394="Yes",COUNTIF('Trip Changes'!B:B,A394)&gt;0),AND(AD394="No",COUNTIF('Trip Changes'!B:B,A394)=0)),"OK","Check")</f>
        <v>OK</v>
      </c>
      <c r="BD394" t="str">
        <f t="shared" si="142"/>
        <v>OK</v>
      </c>
      <c r="BE394" t="str">
        <f t="shared" si="143"/>
        <v>OK</v>
      </c>
      <c r="BF394" t="str">
        <f t="shared" si="144"/>
        <v>OK</v>
      </c>
      <c r="BG394" t="str">
        <f t="shared" si="145"/>
        <v>OK</v>
      </c>
      <c r="BH394" t="str">
        <f t="shared" si="146"/>
        <v>OK</v>
      </c>
      <c r="BI394" t="str">
        <f t="shared" si="138"/>
        <v>OK</v>
      </c>
      <c r="BJ394" t="str">
        <f t="shared" si="139"/>
        <v>OK</v>
      </c>
      <c r="BK394" t="str">
        <f t="shared" si="140"/>
        <v>OK</v>
      </c>
    </row>
    <row r="395" spans="1:63">
      <c r="A395" s="16" t="s">
        <v>714</v>
      </c>
      <c r="B395" s="16" t="s">
        <v>713</v>
      </c>
      <c r="C395" s="16" t="s">
        <v>257</v>
      </c>
      <c r="D395" s="16" t="s">
        <v>168</v>
      </c>
      <c r="E395" s="16" t="s">
        <v>169</v>
      </c>
      <c r="F395" s="16" t="s">
        <v>157</v>
      </c>
      <c r="G395" s="15">
        <v>46207</v>
      </c>
      <c r="H395" s="15">
        <v>46208</v>
      </c>
      <c r="I395" s="15">
        <v>46214</v>
      </c>
      <c r="J395" s="15" t="s">
        <v>150</v>
      </c>
      <c r="K395" s="16" t="s">
        <v>257</v>
      </c>
      <c r="L395" t="s">
        <v>185</v>
      </c>
      <c r="M395" s="16" t="s">
        <v>152</v>
      </c>
      <c r="N395" s="16" t="s">
        <v>153</v>
      </c>
      <c r="O395" t="s">
        <v>1614</v>
      </c>
      <c r="P395" s="18">
        <v>11852</v>
      </c>
      <c r="Q395" s="21">
        <v>1</v>
      </c>
      <c r="R395" s="21" t="str">
        <f t="shared" si="126"/>
        <v>0-3 days</v>
      </c>
      <c r="S395" s="16" t="s">
        <v>145</v>
      </c>
      <c r="T395" s="16" t="s">
        <v>186</v>
      </c>
      <c r="U395" s="16" t="s">
        <v>164</v>
      </c>
      <c r="V395" t="str">
        <f>IF(U395="","",IFERROR(VLOOKUP(U395,Hotels!A:B,2,FALSE),"Not Found"))</f>
        <v>Marriott</v>
      </c>
      <c r="W395" s="14">
        <v>1214.8699999999999</v>
      </c>
      <c r="X395" s="14">
        <v>0</v>
      </c>
      <c r="Y395" s="21">
        <v>5</v>
      </c>
      <c r="Z395" s="29">
        <f t="shared" si="127"/>
        <v>216.01</v>
      </c>
      <c r="AA395" s="14">
        <v>1080.05</v>
      </c>
      <c r="AB395" s="14">
        <v>134.19999999999999</v>
      </c>
      <c r="AC395" s="14">
        <v>2429.12</v>
      </c>
      <c r="AD395" s="16" t="s">
        <v>148</v>
      </c>
      <c r="AE395" s="16" t="s">
        <v>147</v>
      </c>
      <c r="AF395" s="14">
        <f>SUMIF('Trip Changes'!$B:$B,A395,'Trip Changes'!$E:$E)</f>
        <v>363.85</v>
      </c>
      <c r="AG395" s="23">
        <f>SUMIF('Trip Cancellations'!$B:$B,A395,'Trip Cancellations'!$E:$E)</f>
        <v>0</v>
      </c>
      <c r="AH395" s="14">
        <f>SUMIF('Trip Cancellations'!$B:$B,A395,'Trip Cancellations'!$F:$F)</f>
        <v>0</v>
      </c>
      <c r="AI395" s="14">
        <f t="shared" si="128"/>
        <v>2792.97</v>
      </c>
      <c r="AJ395" s="14" t="str">
        <f t="shared" si="129"/>
        <v>Yes</v>
      </c>
      <c r="AK395" s="14" t="str">
        <f>IF(Y395=0,"N/A",
IF(_xlfn.XLOOKUP(U395,Hotels!A:A,Hotels!C:C)=TRUE,"Yes","No"))</f>
        <v>Yes</v>
      </c>
      <c r="AL395" s="14" t="str">
        <f>IF(N395="Rail","N/A",IF(_xlfn.XLOOKUP(T395,Airlines!A:A,Airlines!C:C)=TRUE,"Yes","No"))</f>
        <v>Yes</v>
      </c>
      <c r="AM395" s="14" t="str">
        <f t="shared" si="130"/>
        <v>Yes</v>
      </c>
      <c r="AN395" s="14" t="str">
        <f t="shared" si="131"/>
        <v>Yes</v>
      </c>
      <c r="AO395" s="14" t="str">
        <f t="shared" si="132"/>
        <v>Yes</v>
      </c>
      <c r="AP395" s="16" t="s">
        <v>148</v>
      </c>
      <c r="AQ395" t="str">
        <f t="shared" si="133"/>
        <v>Yes</v>
      </c>
      <c r="AR395" s="21">
        <v>4</v>
      </c>
      <c r="AS395" s="5">
        <v>1777.8</v>
      </c>
      <c r="AT395" s="5" t="str">
        <f>IF(T395="","",_xlfn.XLOOKUP(T395,Airlines!A:A,Airlines!B:B,"Not Found"))</f>
        <v>Virgin Atlantic</v>
      </c>
      <c r="AU395" s="5" t="str">
        <f>IF(U395="","",_xlfn.XLOOKUP(U395,Hotels!A:A,Hotels!B:B,"Not found"))</f>
        <v>Marriott</v>
      </c>
      <c r="AV395" t="s">
        <v>148</v>
      </c>
      <c r="AW395" s="16" t="str">
        <f t="shared" si="134"/>
        <v>OK</v>
      </c>
      <c r="AX395" s="16" t="str">
        <f t="shared" si="135"/>
        <v>OK</v>
      </c>
      <c r="AY395" s="16" t="str">
        <f t="shared" si="136"/>
        <v>OK</v>
      </c>
      <c r="AZ395" s="16" t="str">
        <f t="shared" si="137"/>
        <v>OK</v>
      </c>
      <c r="BA395" s="16" t="str">
        <f t="shared" si="141"/>
        <v>OK</v>
      </c>
      <c r="BB395" s="21">
        <f>COUNTIF('Trip Changes'!B:B,A395)</f>
        <v>2</v>
      </c>
      <c r="BC395" s="16" t="str">
        <f>IF(OR(AND(AD395="Yes",COUNTIF('Trip Changes'!B:B,A395)&gt;0),AND(AD395="No",COUNTIF('Trip Changes'!B:B,A395)=0)),"OK","Check")</f>
        <v>OK</v>
      </c>
      <c r="BD395" t="str">
        <f t="shared" si="142"/>
        <v>OK</v>
      </c>
      <c r="BE395" t="str">
        <f t="shared" si="143"/>
        <v>OK</v>
      </c>
      <c r="BF395" t="str">
        <f t="shared" si="144"/>
        <v>OK</v>
      </c>
      <c r="BG395" t="str">
        <f t="shared" si="145"/>
        <v>OK</v>
      </c>
      <c r="BH395" t="str">
        <f t="shared" si="146"/>
        <v>OK</v>
      </c>
      <c r="BI395" t="str">
        <f t="shared" si="138"/>
        <v>OK</v>
      </c>
      <c r="BJ395" t="str">
        <f t="shared" si="139"/>
        <v>OK</v>
      </c>
      <c r="BK395" t="str">
        <f t="shared" si="140"/>
        <v>OK</v>
      </c>
    </row>
    <row r="396" spans="1:63">
      <c r="A396" s="16" t="s">
        <v>715</v>
      </c>
      <c r="B396" s="16" t="s">
        <v>713</v>
      </c>
      <c r="C396" s="16" t="s">
        <v>257</v>
      </c>
      <c r="D396" s="16" t="s">
        <v>168</v>
      </c>
      <c r="E396" s="16" t="s">
        <v>169</v>
      </c>
      <c r="F396" s="16" t="s">
        <v>178</v>
      </c>
      <c r="G396" s="15">
        <v>46163</v>
      </c>
      <c r="H396" s="15">
        <v>46187</v>
      </c>
      <c r="I396" s="15">
        <v>46190</v>
      </c>
      <c r="J396" s="15" t="s">
        <v>141</v>
      </c>
      <c r="K396" s="16" t="s">
        <v>257</v>
      </c>
      <c r="L396" t="s">
        <v>227</v>
      </c>
      <c r="M396" s="16" t="s">
        <v>152</v>
      </c>
      <c r="N396" s="16" t="s">
        <v>153</v>
      </c>
      <c r="O396" t="s">
        <v>1614</v>
      </c>
      <c r="P396" s="18">
        <v>2458</v>
      </c>
      <c r="Q396" s="21">
        <v>24</v>
      </c>
      <c r="R396" s="21" t="str">
        <f t="shared" si="126"/>
        <v>15-30 days</v>
      </c>
      <c r="S396" s="16" t="s">
        <v>207</v>
      </c>
      <c r="T396" s="16" t="s">
        <v>176</v>
      </c>
      <c r="U396" s="16" t="s">
        <v>155</v>
      </c>
      <c r="V396" t="str">
        <f>IF(U396="","",IFERROR(VLOOKUP(U396,Hotels!A:B,2,FALSE),"Not Found"))</f>
        <v>Hilton</v>
      </c>
      <c r="W396" s="14">
        <v>595.94000000000005</v>
      </c>
      <c r="X396" s="14">
        <v>0</v>
      </c>
      <c r="Y396" s="21">
        <v>2</v>
      </c>
      <c r="Z396" s="29">
        <f t="shared" si="127"/>
        <v>128.10499999999999</v>
      </c>
      <c r="AA396" s="14">
        <v>256.20999999999998</v>
      </c>
      <c r="AB396" s="14">
        <v>56.07</v>
      </c>
      <c r="AC396" s="14">
        <v>908.22</v>
      </c>
      <c r="AD396" s="16" t="s">
        <v>147</v>
      </c>
      <c r="AE396" s="16" t="s">
        <v>148</v>
      </c>
      <c r="AF396" s="14">
        <f>SUMIF('Trip Changes'!$B:$B,A396,'Trip Changes'!$E:$E)</f>
        <v>0</v>
      </c>
      <c r="AG396" s="23">
        <f>SUMIF('Trip Cancellations'!$B:$B,A396,'Trip Cancellations'!$E:$E)</f>
        <v>76.27</v>
      </c>
      <c r="AH396" s="14">
        <f>SUMIF('Trip Cancellations'!$B:$B,A396,'Trip Cancellations'!$F:$F)</f>
        <v>766.94</v>
      </c>
      <c r="AI396" s="14">
        <f t="shared" si="128"/>
        <v>217.54999999999995</v>
      </c>
      <c r="AJ396" s="14" t="str">
        <f t="shared" si="129"/>
        <v>Yes</v>
      </c>
      <c r="AK396" s="14" t="str">
        <f>IF(Y396=0,"N/A",
IF(_xlfn.XLOOKUP(U396,Hotels!A:A,Hotels!C:C)=TRUE,"Yes","No"))</f>
        <v>Yes</v>
      </c>
      <c r="AL396" s="14" t="str">
        <f>IF(N396="Rail","N/A",IF(_xlfn.XLOOKUP(T396,Airlines!A:A,Airlines!C:C)=TRUE,"Yes","No"))</f>
        <v>Yes</v>
      </c>
      <c r="AM396" s="14" t="str">
        <f t="shared" si="130"/>
        <v>Yes</v>
      </c>
      <c r="AN396" s="14" t="str">
        <f t="shared" si="131"/>
        <v>No</v>
      </c>
      <c r="AO396" s="14" t="str">
        <f t="shared" si="132"/>
        <v>Yes</v>
      </c>
      <c r="AP396" s="16" t="s">
        <v>148</v>
      </c>
      <c r="AQ396" t="str">
        <f t="shared" si="133"/>
        <v>No</v>
      </c>
      <c r="AR396" s="21">
        <v>3</v>
      </c>
      <c r="AS396" s="5">
        <v>368.7</v>
      </c>
      <c r="AT396" s="5" t="str">
        <f>IF(T396="","",_xlfn.XLOOKUP(T396,Airlines!A:A,Airlines!B:B,"Not Found"))</f>
        <v>easyJet</v>
      </c>
      <c r="AU396" s="5" t="str">
        <f>IF(U396="","",_xlfn.XLOOKUP(U396,Hotels!A:A,Hotels!B:B,"Not found"))</f>
        <v>Hilton</v>
      </c>
      <c r="AV396" t="s">
        <v>148</v>
      </c>
      <c r="AW396" s="16" t="str">
        <f t="shared" si="134"/>
        <v>OK</v>
      </c>
      <c r="AX396" s="16" t="str">
        <f t="shared" si="135"/>
        <v>OK</v>
      </c>
      <c r="AY396" s="16" t="str">
        <f t="shared" si="136"/>
        <v>OK</v>
      </c>
      <c r="AZ396" s="16" t="str">
        <f t="shared" si="137"/>
        <v>OK</v>
      </c>
      <c r="BA396" s="16" t="str">
        <f t="shared" si="141"/>
        <v>OK</v>
      </c>
      <c r="BB396" s="21">
        <f>COUNTIF('Trip Changes'!B:B,A396)</f>
        <v>0</v>
      </c>
      <c r="BC396" s="16" t="str">
        <f>IF(OR(AND(AD396="Yes",COUNTIF('Trip Changes'!B:B,A396)&gt;0),AND(AD396="No",COUNTIF('Trip Changes'!B:B,A396)=0)),"OK","Check")</f>
        <v>OK</v>
      </c>
      <c r="BD396" t="str">
        <f t="shared" si="142"/>
        <v>OK</v>
      </c>
      <c r="BE396" t="str">
        <f t="shared" si="143"/>
        <v>OK</v>
      </c>
      <c r="BF396" t="str">
        <f t="shared" si="144"/>
        <v>OK</v>
      </c>
      <c r="BG396" t="str">
        <f t="shared" si="145"/>
        <v>OK</v>
      </c>
      <c r="BH396" t="str">
        <f t="shared" si="146"/>
        <v>OK</v>
      </c>
      <c r="BI396" t="str">
        <f t="shared" si="138"/>
        <v>OK</v>
      </c>
      <c r="BJ396" t="str">
        <f t="shared" si="139"/>
        <v>OK</v>
      </c>
      <c r="BK396" t="str">
        <f t="shared" si="140"/>
        <v>OK</v>
      </c>
    </row>
    <row r="397" spans="1:63">
      <c r="A397" s="16" t="s">
        <v>716</v>
      </c>
      <c r="B397" s="16" t="s">
        <v>717</v>
      </c>
      <c r="C397" s="16" t="s">
        <v>182</v>
      </c>
      <c r="D397" s="16" t="s">
        <v>248</v>
      </c>
      <c r="E397" s="16" t="s">
        <v>169</v>
      </c>
      <c r="F397" s="16" t="s">
        <v>181</v>
      </c>
      <c r="G397" s="15">
        <v>46138</v>
      </c>
      <c r="H397" s="15">
        <v>46174</v>
      </c>
      <c r="I397" s="15">
        <v>46176</v>
      </c>
      <c r="J397" s="15" t="s">
        <v>141</v>
      </c>
      <c r="K397" s="16" t="s">
        <v>182</v>
      </c>
      <c r="L397" t="s">
        <v>175</v>
      </c>
      <c r="M397" s="16" t="s">
        <v>152</v>
      </c>
      <c r="N397" s="16" t="s">
        <v>153</v>
      </c>
      <c r="O397" t="s">
        <v>1614</v>
      </c>
      <c r="P397" s="18">
        <v>3166</v>
      </c>
      <c r="Q397" s="21">
        <v>36</v>
      </c>
      <c r="R397" s="21" t="str">
        <f t="shared" si="126"/>
        <v>31+ days</v>
      </c>
      <c r="S397" s="16" t="s">
        <v>145</v>
      </c>
      <c r="T397" s="16" t="s">
        <v>172</v>
      </c>
      <c r="U397" s="16" t="s">
        <v>190</v>
      </c>
      <c r="V397" t="str">
        <f>IF(U397="","",IFERROR(VLOOKUP(U397,Hotels!A:B,2,FALSE),"Not Found"))</f>
        <v>Radisson Hotel Group</v>
      </c>
      <c r="W397" s="14">
        <v>287.22000000000003</v>
      </c>
      <c r="X397" s="14">
        <v>0</v>
      </c>
      <c r="Y397" s="21">
        <v>1</v>
      </c>
      <c r="Z397" s="29">
        <f t="shared" si="127"/>
        <v>234.08</v>
      </c>
      <c r="AA397" s="14">
        <v>234.08</v>
      </c>
      <c r="AB397" s="14">
        <v>26.24</v>
      </c>
      <c r="AC397" s="14">
        <v>547.54</v>
      </c>
      <c r="AD397" s="16" t="s">
        <v>147</v>
      </c>
      <c r="AE397" s="16" t="s">
        <v>147</v>
      </c>
      <c r="AF397" s="14">
        <f>SUMIF('Trip Changes'!$B:$B,A397,'Trip Changes'!$E:$E)</f>
        <v>0</v>
      </c>
      <c r="AG397" s="23">
        <f>SUMIF('Trip Cancellations'!$B:$B,A397,'Trip Cancellations'!$E:$E)</f>
        <v>0</v>
      </c>
      <c r="AH397" s="14">
        <f>SUMIF('Trip Cancellations'!$B:$B,A397,'Trip Cancellations'!$F:$F)</f>
        <v>0</v>
      </c>
      <c r="AI397" s="14">
        <f t="shared" si="128"/>
        <v>547.54</v>
      </c>
      <c r="AJ397" s="14" t="str">
        <f t="shared" si="129"/>
        <v>No</v>
      </c>
      <c r="AK397" s="14" t="str">
        <f>IF(Y397=0,"N/A",
IF(_xlfn.XLOOKUP(U397,Hotels!A:A,Hotels!C:C)=TRUE,"Yes","No"))</f>
        <v>No</v>
      </c>
      <c r="AL397" s="14" t="str">
        <f>IF(N397="Rail","N/A",IF(_xlfn.XLOOKUP(T397,Airlines!A:A,Airlines!C:C)=TRUE,"Yes","No"))</f>
        <v>Yes</v>
      </c>
      <c r="AM397" s="14" t="str">
        <f t="shared" si="130"/>
        <v>Yes</v>
      </c>
      <c r="AN397" s="14" t="str">
        <f t="shared" si="131"/>
        <v>Yes</v>
      </c>
      <c r="AO397" s="14" t="str">
        <f t="shared" si="132"/>
        <v>No</v>
      </c>
      <c r="AP397" s="16" t="s">
        <v>148</v>
      </c>
      <c r="AQ397" t="str">
        <f t="shared" si="133"/>
        <v>No</v>
      </c>
      <c r="AR397" s="21">
        <v>3</v>
      </c>
      <c r="AS397" s="5">
        <v>474.9</v>
      </c>
      <c r="AT397" s="5" t="str">
        <f>IF(T397="","",_xlfn.XLOOKUP(T397,Airlines!A:A,Airlines!B:B,"Not Found"))</f>
        <v>Lufthansa</v>
      </c>
      <c r="AU397" s="5" t="str">
        <f>IF(U397="","",_xlfn.XLOOKUP(U397,Hotels!A:A,Hotels!B:B,"Not found"))</f>
        <v>Radisson Hotel Group</v>
      </c>
      <c r="AV397" t="s">
        <v>147</v>
      </c>
      <c r="AW397" s="16" t="str">
        <f t="shared" si="134"/>
        <v>OK</v>
      </c>
      <c r="AX397" s="16" t="str">
        <f t="shared" si="135"/>
        <v>OK</v>
      </c>
      <c r="AY397" s="16" t="str">
        <f t="shared" si="136"/>
        <v>OK</v>
      </c>
      <c r="AZ397" s="16" t="str">
        <f t="shared" si="137"/>
        <v>OK</v>
      </c>
      <c r="BA397" s="16" t="str">
        <f t="shared" si="141"/>
        <v>OK</v>
      </c>
      <c r="BB397" s="21">
        <f>COUNTIF('Trip Changes'!B:B,A397)</f>
        <v>0</v>
      </c>
      <c r="BC397" s="16" t="str">
        <f>IF(OR(AND(AD397="Yes",COUNTIF('Trip Changes'!B:B,A397)&gt;0),AND(AD397="No",COUNTIF('Trip Changes'!B:B,A397)=0)),"OK","Check")</f>
        <v>OK</v>
      </c>
      <c r="BD397" t="str">
        <f t="shared" si="142"/>
        <v>OK</v>
      </c>
      <c r="BE397" t="str">
        <f t="shared" si="143"/>
        <v>OK</v>
      </c>
      <c r="BF397" t="str">
        <f t="shared" si="144"/>
        <v>OK</v>
      </c>
      <c r="BG397" t="str">
        <f t="shared" si="145"/>
        <v>OK</v>
      </c>
      <c r="BH397" t="str">
        <f t="shared" si="146"/>
        <v>OK</v>
      </c>
      <c r="BI397" t="str">
        <f t="shared" si="138"/>
        <v>OK</v>
      </c>
      <c r="BJ397" t="str">
        <f t="shared" si="139"/>
        <v>OK</v>
      </c>
      <c r="BK397" t="str">
        <f t="shared" si="140"/>
        <v>OK</v>
      </c>
    </row>
    <row r="398" spans="1:63">
      <c r="A398" s="16" t="s">
        <v>718</v>
      </c>
      <c r="B398" s="16" t="s">
        <v>717</v>
      </c>
      <c r="C398" s="16" t="s">
        <v>182</v>
      </c>
      <c r="D398" s="16" t="s">
        <v>248</v>
      </c>
      <c r="E398" s="16" t="s">
        <v>169</v>
      </c>
      <c r="F398" s="16" t="s">
        <v>189</v>
      </c>
      <c r="G398" s="15">
        <v>46158</v>
      </c>
      <c r="H398" s="15">
        <v>46164</v>
      </c>
      <c r="I398" s="15">
        <v>46167</v>
      </c>
      <c r="J398" s="15" t="s">
        <v>163</v>
      </c>
      <c r="K398" s="16" t="s">
        <v>182</v>
      </c>
      <c r="L398" t="s">
        <v>199</v>
      </c>
      <c r="M398" s="16" t="s">
        <v>152</v>
      </c>
      <c r="N398" s="16" t="s">
        <v>153</v>
      </c>
      <c r="O398" t="s">
        <v>1614</v>
      </c>
      <c r="P398" s="18">
        <v>1858</v>
      </c>
      <c r="Q398" s="21">
        <v>6</v>
      </c>
      <c r="R398" s="21" t="str">
        <f t="shared" si="126"/>
        <v>4-7 days</v>
      </c>
      <c r="S398" s="16" t="s">
        <v>207</v>
      </c>
      <c r="T398" s="16" t="s">
        <v>200</v>
      </c>
      <c r="U398" s="16" t="s">
        <v>190</v>
      </c>
      <c r="V398" t="str">
        <f>IF(U398="","",IFERROR(VLOOKUP(U398,Hotels!A:B,2,FALSE),"Not Found"))</f>
        <v>Radisson Hotel Group</v>
      </c>
      <c r="W398" s="14">
        <v>570.66999999999996</v>
      </c>
      <c r="X398" s="14">
        <v>0</v>
      </c>
      <c r="Y398" s="21">
        <v>2</v>
      </c>
      <c r="Z398" s="29">
        <f t="shared" si="127"/>
        <v>283.25</v>
      </c>
      <c r="AA398" s="14">
        <v>566.5</v>
      </c>
      <c r="AB398" s="14">
        <v>81.52</v>
      </c>
      <c r="AC398" s="14">
        <v>1218.69</v>
      </c>
      <c r="AD398" s="16" t="s">
        <v>147</v>
      </c>
      <c r="AE398" s="16" t="s">
        <v>147</v>
      </c>
      <c r="AF398" s="14">
        <f>SUMIF('Trip Changes'!$B:$B,A398,'Trip Changes'!$E:$E)</f>
        <v>0</v>
      </c>
      <c r="AG398" s="23">
        <f>SUMIF('Trip Cancellations'!$B:$B,A398,'Trip Cancellations'!$E:$E)</f>
        <v>0</v>
      </c>
      <c r="AH398" s="14">
        <f>SUMIF('Trip Cancellations'!$B:$B,A398,'Trip Cancellations'!$F:$F)</f>
        <v>0</v>
      </c>
      <c r="AI398" s="14">
        <f t="shared" si="128"/>
        <v>1218.69</v>
      </c>
      <c r="AJ398" s="14" t="str">
        <f t="shared" si="129"/>
        <v>No</v>
      </c>
      <c r="AK398" s="14" t="str">
        <f>IF(Y398=0,"N/A",
IF(_xlfn.XLOOKUP(U398,Hotels!A:A,Hotels!C:C)=TRUE,"Yes","No"))</f>
        <v>No</v>
      </c>
      <c r="AL398" s="14" t="str">
        <f>IF(N398="Rail","N/A",IF(_xlfn.XLOOKUP(T398,Airlines!A:A,Airlines!C:C)=TRUE,"Yes","No"))</f>
        <v>Yes</v>
      </c>
      <c r="AM398" s="14" t="str">
        <f t="shared" si="130"/>
        <v>Yes</v>
      </c>
      <c r="AN398" s="14" t="str">
        <f t="shared" si="131"/>
        <v>No</v>
      </c>
      <c r="AO398" s="14" t="str">
        <f t="shared" si="132"/>
        <v>No</v>
      </c>
      <c r="AP398" s="16" t="s">
        <v>147</v>
      </c>
      <c r="AQ398" t="str">
        <f t="shared" si="133"/>
        <v>No</v>
      </c>
      <c r="AR398" s="21">
        <v>3</v>
      </c>
      <c r="AS398" s="5">
        <v>278.7</v>
      </c>
      <c r="AT398" s="5" t="str">
        <f>IF(T398="","",_xlfn.XLOOKUP(T398,Airlines!A:A,Airlines!B:B,"Not Found"))</f>
        <v>Aer Lingus</v>
      </c>
      <c r="AU398" s="5" t="str">
        <f>IF(U398="","",_xlfn.XLOOKUP(U398,Hotels!A:A,Hotels!B:B,"Not found"))</f>
        <v>Radisson Hotel Group</v>
      </c>
      <c r="AV398" t="s">
        <v>147</v>
      </c>
      <c r="AW398" s="16" t="str">
        <f t="shared" si="134"/>
        <v>OK</v>
      </c>
      <c r="AX398" s="16" t="str">
        <f t="shared" si="135"/>
        <v>OK</v>
      </c>
      <c r="AY398" s="16" t="str">
        <f t="shared" si="136"/>
        <v>OK</v>
      </c>
      <c r="AZ398" s="16" t="str">
        <f t="shared" si="137"/>
        <v>OK</v>
      </c>
      <c r="BA398" s="16" t="str">
        <f t="shared" si="141"/>
        <v>OK</v>
      </c>
      <c r="BB398" s="21">
        <f>COUNTIF('Trip Changes'!B:B,A398)</f>
        <v>0</v>
      </c>
      <c r="BC398" s="16" t="str">
        <f>IF(OR(AND(AD398="Yes",COUNTIF('Trip Changes'!B:B,A398)&gt;0),AND(AD398="No",COUNTIF('Trip Changes'!B:B,A398)=0)),"OK","Check")</f>
        <v>OK</v>
      </c>
      <c r="BD398" t="str">
        <f t="shared" si="142"/>
        <v>OK</v>
      </c>
      <c r="BE398" t="str">
        <f t="shared" si="143"/>
        <v>OK</v>
      </c>
      <c r="BF398" t="str">
        <f t="shared" si="144"/>
        <v>OK</v>
      </c>
      <c r="BG398" t="str">
        <f t="shared" si="145"/>
        <v>OK</v>
      </c>
      <c r="BH398" t="str">
        <f t="shared" si="146"/>
        <v>OK</v>
      </c>
      <c r="BI398" t="str">
        <f t="shared" si="138"/>
        <v>OK</v>
      </c>
      <c r="BJ398" t="str">
        <f t="shared" si="139"/>
        <v>OK</v>
      </c>
      <c r="BK398" t="str">
        <f t="shared" si="140"/>
        <v>OK</v>
      </c>
    </row>
    <row r="399" spans="1:63">
      <c r="A399" s="16" t="s">
        <v>719</v>
      </c>
      <c r="B399" s="16" t="s">
        <v>720</v>
      </c>
      <c r="C399" s="16" t="s">
        <v>182</v>
      </c>
      <c r="D399" s="16" t="s">
        <v>138</v>
      </c>
      <c r="E399" s="16" t="s">
        <v>139</v>
      </c>
      <c r="F399" s="16" t="s">
        <v>178</v>
      </c>
      <c r="G399" s="15">
        <v>46140</v>
      </c>
      <c r="H399" s="15">
        <v>46163</v>
      </c>
      <c r="I399" s="15">
        <v>46165</v>
      </c>
      <c r="J399" s="15" t="s">
        <v>163</v>
      </c>
      <c r="K399" s="16" t="s">
        <v>182</v>
      </c>
      <c r="L399" t="s">
        <v>264</v>
      </c>
      <c r="M399" s="16" t="s">
        <v>152</v>
      </c>
      <c r="N399" s="16" t="s">
        <v>153</v>
      </c>
      <c r="O399" t="s">
        <v>1614</v>
      </c>
      <c r="P399" s="18">
        <v>1848</v>
      </c>
      <c r="Q399" s="21">
        <v>23</v>
      </c>
      <c r="R399" s="21" t="str">
        <f t="shared" si="126"/>
        <v>15-30 days</v>
      </c>
      <c r="S399" s="16" t="s">
        <v>207</v>
      </c>
      <c r="T399" s="16" t="s">
        <v>154</v>
      </c>
      <c r="U399" s="16" t="s">
        <v>164</v>
      </c>
      <c r="V399" t="str">
        <f>IF(U399="","",IFERROR(VLOOKUP(U399,Hotels!A:B,2,FALSE),"Not Found"))</f>
        <v>Marriott</v>
      </c>
      <c r="W399" s="14">
        <v>647.53</v>
      </c>
      <c r="X399" s="14">
        <v>0</v>
      </c>
      <c r="Y399" s="21">
        <v>1</v>
      </c>
      <c r="Z399" s="29">
        <f t="shared" si="127"/>
        <v>195.62</v>
      </c>
      <c r="AA399" s="14">
        <v>195.62</v>
      </c>
      <c r="AB399" s="14">
        <v>57</v>
      </c>
      <c r="AC399" s="14">
        <v>900.15</v>
      </c>
      <c r="AD399" s="16" t="s">
        <v>147</v>
      </c>
      <c r="AE399" s="16" t="s">
        <v>147</v>
      </c>
      <c r="AF399" s="14">
        <f>SUMIF('Trip Changes'!$B:$B,A399,'Trip Changes'!$E:$E)</f>
        <v>0</v>
      </c>
      <c r="AG399" s="23">
        <f>SUMIF('Trip Cancellations'!$B:$B,A399,'Trip Cancellations'!$E:$E)</f>
        <v>0</v>
      </c>
      <c r="AH399" s="14">
        <f>SUMIF('Trip Cancellations'!$B:$B,A399,'Trip Cancellations'!$F:$F)</f>
        <v>0</v>
      </c>
      <c r="AI399" s="14">
        <f t="shared" si="128"/>
        <v>900.15</v>
      </c>
      <c r="AJ399" s="14" t="str">
        <f t="shared" si="129"/>
        <v>No</v>
      </c>
      <c r="AK399" s="14" t="str">
        <f>IF(Y399=0,"N/A",
IF(_xlfn.XLOOKUP(U399,Hotels!A:A,Hotels!C:C)=TRUE,"Yes","No"))</f>
        <v>Yes</v>
      </c>
      <c r="AL399" s="14" t="str">
        <f>IF(N399="Rail","N/A",IF(_xlfn.XLOOKUP(T399,Airlines!A:A,Airlines!C:C)=TRUE,"Yes","No"))</f>
        <v>Yes</v>
      </c>
      <c r="AM399" s="14" t="str">
        <f t="shared" si="130"/>
        <v>Yes</v>
      </c>
      <c r="AN399" s="14" t="str">
        <f t="shared" si="131"/>
        <v>No</v>
      </c>
      <c r="AO399" s="14" t="str">
        <f t="shared" si="132"/>
        <v>Yes</v>
      </c>
      <c r="AP399" s="16" t="s">
        <v>147</v>
      </c>
      <c r="AQ399" t="str">
        <f t="shared" si="133"/>
        <v>No</v>
      </c>
      <c r="AR399" s="21">
        <v>5</v>
      </c>
      <c r="AS399" s="5">
        <v>277.2</v>
      </c>
      <c r="AT399" s="5" t="str">
        <f>IF(T399="","",_xlfn.XLOOKUP(T399,Airlines!A:A,Airlines!B:B,"Not Found"))</f>
        <v>British Airways</v>
      </c>
      <c r="AU399" s="5" t="str">
        <f>IF(U399="","",_xlfn.XLOOKUP(U399,Hotels!A:A,Hotels!B:B,"Not found"))</f>
        <v>Marriott</v>
      </c>
      <c r="AV399" t="s">
        <v>147</v>
      </c>
      <c r="AW399" s="16" t="str">
        <f t="shared" si="134"/>
        <v>OK</v>
      </c>
      <c r="AX399" s="16" t="str">
        <f t="shared" si="135"/>
        <v>OK</v>
      </c>
      <c r="AY399" s="16" t="str">
        <f t="shared" si="136"/>
        <v>OK</v>
      </c>
      <c r="AZ399" s="16" t="str">
        <f t="shared" si="137"/>
        <v>OK</v>
      </c>
      <c r="BA399" s="16" t="str">
        <f t="shared" si="141"/>
        <v>OK</v>
      </c>
      <c r="BB399" s="21">
        <f>COUNTIF('Trip Changes'!B:B,A399)</f>
        <v>0</v>
      </c>
      <c r="BC399" s="16" t="str">
        <f>IF(OR(AND(AD399="Yes",COUNTIF('Trip Changes'!B:B,A399)&gt;0),AND(AD399="No",COUNTIF('Trip Changes'!B:B,A399)=0)),"OK","Check")</f>
        <v>OK</v>
      </c>
      <c r="BD399" t="str">
        <f t="shared" si="142"/>
        <v>OK</v>
      </c>
      <c r="BE399" t="str">
        <f t="shared" si="143"/>
        <v>OK</v>
      </c>
      <c r="BF399" t="str">
        <f t="shared" si="144"/>
        <v>OK</v>
      </c>
      <c r="BG399" t="str">
        <f t="shared" si="145"/>
        <v>OK</v>
      </c>
      <c r="BH399" t="str">
        <f t="shared" si="146"/>
        <v>OK</v>
      </c>
      <c r="BI399" t="str">
        <f t="shared" si="138"/>
        <v>OK</v>
      </c>
      <c r="BJ399" t="str">
        <f t="shared" si="139"/>
        <v>OK</v>
      </c>
      <c r="BK399" t="str">
        <f t="shared" si="140"/>
        <v>OK</v>
      </c>
    </row>
    <row r="400" spans="1:63">
      <c r="A400" s="16" t="s">
        <v>721</v>
      </c>
      <c r="B400" s="16" t="s">
        <v>720</v>
      </c>
      <c r="C400" s="16" t="s">
        <v>182</v>
      </c>
      <c r="D400" s="16" t="s">
        <v>138</v>
      </c>
      <c r="E400" s="16" t="s">
        <v>139</v>
      </c>
      <c r="F400" s="16" t="s">
        <v>189</v>
      </c>
      <c r="G400" s="15">
        <v>46200</v>
      </c>
      <c r="H400" s="15">
        <v>46219</v>
      </c>
      <c r="I400" s="15">
        <v>46221</v>
      </c>
      <c r="J400" s="15" t="s">
        <v>150</v>
      </c>
      <c r="K400" s="16" t="s">
        <v>182</v>
      </c>
      <c r="L400" t="s">
        <v>225</v>
      </c>
      <c r="M400" s="16" t="s">
        <v>152</v>
      </c>
      <c r="N400" s="16" t="s">
        <v>153</v>
      </c>
      <c r="O400" t="s">
        <v>1614</v>
      </c>
      <c r="P400" s="18">
        <v>2034</v>
      </c>
      <c r="Q400" s="21">
        <v>19</v>
      </c>
      <c r="R400" s="21" t="str">
        <f t="shared" si="126"/>
        <v>15-30 days</v>
      </c>
      <c r="S400" s="16" t="s">
        <v>145</v>
      </c>
      <c r="T400" s="16" t="s">
        <v>154</v>
      </c>
      <c r="U400" s="16" t="s">
        <v>155</v>
      </c>
      <c r="V400" t="str">
        <f>IF(U400="","",IFERROR(VLOOKUP(U400,Hotels!A:B,2,FALSE),"Not Found"))</f>
        <v>Hilton</v>
      </c>
      <c r="W400" s="14">
        <v>301.41000000000003</v>
      </c>
      <c r="X400" s="14">
        <v>0</v>
      </c>
      <c r="Y400" s="21">
        <v>1</v>
      </c>
      <c r="Z400" s="29">
        <f t="shared" si="127"/>
        <v>225.86</v>
      </c>
      <c r="AA400" s="14">
        <v>225.86</v>
      </c>
      <c r="AB400" s="14">
        <v>69.48</v>
      </c>
      <c r="AC400" s="14">
        <v>596.75</v>
      </c>
      <c r="AD400" s="16" t="s">
        <v>148</v>
      </c>
      <c r="AE400" s="16" t="s">
        <v>147</v>
      </c>
      <c r="AF400" s="14">
        <f>SUMIF('Trip Changes'!$B:$B,A400,'Trip Changes'!$E:$E)</f>
        <v>279.04999999999995</v>
      </c>
      <c r="AG400" s="23">
        <f>SUMIF('Trip Cancellations'!$B:$B,A400,'Trip Cancellations'!$E:$E)</f>
        <v>0</v>
      </c>
      <c r="AH400" s="14">
        <f>SUMIF('Trip Cancellations'!$B:$B,A400,'Trip Cancellations'!$F:$F)</f>
        <v>0</v>
      </c>
      <c r="AI400" s="14">
        <f t="shared" si="128"/>
        <v>875.8</v>
      </c>
      <c r="AJ400" s="14" t="str">
        <f t="shared" si="129"/>
        <v>No</v>
      </c>
      <c r="AK400" s="14" t="str">
        <f>IF(Y400=0,"N/A",
IF(_xlfn.XLOOKUP(U400,Hotels!A:A,Hotels!C:C)=TRUE,"Yes","No"))</f>
        <v>Yes</v>
      </c>
      <c r="AL400" s="14" t="str">
        <f>IF(N400="Rail","N/A",IF(_xlfn.XLOOKUP(T400,Airlines!A:A,Airlines!C:C)=TRUE,"Yes","No"))</f>
        <v>Yes</v>
      </c>
      <c r="AM400" s="14" t="str">
        <f t="shared" si="130"/>
        <v>Yes</v>
      </c>
      <c r="AN400" s="14" t="str">
        <f t="shared" si="131"/>
        <v>Yes</v>
      </c>
      <c r="AO400" s="14" t="str">
        <f t="shared" si="132"/>
        <v>Yes</v>
      </c>
      <c r="AP400" s="16" t="s">
        <v>148</v>
      </c>
      <c r="AQ400" t="str">
        <f t="shared" si="133"/>
        <v>No</v>
      </c>
      <c r="AR400" s="21">
        <v>4</v>
      </c>
      <c r="AS400" s="5">
        <v>305.10000000000002</v>
      </c>
      <c r="AT400" s="5" t="str">
        <f>IF(T400="","",_xlfn.XLOOKUP(T400,Airlines!A:A,Airlines!B:B,"Not Found"))</f>
        <v>British Airways</v>
      </c>
      <c r="AU400" s="5" t="str">
        <f>IF(U400="","",_xlfn.XLOOKUP(U400,Hotels!A:A,Hotels!B:B,"Not found"))</f>
        <v>Hilton</v>
      </c>
      <c r="AV400" t="s">
        <v>148</v>
      </c>
      <c r="AW400" s="16" t="str">
        <f t="shared" si="134"/>
        <v>OK</v>
      </c>
      <c r="AX400" s="16" t="str">
        <f t="shared" si="135"/>
        <v>OK</v>
      </c>
      <c r="AY400" s="16" t="str">
        <f t="shared" si="136"/>
        <v>OK</v>
      </c>
      <c r="AZ400" s="16" t="str">
        <f t="shared" si="137"/>
        <v>OK</v>
      </c>
      <c r="BA400" s="16" t="str">
        <f t="shared" si="141"/>
        <v>OK</v>
      </c>
      <c r="BB400" s="21">
        <f>COUNTIF('Trip Changes'!B:B,A400)</f>
        <v>2</v>
      </c>
      <c r="BC400" s="16" t="str">
        <f>IF(OR(AND(AD400="Yes",COUNTIF('Trip Changes'!B:B,A400)&gt;0),AND(AD400="No",COUNTIF('Trip Changes'!B:B,A400)=0)),"OK","Check")</f>
        <v>OK</v>
      </c>
      <c r="BD400" t="str">
        <f t="shared" si="142"/>
        <v>OK</v>
      </c>
      <c r="BE400" t="str">
        <f t="shared" si="143"/>
        <v>OK</v>
      </c>
      <c r="BF400" t="str">
        <f t="shared" si="144"/>
        <v>OK</v>
      </c>
      <c r="BG400" t="str">
        <f t="shared" si="145"/>
        <v>OK</v>
      </c>
      <c r="BH400" t="str">
        <f t="shared" si="146"/>
        <v>OK</v>
      </c>
      <c r="BI400" t="str">
        <f t="shared" si="138"/>
        <v>OK</v>
      </c>
      <c r="BJ400" t="str">
        <f t="shared" si="139"/>
        <v>OK</v>
      </c>
      <c r="BK400" t="str">
        <f t="shared" si="140"/>
        <v>OK</v>
      </c>
    </row>
    <row r="401" spans="1:63">
      <c r="A401" s="16" t="s">
        <v>722</v>
      </c>
      <c r="B401" s="16" t="s">
        <v>720</v>
      </c>
      <c r="C401" s="16" t="s">
        <v>182</v>
      </c>
      <c r="D401" s="16" t="s">
        <v>138</v>
      </c>
      <c r="E401" s="16" t="s">
        <v>139</v>
      </c>
      <c r="F401" s="16" t="s">
        <v>178</v>
      </c>
      <c r="G401" s="15">
        <v>46167</v>
      </c>
      <c r="H401" s="15">
        <v>46184</v>
      </c>
      <c r="I401" s="15">
        <v>46187</v>
      </c>
      <c r="J401" s="15" t="s">
        <v>141</v>
      </c>
      <c r="K401" s="16" t="s">
        <v>182</v>
      </c>
      <c r="L401" t="s">
        <v>227</v>
      </c>
      <c r="M401" s="16" t="s">
        <v>152</v>
      </c>
      <c r="N401" s="16" t="s">
        <v>153</v>
      </c>
      <c r="O401" t="s">
        <v>1614</v>
      </c>
      <c r="P401" s="18">
        <v>2610</v>
      </c>
      <c r="Q401" s="21">
        <v>17</v>
      </c>
      <c r="R401" s="21" t="str">
        <f t="shared" si="126"/>
        <v>15-30 days</v>
      </c>
      <c r="S401" s="16" t="s">
        <v>216</v>
      </c>
      <c r="T401" s="16" t="s">
        <v>172</v>
      </c>
      <c r="U401" s="16" t="s">
        <v>155</v>
      </c>
      <c r="V401" t="str">
        <f>IF(U401="","",IFERROR(VLOOKUP(U401,Hotels!A:B,2,FALSE),"Not Found"))</f>
        <v>Hilton</v>
      </c>
      <c r="W401" s="14">
        <v>419.57</v>
      </c>
      <c r="X401" s="14">
        <v>0</v>
      </c>
      <c r="Y401" s="21">
        <v>2</v>
      </c>
      <c r="Z401" s="29">
        <f t="shared" si="127"/>
        <v>125.735</v>
      </c>
      <c r="AA401" s="14">
        <v>251.47</v>
      </c>
      <c r="AB401" s="14">
        <v>33.03</v>
      </c>
      <c r="AC401" s="14">
        <v>704.07</v>
      </c>
      <c r="AD401" s="16" t="s">
        <v>147</v>
      </c>
      <c r="AE401" s="16" t="s">
        <v>147</v>
      </c>
      <c r="AF401" s="14">
        <f>SUMIF('Trip Changes'!$B:$B,A401,'Trip Changes'!$E:$E)</f>
        <v>0</v>
      </c>
      <c r="AG401" s="23">
        <f>SUMIF('Trip Cancellations'!$B:$B,A401,'Trip Cancellations'!$E:$E)</f>
        <v>0</v>
      </c>
      <c r="AH401" s="14">
        <f>SUMIF('Trip Cancellations'!$B:$B,A401,'Trip Cancellations'!$F:$F)</f>
        <v>0</v>
      </c>
      <c r="AI401" s="14">
        <f t="shared" si="128"/>
        <v>704.07</v>
      </c>
      <c r="AJ401" s="14" t="str">
        <f t="shared" si="129"/>
        <v>Yes</v>
      </c>
      <c r="AK401" s="14" t="str">
        <f>IF(Y401=0,"N/A",
IF(_xlfn.XLOOKUP(U401,Hotels!A:A,Hotels!C:C)=TRUE,"Yes","No"))</f>
        <v>Yes</v>
      </c>
      <c r="AL401" s="14" t="str">
        <f>IF(N401="Rail","N/A",IF(_xlfn.XLOOKUP(T401,Airlines!A:A,Airlines!C:C)=TRUE,"Yes","No"))</f>
        <v>Yes</v>
      </c>
      <c r="AM401" s="14" t="str">
        <f t="shared" si="130"/>
        <v>Yes</v>
      </c>
      <c r="AN401" s="14" t="str">
        <f t="shared" si="131"/>
        <v>No</v>
      </c>
      <c r="AO401" s="14" t="str">
        <f t="shared" si="132"/>
        <v>Yes</v>
      </c>
      <c r="AP401" s="16" t="s">
        <v>148</v>
      </c>
      <c r="AQ401" t="str">
        <f t="shared" si="133"/>
        <v>No</v>
      </c>
      <c r="AR401" s="21">
        <v>5</v>
      </c>
      <c r="AS401" s="5">
        <v>391.5</v>
      </c>
      <c r="AT401" s="5" t="str">
        <f>IF(T401="","",_xlfn.XLOOKUP(T401,Airlines!A:A,Airlines!B:B,"Not Found"))</f>
        <v>Lufthansa</v>
      </c>
      <c r="AU401" s="5" t="str">
        <f>IF(U401="","",_xlfn.XLOOKUP(U401,Hotels!A:A,Hotels!B:B,"Not found"))</f>
        <v>Hilton</v>
      </c>
      <c r="AV401" t="s">
        <v>147</v>
      </c>
      <c r="AW401" s="16" t="str">
        <f t="shared" si="134"/>
        <v>OK</v>
      </c>
      <c r="AX401" s="16" t="str">
        <f t="shared" si="135"/>
        <v>OK</v>
      </c>
      <c r="AY401" s="16" t="str">
        <f t="shared" si="136"/>
        <v>OK</v>
      </c>
      <c r="AZ401" s="16" t="str">
        <f t="shared" si="137"/>
        <v>OK</v>
      </c>
      <c r="BA401" s="16" t="str">
        <f t="shared" si="141"/>
        <v>OK</v>
      </c>
      <c r="BB401" s="21">
        <f>COUNTIF('Trip Changes'!B:B,A401)</f>
        <v>0</v>
      </c>
      <c r="BC401" s="16" t="str">
        <f>IF(OR(AND(AD401="Yes",COUNTIF('Trip Changes'!B:B,A401)&gt;0),AND(AD401="No",COUNTIF('Trip Changes'!B:B,A401)=0)),"OK","Check")</f>
        <v>OK</v>
      </c>
      <c r="BD401" t="str">
        <f t="shared" si="142"/>
        <v>OK</v>
      </c>
      <c r="BE401" t="str">
        <f t="shared" si="143"/>
        <v>OK</v>
      </c>
      <c r="BF401" t="str">
        <f t="shared" si="144"/>
        <v>OK</v>
      </c>
      <c r="BG401" t="str">
        <f t="shared" si="145"/>
        <v>OK</v>
      </c>
      <c r="BH401" t="str">
        <f t="shared" si="146"/>
        <v>OK</v>
      </c>
      <c r="BI401" t="str">
        <f t="shared" si="138"/>
        <v>OK</v>
      </c>
      <c r="BJ401" t="str">
        <f t="shared" si="139"/>
        <v>OK</v>
      </c>
      <c r="BK401" t="str">
        <f t="shared" si="140"/>
        <v>OK</v>
      </c>
    </row>
    <row r="402" spans="1:63">
      <c r="A402" s="16" t="s">
        <v>723</v>
      </c>
      <c r="B402" s="16" t="s">
        <v>720</v>
      </c>
      <c r="C402" s="16" t="s">
        <v>182</v>
      </c>
      <c r="D402" s="16" t="s">
        <v>138</v>
      </c>
      <c r="E402" s="16" t="s">
        <v>139</v>
      </c>
      <c r="F402" s="16" t="s">
        <v>162</v>
      </c>
      <c r="G402" s="15">
        <v>46150</v>
      </c>
      <c r="H402" s="15">
        <v>46173</v>
      </c>
      <c r="I402" s="15">
        <v>46175</v>
      </c>
      <c r="J402" s="15" t="s">
        <v>163</v>
      </c>
      <c r="K402" s="16" t="s">
        <v>182</v>
      </c>
      <c r="L402" t="s">
        <v>227</v>
      </c>
      <c r="M402" s="16" t="s">
        <v>152</v>
      </c>
      <c r="N402" s="16" t="s">
        <v>153</v>
      </c>
      <c r="O402" t="s">
        <v>1614</v>
      </c>
      <c r="P402" s="18">
        <v>2720</v>
      </c>
      <c r="Q402" s="21">
        <v>23</v>
      </c>
      <c r="R402" s="21" t="str">
        <f t="shared" si="126"/>
        <v>15-30 days</v>
      </c>
      <c r="S402" s="16" t="s">
        <v>145</v>
      </c>
      <c r="T402" s="16" t="s">
        <v>160</v>
      </c>
      <c r="U402" s="16" t="s">
        <v>173</v>
      </c>
      <c r="V402" t="str">
        <f>IF(U402="","",IFERROR(VLOOKUP(U402,Hotels!A:B,2,FALSE),"Not Found"))</f>
        <v>Accor</v>
      </c>
      <c r="W402" s="14">
        <v>552.36</v>
      </c>
      <c r="X402" s="14">
        <v>0</v>
      </c>
      <c r="Y402" s="21">
        <v>1</v>
      </c>
      <c r="Z402" s="29">
        <f t="shared" si="127"/>
        <v>225.74</v>
      </c>
      <c r="AA402" s="14">
        <v>225.74</v>
      </c>
      <c r="AB402" s="14">
        <v>82.47</v>
      </c>
      <c r="AC402" s="14">
        <v>860.57</v>
      </c>
      <c r="AD402" s="16" t="s">
        <v>148</v>
      </c>
      <c r="AE402" s="16" t="s">
        <v>147</v>
      </c>
      <c r="AF402" s="14">
        <f>SUMIF('Trip Changes'!$B:$B,A402,'Trip Changes'!$E:$E)</f>
        <v>18.86</v>
      </c>
      <c r="AG402" s="23">
        <f>SUMIF('Trip Cancellations'!$B:$B,A402,'Trip Cancellations'!$E:$E)</f>
        <v>0</v>
      </c>
      <c r="AH402" s="14">
        <f>SUMIF('Trip Cancellations'!$B:$B,A402,'Trip Cancellations'!$F:$F)</f>
        <v>0</v>
      </c>
      <c r="AI402" s="14">
        <f t="shared" si="128"/>
        <v>879.43000000000006</v>
      </c>
      <c r="AJ402" s="14" t="str">
        <f t="shared" si="129"/>
        <v>No</v>
      </c>
      <c r="AK402" s="14" t="str">
        <f>IF(Y402=0,"N/A",
IF(_xlfn.XLOOKUP(U402,Hotels!A:A,Hotels!C:C)=TRUE,"Yes","No"))</f>
        <v>Yes</v>
      </c>
      <c r="AL402" s="14" t="str">
        <f>IF(N402="Rail","N/A",IF(_xlfn.XLOOKUP(T402,Airlines!A:A,Airlines!C:C)=TRUE,"Yes","No"))</f>
        <v>Yes</v>
      </c>
      <c r="AM402" s="14" t="str">
        <f t="shared" si="130"/>
        <v>Yes</v>
      </c>
      <c r="AN402" s="14" t="str">
        <f t="shared" si="131"/>
        <v>Yes</v>
      </c>
      <c r="AO402" s="14" t="str">
        <f t="shared" si="132"/>
        <v>Yes</v>
      </c>
      <c r="AP402" s="16" t="s">
        <v>148</v>
      </c>
      <c r="AQ402" t="str">
        <f t="shared" si="133"/>
        <v>No</v>
      </c>
      <c r="AR402" s="21">
        <v>5</v>
      </c>
      <c r="AS402" s="5">
        <v>408</v>
      </c>
      <c r="AT402" s="5" t="str">
        <f>IF(T402="","",_xlfn.XLOOKUP(T402,Airlines!A:A,Airlines!B:B,"Not Found"))</f>
        <v>Air France</v>
      </c>
      <c r="AU402" s="5" t="str">
        <f>IF(U402="","",_xlfn.XLOOKUP(U402,Hotels!A:A,Hotels!B:B,"Not found"))</f>
        <v>Accor</v>
      </c>
      <c r="AV402" t="s">
        <v>147</v>
      </c>
      <c r="AW402" s="16" t="str">
        <f t="shared" si="134"/>
        <v>OK</v>
      </c>
      <c r="AX402" s="16" t="str">
        <f t="shared" si="135"/>
        <v>OK</v>
      </c>
      <c r="AY402" s="16" t="str">
        <f t="shared" si="136"/>
        <v>OK</v>
      </c>
      <c r="AZ402" s="16" t="str">
        <f t="shared" si="137"/>
        <v>OK</v>
      </c>
      <c r="BA402" s="16" t="str">
        <f t="shared" si="141"/>
        <v>OK</v>
      </c>
      <c r="BB402" s="21">
        <f>COUNTIF('Trip Changes'!B:B,A402)</f>
        <v>1</v>
      </c>
      <c r="BC402" s="16" t="str">
        <f>IF(OR(AND(AD402="Yes",COUNTIF('Trip Changes'!B:B,A402)&gt;0),AND(AD402="No",COUNTIF('Trip Changes'!B:B,A402)=0)),"OK","Check")</f>
        <v>OK</v>
      </c>
      <c r="BD402" t="str">
        <f t="shared" si="142"/>
        <v>OK</v>
      </c>
      <c r="BE402" t="str">
        <f t="shared" si="143"/>
        <v>OK</v>
      </c>
      <c r="BF402" t="str">
        <f t="shared" si="144"/>
        <v>OK</v>
      </c>
      <c r="BG402" t="str">
        <f t="shared" si="145"/>
        <v>OK</v>
      </c>
      <c r="BH402" t="str">
        <f t="shared" si="146"/>
        <v>OK</v>
      </c>
      <c r="BI402" t="str">
        <f t="shared" si="138"/>
        <v>OK</v>
      </c>
      <c r="BJ402" t="str">
        <f t="shared" si="139"/>
        <v>OK</v>
      </c>
      <c r="BK402" t="str">
        <f t="shared" si="140"/>
        <v>OK</v>
      </c>
    </row>
    <row r="403" spans="1:63">
      <c r="A403" s="16" t="s">
        <v>724</v>
      </c>
      <c r="B403" s="16" t="s">
        <v>720</v>
      </c>
      <c r="C403" s="16" t="s">
        <v>182</v>
      </c>
      <c r="D403" s="16" t="s">
        <v>138</v>
      </c>
      <c r="E403" s="16" t="s">
        <v>139</v>
      </c>
      <c r="F403" s="16" t="s">
        <v>207</v>
      </c>
      <c r="G403" s="15">
        <v>46175</v>
      </c>
      <c r="H403" s="15">
        <v>46196</v>
      </c>
      <c r="I403" s="15">
        <v>46198</v>
      </c>
      <c r="J403" s="15" t="s">
        <v>141</v>
      </c>
      <c r="K403" s="16" t="s">
        <v>182</v>
      </c>
      <c r="L403" t="s">
        <v>199</v>
      </c>
      <c r="M403" s="16" t="s">
        <v>152</v>
      </c>
      <c r="N403" s="16" t="s">
        <v>153</v>
      </c>
      <c r="O403" t="s">
        <v>1632</v>
      </c>
      <c r="P403" s="18">
        <v>2400</v>
      </c>
      <c r="Q403" s="21">
        <v>21</v>
      </c>
      <c r="R403" s="21" t="str">
        <f t="shared" si="126"/>
        <v>15-30 days</v>
      </c>
      <c r="S403" s="16" t="s">
        <v>159</v>
      </c>
      <c r="T403" s="16" t="s">
        <v>200</v>
      </c>
      <c r="U403" s="16" t="s">
        <v>155</v>
      </c>
      <c r="V403" t="str">
        <f>IF(U403="","",IFERROR(VLOOKUP(U403,Hotels!A:B,2,FALSE),"Not Found"))</f>
        <v>Hilton</v>
      </c>
      <c r="W403" s="14">
        <v>358.13</v>
      </c>
      <c r="X403" s="14">
        <v>0</v>
      </c>
      <c r="Y403" s="21">
        <v>1</v>
      </c>
      <c r="Z403" s="29">
        <f t="shared" si="127"/>
        <v>184.44</v>
      </c>
      <c r="AA403" s="14">
        <v>184.44</v>
      </c>
      <c r="AB403" s="14">
        <v>65.239999999999995</v>
      </c>
      <c r="AC403" s="14">
        <v>607.80999999999995</v>
      </c>
      <c r="AD403" s="16" t="s">
        <v>147</v>
      </c>
      <c r="AE403" s="16" t="s">
        <v>147</v>
      </c>
      <c r="AF403" s="14">
        <f>SUMIF('Trip Changes'!$B:$B,A403,'Trip Changes'!$E:$E)</f>
        <v>0</v>
      </c>
      <c r="AG403" s="23">
        <f>SUMIF('Trip Cancellations'!$B:$B,A403,'Trip Cancellations'!$E:$E)</f>
        <v>0</v>
      </c>
      <c r="AH403" s="14">
        <f>SUMIF('Trip Cancellations'!$B:$B,A403,'Trip Cancellations'!$F:$F)</f>
        <v>0</v>
      </c>
      <c r="AI403" s="14">
        <f t="shared" si="128"/>
        <v>607.80999999999995</v>
      </c>
      <c r="AJ403" s="14" t="str">
        <f t="shared" si="129"/>
        <v>No</v>
      </c>
      <c r="AK403" s="14" t="str">
        <f>IF(Y403=0,"N/A",
IF(_xlfn.XLOOKUP(U403,Hotels!A:A,Hotels!C:C)=TRUE,"Yes","No"))</f>
        <v>Yes</v>
      </c>
      <c r="AL403" s="14" t="str">
        <f>IF(N403="Rail","N/A",IF(_xlfn.XLOOKUP(T403,Airlines!A:A,Airlines!C:C)=TRUE,"Yes","No"))</f>
        <v>Yes</v>
      </c>
      <c r="AM403" s="14" t="str">
        <f t="shared" si="130"/>
        <v>No</v>
      </c>
      <c r="AN403" s="14" t="str">
        <f t="shared" si="131"/>
        <v>Yes</v>
      </c>
      <c r="AO403" s="14" t="str">
        <f t="shared" si="132"/>
        <v>Yes</v>
      </c>
      <c r="AP403" s="16" t="s">
        <v>148</v>
      </c>
      <c r="AQ403" t="str">
        <f t="shared" si="133"/>
        <v>No</v>
      </c>
      <c r="AR403" s="21">
        <v>5</v>
      </c>
      <c r="AS403" s="5">
        <v>360</v>
      </c>
      <c r="AT403" s="5" t="str">
        <f>IF(T403="","",_xlfn.XLOOKUP(T403,Airlines!A:A,Airlines!B:B,"Not Found"))</f>
        <v>Aer Lingus</v>
      </c>
      <c r="AU403" s="5" t="str">
        <f>IF(U403="","",_xlfn.XLOOKUP(U403,Hotels!A:A,Hotels!B:B,"Not found"))</f>
        <v>Hilton</v>
      </c>
      <c r="AV403" t="s">
        <v>147</v>
      </c>
      <c r="AW403" s="16" t="str">
        <f t="shared" si="134"/>
        <v>OK</v>
      </c>
      <c r="AX403" s="16" t="str">
        <f t="shared" si="135"/>
        <v>OK</v>
      </c>
      <c r="AY403" s="16" t="str">
        <f t="shared" si="136"/>
        <v>OK</v>
      </c>
      <c r="AZ403" s="16" t="str">
        <f t="shared" si="137"/>
        <v>OK</v>
      </c>
      <c r="BA403" s="16" t="str">
        <f t="shared" si="141"/>
        <v>OK</v>
      </c>
      <c r="BB403" s="21">
        <f>COUNTIF('Trip Changes'!B:B,A403)</f>
        <v>0</v>
      </c>
      <c r="BC403" s="16" t="str">
        <f>IF(OR(AND(AD403="Yes",COUNTIF('Trip Changes'!B:B,A403)&gt;0),AND(AD403="No",COUNTIF('Trip Changes'!B:B,A403)=0)),"OK","Check")</f>
        <v>OK</v>
      </c>
      <c r="BD403" t="str">
        <f t="shared" si="142"/>
        <v>OK</v>
      </c>
      <c r="BE403" t="str">
        <f t="shared" si="143"/>
        <v>OK</v>
      </c>
      <c r="BF403" t="str">
        <f t="shared" si="144"/>
        <v>OK</v>
      </c>
      <c r="BG403" t="str">
        <f t="shared" si="145"/>
        <v>OK</v>
      </c>
      <c r="BH403" t="str">
        <f t="shared" si="146"/>
        <v>OK</v>
      </c>
      <c r="BI403" t="str">
        <f t="shared" si="138"/>
        <v>OK</v>
      </c>
      <c r="BJ403" t="str">
        <f t="shared" si="139"/>
        <v>OK</v>
      </c>
      <c r="BK403" t="str">
        <f t="shared" si="140"/>
        <v>OK</v>
      </c>
    </row>
    <row r="404" spans="1:63">
      <c r="A404" s="16" t="s">
        <v>725</v>
      </c>
      <c r="B404" s="16" t="s">
        <v>726</v>
      </c>
      <c r="C404" s="16" t="s">
        <v>182</v>
      </c>
      <c r="D404" s="16" t="s">
        <v>230</v>
      </c>
      <c r="E404" s="16" t="s">
        <v>169</v>
      </c>
      <c r="F404" s="16" t="s">
        <v>140</v>
      </c>
      <c r="G404" s="15">
        <v>46217</v>
      </c>
      <c r="H404" s="15">
        <v>46221</v>
      </c>
      <c r="I404" s="15">
        <v>46224</v>
      </c>
      <c r="J404" s="15" t="s">
        <v>150</v>
      </c>
      <c r="K404" s="16" t="s">
        <v>182</v>
      </c>
      <c r="L404" t="s">
        <v>185</v>
      </c>
      <c r="M404" s="16" t="s">
        <v>152</v>
      </c>
      <c r="N404" s="16" t="s">
        <v>153</v>
      </c>
      <c r="O404" t="s">
        <v>1614</v>
      </c>
      <c r="P404" s="18">
        <v>10844</v>
      </c>
      <c r="Q404" s="21">
        <v>4</v>
      </c>
      <c r="R404" s="21" t="str">
        <f t="shared" si="126"/>
        <v>4-7 days</v>
      </c>
      <c r="S404" s="16" t="s">
        <v>159</v>
      </c>
      <c r="T404" s="16" t="s">
        <v>154</v>
      </c>
      <c r="U404" s="16" t="s">
        <v>187</v>
      </c>
      <c r="V404" t="str">
        <f>IF(U404="","",IFERROR(VLOOKUP(U404,Hotels!A:B,2,FALSE),"Not Found"))</f>
        <v>IHG Hotels &amp; Resorts</v>
      </c>
      <c r="W404" s="14">
        <v>870.52</v>
      </c>
      <c r="X404" s="14">
        <v>0</v>
      </c>
      <c r="Y404" s="21">
        <v>2</v>
      </c>
      <c r="Z404" s="29">
        <f t="shared" si="127"/>
        <v>108.02</v>
      </c>
      <c r="AA404" s="14">
        <v>216.04</v>
      </c>
      <c r="AB404" s="14">
        <v>119.59</v>
      </c>
      <c r="AC404" s="14">
        <v>1206.1500000000001</v>
      </c>
      <c r="AD404" s="16" t="s">
        <v>147</v>
      </c>
      <c r="AE404" s="16" t="s">
        <v>147</v>
      </c>
      <c r="AF404" s="14">
        <f>SUMIF('Trip Changes'!$B:$B,A404,'Trip Changes'!$E:$E)</f>
        <v>0</v>
      </c>
      <c r="AG404" s="23">
        <f>SUMIF('Trip Cancellations'!$B:$B,A404,'Trip Cancellations'!$E:$E)</f>
        <v>0</v>
      </c>
      <c r="AH404" s="14">
        <f>SUMIF('Trip Cancellations'!$B:$B,A404,'Trip Cancellations'!$F:$F)</f>
        <v>0</v>
      </c>
      <c r="AI404" s="14">
        <f t="shared" si="128"/>
        <v>1206.1500000000001</v>
      </c>
      <c r="AJ404" s="14" t="str">
        <f t="shared" si="129"/>
        <v>Yes</v>
      </c>
      <c r="AK404" s="14" t="str">
        <f>IF(Y404=0,"N/A",
IF(_xlfn.XLOOKUP(U404,Hotels!A:A,Hotels!C:C)=TRUE,"Yes","No"))</f>
        <v>Yes</v>
      </c>
      <c r="AL404" s="14" t="str">
        <f>IF(N404="Rail","N/A",IF(_xlfn.XLOOKUP(T404,Airlines!A:A,Airlines!C:C)=TRUE,"Yes","No"))</f>
        <v>Yes</v>
      </c>
      <c r="AM404" s="14" t="str">
        <f t="shared" si="130"/>
        <v>Yes</v>
      </c>
      <c r="AN404" s="14" t="str">
        <f t="shared" si="131"/>
        <v>Yes</v>
      </c>
      <c r="AO404" s="14" t="str">
        <f t="shared" si="132"/>
        <v>Yes</v>
      </c>
      <c r="AP404" s="16" t="s">
        <v>148</v>
      </c>
      <c r="AQ404" t="str">
        <f t="shared" si="133"/>
        <v>Yes</v>
      </c>
      <c r="AR404" s="21">
        <v>4</v>
      </c>
      <c r="AS404" s="5">
        <v>1626.6</v>
      </c>
      <c r="AT404" s="5" t="str">
        <f>IF(T404="","",_xlfn.XLOOKUP(T404,Airlines!A:A,Airlines!B:B,"Not Found"))</f>
        <v>British Airways</v>
      </c>
      <c r="AU404" s="5" t="str">
        <f>IF(U404="","",_xlfn.XLOOKUP(U404,Hotels!A:A,Hotels!B:B,"Not found"))</f>
        <v>IHG Hotels &amp; Resorts</v>
      </c>
      <c r="AV404" t="s">
        <v>147</v>
      </c>
      <c r="AW404" s="16" t="str">
        <f t="shared" si="134"/>
        <v>OK</v>
      </c>
      <c r="AX404" s="16" t="str">
        <f t="shared" si="135"/>
        <v>OK</v>
      </c>
      <c r="AY404" s="16" t="str">
        <f t="shared" si="136"/>
        <v>OK</v>
      </c>
      <c r="AZ404" s="16" t="str">
        <f t="shared" si="137"/>
        <v>OK</v>
      </c>
      <c r="BA404" s="16" t="str">
        <f t="shared" si="141"/>
        <v>OK</v>
      </c>
      <c r="BB404" s="21">
        <f>COUNTIF('Trip Changes'!B:B,A404)</f>
        <v>0</v>
      </c>
      <c r="BC404" s="16" t="str">
        <f>IF(OR(AND(AD404="Yes",COUNTIF('Trip Changes'!B:B,A404)&gt;0),AND(AD404="No",COUNTIF('Trip Changes'!B:B,A404)=0)),"OK","Check")</f>
        <v>OK</v>
      </c>
      <c r="BD404" t="str">
        <f t="shared" si="142"/>
        <v>OK</v>
      </c>
      <c r="BE404" t="str">
        <f t="shared" si="143"/>
        <v>OK</v>
      </c>
      <c r="BF404" t="str">
        <f t="shared" si="144"/>
        <v>OK</v>
      </c>
      <c r="BG404" t="str">
        <f t="shared" si="145"/>
        <v>OK</v>
      </c>
      <c r="BH404" t="str">
        <f t="shared" si="146"/>
        <v>OK</v>
      </c>
      <c r="BI404" t="str">
        <f t="shared" si="138"/>
        <v>OK</v>
      </c>
      <c r="BJ404" t="str">
        <f t="shared" si="139"/>
        <v>OK</v>
      </c>
      <c r="BK404" t="str">
        <f t="shared" si="140"/>
        <v>OK</v>
      </c>
    </row>
    <row r="405" spans="1:63">
      <c r="A405" s="16" t="s">
        <v>727</v>
      </c>
      <c r="B405" s="16" t="s">
        <v>726</v>
      </c>
      <c r="C405" s="16" t="s">
        <v>182</v>
      </c>
      <c r="D405" s="16" t="s">
        <v>230</v>
      </c>
      <c r="E405" s="16" t="s">
        <v>169</v>
      </c>
      <c r="F405" s="16" t="s">
        <v>140</v>
      </c>
      <c r="G405" s="15">
        <v>46211</v>
      </c>
      <c r="H405" s="15">
        <v>46212</v>
      </c>
      <c r="I405" s="15">
        <v>46215</v>
      </c>
      <c r="J405" s="15" t="s">
        <v>150</v>
      </c>
      <c r="K405" s="16" t="s">
        <v>182</v>
      </c>
      <c r="L405" t="s">
        <v>233</v>
      </c>
      <c r="M405" s="16" t="s">
        <v>152</v>
      </c>
      <c r="N405" s="16" t="s">
        <v>153</v>
      </c>
      <c r="O405" t="s">
        <v>1614</v>
      </c>
      <c r="P405" s="18">
        <v>1898</v>
      </c>
      <c r="Q405" s="21">
        <v>1</v>
      </c>
      <c r="R405" s="21" t="str">
        <f t="shared" si="126"/>
        <v>0-3 days</v>
      </c>
      <c r="S405" s="16" t="s">
        <v>145</v>
      </c>
      <c r="T405" s="16" t="s">
        <v>154</v>
      </c>
      <c r="U405" s="16" t="s">
        <v>187</v>
      </c>
      <c r="V405" t="str">
        <f>IF(U405="","",IFERROR(VLOOKUP(U405,Hotels!A:B,2,FALSE),"Not Found"))</f>
        <v>IHG Hotels &amp; Resorts</v>
      </c>
      <c r="W405" s="14">
        <v>177</v>
      </c>
      <c r="X405" s="14">
        <v>0</v>
      </c>
      <c r="Y405" s="21">
        <v>2</v>
      </c>
      <c r="Z405" s="29">
        <f t="shared" si="127"/>
        <v>170.255</v>
      </c>
      <c r="AA405" s="14">
        <v>340.51</v>
      </c>
      <c r="AB405" s="14">
        <v>104.5</v>
      </c>
      <c r="AC405" s="14">
        <v>622.01</v>
      </c>
      <c r="AD405" s="16" t="s">
        <v>148</v>
      </c>
      <c r="AE405" s="16" t="s">
        <v>147</v>
      </c>
      <c r="AF405" s="14">
        <f>SUMIF('Trip Changes'!$B:$B,A405,'Trip Changes'!$E:$E)</f>
        <v>140.99</v>
      </c>
      <c r="AG405" s="23">
        <f>SUMIF('Trip Cancellations'!$B:$B,A405,'Trip Cancellations'!$E:$E)</f>
        <v>0</v>
      </c>
      <c r="AH405" s="14">
        <f>SUMIF('Trip Cancellations'!$B:$B,A405,'Trip Cancellations'!$F:$F)</f>
        <v>0</v>
      </c>
      <c r="AI405" s="14">
        <f t="shared" si="128"/>
        <v>763</v>
      </c>
      <c r="AJ405" s="14" t="str">
        <f t="shared" si="129"/>
        <v>Yes</v>
      </c>
      <c r="AK405" s="14" t="str">
        <f>IF(Y405=0,"N/A",
IF(_xlfn.XLOOKUP(U405,Hotels!A:A,Hotels!C:C)=TRUE,"Yes","No"))</f>
        <v>Yes</v>
      </c>
      <c r="AL405" s="14" t="str">
        <f>IF(N405="Rail","N/A",IF(_xlfn.XLOOKUP(T405,Airlines!A:A,Airlines!C:C)=TRUE,"Yes","No"))</f>
        <v>Yes</v>
      </c>
      <c r="AM405" s="14" t="str">
        <f t="shared" si="130"/>
        <v>Yes</v>
      </c>
      <c r="AN405" s="14" t="str">
        <f t="shared" si="131"/>
        <v>Yes</v>
      </c>
      <c r="AO405" s="14" t="str">
        <f t="shared" si="132"/>
        <v>Yes</v>
      </c>
      <c r="AP405" s="16" t="s">
        <v>148</v>
      </c>
      <c r="AQ405" t="str">
        <f t="shared" si="133"/>
        <v>Yes</v>
      </c>
      <c r="AR405" s="21">
        <v>4</v>
      </c>
      <c r="AS405" s="5">
        <v>284.7</v>
      </c>
      <c r="AT405" s="5" t="str">
        <f>IF(T405="","",_xlfn.XLOOKUP(T405,Airlines!A:A,Airlines!B:B,"Not Found"))</f>
        <v>British Airways</v>
      </c>
      <c r="AU405" s="5" t="str">
        <f>IF(U405="","",_xlfn.XLOOKUP(U405,Hotels!A:A,Hotels!B:B,"Not found"))</f>
        <v>IHG Hotels &amp; Resorts</v>
      </c>
      <c r="AV405" t="s">
        <v>148</v>
      </c>
      <c r="AW405" s="16" t="str">
        <f t="shared" si="134"/>
        <v>OK</v>
      </c>
      <c r="AX405" s="16" t="str">
        <f t="shared" si="135"/>
        <v>OK</v>
      </c>
      <c r="AY405" s="16" t="str">
        <f t="shared" si="136"/>
        <v>OK</v>
      </c>
      <c r="AZ405" s="16" t="str">
        <f t="shared" si="137"/>
        <v>OK</v>
      </c>
      <c r="BA405" s="16" t="str">
        <f t="shared" si="141"/>
        <v>OK</v>
      </c>
      <c r="BB405" s="21">
        <f>COUNTIF('Trip Changes'!B:B,A405)</f>
        <v>1</v>
      </c>
      <c r="BC405" s="16" t="str">
        <f>IF(OR(AND(AD405="Yes",COUNTIF('Trip Changes'!B:B,A405)&gt;0),AND(AD405="No",COUNTIF('Trip Changes'!B:B,A405)=0)),"OK","Check")</f>
        <v>OK</v>
      </c>
      <c r="BD405" t="str">
        <f t="shared" si="142"/>
        <v>OK</v>
      </c>
      <c r="BE405" t="str">
        <f t="shared" si="143"/>
        <v>OK</v>
      </c>
      <c r="BF405" t="str">
        <f t="shared" si="144"/>
        <v>OK</v>
      </c>
      <c r="BG405" t="str">
        <f t="shared" si="145"/>
        <v>OK</v>
      </c>
      <c r="BH405" t="str">
        <f t="shared" si="146"/>
        <v>OK</v>
      </c>
      <c r="BI405" t="str">
        <f t="shared" si="138"/>
        <v>OK</v>
      </c>
      <c r="BJ405" t="str">
        <f t="shared" si="139"/>
        <v>OK</v>
      </c>
      <c r="BK405" t="str">
        <f t="shared" si="140"/>
        <v>OK</v>
      </c>
    </row>
    <row r="406" spans="1:63">
      <c r="A406" s="16" t="s">
        <v>728</v>
      </c>
      <c r="B406" s="16" t="s">
        <v>726</v>
      </c>
      <c r="C406" s="16" t="s">
        <v>182</v>
      </c>
      <c r="D406" s="16" t="s">
        <v>230</v>
      </c>
      <c r="E406" s="16" t="s">
        <v>169</v>
      </c>
      <c r="F406" s="16" t="s">
        <v>140</v>
      </c>
      <c r="G406" s="15">
        <v>46150</v>
      </c>
      <c r="H406" s="15">
        <v>46164</v>
      </c>
      <c r="I406" s="15">
        <v>46168</v>
      </c>
      <c r="J406" s="15" t="s">
        <v>163</v>
      </c>
      <c r="K406" s="16" t="s">
        <v>182</v>
      </c>
      <c r="L406" t="s">
        <v>227</v>
      </c>
      <c r="M406" s="16" t="s">
        <v>152</v>
      </c>
      <c r="N406" s="16" t="s">
        <v>153</v>
      </c>
      <c r="O406" t="s">
        <v>1614</v>
      </c>
      <c r="P406" s="18">
        <v>1348</v>
      </c>
      <c r="Q406" s="21">
        <v>14</v>
      </c>
      <c r="R406" s="21" t="str">
        <f t="shared" si="126"/>
        <v>8-14 days</v>
      </c>
      <c r="S406" s="16" t="s">
        <v>159</v>
      </c>
      <c r="T406" s="16" t="s">
        <v>172</v>
      </c>
      <c r="U406" s="16" t="s">
        <v>164</v>
      </c>
      <c r="V406" t="str">
        <f>IF(U406="","",IFERROR(VLOOKUP(U406,Hotels!A:B,2,FALSE),"Not Found"))</f>
        <v>Marriott</v>
      </c>
      <c r="W406" s="14">
        <v>480.06</v>
      </c>
      <c r="X406" s="14">
        <v>0</v>
      </c>
      <c r="Y406" s="21">
        <v>3</v>
      </c>
      <c r="Z406" s="29">
        <f t="shared" si="127"/>
        <v>201.06666666666669</v>
      </c>
      <c r="AA406" s="14">
        <v>603.20000000000005</v>
      </c>
      <c r="AB406" s="14">
        <v>91.39</v>
      </c>
      <c r="AC406" s="14">
        <v>1174.6500000000001</v>
      </c>
      <c r="AD406" s="16" t="s">
        <v>148</v>
      </c>
      <c r="AE406" s="16" t="s">
        <v>147</v>
      </c>
      <c r="AF406" s="14">
        <f>SUMIF('Trip Changes'!$B:$B,A406,'Trip Changes'!$E:$E)</f>
        <v>25.23</v>
      </c>
      <c r="AG406" s="23">
        <f>SUMIF('Trip Cancellations'!$B:$B,A406,'Trip Cancellations'!$E:$E)</f>
        <v>0</v>
      </c>
      <c r="AH406" s="14">
        <f>SUMIF('Trip Cancellations'!$B:$B,A406,'Trip Cancellations'!$F:$F)</f>
        <v>0</v>
      </c>
      <c r="AI406" s="14">
        <f t="shared" si="128"/>
        <v>1199.8800000000001</v>
      </c>
      <c r="AJ406" s="14" t="str">
        <f t="shared" si="129"/>
        <v>No</v>
      </c>
      <c r="AK406" s="14" t="str">
        <f>IF(Y406=0,"N/A",
IF(_xlfn.XLOOKUP(U406,Hotels!A:A,Hotels!C:C)=TRUE,"Yes","No"))</f>
        <v>Yes</v>
      </c>
      <c r="AL406" s="14" t="str">
        <f>IF(N406="Rail","N/A",IF(_xlfn.XLOOKUP(T406,Airlines!A:A,Airlines!C:C)=TRUE,"Yes","No"))</f>
        <v>Yes</v>
      </c>
      <c r="AM406" s="14" t="str">
        <f t="shared" si="130"/>
        <v>Yes</v>
      </c>
      <c r="AN406" s="14" t="str">
        <f t="shared" si="131"/>
        <v>Yes</v>
      </c>
      <c r="AO406" s="14" t="str">
        <f t="shared" si="132"/>
        <v>Yes</v>
      </c>
      <c r="AP406" s="16" t="s">
        <v>148</v>
      </c>
      <c r="AQ406" t="str">
        <f t="shared" si="133"/>
        <v>No</v>
      </c>
      <c r="AR406" s="21">
        <v>3</v>
      </c>
      <c r="AS406" s="5">
        <v>202.2</v>
      </c>
      <c r="AT406" s="5" t="str">
        <f>IF(T406="","",_xlfn.XLOOKUP(T406,Airlines!A:A,Airlines!B:B,"Not Found"))</f>
        <v>Lufthansa</v>
      </c>
      <c r="AU406" s="5" t="str">
        <f>IF(U406="","",_xlfn.XLOOKUP(U406,Hotels!A:A,Hotels!B:B,"Not found"))</f>
        <v>Marriott</v>
      </c>
      <c r="AV406" t="s">
        <v>147</v>
      </c>
      <c r="AW406" s="16" t="str">
        <f t="shared" si="134"/>
        <v>OK</v>
      </c>
      <c r="AX406" s="16" t="str">
        <f t="shared" si="135"/>
        <v>OK</v>
      </c>
      <c r="AY406" s="16" t="str">
        <f t="shared" si="136"/>
        <v>OK</v>
      </c>
      <c r="AZ406" s="16" t="str">
        <f t="shared" si="137"/>
        <v>OK</v>
      </c>
      <c r="BA406" s="16" t="str">
        <f t="shared" si="141"/>
        <v>OK</v>
      </c>
      <c r="BB406" s="21">
        <f>COUNTIF('Trip Changes'!B:B,A406)</f>
        <v>1</v>
      </c>
      <c r="BC406" s="16" t="str">
        <f>IF(OR(AND(AD406="Yes",COUNTIF('Trip Changes'!B:B,A406)&gt;0),AND(AD406="No",COUNTIF('Trip Changes'!B:B,A406)=0)),"OK","Check")</f>
        <v>OK</v>
      </c>
      <c r="BD406" t="str">
        <f t="shared" si="142"/>
        <v>OK</v>
      </c>
      <c r="BE406" t="str">
        <f t="shared" si="143"/>
        <v>OK</v>
      </c>
      <c r="BF406" t="str">
        <f t="shared" si="144"/>
        <v>OK</v>
      </c>
      <c r="BG406" t="str">
        <f t="shared" si="145"/>
        <v>OK</v>
      </c>
      <c r="BH406" t="str">
        <f t="shared" si="146"/>
        <v>OK</v>
      </c>
      <c r="BI406" t="str">
        <f t="shared" si="138"/>
        <v>OK</v>
      </c>
      <c r="BJ406" t="str">
        <f t="shared" si="139"/>
        <v>OK</v>
      </c>
      <c r="BK406" t="str">
        <f t="shared" si="140"/>
        <v>OK</v>
      </c>
    </row>
    <row r="407" spans="1:63">
      <c r="A407" s="16" t="s">
        <v>729</v>
      </c>
      <c r="B407" s="16" t="s">
        <v>730</v>
      </c>
      <c r="C407" s="16" t="s">
        <v>142</v>
      </c>
      <c r="D407" s="16" t="s">
        <v>168</v>
      </c>
      <c r="E407" s="16" t="s">
        <v>169</v>
      </c>
      <c r="F407" s="16" t="s">
        <v>140</v>
      </c>
      <c r="G407" s="15">
        <v>46221</v>
      </c>
      <c r="H407" s="15">
        <v>46234</v>
      </c>
      <c r="I407" s="15">
        <v>46237</v>
      </c>
      <c r="J407" s="15" t="s">
        <v>150</v>
      </c>
      <c r="K407" s="16" t="s">
        <v>142</v>
      </c>
      <c r="L407" t="s">
        <v>225</v>
      </c>
      <c r="M407" s="16" t="s">
        <v>152</v>
      </c>
      <c r="N407" s="16" t="s">
        <v>153</v>
      </c>
      <c r="O407" t="s">
        <v>1614</v>
      </c>
      <c r="P407" s="18">
        <v>1334</v>
      </c>
      <c r="Q407" s="21">
        <v>13</v>
      </c>
      <c r="R407" s="21" t="str">
        <f t="shared" si="126"/>
        <v>8-14 days</v>
      </c>
      <c r="S407" s="16" t="s">
        <v>145</v>
      </c>
      <c r="T407" s="16" t="s">
        <v>236</v>
      </c>
      <c r="U407" s="16" t="s">
        <v>164</v>
      </c>
      <c r="V407" t="str">
        <f>IF(U407="","",IFERROR(VLOOKUP(U407,Hotels!A:B,2,FALSE),"Not Found"))</f>
        <v>Marriott</v>
      </c>
      <c r="W407" s="14">
        <v>426.6</v>
      </c>
      <c r="X407" s="14">
        <v>0</v>
      </c>
      <c r="Y407" s="21">
        <v>2</v>
      </c>
      <c r="Z407" s="29">
        <f t="shared" si="127"/>
        <v>204.76499999999999</v>
      </c>
      <c r="AA407" s="14">
        <v>409.53</v>
      </c>
      <c r="AB407" s="14">
        <v>58.6</v>
      </c>
      <c r="AC407" s="14">
        <v>894.73</v>
      </c>
      <c r="AD407" s="16" t="s">
        <v>147</v>
      </c>
      <c r="AE407" s="16" t="s">
        <v>147</v>
      </c>
      <c r="AF407" s="14">
        <f>SUMIF('Trip Changes'!$B:$B,A407,'Trip Changes'!$E:$E)</f>
        <v>0</v>
      </c>
      <c r="AG407" s="23">
        <f>SUMIF('Trip Cancellations'!$B:$B,A407,'Trip Cancellations'!$E:$E)</f>
        <v>0</v>
      </c>
      <c r="AH407" s="14">
        <f>SUMIF('Trip Cancellations'!$B:$B,A407,'Trip Cancellations'!$F:$F)</f>
        <v>0</v>
      </c>
      <c r="AI407" s="14">
        <f t="shared" si="128"/>
        <v>894.73</v>
      </c>
      <c r="AJ407" s="14" t="str">
        <f t="shared" si="129"/>
        <v>No</v>
      </c>
      <c r="AK407" s="14" t="str">
        <f>IF(Y407=0,"N/A",
IF(_xlfn.XLOOKUP(U407,Hotels!A:A,Hotels!C:C)=TRUE,"Yes","No"))</f>
        <v>Yes</v>
      </c>
      <c r="AL407" s="14" t="str">
        <f>IF(N407="Rail","N/A",IF(_xlfn.XLOOKUP(T407,Airlines!A:A,Airlines!C:C)=TRUE,"Yes","No"))</f>
        <v>Yes</v>
      </c>
      <c r="AM407" s="14" t="str">
        <f t="shared" si="130"/>
        <v>Yes</v>
      </c>
      <c r="AN407" s="14" t="str">
        <f t="shared" si="131"/>
        <v>Yes</v>
      </c>
      <c r="AO407" s="14" t="str">
        <f t="shared" si="132"/>
        <v>Yes</v>
      </c>
      <c r="AP407" s="16" t="s">
        <v>148</v>
      </c>
      <c r="AQ407" t="str">
        <f t="shared" si="133"/>
        <v>No</v>
      </c>
      <c r="AR407" s="21">
        <v>4</v>
      </c>
      <c r="AS407" s="5">
        <v>200.1</v>
      </c>
      <c r="AT407" s="5" t="str">
        <f>IF(T407="","",_xlfn.XLOOKUP(T407,Airlines!A:A,Airlines!B:B,"Not Found"))</f>
        <v>KLM</v>
      </c>
      <c r="AU407" s="5" t="str">
        <f>IF(U407="","",_xlfn.XLOOKUP(U407,Hotels!A:A,Hotels!B:B,"Not found"))</f>
        <v>Marriott</v>
      </c>
      <c r="AV407" t="s">
        <v>148</v>
      </c>
      <c r="AW407" s="16" t="str">
        <f t="shared" si="134"/>
        <v>OK</v>
      </c>
      <c r="AX407" s="16" t="str">
        <f t="shared" si="135"/>
        <v>OK</v>
      </c>
      <c r="AY407" s="16" t="str">
        <f t="shared" si="136"/>
        <v>OK</v>
      </c>
      <c r="AZ407" s="16" t="str">
        <f t="shared" si="137"/>
        <v>OK</v>
      </c>
      <c r="BA407" s="16" t="str">
        <f t="shared" si="141"/>
        <v>OK</v>
      </c>
      <c r="BB407" s="21">
        <f>COUNTIF('Trip Changes'!B:B,A407)</f>
        <v>0</v>
      </c>
      <c r="BC407" s="16" t="str">
        <f>IF(OR(AND(AD407="Yes",COUNTIF('Trip Changes'!B:B,A407)&gt;0),AND(AD407="No",COUNTIF('Trip Changes'!B:B,A407)=0)),"OK","Check")</f>
        <v>OK</v>
      </c>
      <c r="BD407" t="str">
        <f t="shared" si="142"/>
        <v>OK</v>
      </c>
      <c r="BE407" t="str">
        <f t="shared" si="143"/>
        <v>OK</v>
      </c>
      <c r="BF407" t="str">
        <f t="shared" si="144"/>
        <v>OK</v>
      </c>
      <c r="BG407" t="str">
        <f t="shared" si="145"/>
        <v>OK</v>
      </c>
      <c r="BH407" t="str">
        <f t="shared" si="146"/>
        <v>OK</v>
      </c>
      <c r="BI407" t="str">
        <f t="shared" si="138"/>
        <v>OK</v>
      </c>
      <c r="BJ407" t="str">
        <f t="shared" si="139"/>
        <v>OK</v>
      </c>
      <c r="BK407" t="str">
        <f t="shared" si="140"/>
        <v>OK</v>
      </c>
    </row>
    <row r="408" spans="1:63">
      <c r="A408" s="16" t="s">
        <v>731</v>
      </c>
      <c r="B408" s="16" t="s">
        <v>730</v>
      </c>
      <c r="C408" s="16" t="s">
        <v>142</v>
      </c>
      <c r="D408" s="16" t="s">
        <v>168</v>
      </c>
      <c r="E408" s="16" t="s">
        <v>169</v>
      </c>
      <c r="F408" s="16" t="s">
        <v>181</v>
      </c>
      <c r="G408" s="15">
        <v>46193</v>
      </c>
      <c r="H408" s="15">
        <v>46194</v>
      </c>
      <c r="I408" s="15">
        <v>46197</v>
      </c>
      <c r="J408" s="15" t="s">
        <v>141</v>
      </c>
      <c r="K408" s="16" t="s">
        <v>142</v>
      </c>
      <c r="L408" t="s">
        <v>227</v>
      </c>
      <c r="M408" s="16" t="s">
        <v>152</v>
      </c>
      <c r="N408" s="16" t="s">
        <v>153</v>
      </c>
      <c r="O408" t="s">
        <v>1614</v>
      </c>
      <c r="P408" s="18">
        <v>1508</v>
      </c>
      <c r="Q408" s="21">
        <v>1</v>
      </c>
      <c r="R408" s="21" t="str">
        <f t="shared" si="126"/>
        <v>0-3 days</v>
      </c>
      <c r="S408" s="16" t="s">
        <v>216</v>
      </c>
      <c r="T408" s="16" t="s">
        <v>172</v>
      </c>
      <c r="U408" s="16" t="s">
        <v>164</v>
      </c>
      <c r="V408" t="str">
        <f>IF(U408="","",IFERROR(VLOOKUP(U408,Hotels!A:B,2,FALSE),"Not Found"))</f>
        <v>Marriott</v>
      </c>
      <c r="W408" s="14">
        <v>355.51</v>
      </c>
      <c r="X408" s="14">
        <v>0</v>
      </c>
      <c r="Y408" s="21">
        <v>2</v>
      </c>
      <c r="Z408" s="29">
        <f t="shared" si="127"/>
        <v>155.88999999999999</v>
      </c>
      <c r="AA408" s="14">
        <v>311.77999999999997</v>
      </c>
      <c r="AB408" s="14">
        <v>70.680000000000007</v>
      </c>
      <c r="AC408" s="14">
        <v>737.97</v>
      </c>
      <c r="AD408" s="16" t="s">
        <v>148</v>
      </c>
      <c r="AE408" s="16" t="s">
        <v>147</v>
      </c>
      <c r="AF408" s="14">
        <f>SUMIF('Trip Changes'!$B:$B,A408,'Trip Changes'!$E:$E)</f>
        <v>120.33</v>
      </c>
      <c r="AG408" s="23">
        <f>SUMIF('Trip Cancellations'!$B:$B,A408,'Trip Cancellations'!$E:$E)</f>
        <v>0</v>
      </c>
      <c r="AH408" s="14">
        <f>SUMIF('Trip Cancellations'!$B:$B,A408,'Trip Cancellations'!$F:$F)</f>
        <v>0</v>
      </c>
      <c r="AI408" s="14">
        <f t="shared" si="128"/>
        <v>858.30000000000007</v>
      </c>
      <c r="AJ408" s="14" t="str">
        <f t="shared" si="129"/>
        <v>Yes</v>
      </c>
      <c r="AK408" s="14" t="str">
        <f>IF(Y408=0,"N/A",
IF(_xlfn.XLOOKUP(U408,Hotels!A:A,Hotels!C:C)=TRUE,"Yes","No"))</f>
        <v>Yes</v>
      </c>
      <c r="AL408" s="14" t="str">
        <f>IF(N408="Rail","N/A",IF(_xlfn.XLOOKUP(T408,Airlines!A:A,Airlines!C:C)=TRUE,"Yes","No"))</f>
        <v>Yes</v>
      </c>
      <c r="AM408" s="14" t="str">
        <f t="shared" si="130"/>
        <v>Yes</v>
      </c>
      <c r="AN408" s="14" t="str">
        <f t="shared" si="131"/>
        <v>No</v>
      </c>
      <c r="AO408" s="14" t="str">
        <f t="shared" si="132"/>
        <v>Yes</v>
      </c>
      <c r="AP408" s="16" t="s">
        <v>148</v>
      </c>
      <c r="AQ408" t="str">
        <f t="shared" si="133"/>
        <v>No</v>
      </c>
      <c r="AR408" s="21">
        <v>5</v>
      </c>
      <c r="AS408" s="5">
        <v>226.2</v>
      </c>
      <c r="AT408" s="5" t="str">
        <f>IF(T408="","",_xlfn.XLOOKUP(T408,Airlines!A:A,Airlines!B:B,"Not Found"))</f>
        <v>Lufthansa</v>
      </c>
      <c r="AU408" s="5" t="str">
        <f>IF(U408="","",_xlfn.XLOOKUP(U408,Hotels!A:A,Hotels!B:B,"Not found"))</f>
        <v>Marriott</v>
      </c>
      <c r="AV408" t="s">
        <v>147</v>
      </c>
      <c r="AW408" s="16" t="str">
        <f t="shared" si="134"/>
        <v>OK</v>
      </c>
      <c r="AX408" s="16" t="str">
        <f t="shared" si="135"/>
        <v>OK</v>
      </c>
      <c r="AY408" s="16" t="str">
        <f t="shared" si="136"/>
        <v>OK</v>
      </c>
      <c r="AZ408" s="16" t="str">
        <f t="shared" si="137"/>
        <v>OK</v>
      </c>
      <c r="BA408" s="16" t="str">
        <f t="shared" si="141"/>
        <v>OK</v>
      </c>
      <c r="BB408" s="21">
        <f>COUNTIF('Trip Changes'!B:B,A408)</f>
        <v>1</v>
      </c>
      <c r="BC408" s="16" t="str">
        <f>IF(OR(AND(AD408="Yes",COUNTIF('Trip Changes'!B:B,A408)&gt;0),AND(AD408="No",COUNTIF('Trip Changes'!B:B,A408)=0)),"OK","Check")</f>
        <v>OK</v>
      </c>
      <c r="BD408" t="str">
        <f t="shared" si="142"/>
        <v>OK</v>
      </c>
      <c r="BE408" t="str">
        <f t="shared" si="143"/>
        <v>OK</v>
      </c>
      <c r="BF408" t="str">
        <f t="shared" si="144"/>
        <v>OK</v>
      </c>
      <c r="BG408" t="str">
        <f t="shared" si="145"/>
        <v>OK</v>
      </c>
      <c r="BH408" t="str">
        <f t="shared" si="146"/>
        <v>OK</v>
      </c>
      <c r="BI408" t="str">
        <f t="shared" si="138"/>
        <v>OK</v>
      </c>
      <c r="BJ408" t="str">
        <f t="shared" si="139"/>
        <v>OK</v>
      </c>
      <c r="BK408" t="str">
        <f t="shared" si="140"/>
        <v>OK</v>
      </c>
    </row>
    <row r="409" spans="1:63">
      <c r="A409" s="16" t="s">
        <v>732</v>
      </c>
      <c r="B409" s="16" t="s">
        <v>730</v>
      </c>
      <c r="C409" s="16" t="s">
        <v>142</v>
      </c>
      <c r="D409" s="16" t="s">
        <v>168</v>
      </c>
      <c r="E409" s="16" t="s">
        <v>169</v>
      </c>
      <c r="F409" s="16" t="s">
        <v>178</v>
      </c>
      <c r="G409" s="15">
        <v>46123</v>
      </c>
      <c r="H409" s="15">
        <v>46150</v>
      </c>
      <c r="I409" s="15">
        <v>46154</v>
      </c>
      <c r="J409" s="15" t="s">
        <v>163</v>
      </c>
      <c r="K409" s="16" t="s">
        <v>142</v>
      </c>
      <c r="L409" t="s">
        <v>283</v>
      </c>
      <c r="M409" s="16" t="s">
        <v>152</v>
      </c>
      <c r="N409" s="16" t="s">
        <v>153</v>
      </c>
      <c r="O409" t="s">
        <v>1632</v>
      </c>
      <c r="P409" s="18">
        <v>10928</v>
      </c>
      <c r="Q409" s="21">
        <v>27</v>
      </c>
      <c r="R409" s="21" t="str">
        <f t="shared" si="126"/>
        <v>15-30 days</v>
      </c>
      <c r="S409" s="16" t="s">
        <v>145</v>
      </c>
      <c r="T409" s="16" t="s">
        <v>186</v>
      </c>
      <c r="U409" s="16" t="s">
        <v>190</v>
      </c>
      <c r="V409" t="str">
        <f>IF(U409="","",IFERROR(VLOOKUP(U409,Hotels!A:B,2,FALSE),"Not Found"))</f>
        <v>Radisson Hotel Group</v>
      </c>
      <c r="W409" s="14">
        <v>643.07000000000005</v>
      </c>
      <c r="X409" s="14">
        <v>0</v>
      </c>
      <c r="Y409" s="21">
        <v>3</v>
      </c>
      <c r="Z409" s="29">
        <f t="shared" si="127"/>
        <v>122.31666666666666</v>
      </c>
      <c r="AA409" s="14">
        <v>366.95</v>
      </c>
      <c r="AB409" s="14">
        <v>67.64</v>
      </c>
      <c r="AC409" s="14">
        <v>1077.6600000000001</v>
      </c>
      <c r="AD409" s="16" t="s">
        <v>147</v>
      </c>
      <c r="AE409" s="16" t="s">
        <v>147</v>
      </c>
      <c r="AF409" s="14">
        <f>SUMIF('Trip Changes'!$B:$B,A409,'Trip Changes'!$E:$E)</f>
        <v>0</v>
      </c>
      <c r="AG409" s="23">
        <f>SUMIF('Trip Cancellations'!$B:$B,A409,'Trip Cancellations'!$E:$E)</f>
        <v>0</v>
      </c>
      <c r="AH409" s="14">
        <f>SUMIF('Trip Cancellations'!$B:$B,A409,'Trip Cancellations'!$F:$F)</f>
        <v>0</v>
      </c>
      <c r="AI409" s="14">
        <f t="shared" si="128"/>
        <v>1077.6600000000001</v>
      </c>
      <c r="AJ409" s="14" t="str">
        <f t="shared" si="129"/>
        <v>Yes</v>
      </c>
      <c r="AK409" s="14" t="str">
        <f>IF(Y409=0,"N/A",
IF(_xlfn.XLOOKUP(U409,Hotels!A:A,Hotels!C:C)=TRUE,"Yes","No"))</f>
        <v>No</v>
      </c>
      <c r="AL409" s="14" t="str">
        <f>IF(N409="Rail","N/A",IF(_xlfn.XLOOKUP(T409,Airlines!A:A,Airlines!C:C)=TRUE,"Yes","No"))</f>
        <v>Yes</v>
      </c>
      <c r="AM409" s="14" t="str">
        <f t="shared" si="130"/>
        <v>No</v>
      </c>
      <c r="AN409" s="14" t="str">
        <f t="shared" si="131"/>
        <v>Yes</v>
      </c>
      <c r="AO409" s="14" t="str">
        <f t="shared" si="132"/>
        <v>No</v>
      </c>
      <c r="AP409" s="16" t="s">
        <v>148</v>
      </c>
      <c r="AQ409" t="str">
        <f t="shared" si="133"/>
        <v>No</v>
      </c>
      <c r="AR409" s="21">
        <v>4</v>
      </c>
      <c r="AS409" s="5">
        <v>1639.2</v>
      </c>
      <c r="AT409" s="5" t="str">
        <f>IF(T409="","",_xlfn.XLOOKUP(T409,Airlines!A:A,Airlines!B:B,"Not Found"))</f>
        <v>Virgin Atlantic</v>
      </c>
      <c r="AU409" s="5" t="str">
        <f>IF(U409="","",_xlfn.XLOOKUP(U409,Hotels!A:A,Hotels!B:B,"Not found"))</f>
        <v>Radisson Hotel Group</v>
      </c>
      <c r="AV409" t="s">
        <v>147</v>
      </c>
      <c r="AW409" s="16" t="str">
        <f t="shared" si="134"/>
        <v>OK</v>
      </c>
      <c r="AX409" s="16" t="str">
        <f t="shared" si="135"/>
        <v>OK</v>
      </c>
      <c r="AY409" s="16" t="str">
        <f t="shared" si="136"/>
        <v>OK</v>
      </c>
      <c r="AZ409" s="16" t="str">
        <f t="shared" si="137"/>
        <v>OK</v>
      </c>
      <c r="BA409" s="16" t="str">
        <f t="shared" si="141"/>
        <v>OK</v>
      </c>
      <c r="BB409" s="21">
        <f>COUNTIF('Trip Changes'!B:B,A409)</f>
        <v>0</v>
      </c>
      <c r="BC409" s="16" t="str">
        <f>IF(OR(AND(AD409="Yes",COUNTIF('Trip Changes'!B:B,A409)&gt;0),AND(AD409="No",COUNTIF('Trip Changes'!B:B,A409)=0)),"OK","Check")</f>
        <v>OK</v>
      </c>
      <c r="BD409" t="str">
        <f t="shared" si="142"/>
        <v>OK</v>
      </c>
      <c r="BE409" t="str">
        <f t="shared" si="143"/>
        <v>OK</v>
      </c>
      <c r="BF409" t="str">
        <f t="shared" si="144"/>
        <v>OK</v>
      </c>
      <c r="BG409" t="str">
        <f t="shared" si="145"/>
        <v>OK</v>
      </c>
      <c r="BH409" t="str">
        <f t="shared" si="146"/>
        <v>OK</v>
      </c>
      <c r="BI409" t="str">
        <f t="shared" si="138"/>
        <v>OK</v>
      </c>
      <c r="BJ409" t="str">
        <f t="shared" si="139"/>
        <v>OK</v>
      </c>
      <c r="BK409" t="str">
        <f t="shared" si="140"/>
        <v>OK</v>
      </c>
    </row>
    <row r="410" spans="1:63">
      <c r="A410" s="16" t="s">
        <v>733</v>
      </c>
      <c r="B410" s="16" t="s">
        <v>730</v>
      </c>
      <c r="C410" s="16" t="s">
        <v>142</v>
      </c>
      <c r="D410" s="16" t="s">
        <v>168</v>
      </c>
      <c r="E410" s="16" t="s">
        <v>169</v>
      </c>
      <c r="F410" s="16" t="s">
        <v>157</v>
      </c>
      <c r="G410" s="15">
        <v>46188</v>
      </c>
      <c r="H410" s="15">
        <v>46199</v>
      </c>
      <c r="I410" s="15">
        <v>46201</v>
      </c>
      <c r="J410" s="15" t="s">
        <v>141</v>
      </c>
      <c r="K410" s="16" t="s">
        <v>142</v>
      </c>
      <c r="L410" t="s">
        <v>227</v>
      </c>
      <c r="M410" s="16" t="s">
        <v>152</v>
      </c>
      <c r="N410" s="16" t="s">
        <v>153</v>
      </c>
      <c r="O410" t="s">
        <v>1614</v>
      </c>
      <c r="P410" s="18">
        <v>2804</v>
      </c>
      <c r="Q410" s="21">
        <v>11</v>
      </c>
      <c r="R410" s="21" t="str">
        <f t="shared" si="126"/>
        <v>8-14 days</v>
      </c>
      <c r="S410" s="16" t="s">
        <v>145</v>
      </c>
      <c r="T410" s="16" t="s">
        <v>160</v>
      </c>
      <c r="U410" s="16" t="s">
        <v>164</v>
      </c>
      <c r="V410" t="str">
        <f>IF(U410="","",IFERROR(VLOOKUP(U410,Hotels!A:B,2,FALSE),"Not Found"))</f>
        <v>Marriott</v>
      </c>
      <c r="W410" s="14">
        <v>420.78</v>
      </c>
      <c r="X410" s="14">
        <v>0</v>
      </c>
      <c r="Y410" s="21">
        <v>1</v>
      </c>
      <c r="Z410" s="29">
        <f t="shared" si="127"/>
        <v>198.44</v>
      </c>
      <c r="AA410" s="14">
        <v>198.44</v>
      </c>
      <c r="AB410" s="14">
        <v>85.31</v>
      </c>
      <c r="AC410" s="14">
        <v>704.53</v>
      </c>
      <c r="AD410" s="16" t="s">
        <v>147</v>
      </c>
      <c r="AE410" s="16" t="s">
        <v>147</v>
      </c>
      <c r="AF410" s="14">
        <f>SUMIF('Trip Changes'!$B:$B,A410,'Trip Changes'!$E:$E)</f>
        <v>0</v>
      </c>
      <c r="AG410" s="23">
        <f>SUMIF('Trip Cancellations'!$B:$B,A410,'Trip Cancellations'!$E:$E)</f>
        <v>0</v>
      </c>
      <c r="AH410" s="14">
        <f>SUMIF('Trip Cancellations'!$B:$B,A410,'Trip Cancellations'!$F:$F)</f>
        <v>0</v>
      </c>
      <c r="AI410" s="14">
        <f t="shared" si="128"/>
        <v>704.53</v>
      </c>
      <c r="AJ410" s="14" t="str">
        <f t="shared" si="129"/>
        <v>No</v>
      </c>
      <c r="AK410" s="14" t="str">
        <f>IF(Y410=0,"N/A",
IF(_xlfn.XLOOKUP(U410,Hotels!A:A,Hotels!C:C)=TRUE,"Yes","No"))</f>
        <v>Yes</v>
      </c>
      <c r="AL410" s="14" t="str">
        <f>IF(N410="Rail","N/A",IF(_xlfn.XLOOKUP(T410,Airlines!A:A,Airlines!C:C)=TRUE,"Yes","No"))</f>
        <v>Yes</v>
      </c>
      <c r="AM410" s="14" t="str">
        <f t="shared" si="130"/>
        <v>Yes</v>
      </c>
      <c r="AN410" s="14" t="str">
        <f t="shared" si="131"/>
        <v>Yes</v>
      </c>
      <c r="AO410" s="14" t="str">
        <f t="shared" si="132"/>
        <v>Yes</v>
      </c>
      <c r="AP410" s="16" t="s">
        <v>148</v>
      </c>
      <c r="AQ410" t="str">
        <f t="shared" si="133"/>
        <v>No</v>
      </c>
      <c r="AR410" s="21">
        <v>4</v>
      </c>
      <c r="AS410" s="5">
        <v>420.6</v>
      </c>
      <c r="AT410" s="5" t="str">
        <f>IF(T410="","",_xlfn.XLOOKUP(T410,Airlines!A:A,Airlines!B:B,"Not Found"))</f>
        <v>Air France</v>
      </c>
      <c r="AU410" s="5" t="str">
        <f>IF(U410="","",_xlfn.XLOOKUP(U410,Hotels!A:A,Hotels!B:B,"Not found"))</f>
        <v>Marriott</v>
      </c>
      <c r="AV410" t="s">
        <v>147</v>
      </c>
      <c r="AW410" s="16" t="str">
        <f t="shared" si="134"/>
        <v>OK</v>
      </c>
      <c r="AX410" s="16" t="str">
        <f t="shared" si="135"/>
        <v>OK</v>
      </c>
      <c r="AY410" s="16" t="str">
        <f t="shared" si="136"/>
        <v>OK</v>
      </c>
      <c r="AZ410" s="16" t="str">
        <f t="shared" si="137"/>
        <v>OK</v>
      </c>
      <c r="BA410" s="16" t="str">
        <f t="shared" si="141"/>
        <v>OK</v>
      </c>
      <c r="BB410" s="21">
        <f>COUNTIF('Trip Changes'!B:B,A410)</f>
        <v>0</v>
      </c>
      <c r="BC410" s="16" t="str">
        <f>IF(OR(AND(AD410="Yes",COUNTIF('Trip Changes'!B:B,A410)&gt;0),AND(AD410="No",COUNTIF('Trip Changes'!B:B,A410)=0)),"OK","Check")</f>
        <v>OK</v>
      </c>
      <c r="BD410" t="str">
        <f t="shared" si="142"/>
        <v>OK</v>
      </c>
      <c r="BE410" t="str">
        <f t="shared" si="143"/>
        <v>OK</v>
      </c>
      <c r="BF410" t="str">
        <f t="shared" si="144"/>
        <v>OK</v>
      </c>
      <c r="BG410" t="str">
        <f t="shared" si="145"/>
        <v>OK</v>
      </c>
      <c r="BH410" t="str">
        <f t="shared" si="146"/>
        <v>OK</v>
      </c>
      <c r="BI410" t="str">
        <f t="shared" si="138"/>
        <v>OK</v>
      </c>
      <c r="BJ410" t="str">
        <f t="shared" si="139"/>
        <v>OK</v>
      </c>
      <c r="BK410" t="str">
        <f t="shared" si="140"/>
        <v>OK</v>
      </c>
    </row>
    <row r="411" spans="1:63">
      <c r="A411" s="16" t="s">
        <v>734</v>
      </c>
      <c r="B411" s="16" t="s">
        <v>735</v>
      </c>
      <c r="C411" s="16" t="s">
        <v>220</v>
      </c>
      <c r="D411" s="16" t="s">
        <v>168</v>
      </c>
      <c r="E411" s="16" t="s">
        <v>249</v>
      </c>
      <c r="F411" s="16" t="s">
        <v>170</v>
      </c>
      <c r="G411" s="15">
        <v>46132</v>
      </c>
      <c r="H411" s="15">
        <v>46160</v>
      </c>
      <c r="I411" s="15">
        <v>46164</v>
      </c>
      <c r="J411" s="15" t="s">
        <v>163</v>
      </c>
      <c r="K411" s="16" t="s">
        <v>220</v>
      </c>
      <c r="L411" t="s">
        <v>225</v>
      </c>
      <c r="M411" s="16" t="s">
        <v>152</v>
      </c>
      <c r="N411" s="16" t="s">
        <v>153</v>
      </c>
      <c r="O411" t="s">
        <v>1614</v>
      </c>
      <c r="P411" s="18">
        <v>3340</v>
      </c>
      <c r="Q411" s="21">
        <v>28</v>
      </c>
      <c r="R411" s="21" t="str">
        <f t="shared" si="126"/>
        <v>15-30 days</v>
      </c>
      <c r="S411" s="16" t="s">
        <v>145</v>
      </c>
      <c r="T411" s="16" t="s">
        <v>236</v>
      </c>
      <c r="U411" s="16" t="s">
        <v>187</v>
      </c>
      <c r="V411" t="str">
        <f>IF(U411="","",IFERROR(VLOOKUP(U411,Hotels!A:B,2,FALSE),"Not Found"))</f>
        <v>IHG Hotels &amp; Resorts</v>
      </c>
      <c r="W411" s="14">
        <v>490.1</v>
      </c>
      <c r="X411" s="14">
        <v>0</v>
      </c>
      <c r="Y411" s="21">
        <v>3</v>
      </c>
      <c r="Z411" s="29">
        <f t="shared" si="127"/>
        <v>159.04333333333332</v>
      </c>
      <c r="AA411" s="14">
        <v>477.13</v>
      </c>
      <c r="AB411" s="14">
        <v>76.63</v>
      </c>
      <c r="AC411" s="14">
        <v>1043.8599999999999</v>
      </c>
      <c r="AD411" s="16" t="s">
        <v>147</v>
      </c>
      <c r="AE411" s="16" t="s">
        <v>147</v>
      </c>
      <c r="AF411" s="14">
        <f>SUMIF('Trip Changes'!$B:$B,A411,'Trip Changes'!$E:$E)</f>
        <v>0</v>
      </c>
      <c r="AG411" s="23">
        <f>SUMIF('Trip Cancellations'!$B:$B,A411,'Trip Cancellations'!$E:$E)</f>
        <v>0</v>
      </c>
      <c r="AH411" s="14">
        <f>SUMIF('Trip Cancellations'!$B:$B,A411,'Trip Cancellations'!$F:$F)</f>
        <v>0</v>
      </c>
      <c r="AI411" s="14">
        <f t="shared" si="128"/>
        <v>1043.8599999999999</v>
      </c>
      <c r="AJ411" s="14" t="str">
        <f t="shared" si="129"/>
        <v>Yes</v>
      </c>
      <c r="AK411" s="14" t="str">
        <f>IF(Y411=0,"N/A",
IF(_xlfn.XLOOKUP(U411,Hotels!A:A,Hotels!C:C)=TRUE,"Yes","No"))</f>
        <v>Yes</v>
      </c>
      <c r="AL411" s="14" t="str">
        <f>IF(N411="Rail","N/A",IF(_xlfn.XLOOKUP(T411,Airlines!A:A,Airlines!C:C)=TRUE,"Yes","No"))</f>
        <v>Yes</v>
      </c>
      <c r="AM411" s="14" t="str">
        <f t="shared" si="130"/>
        <v>Yes</v>
      </c>
      <c r="AN411" s="14" t="str">
        <f t="shared" si="131"/>
        <v>Yes</v>
      </c>
      <c r="AO411" s="14" t="str">
        <f t="shared" si="132"/>
        <v>Yes</v>
      </c>
      <c r="AP411" s="16" t="s">
        <v>148</v>
      </c>
      <c r="AQ411" t="str">
        <f t="shared" si="133"/>
        <v>Yes</v>
      </c>
      <c r="AR411" s="21">
        <v>4</v>
      </c>
      <c r="AS411" s="5">
        <v>501</v>
      </c>
      <c r="AT411" s="5" t="str">
        <f>IF(T411="","",_xlfn.XLOOKUP(T411,Airlines!A:A,Airlines!B:B,"Not Found"))</f>
        <v>KLM</v>
      </c>
      <c r="AU411" s="5" t="str">
        <f>IF(U411="","",_xlfn.XLOOKUP(U411,Hotels!A:A,Hotels!B:B,"Not found"))</f>
        <v>IHG Hotels &amp; Resorts</v>
      </c>
      <c r="AV411" t="s">
        <v>148</v>
      </c>
      <c r="AW411" s="16" t="str">
        <f t="shared" si="134"/>
        <v>OK</v>
      </c>
      <c r="AX411" s="16" t="str">
        <f t="shared" si="135"/>
        <v>OK</v>
      </c>
      <c r="AY411" s="16" t="str">
        <f t="shared" si="136"/>
        <v>OK</v>
      </c>
      <c r="AZ411" s="16" t="str">
        <f t="shared" si="137"/>
        <v>OK</v>
      </c>
      <c r="BA411" s="16" t="str">
        <f t="shared" si="141"/>
        <v>OK</v>
      </c>
      <c r="BB411" s="21">
        <f>COUNTIF('Trip Changes'!B:B,A411)</f>
        <v>0</v>
      </c>
      <c r="BC411" s="16" t="str">
        <f>IF(OR(AND(AD411="Yes",COUNTIF('Trip Changes'!B:B,A411)&gt;0),AND(AD411="No",COUNTIF('Trip Changes'!B:B,A411)=0)),"OK","Check")</f>
        <v>OK</v>
      </c>
      <c r="BD411" t="str">
        <f t="shared" si="142"/>
        <v>OK</v>
      </c>
      <c r="BE411" t="str">
        <f t="shared" si="143"/>
        <v>OK</v>
      </c>
      <c r="BF411" t="str">
        <f t="shared" si="144"/>
        <v>OK</v>
      </c>
      <c r="BG411" t="str">
        <f t="shared" si="145"/>
        <v>OK</v>
      </c>
      <c r="BH411" t="str">
        <f t="shared" si="146"/>
        <v>OK</v>
      </c>
      <c r="BI411" t="str">
        <f t="shared" si="138"/>
        <v>OK</v>
      </c>
      <c r="BJ411" t="str">
        <f t="shared" si="139"/>
        <v>OK</v>
      </c>
      <c r="BK411" t="str">
        <f t="shared" si="140"/>
        <v>OK</v>
      </c>
    </row>
    <row r="412" spans="1:63">
      <c r="A412" s="16" t="s">
        <v>736</v>
      </c>
      <c r="B412" s="16" t="s">
        <v>735</v>
      </c>
      <c r="C412" s="16" t="s">
        <v>220</v>
      </c>
      <c r="D412" s="16" t="s">
        <v>168</v>
      </c>
      <c r="E412" s="16" t="s">
        <v>249</v>
      </c>
      <c r="F412" s="16" t="s">
        <v>181</v>
      </c>
      <c r="G412" s="15">
        <v>46216</v>
      </c>
      <c r="H412" s="15">
        <v>46227</v>
      </c>
      <c r="I412" s="15">
        <v>46234</v>
      </c>
      <c r="J412" s="15" t="s">
        <v>150</v>
      </c>
      <c r="K412" s="16" t="s">
        <v>220</v>
      </c>
      <c r="L412" t="s">
        <v>240</v>
      </c>
      <c r="M412" s="16" t="s">
        <v>152</v>
      </c>
      <c r="N412" s="16" t="s">
        <v>153</v>
      </c>
      <c r="O412" t="s">
        <v>1614</v>
      </c>
      <c r="P412" s="18">
        <v>15210</v>
      </c>
      <c r="Q412" s="21">
        <v>11</v>
      </c>
      <c r="R412" s="21" t="str">
        <f t="shared" si="126"/>
        <v>8-14 days</v>
      </c>
      <c r="S412" s="16" t="s">
        <v>159</v>
      </c>
      <c r="T412" s="16" t="s">
        <v>154</v>
      </c>
      <c r="U412" s="16" t="s">
        <v>187</v>
      </c>
      <c r="V412" t="str">
        <f>IF(U412="","",IFERROR(VLOOKUP(U412,Hotels!A:B,2,FALSE),"Not Found"))</f>
        <v>IHG Hotels &amp; Resorts</v>
      </c>
      <c r="W412" s="14">
        <v>1923.51</v>
      </c>
      <c r="X412" s="14">
        <v>0</v>
      </c>
      <c r="Y412" s="21">
        <v>6</v>
      </c>
      <c r="Z412" s="29">
        <f t="shared" si="127"/>
        <v>191.89</v>
      </c>
      <c r="AA412" s="14">
        <v>1151.3399999999999</v>
      </c>
      <c r="AB412" s="14">
        <v>51.2</v>
      </c>
      <c r="AC412" s="14">
        <v>3126.05</v>
      </c>
      <c r="AD412" s="16" t="s">
        <v>147</v>
      </c>
      <c r="AE412" s="16" t="s">
        <v>147</v>
      </c>
      <c r="AF412" s="14">
        <f>SUMIF('Trip Changes'!$B:$B,A412,'Trip Changes'!$E:$E)</f>
        <v>0</v>
      </c>
      <c r="AG412" s="23">
        <f>SUMIF('Trip Cancellations'!$B:$B,A412,'Trip Cancellations'!$E:$E)</f>
        <v>0</v>
      </c>
      <c r="AH412" s="14">
        <f>SUMIF('Trip Cancellations'!$B:$B,A412,'Trip Cancellations'!$F:$F)</f>
        <v>0</v>
      </c>
      <c r="AI412" s="14">
        <f t="shared" si="128"/>
        <v>3126.05</v>
      </c>
      <c r="AJ412" s="14" t="str">
        <f t="shared" si="129"/>
        <v>Yes</v>
      </c>
      <c r="AK412" s="14" t="str">
        <f>IF(Y412=0,"N/A",
IF(_xlfn.XLOOKUP(U412,Hotels!A:A,Hotels!C:C)=TRUE,"Yes","No"))</f>
        <v>Yes</v>
      </c>
      <c r="AL412" s="14" t="str">
        <f>IF(N412="Rail","N/A",IF(_xlfn.XLOOKUP(T412,Airlines!A:A,Airlines!C:C)=TRUE,"Yes","No"))</f>
        <v>Yes</v>
      </c>
      <c r="AM412" s="14" t="str">
        <f t="shared" si="130"/>
        <v>Yes</v>
      </c>
      <c r="AN412" s="14" t="str">
        <f t="shared" si="131"/>
        <v>Yes</v>
      </c>
      <c r="AO412" s="14" t="str">
        <f t="shared" si="132"/>
        <v>Yes</v>
      </c>
      <c r="AP412" s="16" t="s">
        <v>148</v>
      </c>
      <c r="AQ412" t="str">
        <f t="shared" si="133"/>
        <v>Yes</v>
      </c>
      <c r="AR412" s="21">
        <v>4</v>
      </c>
      <c r="AS412" s="5">
        <v>2281.5</v>
      </c>
      <c r="AT412" s="5" t="str">
        <f>IF(T412="","",_xlfn.XLOOKUP(T412,Airlines!A:A,Airlines!B:B,"Not Found"))</f>
        <v>British Airways</v>
      </c>
      <c r="AU412" s="5" t="str">
        <f>IF(U412="","",_xlfn.XLOOKUP(U412,Hotels!A:A,Hotels!B:B,"Not found"))</f>
        <v>IHG Hotels &amp; Resorts</v>
      </c>
      <c r="AV412" t="s">
        <v>147</v>
      </c>
      <c r="AW412" s="16" t="str">
        <f t="shared" si="134"/>
        <v>OK</v>
      </c>
      <c r="AX412" s="16" t="str">
        <f t="shared" si="135"/>
        <v>OK</v>
      </c>
      <c r="AY412" s="16" t="str">
        <f t="shared" si="136"/>
        <v>OK</v>
      </c>
      <c r="AZ412" s="16" t="str">
        <f t="shared" si="137"/>
        <v>OK</v>
      </c>
      <c r="BA412" s="16" t="str">
        <f t="shared" si="141"/>
        <v>OK</v>
      </c>
      <c r="BB412" s="21">
        <f>COUNTIF('Trip Changes'!B:B,A412)</f>
        <v>0</v>
      </c>
      <c r="BC412" s="16" t="str">
        <f>IF(OR(AND(AD412="Yes",COUNTIF('Trip Changes'!B:B,A412)&gt;0),AND(AD412="No",COUNTIF('Trip Changes'!B:B,A412)=0)),"OK","Check")</f>
        <v>OK</v>
      </c>
      <c r="BD412" t="str">
        <f t="shared" si="142"/>
        <v>OK</v>
      </c>
      <c r="BE412" t="str">
        <f t="shared" si="143"/>
        <v>OK</v>
      </c>
      <c r="BF412" t="str">
        <f t="shared" si="144"/>
        <v>OK</v>
      </c>
      <c r="BG412" t="str">
        <f t="shared" si="145"/>
        <v>OK</v>
      </c>
      <c r="BH412" t="str">
        <f t="shared" si="146"/>
        <v>OK</v>
      </c>
      <c r="BI412" t="str">
        <f t="shared" si="138"/>
        <v>OK</v>
      </c>
      <c r="BJ412" t="str">
        <f t="shared" si="139"/>
        <v>OK</v>
      </c>
      <c r="BK412" t="str">
        <f t="shared" si="140"/>
        <v>OK</v>
      </c>
    </row>
    <row r="413" spans="1:63">
      <c r="A413" s="16" t="s">
        <v>737</v>
      </c>
      <c r="B413" s="16" t="s">
        <v>735</v>
      </c>
      <c r="C413" s="16" t="s">
        <v>220</v>
      </c>
      <c r="D413" s="16" t="s">
        <v>168</v>
      </c>
      <c r="E413" s="16" t="s">
        <v>249</v>
      </c>
      <c r="F413" s="16" t="s">
        <v>157</v>
      </c>
      <c r="G413" s="15">
        <v>46136</v>
      </c>
      <c r="H413" s="15">
        <v>46154</v>
      </c>
      <c r="I413" s="15">
        <v>46158</v>
      </c>
      <c r="J413" s="15" t="s">
        <v>163</v>
      </c>
      <c r="K413" s="16" t="s">
        <v>220</v>
      </c>
      <c r="L413" t="s">
        <v>233</v>
      </c>
      <c r="M413" s="16" t="s">
        <v>152</v>
      </c>
      <c r="N413" s="16" t="s">
        <v>153</v>
      </c>
      <c r="O413" t="s">
        <v>1614</v>
      </c>
      <c r="P413" s="18">
        <v>1718</v>
      </c>
      <c r="Q413" s="21">
        <v>18</v>
      </c>
      <c r="R413" s="21" t="str">
        <f t="shared" si="126"/>
        <v>15-30 days</v>
      </c>
      <c r="S413" s="16" t="s">
        <v>145</v>
      </c>
      <c r="T413" s="16" t="s">
        <v>154</v>
      </c>
      <c r="U413" s="16" t="s">
        <v>173</v>
      </c>
      <c r="V413" t="str">
        <f>IF(U413="","",IFERROR(VLOOKUP(U413,Hotels!A:B,2,FALSE),"Not Found"))</f>
        <v>Accor</v>
      </c>
      <c r="W413" s="14">
        <v>418.66</v>
      </c>
      <c r="X413" s="14">
        <v>0</v>
      </c>
      <c r="Y413" s="21">
        <v>3</v>
      </c>
      <c r="Z413" s="29">
        <f t="shared" si="127"/>
        <v>145.28</v>
      </c>
      <c r="AA413" s="14">
        <v>435.84</v>
      </c>
      <c r="AB413" s="14">
        <v>99.97</v>
      </c>
      <c r="AC413" s="14">
        <v>954.47</v>
      </c>
      <c r="AD413" s="16" t="s">
        <v>147</v>
      </c>
      <c r="AE413" s="16" t="s">
        <v>147</v>
      </c>
      <c r="AF413" s="14">
        <f>SUMIF('Trip Changes'!$B:$B,A413,'Trip Changes'!$E:$E)</f>
        <v>0</v>
      </c>
      <c r="AG413" s="23">
        <f>SUMIF('Trip Cancellations'!$B:$B,A413,'Trip Cancellations'!$E:$E)</f>
        <v>0</v>
      </c>
      <c r="AH413" s="14">
        <f>SUMIF('Trip Cancellations'!$B:$B,A413,'Trip Cancellations'!$F:$F)</f>
        <v>0</v>
      </c>
      <c r="AI413" s="14">
        <f t="shared" si="128"/>
        <v>954.47</v>
      </c>
      <c r="AJ413" s="14" t="str">
        <f t="shared" si="129"/>
        <v>Yes</v>
      </c>
      <c r="AK413" s="14" t="str">
        <f>IF(Y413=0,"N/A",
IF(_xlfn.XLOOKUP(U413,Hotels!A:A,Hotels!C:C)=TRUE,"Yes","No"))</f>
        <v>Yes</v>
      </c>
      <c r="AL413" s="14" t="str">
        <f>IF(N413="Rail","N/A",IF(_xlfn.XLOOKUP(T413,Airlines!A:A,Airlines!C:C)=TRUE,"Yes","No"))</f>
        <v>Yes</v>
      </c>
      <c r="AM413" s="14" t="str">
        <f t="shared" si="130"/>
        <v>Yes</v>
      </c>
      <c r="AN413" s="14" t="str">
        <f t="shared" si="131"/>
        <v>Yes</v>
      </c>
      <c r="AO413" s="14" t="str">
        <f t="shared" si="132"/>
        <v>Yes</v>
      </c>
      <c r="AP413" s="16" t="s">
        <v>148</v>
      </c>
      <c r="AQ413" t="str">
        <f t="shared" si="133"/>
        <v>Yes</v>
      </c>
      <c r="AR413" s="21">
        <v>4</v>
      </c>
      <c r="AS413" s="5">
        <v>257.7</v>
      </c>
      <c r="AT413" s="5" t="str">
        <f>IF(T413="","",_xlfn.XLOOKUP(T413,Airlines!A:A,Airlines!B:B,"Not Found"))</f>
        <v>British Airways</v>
      </c>
      <c r="AU413" s="5" t="str">
        <f>IF(U413="","",_xlfn.XLOOKUP(U413,Hotels!A:A,Hotels!B:B,"Not found"))</f>
        <v>Accor</v>
      </c>
      <c r="AV413" t="s">
        <v>147</v>
      </c>
      <c r="AW413" s="16" t="str">
        <f t="shared" si="134"/>
        <v>OK</v>
      </c>
      <c r="AX413" s="16" t="str">
        <f t="shared" si="135"/>
        <v>OK</v>
      </c>
      <c r="AY413" s="16" t="str">
        <f t="shared" si="136"/>
        <v>OK</v>
      </c>
      <c r="AZ413" s="16" t="str">
        <f t="shared" si="137"/>
        <v>OK</v>
      </c>
      <c r="BA413" s="16" t="str">
        <f t="shared" si="141"/>
        <v>OK</v>
      </c>
      <c r="BB413" s="21">
        <f>COUNTIF('Trip Changes'!B:B,A413)</f>
        <v>0</v>
      </c>
      <c r="BC413" s="16" t="str">
        <f>IF(OR(AND(AD413="Yes",COUNTIF('Trip Changes'!B:B,A413)&gt;0),AND(AD413="No",COUNTIF('Trip Changes'!B:B,A413)=0)),"OK","Check")</f>
        <v>OK</v>
      </c>
      <c r="BD413" t="str">
        <f t="shared" si="142"/>
        <v>OK</v>
      </c>
      <c r="BE413" t="str">
        <f t="shared" si="143"/>
        <v>OK</v>
      </c>
      <c r="BF413" t="str">
        <f t="shared" si="144"/>
        <v>OK</v>
      </c>
      <c r="BG413" t="str">
        <f t="shared" si="145"/>
        <v>OK</v>
      </c>
      <c r="BH413" t="str">
        <f t="shared" si="146"/>
        <v>OK</v>
      </c>
      <c r="BI413" t="str">
        <f t="shared" si="138"/>
        <v>OK</v>
      </c>
      <c r="BJ413" t="str">
        <f t="shared" si="139"/>
        <v>OK</v>
      </c>
      <c r="BK413" t="str">
        <f t="shared" si="140"/>
        <v>OK</v>
      </c>
    </row>
    <row r="414" spans="1:63">
      <c r="A414" s="16" t="s">
        <v>738</v>
      </c>
      <c r="B414" s="16" t="s">
        <v>735</v>
      </c>
      <c r="C414" s="16" t="s">
        <v>220</v>
      </c>
      <c r="D414" s="16" t="s">
        <v>168</v>
      </c>
      <c r="E414" s="16" t="s">
        <v>249</v>
      </c>
      <c r="F414" s="16" t="s">
        <v>162</v>
      </c>
      <c r="G414" s="15">
        <v>46157</v>
      </c>
      <c r="H414" s="15">
        <v>46177</v>
      </c>
      <c r="I414" s="15">
        <v>46180</v>
      </c>
      <c r="J414" s="15" t="s">
        <v>141</v>
      </c>
      <c r="K414" s="16" t="s">
        <v>220</v>
      </c>
      <c r="L414" t="s">
        <v>233</v>
      </c>
      <c r="M414" s="16" t="s">
        <v>152</v>
      </c>
      <c r="N414" s="16" t="s">
        <v>153</v>
      </c>
      <c r="O414" t="s">
        <v>1614</v>
      </c>
      <c r="P414" s="18">
        <v>1438</v>
      </c>
      <c r="Q414" s="21">
        <v>20</v>
      </c>
      <c r="R414" s="21" t="str">
        <f t="shared" si="126"/>
        <v>15-30 days</v>
      </c>
      <c r="S414" s="16" t="s">
        <v>145</v>
      </c>
      <c r="T414" s="16" t="s">
        <v>154</v>
      </c>
      <c r="U414" s="16" t="s">
        <v>155</v>
      </c>
      <c r="V414" t="str">
        <f>IF(U414="","",IFERROR(VLOOKUP(U414,Hotels!A:B,2,FALSE),"Not Found"))</f>
        <v>Hilton</v>
      </c>
      <c r="W414" s="14">
        <v>565.46</v>
      </c>
      <c r="X414" s="14">
        <v>0</v>
      </c>
      <c r="Y414" s="21">
        <v>2</v>
      </c>
      <c r="Z414" s="29">
        <f t="shared" si="127"/>
        <v>189.625</v>
      </c>
      <c r="AA414" s="14">
        <v>379.25</v>
      </c>
      <c r="AB414" s="14">
        <v>123.03</v>
      </c>
      <c r="AC414" s="14">
        <v>1067.74</v>
      </c>
      <c r="AD414" s="16" t="s">
        <v>147</v>
      </c>
      <c r="AE414" s="16" t="s">
        <v>147</v>
      </c>
      <c r="AF414" s="14">
        <f>SUMIF('Trip Changes'!$B:$B,A414,'Trip Changes'!$E:$E)</f>
        <v>0</v>
      </c>
      <c r="AG414" s="23">
        <f>SUMIF('Trip Cancellations'!$B:$B,A414,'Trip Cancellations'!$E:$E)</f>
        <v>0</v>
      </c>
      <c r="AH414" s="14">
        <f>SUMIF('Trip Cancellations'!$B:$B,A414,'Trip Cancellations'!$F:$F)</f>
        <v>0</v>
      </c>
      <c r="AI414" s="14">
        <f t="shared" si="128"/>
        <v>1067.74</v>
      </c>
      <c r="AJ414" s="14" t="str">
        <f t="shared" si="129"/>
        <v>No</v>
      </c>
      <c r="AK414" s="14" t="str">
        <f>IF(Y414=0,"N/A",
IF(_xlfn.XLOOKUP(U414,Hotels!A:A,Hotels!C:C)=TRUE,"Yes","No"))</f>
        <v>Yes</v>
      </c>
      <c r="AL414" s="14" t="str">
        <f>IF(N414="Rail","N/A",IF(_xlfn.XLOOKUP(T414,Airlines!A:A,Airlines!C:C)=TRUE,"Yes","No"))</f>
        <v>Yes</v>
      </c>
      <c r="AM414" s="14" t="str">
        <f t="shared" si="130"/>
        <v>Yes</v>
      </c>
      <c r="AN414" s="14" t="str">
        <f t="shared" si="131"/>
        <v>Yes</v>
      </c>
      <c r="AO414" s="14" t="str">
        <f t="shared" si="132"/>
        <v>Yes</v>
      </c>
      <c r="AP414" s="16" t="s">
        <v>148</v>
      </c>
      <c r="AQ414" t="str">
        <f t="shared" si="133"/>
        <v>No</v>
      </c>
      <c r="AR414" s="21">
        <v>3</v>
      </c>
      <c r="AS414" s="5">
        <v>215.7</v>
      </c>
      <c r="AT414" s="5" t="str">
        <f>IF(T414="","",_xlfn.XLOOKUP(T414,Airlines!A:A,Airlines!B:B,"Not Found"))</f>
        <v>British Airways</v>
      </c>
      <c r="AU414" s="5" t="str">
        <f>IF(U414="","",_xlfn.XLOOKUP(U414,Hotels!A:A,Hotels!B:B,"Not found"))</f>
        <v>Hilton</v>
      </c>
      <c r="AV414" t="s">
        <v>147</v>
      </c>
      <c r="AW414" s="16" t="str">
        <f t="shared" si="134"/>
        <v>OK</v>
      </c>
      <c r="AX414" s="16" t="str">
        <f t="shared" si="135"/>
        <v>OK</v>
      </c>
      <c r="AY414" s="16" t="str">
        <f t="shared" si="136"/>
        <v>OK</v>
      </c>
      <c r="AZ414" s="16" t="str">
        <f t="shared" si="137"/>
        <v>OK</v>
      </c>
      <c r="BA414" s="16" t="str">
        <f t="shared" si="141"/>
        <v>OK</v>
      </c>
      <c r="BB414" s="21">
        <f>COUNTIF('Trip Changes'!B:B,A414)</f>
        <v>0</v>
      </c>
      <c r="BC414" s="16" t="str">
        <f>IF(OR(AND(AD414="Yes",COUNTIF('Trip Changes'!B:B,A414)&gt;0),AND(AD414="No",COUNTIF('Trip Changes'!B:B,A414)=0)),"OK","Check")</f>
        <v>OK</v>
      </c>
      <c r="BD414" t="str">
        <f t="shared" si="142"/>
        <v>OK</v>
      </c>
      <c r="BE414" t="str">
        <f t="shared" si="143"/>
        <v>OK</v>
      </c>
      <c r="BF414" t="str">
        <f t="shared" si="144"/>
        <v>OK</v>
      </c>
      <c r="BG414" t="str">
        <f t="shared" si="145"/>
        <v>OK</v>
      </c>
      <c r="BH414" t="str">
        <f t="shared" si="146"/>
        <v>OK</v>
      </c>
      <c r="BI414" t="str">
        <f t="shared" si="138"/>
        <v>OK</v>
      </c>
      <c r="BJ414" t="str">
        <f t="shared" si="139"/>
        <v>OK</v>
      </c>
      <c r="BK414" t="str">
        <f t="shared" si="140"/>
        <v>OK</v>
      </c>
    </row>
    <row r="415" spans="1:63">
      <c r="A415" s="16" t="s">
        <v>739</v>
      </c>
      <c r="B415" s="16" t="s">
        <v>735</v>
      </c>
      <c r="C415" s="16" t="s">
        <v>220</v>
      </c>
      <c r="D415" s="16" t="s">
        <v>168</v>
      </c>
      <c r="E415" s="16" t="s">
        <v>249</v>
      </c>
      <c r="F415" s="16" t="s">
        <v>178</v>
      </c>
      <c r="G415" s="15">
        <v>46212</v>
      </c>
      <c r="H415" s="15">
        <v>46216</v>
      </c>
      <c r="I415" s="15">
        <v>46217</v>
      </c>
      <c r="J415" s="15" t="s">
        <v>150</v>
      </c>
      <c r="K415" s="16" t="s">
        <v>220</v>
      </c>
      <c r="L415" t="s">
        <v>193</v>
      </c>
      <c r="M415" s="16" t="s">
        <v>143</v>
      </c>
      <c r="N415" s="16" t="s">
        <v>144</v>
      </c>
      <c r="O415" t="s">
        <v>1630</v>
      </c>
      <c r="P415" s="18">
        <v>838</v>
      </c>
      <c r="Q415" s="21">
        <v>4</v>
      </c>
      <c r="R415" s="21" t="str">
        <f t="shared" si="126"/>
        <v>4-7 days</v>
      </c>
      <c r="S415" s="16" t="s">
        <v>159</v>
      </c>
      <c r="V415" t="str">
        <f>IF(U415="","",IFERROR(VLOOKUP(U415,Hotels!A:B,2,FALSE),"Not Found"))</f>
        <v/>
      </c>
      <c r="W415" s="14">
        <v>0</v>
      </c>
      <c r="X415" s="14">
        <v>215.42</v>
      </c>
      <c r="Y415" s="21">
        <v>0</v>
      </c>
      <c r="Z415" s="29">
        <f t="shared" si="127"/>
        <v>0</v>
      </c>
      <c r="AA415" s="14">
        <v>0</v>
      </c>
      <c r="AB415" s="14">
        <v>33.58</v>
      </c>
      <c r="AC415" s="14">
        <v>249</v>
      </c>
      <c r="AD415" s="16" t="s">
        <v>147</v>
      </c>
      <c r="AE415" s="16" t="s">
        <v>147</v>
      </c>
      <c r="AF415" s="14">
        <f>SUMIF('Trip Changes'!$B:$B,A415,'Trip Changes'!$E:$E)</f>
        <v>0</v>
      </c>
      <c r="AG415" s="23">
        <f>SUMIF('Trip Cancellations'!$B:$B,A415,'Trip Cancellations'!$E:$E)</f>
        <v>0</v>
      </c>
      <c r="AH415" s="14">
        <f>SUMIF('Trip Cancellations'!$B:$B,A415,'Trip Cancellations'!$F:$F)</f>
        <v>0</v>
      </c>
      <c r="AI415" s="14">
        <f t="shared" si="128"/>
        <v>249</v>
      </c>
      <c r="AJ415" s="14" t="str">
        <f t="shared" si="129"/>
        <v>N/A</v>
      </c>
      <c r="AK415" s="14" t="str">
        <f>IF(Y415=0,"N/A",
IF(_xlfn.XLOOKUP(U415,Hotels!A:A,Hotels!C:C)=TRUE,"Yes","No"))</f>
        <v>N/A</v>
      </c>
      <c r="AL415" s="14" t="str">
        <f>IF(N415="Rail","N/A",IF(_xlfn.XLOOKUP(T415,Airlines!A:A,Airlines!C:C)=TRUE,"Yes","No"))</f>
        <v>N/A</v>
      </c>
      <c r="AM415" s="14" t="str">
        <f t="shared" si="130"/>
        <v>Yes</v>
      </c>
      <c r="AN415" s="14" t="str">
        <f t="shared" si="131"/>
        <v>Yes</v>
      </c>
      <c r="AO415" s="14" t="str">
        <f t="shared" si="132"/>
        <v>Yes</v>
      </c>
      <c r="AP415" s="16" t="s">
        <v>148</v>
      </c>
      <c r="AQ415" t="str">
        <f t="shared" si="133"/>
        <v>Yes</v>
      </c>
      <c r="AR415" s="21">
        <v>4</v>
      </c>
      <c r="AS415" s="5">
        <v>33.5</v>
      </c>
      <c r="AT415" s="5" t="str">
        <f>IF(T415="","",_xlfn.XLOOKUP(T415,Airlines!A:A,Airlines!B:B,"Not Found"))</f>
        <v/>
      </c>
      <c r="AU415" s="5" t="str">
        <f>IF(U415="","",_xlfn.XLOOKUP(U415,Hotels!A:A,Hotels!B:B,"Not found"))</f>
        <v/>
      </c>
      <c r="AV415" t="s">
        <v>147</v>
      </c>
      <c r="AW415" s="16" t="str">
        <f t="shared" si="134"/>
        <v>OK</v>
      </c>
      <c r="AX415" s="16" t="str">
        <f t="shared" si="135"/>
        <v>OK</v>
      </c>
      <c r="AY415" s="16" t="str">
        <f t="shared" si="136"/>
        <v>OK</v>
      </c>
      <c r="AZ415" s="16" t="str">
        <f t="shared" si="137"/>
        <v>OK</v>
      </c>
      <c r="BA415" s="16" t="str">
        <f t="shared" si="141"/>
        <v>OK</v>
      </c>
      <c r="BB415" s="21">
        <f>COUNTIF('Trip Changes'!B:B,A415)</f>
        <v>0</v>
      </c>
      <c r="BC415" s="16" t="str">
        <f>IF(OR(AND(AD415="Yes",COUNTIF('Trip Changes'!B:B,A415)&gt;0),AND(AD415="No",COUNTIF('Trip Changes'!B:B,A415)=0)),"OK","Check")</f>
        <v>OK</v>
      </c>
      <c r="BD415" t="str">
        <f t="shared" si="142"/>
        <v>OK</v>
      </c>
      <c r="BE415" t="str">
        <f t="shared" si="143"/>
        <v>OK</v>
      </c>
      <c r="BF415" t="str">
        <f t="shared" si="144"/>
        <v>OK</v>
      </c>
      <c r="BG415" t="str">
        <f t="shared" si="145"/>
        <v>OK</v>
      </c>
      <c r="BH415" t="str">
        <f t="shared" si="146"/>
        <v>OK</v>
      </c>
      <c r="BI415" t="str">
        <f t="shared" si="138"/>
        <v>OK</v>
      </c>
      <c r="BJ415" t="str">
        <f t="shared" si="139"/>
        <v>OK</v>
      </c>
      <c r="BK415" t="str">
        <f t="shared" si="140"/>
        <v>OK</v>
      </c>
    </row>
    <row r="416" spans="1:63">
      <c r="A416" s="16" t="s">
        <v>740</v>
      </c>
      <c r="B416" s="16" t="s">
        <v>735</v>
      </c>
      <c r="C416" s="16" t="s">
        <v>220</v>
      </c>
      <c r="D416" s="16" t="s">
        <v>168</v>
      </c>
      <c r="E416" s="16" t="s">
        <v>249</v>
      </c>
      <c r="F416" s="16" t="s">
        <v>162</v>
      </c>
      <c r="G416" s="15">
        <v>46206</v>
      </c>
      <c r="H416" s="15">
        <v>46213</v>
      </c>
      <c r="I416" s="15">
        <v>46215</v>
      </c>
      <c r="J416" s="15" t="s">
        <v>150</v>
      </c>
      <c r="K416" s="16" t="s">
        <v>220</v>
      </c>
      <c r="L416" t="s">
        <v>142</v>
      </c>
      <c r="M416" s="16" t="s">
        <v>143</v>
      </c>
      <c r="N416" s="16" t="s">
        <v>153</v>
      </c>
      <c r="O416" t="s">
        <v>1614</v>
      </c>
      <c r="P416" s="18">
        <v>918</v>
      </c>
      <c r="Q416" s="21">
        <v>7</v>
      </c>
      <c r="R416" s="21" t="str">
        <f t="shared" si="126"/>
        <v>4-7 days</v>
      </c>
      <c r="S416" s="16" t="s">
        <v>159</v>
      </c>
      <c r="T416" s="16" t="s">
        <v>176</v>
      </c>
      <c r="U416" s="16" t="s">
        <v>164</v>
      </c>
      <c r="V416" t="str">
        <f>IF(U416="","",IFERROR(VLOOKUP(U416,Hotels!A:B,2,FALSE),"Not Found"))</f>
        <v>Marriott</v>
      </c>
      <c r="W416" s="14">
        <v>332.72</v>
      </c>
      <c r="X416" s="14">
        <v>0</v>
      </c>
      <c r="Y416" s="21">
        <v>1</v>
      </c>
      <c r="Z416" s="29">
        <f t="shared" si="127"/>
        <v>151.62</v>
      </c>
      <c r="AA416" s="14">
        <v>151.62</v>
      </c>
      <c r="AB416" s="14">
        <v>89.37</v>
      </c>
      <c r="AC416" s="14">
        <v>573.71</v>
      </c>
      <c r="AD416" s="16" t="s">
        <v>147</v>
      </c>
      <c r="AE416" s="16" t="s">
        <v>147</v>
      </c>
      <c r="AF416" s="14">
        <f>SUMIF('Trip Changes'!$B:$B,A416,'Trip Changes'!$E:$E)</f>
        <v>0</v>
      </c>
      <c r="AG416" s="23">
        <f>SUMIF('Trip Cancellations'!$B:$B,A416,'Trip Cancellations'!$E:$E)</f>
        <v>0</v>
      </c>
      <c r="AH416" s="14">
        <f>SUMIF('Trip Cancellations'!$B:$B,A416,'Trip Cancellations'!$F:$F)</f>
        <v>0</v>
      </c>
      <c r="AI416" s="14">
        <f t="shared" si="128"/>
        <v>573.71</v>
      </c>
      <c r="AJ416" s="14" t="str">
        <f t="shared" si="129"/>
        <v>Yes</v>
      </c>
      <c r="AK416" s="14" t="str">
        <f>IF(Y416=0,"N/A",
IF(_xlfn.XLOOKUP(U416,Hotels!A:A,Hotels!C:C)=TRUE,"Yes","No"))</f>
        <v>Yes</v>
      </c>
      <c r="AL416" s="14" t="str">
        <f>IF(N416="Rail","N/A",IF(_xlfn.XLOOKUP(T416,Airlines!A:A,Airlines!C:C)=TRUE,"Yes","No"))</f>
        <v>Yes</v>
      </c>
      <c r="AM416" s="14" t="str">
        <f t="shared" si="130"/>
        <v>Yes</v>
      </c>
      <c r="AN416" s="14" t="str">
        <f t="shared" si="131"/>
        <v>Yes</v>
      </c>
      <c r="AO416" s="14" t="str">
        <f t="shared" si="132"/>
        <v>Yes</v>
      </c>
      <c r="AP416" s="16" t="s">
        <v>148</v>
      </c>
      <c r="AQ416" t="str">
        <f t="shared" si="133"/>
        <v>Yes</v>
      </c>
      <c r="AR416" s="21">
        <v>5</v>
      </c>
      <c r="AS416" s="5">
        <v>137.69999999999999</v>
      </c>
      <c r="AT416" s="5" t="str">
        <f>IF(T416="","",_xlfn.XLOOKUP(T416,Airlines!A:A,Airlines!B:B,"Not Found"))</f>
        <v>easyJet</v>
      </c>
      <c r="AU416" s="5" t="str">
        <f>IF(U416="","",_xlfn.XLOOKUP(U416,Hotels!A:A,Hotels!B:B,"Not found"))</f>
        <v>Marriott</v>
      </c>
      <c r="AV416" t="s">
        <v>147</v>
      </c>
      <c r="AW416" s="16" t="str">
        <f t="shared" si="134"/>
        <v>OK</v>
      </c>
      <c r="AX416" s="16" t="str">
        <f t="shared" si="135"/>
        <v>OK</v>
      </c>
      <c r="AY416" s="16" t="str">
        <f t="shared" si="136"/>
        <v>OK</v>
      </c>
      <c r="AZ416" s="16" t="str">
        <f t="shared" si="137"/>
        <v>OK</v>
      </c>
      <c r="BA416" s="16" t="str">
        <f t="shared" si="141"/>
        <v>OK</v>
      </c>
      <c r="BB416" s="21">
        <f>COUNTIF('Trip Changes'!B:B,A416)</f>
        <v>0</v>
      </c>
      <c r="BC416" s="16" t="str">
        <f>IF(OR(AND(AD416="Yes",COUNTIF('Trip Changes'!B:B,A416)&gt;0),AND(AD416="No",COUNTIF('Trip Changes'!B:B,A416)=0)),"OK","Check")</f>
        <v>OK</v>
      </c>
      <c r="BD416" t="str">
        <f t="shared" si="142"/>
        <v>OK</v>
      </c>
      <c r="BE416" t="str">
        <f t="shared" si="143"/>
        <v>OK</v>
      </c>
      <c r="BF416" t="str">
        <f t="shared" si="144"/>
        <v>OK</v>
      </c>
      <c r="BG416" t="str">
        <f t="shared" si="145"/>
        <v>OK</v>
      </c>
      <c r="BH416" t="str">
        <f t="shared" si="146"/>
        <v>OK</v>
      </c>
      <c r="BI416" t="str">
        <f t="shared" si="138"/>
        <v>OK</v>
      </c>
      <c r="BJ416" t="str">
        <f t="shared" si="139"/>
        <v>OK</v>
      </c>
      <c r="BK416" t="str">
        <f t="shared" si="140"/>
        <v>OK</v>
      </c>
    </row>
    <row r="417" spans="1:63">
      <c r="A417" s="16" t="s">
        <v>741</v>
      </c>
      <c r="B417" s="16" t="s">
        <v>742</v>
      </c>
      <c r="C417" s="16" t="s">
        <v>307</v>
      </c>
      <c r="D417" s="16" t="s">
        <v>230</v>
      </c>
      <c r="E417" s="16" t="s">
        <v>249</v>
      </c>
      <c r="F417" s="16" t="s">
        <v>140</v>
      </c>
      <c r="G417" s="15">
        <v>46163</v>
      </c>
      <c r="H417" s="15">
        <v>46180</v>
      </c>
      <c r="I417" s="15">
        <v>46185</v>
      </c>
      <c r="J417" s="15" t="s">
        <v>141</v>
      </c>
      <c r="K417" s="16" t="s">
        <v>307</v>
      </c>
      <c r="L417" t="s">
        <v>225</v>
      </c>
      <c r="M417" s="16" t="s">
        <v>152</v>
      </c>
      <c r="N417" s="16" t="s">
        <v>153</v>
      </c>
      <c r="O417" t="s">
        <v>1614</v>
      </c>
      <c r="P417" s="18">
        <v>3270</v>
      </c>
      <c r="Q417" s="21">
        <v>17</v>
      </c>
      <c r="R417" s="21" t="str">
        <f t="shared" si="126"/>
        <v>15-30 days</v>
      </c>
      <c r="S417" s="16" t="s">
        <v>145</v>
      </c>
      <c r="T417" s="16" t="s">
        <v>236</v>
      </c>
      <c r="U417" s="16" t="s">
        <v>155</v>
      </c>
      <c r="V417" t="str">
        <f>IF(U417="","",IFERROR(VLOOKUP(U417,Hotels!A:B,2,FALSE),"Not Found"))</f>
        <v>Hilton</v>
      </c>
      <c r="W417" s="14">
        <v>331.51</v>
      </c>
      <c r="X417" s="14">
        <v>0</v>
      </c>
      <c r="Y417" s="21">
        <v>4</v>
      </c>
      <c r="Z417" s="29">
        <f t="shared" si="127"/>
        <v>166.5325</v>
      </c>
      <c r="AA417" s="14">
        <v>666.13</v>
      </c>
      <c r="AB417" s="14">
        <v>61.62</v>
      </c>
      <c r="AC417" s="14">
        <v>1059.26</v>
      </c>
      <c r="AD417" s="16" t="s">
        <v>147</v>
      </c>
      <c r="AE417" s="16" t="s">
        <v>147</v>
      </c>
      <c r="AF417" s="14">
        <f>SUMIF('Trip Changes'!$B:$B,A417,'Trip Changes'!$E:$E)</f>
        <v>0</v>
      </c>
      <c r="AG417" s="23">
        <f>SUMIF('Trip Cancellations'!$B:$B,A417,'Trip Cancellations'!$E:$E)</f>
        <v>0</v>
      </c>
      <c r="AH417" s="14">
        <f>SUMIF('Trip Cancellations'!$B:$B,A417,'Trip Cancellations'!$F:$F)</f>
        <v>0</v>
      </c>
      <c r="AI417" s="14">
        <f t="shared" si="128"/>
        <v>1059.26</v>
      </c>
      <c r="AJ417" s="14" t="str">
        <f t="shared" si="129"/>
        <v>Yes</v>
      </c>
      <c r="AK417" s="14" t="str">
        <f>IF(Y417=0,"N/A",
IF(_xlfn.XLOOKUP(U417,Hotels!A:A,Hotels!C:C)=TRUE,"Yes","No"))</f>
        <v>Yes</v>
      </c>
      <c r="AL417" s="14" t="str">
        <f>IF(N417="Rail","N/A",IF(_xlfn.XLOOKUP(T417,Airlines!A:A,Airlines!C:C)=TRUE,"Yes","No"))</f>
        <v>Yes</v>
      </c>
      <c r="AM417" s="14" t="str">
        <f t="shared" si="130"/>
        <v>Yes</v>
      </c>
      <c r="AN417" s="14" t="str">
        <f t="shared" si="131"/>
        <v>Yes</v>
      </c>
      <c r="AO417" s="14" t="str">
        <f t="shared" si="132"/>
        <v>Yes</v>
      </c>
      <c r="AP417" s="16" t="s">
        <v>148</v>
      </c>
      <c r="AQ417" t="str">
        <f t="shared" si="133"/>
        <v>Yes</v>
      </c>
      <c r="AR417" s="21">
        <v>5</v>
      </c>
      <c r="AS417" s="5">
        <v>490.5</v>
      </c>
      <c r="AT417" s="5" t="str">
        <f>IF(T417="","",_xlfn.XLOOKUP(T417,Airlines!A:A,Airlines!B:B,"Not Found"))</f>
        <v>KLM</v>
      </c>
      <c r="AU417" s="5" t="str">
        <f>IF(U417="","",_xlfn.XLOOKUP(U417,Hotels!A:A,Hotels!B:B,"Not found"))</f>
        <v>Hilton</v>
      </c>
      <c r="AV417" t="s">
        <v>147</v>
      </c>
      <c r="AW417" s="16" t="str">
        <f t="shared" si="134"/>
        <v>OK</v>
      </c>
      <c r="AX417" s="16" t="str">
        <f t="shared" si="135"/>
        <v>OK</v>
      </c>
      <c r="AY417" s="16" t="str">
        <f t="shared" si="136"/>
        <v>OK</v>
      </c>
      <c r="AZ417" s="16" t="str">
        <f t="shared" si="137"/>
        <v>OK</v>
      </c>
      <c r="BA417" s="16" t="str">
        <f t="shared" si="141"/>
        <v>OK</v>
      </c>
      <c r="BB417" s="21">
        <f>COUNTIF('Trip Changes'!B:B,A417)</f>
        <v>0</v>
      </c>
      <c r="BC417" s="16" t="str">
        <f>IF(OR(AND(AD417="Yes",COUNTIF('Trip Changes'!B:B,A417)&gt;0),AND(AD417="No",COUNTIF('Trip Changes'!B:B,A417)=0)),"OK","Check")</f>
        <v>OK</v>
      </c>
      <c r="BD417" t="str">
        <f t="shared" si="142"/>
        <v>OK</v>
      </c>
      <c r="BE417" t="str">
        <f t="shared" si="143"/>
        <v>OK</v>
      </c>
      <c r="BF417" t="str">
        <f t="shared" si="144"/>
        <v>OK</v>
      </c>
      <c r="BG417" t="str">
        <f t="shared" si="145"/>
        <v>OK</v>
      </c>
      <c r="BH417" t="str">
        <f t="shared" si="146"/>
        <v>OK</v>
      </c>
      <c r="BI417" t="str">
        <f t="shared" si="138"/>
        <v>OK</v>
      </c>
      <c r="BJ417" t="str">
        <f t="shared" si="139"/>
        <v>OK</v>
      </c>
      <c r="BK417" t="str">
        <f t="shared" si="140"/>
        <v>OK</v>
      </c>
    </row>
    <row r="418" spans="1:63">
      <c r="A418" s="16" t="s">
        <v>743</v>
      </c>
      <c r="B418" s="16" t="s">
        <v>742</v>
      </c>
      <c r="C418" s="16" t="s">
        <v>307</v>
      </c>
      <c r="D418" s="16" t="s">
        <v>230</v>
      </c>
      <c r="E418" s="16" t="s">
        <v>249</v>
      </c>
      <c r="F418" s="16" t="s">
        <v>140</v>
      </c>
      <c r="G418" s="15">
        <v>46163</v>
      </c>
      <c r="H418" s="15">
        <v>46169</v>
      </c>
      <c r="I418" s="15">
        <v>46172</v>
      </c>
      <c r="J418" s="15" t="s">
        <v>163</v>
      </c>
      <c r="K418" s="16" t="s">
        <v>307</v>
      </c>
      <c r="L418" t="s">
        <v>233</v>
      </c>
      <c r="M418" s="16" t="s">
        <v>152</v>
      </c>
      <c r="N418" s="16" t="s">
        <v>153</v>
      </c>
      <c r="O418" t="s">
        <v>1614</v>
      </c>
      <c r="P418" s="18">
        <v>1856</v>
      </c>
      <c r="Q418" s="21">
        <v>6</v>
      </c>
      <c r="R418" s="21" t="str">
        <f t="shared" si="126"/>
        <v>4-7 days</v>
      </c>
      <c r="S418" s="16" t="s">
        <v>159</v>
      </c>
      <c r="T418" s="16" t="s">
        <v>160</v>
      </c>
      <c r="U418" s="16" t="s">
        <v>187</v>
      </c>
      <c r="V418" t="str">
        <f>IF(U418="","",IFERROR(VLOOKUP(U418,Hotels!A:B,2,FALSE),"Not Found"))</f>
        <v>IHG Hotels &amp; Resorts</v>
      </c>
      <c r="W418" s="14">
        <v>272.2</v>
      </c>
      <c r="X418" s="14">
        <v>0</v>
      </c>
      <c r="Y418" s="21">
        <v>2</v>
      </c>
      <c r="Z418" s="29">
        <f t="shared" si="127"/>
        <v>178.55500000000001</v>
      </c>
      <c r="AA418" s="14">
        <v>357.11</v>
      </c>
      <c r="AB418" s="14">
        <v>64.97</v>
      </c>
      <c r="AC418" s="14">
        <v>694.28</v>
      </c>
      <c r="AD418" s="16" t="s">
        <v>148</v>
      </c>
      <c r="AE418" s="16" t="s">
        <v>147</v>
      </c>
      <c r="AF418" s="14">
        <f>SUMIF('Trip Changes'!$B:$B,A418,'Trip Changes'!$E:$E)</f>
        <v>120.74</v>
      </c>
      <c r="AG418" s="23">
        <f>SUMIF('Trip Cancellations'!$B:$B,A418,'Trip Cancellations'!$E:$E)</f>
        <v>0</v>
      </c>
      <c r="AH418" s="14">
        <f>SUMIF('Trip Cancellations'!$B:$B,A418,'Trip Cancellations'!$F:$F)</f>
        <v>0</v>
      </c>
      <c r="AI418" s="14">
        <f t="shared" si="128"/>
        <v>815.02</v>
      </c>
      <c r="AJ418" s="14" t="str">
        <f t="shared" si="129"/>
        <v>Yes</v>
      </c>
      <c r="AK418" s="14" t="str">
        <f>IF(Y418=0,"N/A",
IF(_xlfn.XLOOKUP(U418,Hotels!A:A,Hotels!C:C)=TRUE,"Yes","No"))</f>
        <v>Yes</v>
      </c>
      <c r="AL418" s="14" t="str">
        <f>IF(N418="Rail","N/A",IF(_xlfn.XLOOKUP(T418,Airlines!A:A,Airlines!C:C)=TRUE,"Yes","No"))</f>
        <v>Yes</v>
      </c>
      <c r="AM418" s="14" t="str">
        <f t="shared" si="130"/>
        <v>Yes</v>
      </c>
      <c r="AN418" s="14" t="str">
        <f t="shared" si="131"/>
        <v>Yes</v>
      </c>
      <c r="AO418" s="14" t="str">
        <f t="shared" si="132"/>
        <v>Yes</v>
      </c>
      <c r="AP418" s="16" t="s">
        <v>148</v>
      </c>
      <c r="AQ418" t="str">
        <f t="shared" si="133"/>
        <v>Yes</v>
      </c>
      <c r="AR418" s="21">
        <v>3</v>
      </c>
      <c r="AS418" s="5">
        <v>278.39999999999998</v>
      </c>
      <c r="AT418" s="5" t="str">
        <f>IF(T418="","",_xlfn.XLOOKUP(T418,Airlines!A:A,Airlines!B:B,"Not Found"))</f>
        <v>Air France</v>
      </c>
      <c r="AU418" s="5" t="str">
        <f>IF(U418="","",_xlfn.XLOOKUP(U418,Hotels!A:A,Hotels!B:B,"Not found"))</f>
        <v>IHG Hotels &amp; Resorts</v>
      </c>
      <c r="AV418" t="s">
        <v>147</v>
      </c>
      <c r="AW418" s="16" t="str">
        <f t="shared" si="134"/>
        <v>OK</v>
      </c>
      <c r="AX418" s="16" t="str">
        <f t="shared" si="135"/>
        <v>OK</v>
      </c>
      <c r="AY418" s="16" t="str">
        <f t="shared" si="136"/>
        <v>OK</v>
      </c>
      <c r="AZ418" s="16" t="str">
        <f t="shared" si="137"/>
        <v>OK</v>
      </c>
      <c r="BA418" s="16" t="str">
        <f t="shared" si="141"/>
        <v>OK</v>
      </c>
      <c r="BB418" s="21">
        <f>COUNTIF('Trip Changes'!B:B,A418)</f>
        <v>1</v>
      </c>
      <c r="BC418" s="16" t="str">
        <f>IF(OR(AND(AD418="Yes",COUNTIF('Trip Changes'!B:B,A418)&gt;0),AND(AD418="No",COUNTIF('Trip Changes'!B:B,A418)=0)),"OK","Check")</f>
        <v>OK</v>
      </c>
      <c r="BD418" t="str">
        <f t="shared" si="142"/>
        <v>OK</v>
      </c>
      <c r="BE418" t="str">
        <f t="shared" si="143"/>
        <v>OK</v>
      </c>
      <c r="BF418" t="str">
        <f t="shared" si="144"/>
        <v>OK</v>
      </c>
      <c r="BG418" t="str">
        <f t="shared" si="145"/>
        <v>OK</v>
      </c>
      <c r="BH418" t="str">
        <f t="shared" si="146"/>
        <v>OK</v>
      </c>
      <c r="BI418" t="str">
        <f t="shared" si="138"/>
        <v>OK</v>
      </c>
      <c r="BJ418" t="str">
        <f t="shared" si="139"/>
        <v>OK</v>
      </c>
      <c r="BK418" t="str">
        <f t="shared" si="140"/>
        <v>OK</v>
      </c>
    </row>
    <row r="419" spans="1:63">
      <c r="A419" s="16" t="s">
        <v>744</v>
      </c>
      <c r="B419" s="16" t="s">
        <v>742</v>
      </c>
      <c r="C419" s="16" t="s">
        <v>307</v>
      </c>
      <c r="D419" s="16" t="s">
        <v>230</v>
      </c>
      <c r="E419" s="16" t="s">
        <v>249</v>
      </c>
      <c r="F419" s="16" t="s">
        <v>157</v>
      </c>
      <c r="G419" s="15">
        <v>46203</v>
      </c>
      <c r="H419" s="15">
        <v>46216</v>
      </c>
      <c r="I419" s="15">
        <v>46222</v>
      </c>
      <c r="J419" s="15" t="s">
        <v>150</v>
      </c>
      <c r="K419" s="16" t="s">
        <v>307</v>
      </c>
      <c r="L419" t="s">
        <v>197</v>
      </c>
      <c r="M419" s="16" t="s">
        <v>152</v>
      </c>
      <c r="N419" s="16" t="s">
        <v>153</v>
      </c>
      <c r="O419" t="s">
        <v>1614</v>
      </c>
      <c r="P419" s="18">
        <v>12618</v>
      </c>
      <c r="Q419" s="21">
        <v>13</v>
      </c>
      <c r="R419" s="21" t="str">
        <f t="shared" si="126"/>
        <v>8-14 days</v>
      </c>
      <c r="S419" s="16" t="s">
        <v>159</v>
      </c>
      <c r="T419" s="16" t="s">
        <v>186</v>
      </c>
      <c r="U419" s="16" t="s">
        <v>187</v>
      </c>
      <c r="V419" t="str">
        <f>IF(U419="","",IFERROR(VLOOKUP(U419,Hotels!A:B,2,FALSE),"Not Found"))</f>
        <v>IHG Hotels &amp; Resorts</v>
      </c>
      <c r="W419" s="14">
        <v>1047.1600000000001</v>
      </c>
      <c r="X419" s="14">
        <v>0</v>
      </c>
      <c r="Y419" s="21">
        <v>5</v>
      </c>
      <c r="Z419" s="29">
        <f t="shared" si="127"/>
        <v>268.8</v>
      </c>
      <c r="AA419" s="14">
        <v>1344</v>
      </c>
      <c r="AB419" s="14">
        <v>88.61</v>
      </c>
      <c r="AC419" s="14">
        <v>2479.77</v>
      </c>
      <c r="AD419" s="16" t="s">
        <v>147</v>
      </c>
      <c r="AE419" s="16" t="s">
        <v>147</v>
      </c>
      <c r="AF419" s="14">
        <f>SUMIF('Trip Changes'!$B:$B,A419,'Trip Changes'!$E:$E)</f>
        <v>0</v>
      </c>
      <c r="AG419" s="23">
        <f>SUMIF('Trip Cancellations'!$B:$B,A419,'Trip Cancellations'!$E:$E)</f>
        <v>0</v>
      </c>
      <c r="AH419" s="14">
        <f>SUMIF('Trip Cancellations'!$B:$B,A419,'Trip Cancellations'!$F:$F)</f>
        <v>0</v>
      </c>
      <c r="AI419" s="14">
        <f t="shared" si="128"/>
        <v>2479.77</v>
      </c>
      <c r="AJ419" s="14" t="str">
        <f t="shared" si="129"/>
        <v>No</v>
      </c>
      <c r="AK419" s="14" t="str">
        <f>IF(Y419=0,"N/A",
IF(_xlfn.XLOOKUP(U419,Hotels!A:A,Hotels!C:C)=TRUE,"Yes","No"))</f>
        <v>Yes</v>
      </c>
      <c r="AL419" s="14" t="str">
        <f>IF(N419="Rail","N/A",IF(_xlfn.XLOOKUP(T419,Airlines!A:A,Airlines!C:C)=TRUE,"Yes","No"))</f>
        <v>Yes</v>
      </c>
      <c r="AM419" s="14" t="str">
        <f t="shared" si="130"/>
        <v>Yes</v>
      </c>
      <c r="AN419" s="14" t="str">
        <f t="shared" si="131"/>
        <v>Yes</v>
      </c>
      <c r="AO419" s="14" t="str">
        <f t="shared" si="132"/>
        <v>Yes</v>
      </c>
      <c r="AP419" s="16" t="s">
        <v>148</v>
      </c>
      <c r="AQ419" t="str">
        <f t="shared" si="133"/>
        <v>No</v>
      </c>
      <c r="AR419" s="21">
        <v>5</v>
      </c>
      <c r="AS419" s="5">
        <v>1892.7</v>
      </c>
      <c r="AT419" s="5" t="str">
        <f>IF(T419="","",_xlfn.XLOOKUP(T419,Airlines!A:A,Airlines!B:B,"Not Found"))</f>
        <v>Virgin Atlantic</v>
      </c>
      <c r="AU419" s="5" t="str">
        <f>IF(U419="","",_xlfn.XLOOKUP(U419,Hotels!A:A,Hotels!B:B,"Not found"))</f>
        <v>IHG Hotels &amp; Resorts</v>
      </c>
      <c r="AV419" t="s">
        <v>148</v>
      </c>
      <c r="AW419" s="16" t="str">
        <f t="shared" si="134"/>
        <v>OK</v>
      </c>
      <c r="AX419" s="16" t="str">
        <f t="shared" si="135"/>
        <v>OK</v>
      </c>
      <c r="AY419" s="16" t="str">
        <f t="shared" si="136"/>
        <v>OK</v>
      </c>
      <c r="AZ419" s="16" t="str">
        <f t="shared" si="137"/>
        <v>OK</v>
      </c>
      <c r="BA419" s="16" t="str">
        <f t="shared" si="141"/>
        <v>OK</v>
      </c>
      <c r="BB419" s="21">
        <f>COUNTIF('Trip Changes'!B:B,A419)</f>
        <v>0</v>
      </c>
      <c r="BC419" s="16" t="str">
        <f>IF(OR(AND(AD419="Yes",COUNTIF('Trip Changes'!B:B,A419)&gt;0),AND(AD419="No",COUNTIF('Trip Changes'!B:B,A419)=0)),"OK","Check")</f>
        <v>OK</v>
      </c>
      <c r="BD419" t="str">
        <f t="shared" si="142"/>
        <v>OK</v>
      </c>
      <c r="BE419" t="str">
        <f t="shared" si="143"/>
        <v>OK</v>
      </c>
      <c r="BF419" t="str">
        <f t="shared" si="144"/>
        <v>OK</v>
      </c>
      <c r="BG419" t="str">
        <f t="shared" si="145"/>
        <v>OK</v>
      </c>
      <c r="BH419" t="str">
        <f t="shared" si="146"/>
        <v>OK</v>
      </c>
      <c r="BI419" t="str">
        <f t="shared" si="138"/>
        <v>OK</v>
      </c>
      <c r="BJ419" t="str">
        <f t="shared" si="139"/>
        <v>OK</v>
      </c>
      <c r="BK419" t="str">
        <f t="shared" si="140"/>
        <v>OK</v>
      </c>
    </row>
    <row r="420" spans="1:63">
      <c r="A420" s="16" t="s">
        <v>745</v>
      </c>
      <c r="B420" s="16" t="s">
        <v>746</v>
      </c>
      <c r="C420" s="16" t="s">
        <v>220</v>
      </c>
      <c r="D420" s="16" t="s">
        <v>138</v>
      </c>
      <c r="E420" s="16" t="s">
        <v>262</v>
      </c>
      <c r="F420" s="16" t="s">
        <v>140</v>
      </c>
      <c r="G420" s="15">
        <v>46201</v>
      </c>
      <c r="H420" s="15">
        <v>46211</v>
      </c>
      <c r="I420" s="15">
        <v>46214</v>
      </c>
      <c r="J420" s="15" t="s">
        <v>150</v>
      </c>
      <c r="K420" s="16" t="s">
        <v>220</v>
      </c>
      <c r="L420" t="s">
        <v>264</v>
      </c>
      <c r="M420" s="16" t="s">
        <v>152</v>
      </c>
      <c r="N420" s="16" t="s">
        <v>153</v>
      </c>
      <c r="O420" t="s">
        <v>1614</v>
      </c>
      <c r="P420" s="18">
        <v>1012</v>
      </c>
      <c r="Q420" s="21">
        <v>10</v>
      </c>
      <c r="R420" s="21" t="str">
        <f t="shared" si="126"/>
        <v>8-14 days</v>
      </c>
      <c r="S420" s="16" t="s">
        <v>145</v>
      </c>
      <c r="T420" s="16" t="s">
        <v>236</v>
      </c>
      <c r="U420" s="16" t="s">
        <v>187</v>
      </c>
      <c r="V420" t="str">
        <f>IF(U420="","",IFERROR(VLOOKUP(U420,Hotels!A:B,2,FALSE),"Not Found"))</f>
        <v>IHG Hotels &amp; Resorts</v>
      </c>
      <c r="W420" s="14">
        <v>580.1</v>
      </c>
      <c r="X420" s="14">
        <v>0</v>
      </c>
      <c r="Y420" s="21">
        <v>2</v>
      </c>
      <c r="Z420" s="29">
        <f t="shared" si="127"/>
        <v>202.19499999999999</v>
      </c>
      <c r="AA420" s="14">
        <v>404.39</v>
      </c>
      <c r="AB420" s="14">
        <v>44.45</v>
      </c>
      <c r="AC420" s="14">
        <v>1028.94</v>
      </c>
      <c r="AD420" s="16" t="s">
        <v>147</v>
      </c>
      <c r="AE420" s="16" t="s">
        <v>147</v>
      </c>
      <c r="AF420" s="14">
        <f>SUMIF('Trip Changes'!$B:$B,A420,'Trip Changes'!$E:$E)</f>
        <v>0</v>
      </c>
      <c r="AG420" s="23">
        <f>SUMIF('Trip Cancellations'!$B:$B,A420,'Trip Cancellations'!$E:$E)</f>
        <v>0</v>
      </c>
      <c r="AH420" s="14">
        <f>SUMIF('Trip Cancellations'!$B:$B,A420,'Trip Cancellations'!$F:$F)</f>
        <v>0</v>
      </c>
      <c r="AI420" s="14">
        <f t="shared" si="128"/>
        <v>1028.94</v>
      </c>
      <c r="AJ420" s="14" t="str">
        <f t="shared" si="129"/>
        <v>No</v>
      </c>
      <c r="AK420" s="14" t="str">
        <f>IF(Y420=0,"N/A",
IF(_xlfn.XLOOKUP(U420,Hotels!A:A,Hotels!C:C)=TRUE,"Yes","No"))</f>
        <v>Yes</v>
      </c>
      <c r="AL420" s="14" t="str">
        <f>IF(N420="Rail","N/A",IF(_xlfn.XLOOKUP(T420,Airlines!A:A,Airlines!C:C)=TRUE,"Yes","No"))</f>
        <v>Yes</v>
      </c>
      <c r="AM420" s="14" t="str">
        <f t="shared" si="130"/>
        <v>Yes</v>
      </c>
      <c r="AN420" s="14" t="str">
        <f t="shared" si="131"/>
        <v>Yes</v>
      </c>
      <c r="AO420" s="14" t="str">
        <f t="shared" si="132"/>
        <v>Yes</v>
      </c>
      <c r="AP420" s="16" t="s">
        <v>148</v>
      </c>
      <c r="AQ420" t="str">
        <f t="shared" si="133"/>
        <v>No</v>
      </c>
      <c r="AR420" s="21">
        <v>5</v>
      </c>
      <c r="AS420" s="5">
        <v>151.80000000000001</v>
      </c>
      <c r="AT420" s="5" t="str">
        <f>IF(T420="","",_xlfn.XLOOKUP(T420,Airlines!A:A,Airlines!B:B,"Not Found"))</f>
        <v>KLM</v>
      </c>
      <c r="AU420" s="5" t="str">
        <f>IF(U420="","",_xlfn.XLOOKUP(U420,Hotels!A:A,Hotels!B:B,"Not found"))</f>
        <v>IHG Hotels &amp; Resorts</v>
      </c>
      <c r="AV420" t="s">
        <v>147</v>
      </c>
      <c r="AW420" s="16" t="str">
        <f t="shared" si="134"/>
        <v>OK</v>
      </c>
      <c r="AX420" s="16" t="str">
        <f t="shared" si="135"/>
        <v>OK</v>
      </c>
      <c r="AY420" s="16" t="str">
        <f t="shared" si="136"/>
        <v>OK</v>
      </c>
      <c r="AZ420" s="16" t="str">
        <f t="shared" si="137"/>
        <v>OK</v>
      </c>
      <c r="BA420" s="16" t="str">
        <f t="shared" si="141"/>
        <v>OK</v>
      </c>
      <c r="BB420" s="21">
        <f>COUNTIF('Trip Changes'!B:B,A420)</f>
        <v>0</v>
      </c>
      <c r="BC420" s="16" t="str">
        <f>IF(OR(AND(AD420="Yes",COUNTIF('Trip Changes'!B:B,A420)&gt;0),AND(AD420="No",COUNTIF('Trip Changes'!B:B,A420)=0)),"OK","Check")</f>
        <v>OK</v>
      </c>
      <c r="BD420" t="str">
        <f t="shared" si="142"/>
        <v>OK</v>
      </c>
      <c r="BE420" t="str">
        <f t="shared" si="143"/>
        <v>OK</v>
      </c>
      <c r="BF420" t="str">
        <f t="shared" si="144"/>
        <v>OK</v>
      </c>
      <c r="BG420" t="str">
        <f t="shared" si="145"/>
        <v>OK</v>
      </c>
      <c r="BH420" t="str">
        <f t="shared" si="146"/>
        <v>OK</v>
      </c>
      <c r="BI420" t="str">
        <f t="shared" si="138"/>
        <v>OK</v>
      </c>
      <c r="BJ420" t="str">
        <f t="shared" si="139"/>
        <v>OK</v>
      </c>
      <c r="BK420" t="str">
        <f t="shared" si="140"/>
        <v>OK</v>
      </c>
    </row>
    <row r="421" spans="1:63">
      <c r="A421" s="16" t="s">
        <v>747</v>
      </c>
      <c r="B421" s="16" t="s">
        <v>746</v>
      </c>
      <c r="C421" s="16" t="s">
        <v>220</v>
      </c>
      <c r="D421" s="16" t="s">
        <v>138</v>
      </c>
      <c r="E421" s="16" t="s">
        <v>262</v>
      </c>
      <c r="F421" s="16" t="s">
        <v>189</v>
      </c>
      <c r="G421" s="15">
        <v>46207</v>
      </c>
      <c r="H421" s="15">
        <v>46233</v>
      </c>
      <c r="I421" s="15">
        <v>46237</v>
      </c>
      <c r="J421" s="15" t="s">
        <v>150</v>
      </c>
      <c r="K421" s="16" t="s">
        <v>220</v>
      </c>
      <c r="L421" t="s">
        <v>179</v>
      </c>
      <c r="M421" s="16" t="s">
        <v>152</v>
      </c>
      <c r="N421" s="16" t="s">
        <v>153</v>
      </c>
      <c r="O421" t="s">
        <v>1614</v>
      </c>
      <c r="P421" s="18">
        <v>16766</v>
      </c>
      <c r="Q421" s="21">
        <v>26</v>
      </c>
      <c r="R421" s="21" t="str">
        <f t="shared" si="126"/>
        <v>15-30 days</v>
      </c>
      <c r="S421" s="16" t="s">
        <v>145</v>
      </c>
      <c r="T421" s="16" t="s">
        <v>154</v>
      </c>
      <c r="U421" s="16" t="s">
        <v>190</v>
      </c>
      <c r="V421" t="str">
        <f>IF(U421="","",IFERROR(VLOOKUP(U421,Hotels!A:B,2,FALSE),"Not Found"))</f>
        <v>Radisson Hotel Group</v>
      </c>
      <c r="W421" s="14">
        <v>886.87</v>
      </c>
      <c r="X421" s="14">
        <v>0</v>
      </c>
      <c r="Y421" s="21">
        <v>3</v>
      </c>
      <c r="Z421" s="29">
        <f t="shared" si="127"/>
        <v>217.37666666666667</v>
      </c>
      <c r="AA421" s="14">
        <v>652.13</v>
      </c>
      <c r="AB421" s="14">
        <v>43.84</v>
      </c>
      <c r="AC421" s="14">
        <v>1582.84</v>
      </c>
      <c r="AD421" s="16" t="s">
        <v>147</v>
      </c>
      <c r="AE421" s="16" t="s">
        <v>147</v>
      </c>
      <c r="AF421" s="14">
        <f>SUMIF('Trip Changes'!$B:$B,A421,'Trip Changes'!$E:$E)</f>
        <v>0</v>
      </c>
      <c r="AG421" s="23">
        <f>SUMIF('Trip Cancellations'!$B:$B,A421,'Trip Cancellations'!$E:$E)</f>
        <v>0</v>
      </c>
      <c r="AH421" s="14">
        <f>SUMIF('Trip Cancellations'!$B:$B,A421,'Trip Cancellations'!$F:$F)</f>
        <v>0</v>
      </c>
      <c r="AI421" s="14">
        <f t="shared" si="128"/>
        <v>1582.84</v>
      </c>
      <c r="AJ421" s="14" t="str">
        <f t="shared" si="129"/>
        <v>Yes</v>
      </c>
      <c r="AK421" s="14" t="str">
        <f>IF(Y421=0,"N/A",
IF(_xlfn.XLOOKUP(U421,Hotels!A:A,Hotels!C:C)=TRUE,"Yes","No"))</f>
        <v>No</v>
      </c>
      <c r="AL421" s="14" t="str">
        <f>IF(N421="Rail","N/A",IF(_xlfn.XLOOKUP(T421,Airlines!A:A,Airlines!C:C)=TRUE,"Yes","No"))</f>
        <v>Yes</v>
      </c>
      <c r="AM421" s="14" t="str">
        <f t="shared" si="130"/>
        <v>Yes</v>
      </c>
      <c r="AN421" s="14" t="str">
        <f t="shared" si="131"/>
        <v>Yes</v>
      </c>
      <c r="AO421" s="14" t="str">
        <f t="shared" si="132"/>
        <v>No</v>
      </c>
      <c r="AP421" s="16" t="s">
        <v>148</v>
      </c>
      <c r="AQ421" t="str">
        <f t="shared" si="133"/>
        <v>No</v>
      </c>
      <c r="AR421" s="21">
        <v>5</v>
      </c>
      <c r="AS421" s="5">
        <v>2514.9</v>
      </c>
      <c r="AT421" s="5" t="str">
        <f>IF(T421="","",_xlfn.XLOOKUP(T421,Airlines!A:A,Airlines!B:B,"Not Found"))</f>
        <v>British Airways</v>
      </c>
      <c r="AU421" s="5" t="str">
        <f>IF(U421="","",_xlfn.XLOOKUP(U421,Hotels!A:A,Hotels!B:B,"Not found"))</f>
        <v>Radisson Hotel Group</v>
      </c>
      <c r="AV421" t="s">
        <v>147</v>
      </c>
      <c r="AW421" s="16" t="str">
        <f t="shared" si="134"/>
        <v>OK</v>
      </c>
      <c r="AX421" s="16" t="str">
        <f t="shared" si="135"/>
        <v>OK</v>
      </c>
      <c r="AY421" s="16" t="str">
        <f t="shared" si="136"/>
        <v>OK</v>
      </c>
      <c r="AZ421" s="16" t="str">
        <f t="shared" si="137"/>
        <v>OK</v>
      </c>
      <c r="BA421" s="16" t="str">
        <f t="shared" si="141"/>
        <v>OK</v>
      </c>
      <c r="BB421" s="21">
        <f>COUNTIF('Trip Changes'!B:B,A421)</f>
        <v>0</v>
      </c>
      <c r="BC421" s="16" t="str">
        <f>IF(OR(AND(AD421="Yes",COUNTIF('Trip Changes'!B:B,A421)&gt;0),AND(AD421="No",COUNTIF('Trip Changes'!B:B,A421)=0)),"OK","Check")</f>
        <v>OK</v>
      </c>
      <c r="BD421" t="str">
        <f t="shared" si="142"/>
        <v>OK</v>
      </c>
      <c r="BE421" t="str">
        <f t="shared" si="143"/>
        <v>OK</v>
      </c>
      <c r="BF421" t="str">
        <f t="shared" si="144"/>
        <v>OK</v>
      </c>
      <c r="BG421" t="str">
        <f t="shared" si="145"/>
        <v>OK</v>
      </c>
      <c r="BH421" t="str">
        <f t="shared" si="146"/>
        <v>OK</v>
      </c>
      <c r="BI421" t="str">
        <f t="shared" si="138"/>
        <v>OK</v>
      </c>
      <c r="BJ421" t="str">
        <f t="shared" si="139"/>
        <v>OK</v>
      </c>
      <c r="BK421" t="str">
        <f t="shared" si="140"/>
        <v>OK</v>
      </c>
    </row>
    <row r="422" spans="1:63">
      <c r="A422" s="16" t="s">
        <v>748</v>
      </c>
      <c r="B422" s="16" t="s">
        <v>746</v>
      </c>
      <c r="C422" s="16" t="s">
        <v>220</v>
      </c>
      <c r="D422" s="16" t="s">
        <v>138</v>
      </c>
      <c r="E422" s="16" t="s">
        <v>262</v>
      </c>
      <c r="F422" s="16" t="s">
        <v>178</v>
      </c>
      <c r="G422" s="15">
        <v>46127</v>
      </c>
      <c r="H422" s="15">
        <v>46144</v>
      </c>
      <c r="I422" s="15">
        <v>46148</v>
      </c>
      <c r="J422" s="15" t="s">
        <v>163</v>
      </c>
      <c r="K422" s="16" t="s">
        <v>220</v>
      </c>
      <c r="L422" t="s">
        <v>185</v>
      </c>
      <c r="M422" s="16" t="s">
        <v>152</v>
      </c>
      <c r="N422" s="16" t="s">
        <v>153</v>
      </c>
      <c r="O422" t="s">
        <v>1614</v>
      </c>
      <c r="P422" s="18">
        <v>12714</v>
      </c>
      <c r="Q422" s="21">
        <v>17</v>
      </c>
      <c r="R422" s="21" t="str">
        <f t="shared" si="126"/>
        <v>15-30 days</v>
      </c>
      <c r="S422" s="16" t="s">
        <v>145</v>
      </c>
      <c r="T422" s="16" t="s">
        <v>154</v>
      </c>
      <c r="U422" s="16" t="s">
        <v>173</v>
      </c>
      <c r="V422" t="str">
        <f>IF(U422="","",IFERROR(VLOOKUP(U422,Hotels!A:B,2,FALSE),"Not Found"))</f>
        <v>Accor</v>
      </c>
      <c r="W422" s="14">
        <v>631.24</v>
      </c>
      <c r="X422" s="14">
        <v>0</v>
      </c>
      <c r="Y422" s="21">
        <v>3</v>
      </c>
      <c r="Z422" s="29">
        <f t="shared" si="127"/>
        <v>132.41666666666666</v>
      </c>
      <c r="AA422" s="14">
        <v>397.25</v>
      </c>
      <c r="AB422" s="14">
        <v>62.68</v>
      </c>
      <c r="AC422" s="14">
        <v>1091.17</v>
      </c>
      <c r="AD422" s="16" t="s">
        <v>147</v>
      </c>
      <c r="AE422" s="16" t="s">
        <v>147</v>
      </c>
      <c r="AF422" s="14">
        <f>SUMIF('Trip Changes'!$B:$B,A422,'Trip Changes'!$E:$E)</f>
        <v>0</v>
      </c>
      <c r="AG422" s="23">
        <f>SUMIF('Trip Cancellations'!$B:$B,A422,'Trip Cancellations'!$E:$E)</f>
        <v>0</v>
      </c>
      <c r="AH422" s="14">
        <f>SUMIF('Trip Cancellations'!$B:$B,A422,'Trip Cancellations'!$F:$F)</f>
        <v>0</v>
      </c>
      <c r="AI422" s="14">
        <f t="shared" si="128"/>
        <v>1091.17</v>
      </c>
      <c r="AJ422" s="14" t="str">
        <f t="shared" si="129"/>
        <v>Yes</v>
      </c>
      <c r="AK422" s="14" t="str">
        <f>IF(Y422=0,"N/A",
IF(_xlfn.XLOOKUP(U422,Hotels!A:A,Hotels!C:C)=TRUE,"Yes","No"))</f>
        <v>Yes</v>
      </c>
      <c r="AL422" s="14" t="str">
        <f>IF(N422="Rail","N/A",IF(_xlfn.XLOOKUP(T422,Airlines!A:A,Airlines!C:C)=TRUE,"Yes","No"))</f>
        <v>Yes</v>
      </c>
      <c r="AM422" s="14" t="str">
        <f t="shared" si="130"/>
        <v>Yes</v>
      </c>
      <c r="AN422" s="14" t="str">
        <f t="shared" si="131"/>
        <v>Yes</v>
      </c>
      <c r="AO422" s="14" t="str">
        <f t="shared" si="132"/>
        <v>Yes</v>
      </c>
      <c r="AP422" s="16" t="s">
        <v>148</v>
      </c>
      <c r="AQ422" t="str">
        <f t="shared" si="133"/>
        <v>Yes</v>
      </c>
      <c r="AR422" s="21">
        <v>5</v>
      </c>
      <c r="AS422" s="5">
        <v>1907.1</v>
      </c>
      <c r="AT422" s="5" t="str">
        <f>IF(T422="","",_xlfn.XLOOKUP(T422,Airlines!A:A,Airlines!B:B,"Not Found"))</f>
        <v>British Airways</v>
      </c>
      <c r="AU422" s="5" t="str">
        <f>IF(U422="","",_xlfn.XLOOKUP(U422,Hotels!A:A,Hotels!B:B,"Not found"))</f>
        <v>Accor</v>
      </c>
      <c r="AV422" t="s">
        <v>148</v>
      </c>
      <c r="AW422" s="16" t="str">
        <f t="shared" si="134"/>
        <v>OK</v>
      </c>
      <c r="AX422" s="16" t="str">
        <f t="shared" si="135"/>
        <v>OK</v>
      </c>
      <c r="AY422" s="16" t="str">
        <f t="shared" si="136"/>
        <v>OK</v>
      </c>
      <c r="AZ422" s="16" t="str">
        <f t="shared" si="137"/>
        <v>OK</v>
      </c>
      <c r="BA422" s="16" t="str">
        <f t="shared" si="141"/>
        <v>OK</v>
      </c>
      <c r="BB422" s="21">
        <f>COUNTIF('Trip Changes'!B:B,A422)</f>
        <v>0</v>
      </c>
      <c r="BC422" s="16" t="str">
        <f>IF(OR(AND(AD422="Yes",COUNTIF('Trip Changes'!B:B,A422)&gt;0),AND(AD422="No",COUNTIF('Trip Changes'!B:B,A422)=0)),"OK","Check")</f>
        <v>OK</v>
      </c>
      <c r="BD422" t="str">
        <f t="shared" si="142"/>
        <v>OK</v>
      </c>
      <c r="BE422" t="str">
        <f t="shared" si="143"/>
        <v>OK</v>
      </c>
      <c r="BF422" t="str">
        <f t="shared" si="144"/>
        <v>OK</v>
      </c>
      <c r="BG422" t="str">
        <f t="shared" si="145"/>
        <v>OK</v>
      </c>
      <c r="BH422" t="str">
        <f t="shared" si="146"/>
        <v>OK</v>
      </c>
      <c r="BI422" t="str">
        <f t="shared" si="138"/>
        <v>OK</v>
      </c>
      <c r="BJ422" t="str">
        <f t="shared" si="139"/>
        <v>OK</v>
      </c>
      <c r="BK422" t="str">
        <f t="shared" si="140"/>
        <v>OK</v>
      </c>
    </row>
    <row r="423" spans="1:63">
      <c r="A423" s="16" t="s">
        <v>749</v>
      </c>
      <c r="B423" s="16" t="s">
        <v>750</v>
      </c>
      <c r="C423" s="16" t="s">
        <v>193</v>
      </c>
      <c r="D423" s="16" t="s">
        <v>248</v>
      </c>
      <c r="E423" s="16" t="s">
        <v>169</v>
      </c>
      <c r="F423" s="16" t="s">
        <v>162</v>
      </c>
      <c r="G423" s="15">
        <v>46191</v>
      </c>
      <c r="H423" s="15">
        <v>46210</v>
      </c>
      <c r="I423" s="15">
        <v>46213</v>
      </c>
      <c r="J423" s="15" t="s">
        <v>150</v>
      </c>
      <c r="K423" s="16" t="s">
        <v>193</v>
      </c>
      <c r="L423" t="s">
        <v>199</v>
      </c>
      <c r="M423" s="16" t="s">
        <v>152</v>
      </c>
      <c r="N423" s="16" t="s">
        <v>153</v>
      </c>
      <c r="O423" t="s">
        <v>1614</v>
      </c>
      <c r="P423" s="18">
        <v>1628</v>
      </c>
      <c r="Q423" s="21">
        <v>19</v>
      </c>
      <c r="R423" s="21" t="str">
        <f t="shared" si="126"/>
        <v>15-30 days</v>
      </c>
      <c r="S423" s="16" t="s">
        <v>145</v>
      </c>
      <c r="T423" s="16" t="s">
        <v>200</v>
      </c>
      <c r="U423" s="16" t="s">
        <v>173</v>
      </c>
      <c r="V423" t="str">
        <f>IF(U423="","",IFERROR(VLOOKUP(U423,Hotels!A:B,2,FALSE),"Not Found"))</f>
        <v>Accor</v>
      </c>
      <c r="W423" s="14">
        <v>376.95</v>
      </c>
      <c r="X423" s="14">
        <v>0</v>
      </c>
      <c r="Y423" s="21">
        <v>2</v>
      </c>
      <c r="Z423" s="29">
        <f t="shared" si="127"/>
        <v>180.245</v>
      </c>
      <c r="AA423" s="14">
        <v>360.49</v>
      </c>
      <c r="AB423" s="14">
        <v>59.63</v>
      </c>
      <c r="AC423" s="14">
        <v>797.07</v>
      </c>
      <c r="AD423" s="16" t="s">
        <v>147</v>
      </c>
      <c r="AE423" s="16" t="s">
        <v>147</v>
      </c>
      <c r="AF423" s="14">
        <f>SUMIF('Trip Changes'!$B:$B,A423,'Trip Changes'!$E:$E)</f>
        <v>0</v>
      </c>
      <c r="AG423" s="23">
        <f>SUMIF('Trip Cancellations'!$B:$B,A423,'Trip Cancellations'!$E:$E)</f>
        <v>0</v>
      </c>
      <c r="AH423" s="14">
        <f>SUMIF('Trip Cancellations'!$B:$B,A423,'Trip Cancellations'!$F:$F)</f>
        <v>0</v>
      </c>
      <c r="AI423" s="14">
        <f t="shared" si="128"/>
        <v>797.07</v>
      </c>
      <c r="AJ423" s="14" t="str">
        <f t="shared" si="129"/>
        <v>No</v>
      </c>
      <c r="AK423" s="14" t="str">
        <f>IF(Y423=0,"N/A",
IF(_xlfn.XLOOKUP(U423,Hotels!A:A,Hotels!C:C)=TRUE,"Yes","No"))</f>
        <v>Yes</v>
      </c>
      <c r="AL423" s="14" t="str">
        <f>IF(N423="Rail","N/A",IF(_xlfn.XLOOKUP(T423,Airlines!A:A,Airlines!C:C)=TRUE,"Yes","No"))</f>
        <v>Yes</v>
      </c>
      <c r="AM423" s="14" t="str">
        <f t="shared" si="130"/>
        <v>Yes</v>
      </c>
      <c r="AN423" s="14" t="str">
        <f t="shared" si="131"/>
        <v>Yes</v>
      </c>
      <c r="AO423" s="14" t="str">
        <f t="shared" si="132"/>
        <v>Yes</v>
      </c>
      <c r="AP423" s="16" t="s">
        <v>148</v>
      </c>
      <c r="AQ423" t="str">
        <f t="shared" si="133"/>
        <v>No</v>
      </c>
      <c r="AR423" s="21">
        <v>3</v>
      </c>
      <c r="AS423" s="5">
        <v>244.2</v>
      </c>
      <c r="AT423" s="5" t="str">
        <f>IF(T423="","",_xlfn.XLOOKUP(T423,Airlines!A:A,Airlines!B:B,"Not Found"))</f>
        <v>Aer Lingus</v>
      </c>
      <c r="AU423" s="5" t="str">
        <f>IF(U423="","",_xlfn.XLOOKUP(U423,Hotels!A:A,Hotels!B:B,"Not found"))</f>
        <v>Accor</v>
      </c>
      <c r="AV423" t="s">
        <v>148</v>
      </c>
      <c r="AW423" s="16" t="str">
        <f t="shared" si="134"/>
        <v>OK</v>
      </c>
      <c r="AX423" s="16" t="str">
        <f t="shared" si="135"/>
        <v>OK</v>
      </c>
      <c r="AY423" s="16" t="str">
        <f t="shared" si="136"/>
        <v>OK</v>
      </c>
      <c r="AZ423" s="16" t="str">
        <f t="shared" si="137"/>
        <v>OK</v>
      </c>
      <c r="BA423" s="16" t="str">
        <f t="shared" si="141"/>
        <v>OK</v>
      </c>
      <c r="BB423" s="21">
        <f>COUNTIF('Trip Changes'!B:B,A423)</f>
        <v>0</v>
      </c>
      <c r="BC423" s="16" t="str">
        <f>IF(OR(AND(AD423="Yes",COUNTIF('Trip Changes'!B:B,A423)&gt;0),AND(AD423="No",COUNTIF('Trip Changes'!B:B,A423)=0)),"OK","Check")</f>
        <v>OK</v>
      </c>
      <c r="BD423" t="str">
        <f t="shared" si="142"/>
        <v>OK</v>
      </c>
      <c r="BE423" t="str">
        <f t="shared" si="143"/>
        <v>OK</v>
      </c>
      <c r="BF423" t="str">
        <f t="shared" si="144"/>
        <v>OK</v>
      </c>
      <c r="BG423" t="str">
        <f t="shared" si="145"/>
        <v>OK</v>
      </c>
      <c r="BH423" t="str">
        <f t="shared" si="146"/>
        <v>OK</v>
      </c>
      <c r="BI423" t="str">
        <f t="shared" si="138"/>
        <v>OK</v>
      </c>
      <c r="BJ423" t="str">
        <f t="shared" si="139"/>
        <v>OK</v>
      </c>
      <c r="BK423" t="str">
        <f t="shared" si="140"/>
        <v>OK</v>
      </c>
    </row>
    <row r="424" spans="1:63">
      <c r="A424" s="16" t="s">
        <v>751</v>
      </c>
      <c r="B424" s="16" t="s">
        <v>750</v>
      </c>
      <c r="C424" s="16" t="s">
        <v>193</v>
      </c>
      <c r="D424" s="16" t="s">
        <v>248</v>
      </c>
      <c r="E424" s="16" t="s">
        <v>169</v>
      </c>
      <c r="F424" s="16" t="s">
        <v>140</v>
      </c>
      <c r="G424" s="15">
        <v>46176</v>
      </c>
      <c r="H424" s="15">
        <v>46193</v>
      </c>
      <c r="I424" s="15">
        <v>46195</v>
      </c>
      <c r="J424" s="15" t="s">
        <v>141</v>
      </c>
      <c r="K424" s="16" t="s">
        <v>193</v>
      </c>
      <c r="L424" t="s">
        <v>182</v>
      </c>
      <c r="M424" s="16" t="s">
        <v>143</v>
      </c>
      <c r="N424" s="16" t="s">
        <v>144</v>
      </c>
      <c r="O424" t="s">
        <v>1633</v>
      </c>
      <c r="P424" s="18">
        <v>714</v>
      </c>
      <c r="Q424" s="21">
        <v>17</v>
      </c>
      <c r="R424" s="21" t="str">
        <f t="shared" si="126"/>
        <v>15-30 days</v>
      </c>
      <c r="S424" s="16" t="s">
        <v>207</v>
      </c>
      <c r="U424" s="16" t="s">
        <v>164</v>
      </c>
      <c r="V424" t="str">
        <f>IF(U424="","",IFERROR(VLOOKUP(U424,Hotels!A:B,2,FALSE),"Not Found"))</f>
        <v>Marriott</v>
      </c>
      <c r="W424" s="14">
        <v>0</v>
      </c>
      <c r="X424" s="14">
        <v>210.04</v>
      </c>
      <c r="Y424" s="21">
        <v>1</v>
      </c>
      <c r="Z424" s="29">
        <f t="shared" si="127"/>
        <v>166.14</v>
      </c>
      <c r="AA424" s="14">
        <v>166.14</v>
      </c>
      <c r="AB424" s="14">
        <v>84.61</v>
      </c>
      <c r="AC424" s="14">
        <v>460.79</v>
      </c>
      <c r="AD424" s="16" t="s">
        <v>147</v>
      </c>
      <c r="AE424" s="16" t="s">
        <v>147</v>
      </c>
      <c r="AF424" s="14">
        <f>SUMIF('Trip Changes'!$B:$B,A424,'Trip Changes'!$E:$E)</f>
        <v>0</v>
      </c>
      <c r="AG424" s="23">
        <f>SUMIF('Trip Cancellations'!$B:$B,A424,'Trip Cancellations'!$E:$E)</f>
        <v>0</v>
      </c>
      <c r="AH424" s="14">
        <f>SUMIF('Trip Cancellations'!$B:$B,A424,'Trip Cancellations'!$F:$F)</f>
        <v>0</v>
      </c>
      <c r="AI424" s="14">
        <f t="shared" si="128"/>
        <v>460.79</v>
      </c>
      <c r="AJ424" s="14" t="str">
        <f t="shared" si="129"/>
        <v>Yes</v>
      </c>
      <c r="AK424" s="14" t="str">
        <f>IF(Y424=0,"N/A",
IF(_xlfn.XLOOKUP(U424,Hotels!A:A,Hotels!C:C)=TRUE,"Yes","No"))</f>
        <v>Yes</v>
      </c>
      <c r="AL424" s="14" t="str">
        <f>IF(N424="Rail","N/A",IF(_xlfn.XLOOKUP(T424,Airlines!A:A,Airlines!C:C)=TRUE,"Yes","No"))</f>
        <v>N/A</v>
      </c>
      <c r="AM424" s="14" t="str">
        <f t="shared" si="130"/>
        <v>No</v>
      </c>
      <c r="AN424" s="14" t="str">
        <f t="shared" si="131"/>
        <v>No</v>
      </c>
      <c r="AO424" s="14" t="str">
        <f t="shared" si="132"/>
        <v>Yes</v>
      </c>
      <c r="AP424" s="16" t="s">
        <v>147</v>
      </c>
      <c r="AQ424" t="str">
        <f t="shared" si="133"/>
        <v>No</v>
      </c>
      <c r="AR424" s="21">
        <v>5</v>
      </c>
      <c r="AS424" s="5">
        <v>28.6</v>
      </c>
      <c r="AT424" s="5" t="str">
        <f>IF(T424="","",_xlfn.XLOOKUP(T424,Airlines!A:A,Airlines!B:B,"Not Found"))</f>
        <v/>
      </c>
      <c r="AU424" s="5" t="str">
        <f>IF(U424="","",_xlfn.XLOOKUP(U424,Hotels!A:A,Hotels!B:B,"Not found"))</f>
        <v>Marriott</v>
      </c>
      <c r="AV424" t="s">
        <v>148</v>
      </c>
      <c r="AW424" s="16" t="str">
        <f t="shared" si="134"/>
        <v>OK</v>
      </c>
      <c r="AX424" s="16" t="str">
        <f t="shared" si="135"/>
        <v>OK</v>
      </c>
      <c r="AY424" s="16" t="str">
        <f t="shared" si="136"/>
        <v>OK</v>
      </c>
      <c r="AZ424" s="16" t="str">
        <f t="shared" si="137"/>
        <v>OK</v>
      </c>
      <c r="BA424" s="16" t="str">
        <f t="shared" si="141"/>
        <v>OK</v>
      </c>
      <c r="BB424" s="21">
        <f>COUNTIF('Trip Changes'!B:B,A424)</f>
        <v>0</v>
      </c>
      <c r="BC424" s="16" t="str">
        <f>IF(OR(AND(AD424="Yes",COUNTIF('Trip Changes'!B:B,A424)&gt;0),AND(AD424="No",COUNTIF('Trip Changes'!B:B,A424)=0)),"OK","Check")</f>
        <v>OK</v>
      </c>
      <c r="BD424" t="str">
        <f t="shared" si="142"/>
        <v>OK</v>
      </c>
      <c r="BE424" t="str">
        <f t="shared" si="143"/>
        <v>OK</v>
      </c>
      <c r="BF424" t="str">
        <f t="shared" si="144"/>
        <v>OK</v>
      </c>
      <c r="BG424" t="str">
        <f t="shared" si="145"/>
        <v>OK</v>
      </c>
      <c r="BH424" t="str">
        <f t="shared" si="146"/>
        <v>OK</v>
      </c>
      <c r="BI424" t="str">
        <f t="shared" si="138"/>
        <v>OK</v>
      </c>
      <c r="BJ424" t="str">
        <f t="shared" si="139"/>
        <v>OK</v>
      </c>
      <c r="BK424" t="str">
        <f t="shared" si="140"/>
        <v>OK</v>
      </c>
    </row>
    <row r="425" spans="1:63">
      <c r="A425" s="16" t="s">
        <v>752</v>
      </c>
      <c r="B425" s="16" t="s">
        <v>750</v>
      </c>
      <c r="C425" s="16" t="s">
        <v>193</v>
      </c>
      <c r="D425" s="16" t="s">
        <v>248</v>
      </c>
      <c r="E425" s="16" t="s">
        <v>169</v>
      </c>
      <c r="F425" s="16" t="s">
        <v>162</v>
      </c>
      <c r="G425" s="15">
        <v>46153</v>
      </c>
      <c r="H425" s="15">
        <v>46154</v>
      </c>
      <c r="I425" s="15">
        <v>46158</v>
      </c>
      <c r="J425" s="15" t="s">
        <v>163</v>
      </c>
      <c r="K425" s="16" t="s">
        <v>193</v>
      </c>
      <c r="L425" t="s">
        <v>179</v>
      </c>
      <c r="M425" s="16" t="s">
        <v>152</v>
      </c>
      <c r="N425" s="16" t="s">
        <v>153</v>
      </c>
      <c r="O425" t="s">
        <v>1614</v>
      </c>
      <c r="P425" s="18">
        <v>19722</v>
      </c>
      <c r="Q425" s="21">
        <v>1</v>
      </c>
      <c r="R425" s="21" t="str">
        <f t="shared" si="126"/>
        <v>0-3 days</v>
      </c>
      <c r="S425" s="16" t="s">
        <v>145</v>
      </c>
      <c r="T425" s="16" t="s">
        <v>154</v>
      </c>
      <c r="U425" s="16" t="s">
        <v>155</v>
      </c>
      <c r="V425" t="str">
        <f>IF(U425="","",IFERROR(VLOOKUP(U425,Hotels!A:B,2,FALSE),"Not Found"))</f>
        <v>Hilton</v>
      </c>
      <c r="W425" s="14">
        <v>1271.57</v>
      </c>
      <c r="X425" s="14">
        <v>0</v>
      </c>
      <c r="Y425" s="21">
        <v>3</v>
      </c>
      <c r="Z425" s="29">
        <f t="shared" si="127"/>
        <v>203.93666666666664</v>
      </c>
      <c r="AA425" s="14">
        <v>611.80999999999995</v>
      </c>
      <c r="AB425" s="14">
        <v>92.15</v>
      </c>
      <c r="AC425" s="14">
        <v>1975.53</v>
      </c>
      <c r="AD425" s="16" t="s">
        <v>148</v>
      </c>
      <c r="AE425" s="16" t="s">
        <v>147</v>
      </c>
      <c r="AF425" s="14">
        <f>SUMIF('Trip Changes'!$B:$B,A425,'Trip Changes'!$E:$E)</f>
        <v>15</v>
      </c>
      <c r="AG425" s="23">
        <f>SUMIF('Trip Cancellations'!$B:$B,A425,'Trip Cancellations'!$E:$E)</f>
        <v>0</v>
      </c>
      <c r="AH425" s="14">
        <f>SUMIF('Trip Cancellations'!$B:$B,A425,'Trip Cancellations'!$F:$F)</f>
        <v>0</v>
      </c>
      <c r="AI425" s="14">
        <f t="shared" si="128"/>
        <v>1990.53</v>
      </c>
      <c r="AJ425" s="14" t="str">
        <f t="shared" si="129"/>
        <v>Yes</v>
      </c>
      <c r="AK425" s="14" t="str">
        <f>IF(Y425=0,"N/A",
IF(_xlfn.XLOOKUP(U425,Hotels!A:A,Hotels!C:C)=TRUE,"Yes","No"))</f>
        <v>Yes</v>
      </c>
      <c r="AL425" s="14" t="str">
        <f>IF(N425="Rail","N/A",IF(_xlfn.XLOOKUP(T425,Airlines!A:A,Airlines!C:C)=TRUE,"Yes","No"))</f>
        <v>Yes</v>
      </c>
      <c r="AM425" s="14" t="str">
        <f t="shared" si="130"/>
        <v>Yes</v>
      </c>
      <c r="AN425" s="14" t="str">
        <f t="shared" si="131"/>
        <v>Yes</v>
      </c>
      <c r="AO425" s="14" t="str">
        <f t="shared" si="132"/>
        <v>Yes</v>
      </c>
      <c r="AP425" s="16" t="s">
        <v>148</v>
      </c>
      <c r="AQ425" t="str">
        <f t="shared" si="133"/>
        <v>Yes</v>
      </c>
      <c r="AR425" s="21">
        <v>4</v>
      </c>
      <c r="AS425" s="5">
        <v>2958.3</v>
      </c>
      <c r="AT425" s="5" t="str">
        <f>IF(T425="","",_xlfn.XLOOKUP(T425,Airlines!A:A,Airlines!B:B,"Not Found"))</f>
        <v>British Airways</v>
      </c>
      <c r="AU425" s="5" t="str">
        <f>IF(U425="","",_xlfn.XLOOKUP(U425,Hotels!A:A,Hotels!B:B,"Not found"))</f>
        <v>Hilton</v>
      </c>
      <c r="AV425" t="s">
        <v>148</v>
      </c>
      <c r="AW425" s="16" t="str">
        <f t="shared" si="134"/>
        <v>OK</v>
      </c>
      <c r="AX425" s="16" t="str">
        <f t="shared" si="135"/>
        <v>OK</v>
      </c>
      <c r="AY425" s="16" t="str">
        <f t="shared" si="136"/>
        <v>OK</v>
      </c>
      <c r="AZ425" s="16" t="str">
        <f t="shared" si="137"/>
        <v>OK</v>
      </c>
      <c r="BA425" s="16" t="str">
        <f t="shared" si="141"/>
        <v>OK</v>
      </c>
      <c r="BB425" s="21">
        <f>COUNTIF('Trip Changes'!B:B,A425)</f>
        <v>1</v>
      </c>
      <c r="BC425" s="16" t="str">
        <f>IF(OR(AND(AD425="Yes",COUNTIF('Trip Changes'!B:B,A425)&gt;0),AND(AD425="No",COUNTIF('Trip Changes'!B:B,A425)=0)),"OK","Check")</f>
        <v>OK</v>
      </c>
      <c r="BD425" t="str">
        <f t="shared" si="142"/>
        <v>OK</v>
      </c>
      <c r="BE425" t="str">
        <f t="shared" si="143"/>
        <v>OK</v>
      </c>
      <c r="BF425" t="str">
        <f t="shared" si="144"/>
        <v>OK</v>
      </c>
      <c r="BG425" t="str">
        <f t="shared" si="145"/>
        <v>OK</v>
      </c>
      <c r="BH425" t="str">
        <f t="shared" si="146"/>
        <v>OK</v>
      </c>
      <c r="BI425" t="str">
        <f t="shared" si="138"/>
        <v>OK</v>
      </c>
      <c r="BJ425" t="str">
        <f t="shared" si="139"/>
        <v>OK</v>
      </c>
      <c r="BK425" t="str">
        <f t="shared" si="140"/>
        <v>OK</v>
      </c>
    </row>
    <row r="426" spans="1:63">
      <c r="A426" s="16" t="s">
        <v>753</v>
      </c>
      <c r="B426" s="16" t="s">
        <v>750</v>
      </c>
      <c r="C426" s="16" t="s">
        <v>193</v>
      </c>
      <c r="D426" s="16" t="s">
        <v>248</v>
      </c>
      <c r="E426" s="16" t="s">
        <v>169</v>
      </c>
      <c r="F426" s="16" t="s">
        <v>170</v>
      </c>
      <c r="G426" s="15">
        <v>46196</v>
      </c>
      <c r="H426" s="15">
        <v>46202</v>
      </c>
      <c r="I426" s="15">
        <v>46207</v>
      </c>
      <c r="J426" s="15" t="s">
        <v>141</v>
      </c>
      <c r="K426" s="16" t="s">
        <v>193</v>
      </c>
      <c r="L426" t="s">
        <v>199</v>
      </c>
      <c r="M426" s="16" t="s">
        <v>152</v>
      </c>
      <c r="N426" s="16" t="s">
        <v>153</v>
      </c>
      <c r="O426" t="s">
        <v>1614</v>
      </c>
      <c r="P426" s="18">
        <v>2758</v>
      </c>
      <c r="Q426" s="21">
        <v>6</v>
      </c>
      <c r="R426" s="21" t="str">
        <f t="shared" si="126"/>
        <v>4-7 days</v>
      </c>
      <c r="S426" s="16" t="s">
        <v>145</v>
      </c>
      <c r="T426" s="16" t="s">
        <v>154</v>
      </c>
      <c r="U426" s="16" t="s">
        <v>187</v>
      </c>
      <c r="V426" t="str">
        <f>IF(U426="","",IFERROR(VLOOKUP(U426,Hotels!A:B,2,FALSE),"Not Found"))</f>
        <v>IHG Hotels &amp; Resorts</v>
      </c>
      <c r="W426" s="14">
        <v>462.83</v>
      </c>
      <c r="X426" s="14">
        <v>0</v>
      </c>
      <c r="Y426" s="21">
        <v>4</v>
      </c>
      <c r="Z426" s="29">
        <f t="shared" si="127"/>
        <v>128.39250000000001</v>
      </c>
      <c r="AA426" s="14">
        <v>513.57000000000005</v>
      </c>
      <c r="AB426" s="14">
        <v>67.16</v>
      </c>
      <c r="AC426" s="14">
        <v>1043.56</v>
      </c>
      <c r="AD426" s="16" t="s">
        <v>147</v>
      </c>
      <c r="AE426" s="16" t="s">
        <v>148</v>
      </c>
      <c r="AF426" s="14">
        <f>SUMIF('Trip Changes'!$B:$B,A426,'Trip Changes'!$E:$E)</f>
        <v>0</v>
      </c>
      <c r="AG426" s="23">
        <f>SUMIF('Trip Cancellations'!$B:$B,A426,'Trip Cancellations'!$E:$E)</f>
        <v>53.48</v>
      </c>
      <c r="AH426" s="14">
        <f>SUMIF('Trip Cancellations'!$B:$B,A426,'Trip Cancellations'!$F:$F)</f>
        <v>244.1</v>
      </c>
      <c r="AI426" s="14">
        <f t="shared" si="128"/>
        <v>852.93999999999994</v>
      </c>
      <c r="AJ426" s="14" t="str">
        <f t="shared" si="129"/>
        <v>Yes</v>
      </c>
      <c r="AK426" s="14" t="str">
        <f>IF(Y426=0,"N/A",
IF(_xlfn.XLOOKUP(U426,Hotels!A:A,Hotels!C:C)=TRUE,"Yes","No"))</f>
        <v>Yes</v>
      </c>
      <c r="AL426" s="14" t="str">
        <f>IF(N426="Rail","N/A",IF(_xlfn.XLOOKUP(T426,Airlines!A:A,Airlines!C:C)=TRUE,"Yes","No"))</f>
        <v>Yes</v>
      </c>
      <c r="AM426" s="14" t="str">
        <f t="shared" si="130"/>
        <v>Yes</v>
      </c>
      <c r="AN426" s="14" t="str">
        <f t="shared" si="131"/>
        <v>Yes</v>
      </c>
      <c r="AO426" s="14" t="str">
        <f t="shared" si="132"/>
        <v>Yes</v>
      </c>
      <c r="AP426" s="16" t="s">
        <v>148</v>
      </c>
      <c r="AQ426" t="str">
        <f t="shared" si="133"/>
        <v>Yes</v>
      </c>
      <c r="AR426" s="21">
        <v>4</v>
      </c>
      <c r="AS426" s="5">
        <v>413.7</v>
      </c>
      <c r="AT426" s="5" t="str">
        <f>IF(T426="","",_xlfn.XLOOKUP(T426,Airlines!A:A,Airlines!B:B,"Not Found"))</f>
        <v>British Airways</v>
      </c>
      <c r="AU426" s="5" t="str">
        <f>IF(U426="","",_xlfn.XLOOKUP(U426,Hotels!A:A,Hotels!B:B,"Not found"))</f>
        <v>IHG Hotels &amp; Resorts</v>
      </c>
      <c r="AV426" t="s">
        <v>148</v>
      </c>
      <c r="AW426" s="16" t="str">
        <f t="shared" si="134"/>
        <v>OK</v>
      </c>
      <c r="AX426" s="16" t="str">
        <f t="shared" si="135"/>
        <v>OK</v>
      </c>
      <c r="AY426" s="16" t="str">
        <f t="shared" si="136"/>
        <v>OK</v>
      </c>
      <c r="AZ426" s="16" t="str">
        <f t="shared" si="137"/>
        <v>OK</v>
      </c>
      <c r="BA426" s="16" t="str">
        <f t="shared" si="141"/>
        <v>OK</v>
      </c>
      <c r="BB426" s="21">
        <f>COUNTIF('Trip Changes'!B:B,A426)</f>
        <v>0</v>
      </c>
      <c r="BC426" s="16" t="str">
        <f>IF(OR(AND(AD426="Yes",COUNTIF('Trip Changes'!B:B,A426)&gt;0),AND(AD426="No",COUNTIF('Trip Changes'!B:B,A426)=0)),"OK","Check")</f>
        <v>OK</v>
      </c>
      <c r="BD426" t="str">
        <f t="shared" si="142"/>
        <v>OK</v>
      </c>
      <c r="BE426" t="str">
        <f t="shared" si="143"/>
        <v>OK</v>
      </c>
      <c r="BF426" t="str">
        <f t="shared" si="144"/>
        <v>OK</v>
      </c>
      <c r="BG426" t="str">
        <f t="shared" si="145"/>
        <v>OK</v>
      </c>
      <c r="BH426" t="str">
        <f t="shared" si="146"/>
        <v>OK</v>
      </c>
      <c r="BI426" t="str">
        <f t="shared" si="138"/>
        <v>OK</v>
      </c>
      <c r="BJ426" t="str">
        <f t="shared" si="139"/>
        <v>OK</v>
      </c>
      <c r="BK426" t="str">
        <f t="shared" si="140"/>
        <v>OK</v>
      </c>
    </row>
    <row r="427" spans="1:63">
      <c r="A427" s="16" t="s">
        <v>754</v>
      </c>
      <c r="B427" s="16" t="s">
        <v>750</v>
      </c>
      <c r="C427" s="16" t="s">
        <v>193</v>
      </c>
      <c r="D427" s="16" t="s">
        <v>248</v>
      </c>
      <c r="E427" s="16" t="s">
        <v>169</v>
      </c>
      <c r="F427" s="16" t="s">
        <v>170</v>
      </c>
      <c r="G427" s="15">
        <v>46185</v>
      </c>
      <c r="H427" s="15">
        <v>46211</v>
      </c>
      <c r="I427" s="15">
        <v>46213</v>
      </c>
      <c r="J427" s="15" t="s">
        <v>150</v>
      </c>
      <c r="K427" s="16" t="s">
        <v>193</v>
      </c>
      <c r="L427" t="s">
        <v>233</v>
      </c>
      <c r="M427" s="16" t="s">
        <v>152</v>
      </c>
      <c r="N427" s="16" t="s">
        <v>153</v>
      </c>
      <c r="O427" t="s">
        <v>1614</v>
      </c>
      <c r="P427" s="18">
        <v>3444</v>
      </c>
      <c r="Q427" s="21">
        <v>26</v>
      </c>
      <c r="R427" s="21" t="str">
        <f t="shared" si="126"/>
        <v>15-30 days</v>
      </c>
      <c r="S427" s="16" t="s">
        <v>159</v>
      </c>
      <c r="T427" s="16" t="s">
        <v>160</v>
      </c>
      <c r="U427" s="16" t="s">
        <v>187</v>
      </c>
      <c r="V427" t="str">
        <f>IF(U427="","",IFERROR(VLOOKUP(U427,Hotels!A:B,2,FALSE),"Not Found"))</f>
        <v>IHG Hotels &amp; Resorts</v>
      </c>
      <c r="W427" s="14">
        <v>601.54</v>
      </c>
      <c r="X427" s="14">
        <v>0</v>
      </c>
      <c r="Y427" s="21">
        <v>1</v>
      </c>
      <c r="Z427" s="29">
        <f t="shared" si="127"/>
        <v>147.18</v>
      </c>
      <c r="AA427" s="14">
        <v>147.18</v>
      </c>
      <c r="AB427" s="14">
        <v>58.94</v>
      </c>
      <c r="AC427" s="14">
        <v>807.66</v>
      </c>
      <c r="AD427" s="16" t="s">
        <v>147</v>
      </c>
      <c r="AE427" s="16" t="s">
        <v>147</v>
      </c>
      <c r="AF427" s="14">
        <f>SUMIF('Trip Changes'!$B:$B,A427,'Trip Changes'!$E:$E)</f>
        <v>0</v>
      </c>
      <c r="AG427" s="23">
        <f>SUMIF('Trip Cancellations'!$B:$B,A427,'Trip Cancellations'!$E:$E)</f>
        <v>0</v>
      </c>
      <c r="AH427" s="14">
        <f>SUMIF('Trip Cancellations'!$B:$B,A427,'Trip Cancellations'!$F:$F)</f>
        <v>0</v>
      </c>
      <c r="AI427" s="14">
        <f t="shared" si="128"/>
        <v>807.66</v>
      </c>
      <c r="AJ427" s="14" t="str">
        <f t="shared" si="129"/>
        <v>Yes</v>
      </c>
      <c r="AK427" s="14" t="str">
        <f>IF(Y427=0,"N/A",
IF(_xlfn.XLOOKUP(U427,Hotels!A:A,Hotels!C:C)=TRUE,"Yes","No"))</f>
        <v>Yes</v>
      </c>
      <c r="AL427" s="14" t="str">
        <f>IF(N427="Rail","N/A",IF(_xlfn.XLOOKUP(T427,Airlines!A:A,Airlines!C:C)=TRUE,"Yes","No"))</f>
        <v>Yes</v>
      </c>
      <c r="AM427" s="14" t="str">
        <f t="shared" si="130"/>
        <v>Yes</v>
      </c>
      <c r="AN427" s="14" t="str">
        <f t="shared" si="131"/>
        <v>Yes</v>
      </c>
      <c r="AO427" s="14" t="str">
        <f t="shared" si="132"/>
        <v>Yes</v>
      </c>
      <c r="AP427" s="16" t="s">
        <v>148</v>
      </c>
      <c r="AQ427" t="str">
        <f t="shared" si="133"/>
        <v>Yes</v>
      </c>
      <c r="AR427" s="21">
        <v>4</v>
      </c>
      <c r="AS427" s="5">
        <v>516.6</v>
      </c>
      <c r="AT427" s="5" t="str">
        <f>IF(T427="","",_xlfn.XLOOKUP(T427,Airlines!A:A,Airlines!B:B,"Not Found"))</f>
        <v>Air France</v>
      </c>
      <c r="AU427" s="5" t="str">
        <f>IF(U427="","",_xlfn.XLOOKUP(U427,Hotels!A:A,Hotels!B:B,"Not found"))</f>
        <v>IHG Hotels &amp; Resorts</v>
      </c>
      <c r="AV427" t="s">
        <v>147</v>
      </c>
      <c r="AW427" s="16" t="str">
        <f t="shared" si="134"/>
        <v>OK</v>
      </c>
      <c r="AX427" s="16" t="str">
        <f t="shared" si="135"/>
        <v>OK</v>
      </c>
      <c r="AY427" s="16" t="str">
        <f t="shared" si="136"/>
        <v>OK</v>
      </c>
      <c r="AZ427" s="16" t="str">
        <f t="shared" si="137"/>
        <v>OK</v>
      </c>
      <c r="BA427" s="16" t="str">
        <f t="shared" si="141"/>
        <v>OK</v>
      </c>
      <c r="BB427" s="21">
        <f>COUNTIF('Trip Changes'!B:B,A427)</f>
        <v>0</v>
      </c>
      <c r="BC427" s="16" t="str">
        <f>IF(OR(AND(AD427="Yes",COUNTIF('Trip Changes'!B:B,A427)&gt;0),AND(AD427="No",COUNTIF('Trip Changes'!B:B,A427)=0)),"OK","Check")</f>
        <v>OK</v>
      </c>
      <c r="BD427" t="str">
        <f t="shared" si="142"/>
        <v>OK</v>
      </c>
      <c r="BE427" t="str">
        <f t="shared" si="143"/>
        <v>OK</v>
      </c>
      <c r="BF427" t="str">
        <f t="shared" si="144"/>
        <v>OK</v>
      </c>
      <c r="BG427" t="str">
        <f t="shared" si="145"/>
        <v>OK</v>
      </c>
      <c r="BH427" t="str">
        <f t="shared" si="146"/>
        <v>OK</v>
      </c>
      <c r="BI427" t="str">
        <f t="shared" si="138"/>
        <v>OK</v>
      </c>
      <c r="BJ427" t="str">
        <f t="shared" si="139"/>
        <v>OK</v>
      </c>
      <c r="BK427" t="str">
        <f t="shared" si="140"/>
        <v>OK</v>
      </c>
    </row>
    <row r="428" spans="1:63">
      <c r="A428" s="16" t="s">
        <v>755</v>
      </c>
      <c r="B428" s="16" t="s">
        <v>750</v>
      </c>
      <c r="C428" s="16" t="s">
        <v>193</v>
      </c>
      <c r="D428" s="16" t="s">
        <v>248</v>
      </c>
      <c r="E428" s="16" t="s">
        <v>169</v>
      </c>
      <c r="F428" s="16" t="s">
        <v>170</v>
      </c>
      <c r="G428" s="15">
        <v>46137</v>
      </c>
      <c r="H428" s="15">
        <v>46147</v>
      </c>
      <c r="I428" s="15">
        <v>46149</v>
      </c>
      <c r="J428" s="15" t="s">
        <v>163</v>
      </c>
      <c r="K428" s="16" t="s">
        <v>193</v>
      </c>
      <c r="L428" t="s">
        <v>233</v>
      </c>
      <c r="M428" s="16" t="s">
        <v>152</v>
      </c>
      <c r="N428" s="16" t="s">
        <v>153</v>
      </c>
      <c r="O428" t="s">
        <v>1614</v>
      </c>
      <c r="P428" s="18">
        <v>1686</v>
      </c>
      <c r="Q428" s="21">
        <v>10</v>
      </c>
      <c r="R428" s="21" t="str">
        <f t="shared" si="126"/>
        <v>8-14 days</v>
      </c>
      <c r="S428" s="16" t="s">
        <v>145</v>
      </c>
      <c r="T428" s="16" t="s">
        <v>160</v>
      </c>
      <c r="U428" s="16" t="s">
        <v>187</v>
      </c>
      <c r="V428" t="str">
        <f>IF(U428="","",IFERROR(VLOOKUP(U428,Hotels!A:B,2,FALSE),"Not Found"))</f>
        <v>IHG Hotels &amp; Resorts</v>
      </c>
      <c r="W428" s="14">
        <v>270.63</v>
      </c>
      <c r="X428" s="14">
        <v>0</v>
      </c>
      <c r="Y428" s="21">
        <v>1</v>
      </c>
      <c r="Z428" s="29">
        <f t="shared" si="127"/>
        <v>216.07</v>
      </c>
      <c r="AA428" s="14">
        <v>216.07</v>
      </c>
      <c r="AB428" s="14">
        <v>117.25</v>
      </c>
      <c r="AC428" s="14">
        <v>603.95000000000005</v>
      </c>
      <c r="AD428" s="16" t="s">
        <v>147</v>
      </c>
      <c r="AE428" s="16" t="s">
        <v>147</v>
      </c>
      <c r="AF428" s="14">
        <f>SUMIF('Trip Changes'!$B:$B,A428,'Trip Changes'!$E:$E)</f>
        <v>0</v>
      </c>
      <c r="AG428" s="23">
        <f>SUMIF('Trip Cancellations'!$B:$B,A428,'Trip Cancellations'!$E:$E)</f>
        <v>0</v>
      </c>
      <c r="AH428" s="14">
        <f>SUMIF('Trip Cancellations'!$B:$B,A428,'Trip Cancellations'!$F:$F)</f>
        <v>0</v>
      </c>
      <c r="AI428" s="14">
        <f t="shared" si="128"/>
        <v>603.95000000000005</v>
      </c>
      <c r="AJ428" s="14" t="str">
        <f t="shared" si="129"/>
        <v>No</v>
      </c>
      <c r="AK428" s="14" t="str">
        <f>IF(Y428=0,"N/A",
IF(_xlfn.XLOOKUP(U428,Hotels!A:A,Hotels!C:C)=TRUE,"Yes","No"))</f>
        <v>Yes</v>
      </c>
      <c r="AL428" s="14" t="str">
        <f>IF(N428="Rail","N/A",IF(_xlfn.XLOOKUP(T428,Airlines!A:A,Airlines!C:C)=TRUE,"Yes","No"))</f>
        <v>Yes</v>
      </c>
      <c r="AM428" s="14" t="str">
        <f t="shared" si="130"/>
        <v>Yes</v>
      </c>
      <c r="AN428" s="14" t="str">
        <f t="shared" si="131"/>
        <v>Yes</v>
      </c>
      <c r="AO428" s="14" t="str">
        <f t="shared" si="132"/>
        <v>Yes</v>
      </c>
      <c r="AP428" s="16" t="s">
        <v>148</v>
      </c>
      <c r="AQ428" t="str">
        <f t="shared" si="133"/>
        <v>No</v>
      </c>
      <c r="AR428" s="21">
        <v>5</v>
      </c>
      <c r="AS428" s="5">
        <v>252.9</v>
      </c>
      <c r="AT428" s="5" t="str">
        <f>IF(T428="","",_xlfn.XLOOKUP(T428,Airlines!A:A,Airlines!B:B,"Not Found"))</f>
        <v>Air France</v>
      </c>
      <c r="AU428" s="5" t="str">
        <f>IF(U428="","",_xlfn.XLOOKUP(U428,Hotels!A:A,Hotels!B:B,"Not found"))</f>
        <v>IHG Hotels &amp; Resorts</v>
      </c>
      <c r="AV428" t="s">
        <v>147</v>
      </c>
      <c r="AW428" s="16" t="str">
        <f t="shared" si="134"/>
        <v>OK</v>
      </c>
      <c r="AX428" s="16" t="str">
        <f t="shared" si="135"/>
        <v>OK</v>
      </c>
      <c r="AY428" s="16" t="str">
        <f t="shared" si="136"/>
        <v>OK</v>
      </c>
      <c r="AZ428" s="16" t="str">
        <f t="shared" si="137"/>
        <v>OK</v>
      </c>
      <c r="BA428" s="16" t="str">
        <f t="shared" si="141"/>
        <v>OK</v>
      </c>
      <c r="BB428" s="21">
        <f>COUNTIF('Trip Changes'!B:B,A428)</f>
        <v>0</v>
      </c>
      <c r="BC428" s="16" t="str">
        <f>IF(OR(AND(AD428="Yes",COUNTIF('Trip Changes'!B:B,A428)&gt;0),AND(AD428="No",COUNTIF('Trip Changes'!B:B,A428)=0)),"OK","Check")</f>
        <v>OK</v>
      </c>
      <c r="BD428" t="str">
        <f t="shared" si="142"/>
        <v>OK</v>
      </c>
      <c r="BE428" t="str">
        <f t="shared" si="143"/>
        <v>OK</v>
      </c>
      <c r="BF428" t="str">
        <f t="shared" si="144"/>
        <v>OK</v>
      </c>
      <c r="BG428" t="str">
        <f t="shared" si="145"/>
        <v>OK</v>
      </c>
      <c r="BH428" t="str">
        <f t="shared" si="146"/>
        <v>OK</v>
      </c>
      <c r="BI428" t="str">
        <f t="shared" si="138"/>
        <v>OK</v>
      </c>
      <c r="BJ428" t="str">
        <f t="shared" si="139"/>
        <v>OK</v>
      </c>
      <c r="BK428" t="str">
        <f t="shared" si="140"/>
        <v>OK</v>
      </c>
    </row>
    <row r="429" spans="1:63">
      <c r="A429" s="16" t="s">
        <v>756</v>
      </c>
      <c r="B429" s="16" t="s">
        <v>750</v>
      </c>
      <c r="C429" s="16" t="s">
        <v>193</v>
      </c>
      <c r="D429" s="16" t="s">
        <v>248</v>
      </c>
      <c r="E429" s="16" t="s">
        <v>169</v>
      </c>
      <c r="F429" s="16" t="s">
        <v>157</v>
      </c>
      <c r="G429" s="15">
        <v>46150</v>
      </c>
      <c r="H429" s="15">
        <v>46165</v>
      </c>
      <c r="I429" s="15">
        <v>46170</v>
      </c>
      <c r="J429" s="15" t="s">
        <v>163</v>
      </c>
      <c r="K429" s="16" t="s">
        <v>193</v>
      </c>
      <c r="L429" t="s">
        <v>305</v>
      </c>
      <c r="M429" s="16" t="s">
        <v>152</v>
      </c>
      <c r="N429" s="16" t="s">
        <v>153</v>
      </c>
      <c r="O429" t="s">
        <v>1614</v>
      </c>
      <c r="P429" s="18">
        <v>12992</v>
      </c>
      <c r="Q429" s="21">
        <v>15</v>
      </c>
      <c r="R429" s="21" t="str">
        <f t="shared" si="126"/>
        <v>15-30 days</v>
      </c>
      <c r="S429" s="16" t="s">
        <v>145</v>
      </c>
      <c r="T429" s="16" t="s">
        <v>186</v>
      </c>
      <c r="U429" s="16" t="s">
        <v>187</v>
      </c>
      <c r="V429" t="str">
        <f>IF(U429="","",IFERROR(VLOOKUP(U429,Hotels!A:B,2,FALSE),"Not Found"))</f>
        <v>IHG Hotels &amp; Resorts</v>
      </c>
      <c r="W429" s="14">
        <v>974.79</v>
      </c>
      <c r="X429" s="14">
        <v>0</v>
      </c>
      <c r="Y429" s="21">
        <v>4</v>
      </c>
      <c r="Z429" s="29">
        <f t="shared" si="127"/>
        <v>179.83750000000001</v>
      </c>
      <c r="AA429" s="14">
        <v>719.35</v>
      </c>
      <c r="AB429" s="14">
        <v>104.28</v>
      </c>
      <c r="AC429" s="14">
        <v>1798.42</v>
      </c>
      <c r="AD429" s="16" t="s">
        <v>147</v>
      </c>
      <c r="AE429" s="16" t="s">
        <v>148</v>
      </c>
      <c r="AF429" s="14">
        <f>SUMIF('Trip Changes'!$B:$B,A429,'Trip Changes'!$E:$E)</f>
        <v>0</v>
      </c>
      <c r="AG429" s="23">
        <f>SUMIF('Trip Cancellations'!$B:$B,A429,'Trip Cancellations'!$E:$E)</f>
        <v>88.43</v>
      </c>
      <c r="AH429" s="14">
        <f>SUMIF('Trip Cancellations'!$B:$B,A429,'Trip Cancellations'!$F:$F)</f>
        <v>847.07</v>
      </c>
      <c r="AI429" s="14">
        <f t="shared" si="128"/>
        <v>1039.7800000000002</v>
      </c>
      <c r="AJ429" s="14" t="str">
        <f t="shared" si="129"/>
        <v>Yes</v>
      </c>
      <c r="AK429" s="14" t="str">
        <f>IF(Y429=0,"N/A",
IF(_xlfn.XLOOKUP(U429,Hotels!A:A,Hotels!C:C)=TRUE,"Yes","No"))</f>
        <v>Yes</v>
      </c>
      <c r="AL429" s="14" t="str">
        <f>IF(N429="Rail","N/A",IF(_xlfn.XLOOKUP(T429,Airlines!A:A,Airlines!C:C)=TRUE,"Yes","No"))</f>
        <v>Yes</v>
      </c>
      <c r="AM429" s="14" t="str">
        <f t="shared" si="130"/>
        <v>Yes</v>
      </c>
      <c r="AN429" s="14" t="str">
        <f t="shared" si="131"/>
        <v>Yes</v>
      </c>
      <c r="AO429" s="14" t="str">
        <f t="shared" si="132"/>
        <v>Yes</v>
      </c>
      <c r="AP429" s="16" t="s">
        <v>148</v>
      </c>
      <c r="AQ429" t="str">
        <f t="shared" si="133"/>
        <v>Yes</v>
      </c>
      <c r="AR429" s="21">
        <v>3</v>
      </c>
      <c r="AS429" s="5">
        <v>1948.8</v>
      </c>
      <c r="AT429" s="5" t="str">
        <f>IF(T429="","",_xlfn.XLOOKUP(T429,Airlines!A:A,Airlines!B:B,"Not Found"))</f>
        <v>Virgin Atlantic</v>
      </c>
      <c r="AU429" s="5" t="str">
        <f>IF(U429="","",_xlfn.XLOOKUP(U429,Hotels!A:A,Hotels!B:B,"Not found"))</f>
        <v>IHG Hotels &amp; Resorts</v>
      </c>
      <c r="AV429" t="s">
        <v>147</v>
      </c>
      <c r="AW429" s="16" t="str">
        <f t="shared" si="134"/>
        <v>OK</v>
      </c>
      <c r="AX429" s="16" t="str">
        <f t="shared" si="135"/>
        <v>OK</v>
      </c>
      <c r="AY429" s="16" t="str">
        <f t="shared" si="136"/>
        <v>OK</v>
      </c>
      <c r="AZ429" s="16" t="str">
        <f t="shared" si="137"/>
        <v>OK</v>
      </c>
      <c r="BA429" s="16" t="str">
        <f t="shared" si="141"/>
        <v>OK</v>
      </c>
      <c r="BB429" s="21">
        <f>COUNTIF('Trip Changes'!B:B,A429)</f>
        <v>0</v>
      </c>
      <c r="BC429" s="16" t="str">
        <f>IF(OR(AND(AD429="Yes",COUNTIF('Trip Changes'!B:B,A429)&gt;0),AND(AD429="No",COUNTIF('Trip Changes'!B:B,A429)=0)),"OK","Check")</f>
        <v>OK</v>
      </c>
      <c r="BD429" t="str">
        <f t="shared" si="142"/>
        <v>OK</v>
      </c>
      <c r="BE429" t="str">
        <f t="shared" si="143"/>
        <v>OK</v>
      </c>
      <c r="BF429" t="str">
        <f t="shared" si="144"/>
        <v>OK</v>
      </c>
      <c r="BG429" t="str">
        <f t="shared" si="145"/>
        <v>OK</v>
      </c>
      <c r="BH429" t="str">
        <f t="shared" si="146"/>
        <v>OK</v>
      </c>
      <c r="BI429" t="str">
        <f t="shared" si="138"/>
        <v>OK</v>
      </c>
      <c r="BJ429" t="str">
        <f t="shared" si="139"/>
        <v>OK</v>
      </c>
      <c r="BK429" t="str">
        <f t="shared" si="140"/>
        <v>OK</v>
      </c>
    </row>
    <row r="430" spans="1:63">
      <c r="A430" s="16" t="s">
        <v>757</v>
      </c>
      <c r="B430" s="16" t="s">
        <v>758</v>
      </c>
      <c r="C430" s="16" t="s">
        <v>282</v>
      </c>
      <c r="D430" s="16" t="s">
        <v>204</v>
      </c>
      <c r="E430" s="16" t="s">
        <v>268</v>
      </c>
      <c r="F430" s="16" t="s">
        <v>140</v>
      </c>
      <c r="G430" s="15">
        <v>46126</v>
      </c>
      <c r="H430" s="15">
        <v>46152</v>
      </c>
      <c r="I430" s="15">
        <v>46157</v>
      </c>
      <c r="J430" s="15" t="s">
        <v>163</v>
      </c>
      <c r="K430" s="16" t="s">
        <v>282</v>
      </c>
      <c r="L430" t="s">
        <v>199</v>
      </c>
      <c r="M430" s="16" t="s">
        <v>152</v>
      </c>
      <c r="N430" s="16" t="s">
        <v>153</v>
      </c>
      <c r="O430" t="s">
        <v>1614</v>
      </c>
      <c r="P430" s="18">
        <v>2748</v>
      </c>
      <c r="Q430" s="21">
        <v>26</v>
      </c>
      <c r="R430" s="21" t="str">
        <f t="shared" si="126"/>
        <v>15-30 days</v>
      </c>
      <c r="S430" s="16" t="s">
        <v>159</v>
      </c>
      <c r="T430" s="16" t="s">
        <v>200</v>
      </c>
      <c r="U430" s="16" t="s">
        <v>164</v>
      </c>
      <c r="V430" t="str">
        <f>IF(U430="","",IFERROR(VLOOKUP(U430,Hotels!A:B,2,FALSE),"Not Found"))</f>
        <v>Marriott</v>
      </c>
      <c r="W430" s="14">
        <v>508.02</v>
      </c>
      <c r="X430" s="14">
        <v>0</v>
      </c>
      <c r="Y430" s="21">
        <v>4</v>
      </c>
      <c r="Z430" s="29">
        <f t="shared" si="127"/>
        <v>154.06</v>
      </c>
      <c r="AA430" s="14">
        <v>616.24</v>
      </c>
      <c r="AB430" s="14">
        <v>76.540000000000006</v>
      </c>
      <c r="AC430" s="14">
        <v>1200.8</v>
      </c>
      <c r="AD430" s="16" t="s">
        <v>147</v>
      </c>
      <c r="AE430" s="16" t="s">
        <v>147</v>
      </c>
      <c r="AF430" s="14">
        <f>SUMIF('Trip Changes'!$B:$B,A430,'Trip Changes'!$E:$E)</f>
        <v>0</v>
      </c>
      <c r="AG430" s="23">
        <f>SUMIF('Trip Cancellations'!$B:$B,A430,'Trip Cancellations'!$E:$E)</f>
        <v>0</v>
      </c>
      <c r="AH430" s="14">
        <f>SUMIF('Trip Cancellations'!$B:$B,A430,'Trip Cancellations'!$F:$F)</f>
        <v>0</v>
      </c>
      <c r="AI430" s="14">
        <f t="shared" si="128"/>
        <v>1200.8</v>
      </c>
      <c r="AJ430" s="14" t="str">
        <f t="shared" si="129"/>
        <v>Yes</v>
      </c>
      <c r="AK430" s="14" t="str">
        <f>IF(Y430=0,"N/A",
IF(_xlfn.XLOOKUP(U430,Hotels!A:A,Hotels!C:C)=TRUE,"Yes","No"))</f>
        <v>Yes</v>
      </c>
      <c r="AL430" s="14" t="str">
        <f>IF(N430="Rail","N/A",IF(_xlfn.XLOOKUP(T430,Airlines!A:A,Airlines!C:C)=TRUE,"Yes","No"))</f>
        <v>Yes</v>
      </c>
      <c r="AM430" s="14" t="str">
        <f t="shared" si="130"/>
        <v>Yes</v>
      </c>
      <c r="AN430" s="14" t="str">
        <f t="shared" si="131"/>
        <v>Yes</v>
      </c>
      <c r="AO430" s="14" t="str">
        <f t="shared" si="132"/>
        <v>Yes</v>
      </c>
      <c r="AP430" s="16" t="s">
        <v>148</v>
      </c>
      <c r="AQ430" t="str">
        <f t="shared" si="133"/>
        <v>Yes</v>
      </c>
      <c r="AR430" s="21">
        <v>4</v>
      </c>
      <c r="AS430" s="5">
        <v>412.2</v>
      </c>
      <c r="AT430" s="5" t="str">
        <f>IF(T430="","",_xlfn.XLOOKUP(T430,Airlines!A:A,Airlines!B:B,"Not Found"))</f>
        <v>Aer Lingus</v>
      </c>
      <c r="AU430" s="5" t="str">
        <f>IF(U430="","",_xlfn.XLOOKUP(U430,Hotels!A:A,Hotels!B:B,"Not found"))</f>
        <v>Marriott</v>
      </c>
      <c r="AV430" t="s">
        <v>148</v>
      </c>
      <c r="AW430" s="16" t="str">
        <f t="shared" si="134"/>
        <v>OK</v>
      </c>
      <c r="AX430" s="16" t="str">
        <f t="shared" si="135"/>
        <v>OK</v>
      </c>
      <c r="AY430" s="16" t="str">
        <f t="shared" si="136"/>
        <v>OK</v>
      </c>
      <c r="AZ430" s="16" t="str">
        <f t="shared" si="137"/>
        <v>OK</v>
      </c>
      <c r="BA430" s="16" t="str">
        <f t="shared" si="141"/>
        <v>OK</v>
      </c>
      <c r="BB430" s="21">
        <f>COUNTIF('Trip Changes'!B:B,A430)</f>
        <v>0</v>
      </c>
      <c r="BC430" s="16" t="str">
        <f>IF(OR(AND(AD430="Yes",COUNTIF('Trip Changes'!B:B,A430)&gt;0),AND(AD430="No",COUNTIF('Trip Changes'!B:B,A430)=0)),"OK","Check")</f>
        <v>OK</v>
      </c>
      <c r="BD430" t="str">
        <f t="shared" si="142"/>
        <v>OK</v>
      </c>
      <c r="BE430" t="str">
        <f t="shared" si="143"/>
        <v>OK</v>
      </c>
      <c r="BF430" t="str">
        <f t="shared" si="144"/>
        <v>OK</v>
      </c>
      <c r="BG430" t="str">
        <f t="shared" si="145"/>
        <v>OK</v>
      </c>
      <c r="BH430" t="str">
        <f t="shared" si="146"/>
        <v>OK</v>
      </c>
      <c r="BI430" t="str">
        <f t="shared" si="138"/>
        <v>OK</v>
      </c>
      <c r="BJ430" t="str">
        <f t="shared" si="139"/>
        <v>OK</v>
      </c>
      <c r="BK430" t="str">
        <f t="shared" si="140"/>
        <v>OK</v>
      </c>
    </row>
    <row r="431" spans="1:63">
      <c r="A431" s="16" t="s">
        <v>759</v>
      </c>
      <c r="B431" s="16" t="s">
        <v>758</v>
      </c>
      <c r="C431" s="16" t="s">
        <v>282</v>
      </c>
      <c r="D431" s="16" t="s">
        <v>204</v>
      </c>
      <c r="E431" s="16" t="s">
        <v>268</v>
      </c>
      <c r="F431" s="16" t="s">
        <v>170</v>
      </c>
      <c r="G431" s="15">
        <v>46153</v>
      </c>
      <c r="H431" s="15">
        <v>46165</v>
      </c>
      <c r="I431" s="15">
        <v>46167</v>
      </c>
      <c r="J431" s="15" t="s">
        <v>163</v>
      </c>
      <c r="K431" s="16" t="s">
        <v>282</v>
      </c>
      <c r="L431" t="s">
        <v>233</v>
      </c>
      <c r="M431" s="16" t="s">
        <v>152</v>
      </c>
      <c r="N431" s="16" t="s">
        <v>153</v>
      </c>
      <c r="O431" t="s">
        <v>1614</v>
      </c>
      <c r="P431" s="18">
        <v>1788</v>
      </c>
      <c r="Q431" s="21">
        <v>12</v>
      </c>
      <c r="R431" s="21" t="str">
        <f t="shared" si="126"/>
        <v>8-14 days</v>
      </c>
      <c r="S431" s="16" t="s">
        <v>216</v>
      </c>
      <c r="T431" s="16" t="s">
        <v>160</v>
      </c>
      <c r="U431" s="16" t="s">
        <v>190</v>
      </c>
      <c r="V431" t="str">
        <f>IF(U431="","",IFERROR(VLOOKUP(U431,Hotels!A:B,2,FALSE),"Not Found"))</f>
        <v>Radisson Hotel Group</v>
      </c>
      <c r="W431" s="14">
        <v>493.1</v>
      </c>
      <c r="X431" s="14">
        <v>0</v>
      </c>
      <c r="Y431" s="21">
        <v>1</v>
      </c>
      <c r="Z431" s="29">
        <f t="shared" si="127"/>
        <v>155.19</v>
      </c>
      <c r="AA431" s="14">
        <v>155.19</v>
      </c>
      <c r="AB431" s="14">
        <v>81.67</v>
      </c>
      <c r="AC431" s="14">
        <v>729.96</v>
      </c>
      <c r="AD431" s="16" t="s">
        <v>147</v>
      </c>
      <c r="AE431" s="16" t="s">
        <v>148</v>
      </c>
      <c r="AF431" s="14">
        <f>SUMIF('Trip Changes'!$B:$B,A431,'Trip Changes'!$E:$E)</f>
        <v>0</v>
      </c>
      <c r="AG431" s="23">
        <f>SUMIF('Trip Cancellations'!$B:$B,A431,'Trip Cancellations'!$E:$E)</f>
        <v>133.41999999999999</v>
      </c>
      <c r="AH431" s="14">
        <f>SUMIF('Trip Cancellations'!$B:$B,A431,'Trip Cancellations'!$F:$F)</f>
        <v>324.14</v>
      </c>
      <c r="AI431" s="14">
        <f t="shared" si="128"/>
        <v>539.24</v>
      </c>
      <c r="AJ431" s="14" t="str">
        <f t="shared" si="129"/>
        <v>Yes</v>
      </c>
      <c r="AK431" s="14" t="str">
        <f>IF(Y431=0,"N/A",
IF(_xlfn.XLOOKUP(U431,Hotels!A:A,Hotels!C:C)=TRUE,"Yes","No"))</f>
        <v>No</v>
      </c>
      <c r="AL431" s="14" t="str">
        <f>IF(N431="Rail","N/A",IF(_xlfn.XLOOKUP(T431,Airlines!A:A,Airlines!C:C)=TRUE,"Yes","No"))</f>
        <v>Yes</v>
      </c>
      <c r="AM431" s="14" t="str">
        <f t="shared" si="130"/>
        <v>Yes</v>
      </c>
      <c r="AN431" s="14" t="str">
        <f t="shared" si="131"/>
        <v>No</v>
      </c>
      <c r="AO431" s="14" t="str">
        <f t="shared" si="132"/>
        <v>No</v>
      </c>
      <c r="AP431" s="16" t="s">
        <v>148</v>
      </c>
      <c r="AQ431" t="str">
        <f t="shared" si="133"/>
        <v>No</v>
      </c>
      <c r="AR431" s="21">
        <v>3</v>
      </c>
      <c r="AS431" s="5">
        <v>268.2</v>
      </c>
      <c r="AT431" s="5" t="str">
        <f>IF(T431="","",_xlfn.XLOOKUP(T431,Airlines!A:A,Airlines!B:B,"Not Found"))</f>
        <v>Air France</v>
      </c>
      <c r="AU431" s="5" t="str">
        <f>IF(U431="","",_xlfn.XLOOKUP(U431,Hotels!A:A,Hotels!B:B,"Not found"))</f>
        <v>Radisson Hotel Group</v>
      </c>
      <c r="AV431" t="s">
        <v>147</v>
      </c>
      <c r="AW431" s="16" t="str">
        <f t="shared" si="134"/>
        <v>OK</v>
      </c>
      <c r="AX431" s="16" t="str">
        <f t="shared" si="135"/>
        <v>OK</v>
      </c>
      <c r="AY431" s="16" t="str">
        <f t="shared" si="136"/>
        <v>OK</v>
      </c>
      <c r="AZ431" s="16" t="str">
        <f t="shared" si="137"/>
        <v>OK</v>
      </c>
      <c r="BA431" s="16" t="str">
        <f t="shared" si="141"/>
        <v>OK</v>
      </c>
      <c r="BB431" s="21">
        <f>COUNTIF('Trip Changes'!B:B,A431)</f>
        <v>0</v>
      </c>
      <c r="BC431" s="16" t="str">
        <f>IF(OR(AND(AD431="Yes",COUNTIF('Trip Changes'!B:B,A431)&gt;0),AND(AD431="No",COUNTIF('Trip Changes'!B:B,A431)=0)),"OK","Check")</f>
        <v>OK</v>
      </c>
      <c r="BD431" t="str">
        <f t="shared" si="142"/>
        <v>OK</v>
      </c>
      <c r="BE431" t="str">
        <f t="shared" si="143"/>
        <v>OK</v>
      </c>
      <c r="BF431" t="str">
        <f t="shared" si="144"/>
        <v>OK</v>
      </c>
      <c r="BG431" t="str">
        <f t="shared" si="145"/>
        <v>OK</v>
      </c>
      <c r="BH431" t="str">
        <f t="shared" si="146"/>
        <v>OK</v>
      </c>
      <c r="BI431" t="str">
        <f t="shared" si="138"/>
        <v>OK</v>
      </c>
      <c r="BJ431" t="str">
        <f t="shared" si="139"/>
        <v>OK</v>
      </c>
      <c r="BK431" t="str">
        <f t="shared" si="140"/>
        <v>OK</v>
      </c>
    </row>
    <row r="432" spans="1:63">
      <c r="A432" s="16" t="s">
        <v>760</v>
      </c>
      <c r="B432" s="16" t="s">
        <v>761</v>
      </c>
      <c r="C432" s="16" t="s">
        <v>257</v>
      </c>
      <c r="D432" s="16" t="s">
        <v>248</v>
      </c>
      <c r="E432" s="16" t="s">
        <v>169</v>
      </c>
      <c r="F432" s="16" t="s">
        <v>178</v>
      </c>
      <c r="G432" s="15">
        <v>46215</v>
      </c>
      <c r="H432" s="15">
        <v>46216</v>
      </c>
      <c r="I432" s="15">
        <v>46222</v>
      </c>
      <c r="J432" s="15" t="s">
        <v>150</v>
      </c>
      <c r="K432" s="16" t="s">
        <v>257</v>
      </c>
      <c r="L432" t="s">
        <v>199</v>
      </c>
      <c r="M432" s="16" t="s">
        <v>152</v>
      </c>
      <c r="N432" s="16" t="s">
        <v>153</v>
      </c>
      <c r="O432" t="s">
        <v>1614</v>
      </c>
      <c r="P432" s="18">
        <v>3540</v>
      </c>
      <c r="Q432" s="21">
        <v>1</v>
      </c>
      <c r="R432" s="21" t="str">
        <f t="shared" si="126"/>
        <v>0-3 days</v>
      </c>
      <c r="S432" s="16" t="s">
        <v>145</v>
      </c>
      <c r="T432" s="16" t="s">
        <v>291</v>
      </c>
      <c r="U432" s="16" t="s">
        <v>155</v>
      </c>
      <c r="V432" t="str">
        <f>IF(U432="","",IFERROR(VLOOKUP(U432,Hotels!A:B,2,FALSE),"Not Found"))</f>
        <v>Hilton</v>
      </c>
      <c r="W432" s="14">
        <v>526.21</v>
      </c>
      <c r="X432" s="14">
        <v>0</v>
      </c>
      <c r="Y432" s="21">
        <v>5</v>
      </c>
      <c r="Z432" s="29">
        <f t="shared" si="127"/>
        <v>136.852</v>
      </c>
      <c r="AA432" s="14">
        <v>684.26</v>
      </c>
      <c r="AB432" s="14">
        <v>90.34</v>
      </c>
      <c r="AC432" s="14">
        <v>1300.81</v>
      </c>
      <c r="AD432" s="16" t="s">
        <v>147</v>
      </c>
      <c r="AE432" s="16" t="s">
        <v>147</v>
      </c>
      <c r="AF432" s="14">
        <f>SUMIF('Trip Changes'!$B:$B,A432,'Trip Changes'!$E:$E)</f>
        <v>0</v>
      </c>
      <c r="AG432" s="23">
        <f>SUMIF('Trip Cancellations'!$B:$B,A432,'Trip Cancellations'!$E:$E)</f>
        <v>0</v>
      </c>
      <c r="AH432" s="14">
        <f>SUMIF('Trip Cancellations'!$B:$B,A432,'Trip Cancellations'!$F:$F)</f>
        <v>0</v>
      </c>
      <c r="AI432" s="14">
        <f t="shared" si="128"/>
        <v>1300.81</v>
      </c>
      <c r="AJ432" s="14" t="str">
        <f t="shared" si="129"/>
        <v>Yes</v>
      </c>
      <c r="AK432" s="14" t="str">
        <f>IF(Y432=0,"N/A",
IF(_xlfn.XLOOKUP(U432,Hotels!A:A,Hotels!C:C)=TRUE,"Yes","No"))</f>
        <v>Yes</v>
      </c>
      <c r="AL432" s="14" t="str">
        <f>IF(N432="Rail","N/A",IF(_xlfn.XLOOKUP(T432,Airlines!A:A,Airlines!C:C)=TRUE,"Yes","No"))</f>
        <v>No</v>
      </c>
      <c r="AM432" s="14" t="str">
        <f t="shared" si="130"/>
        <v>Yes</v>
      </c>
      <c r="AN432" s="14" t="str">
        <f t="shared" si="131"/>
        <v>Yes</v>
      </c>
      <c r="AO432" s="14" t="str">
        <f t="shared" si="132"/>
        <v>No</v>
      </c>
      <c r="AP432" s="16" t="s">
        <v>148</v>
      </c>
      <c r="AQ432" t="str">
        <f t="shared" si="133"/>
        <v>No</v>
      </c>
      <c r="AR432" s="21">
        <v>3</v>
      </c>
      <c r="AS432" s="5">
        <v>531</v>
      </c>
      <c r="AT432" s="5" t="str">
        <f>IF(T432="","",_xlfn.XLOOKUP(T432,Airlines!A:A,Airlines!B:B,"Not Found"))</f>
        <v>Ryanair</v>
      </c>
      <c r="AU432" s="5" t="str">
        <f>IF(U432="","",_xlfn.XLOOKUP(U432,Hotels!A:A,Hotels!B:B,"Not found"))</f>
        <v>Hilton</v>
      </c>
      <c r="AV432" t="s">
        <v>147</v>
      </c>
      <c r="AW432" s="16" t="str">
        <f t="shared" si="134"/>
        <v>OK</v>
      </c>
      <c r="AX432" s="16" t="str">
        <f t="shared" si="135"/>
        <v>OK</v>
      </c>
      <c r="AY432" s="16" t="str">
        <f t="shared" si="136"/>
        <v>OK</v>
      </c>
      <c r="AZ432" s="16" t="str">
        <f t="shared" si="137"/>
        <v>OK</v>
      </c>
      <c r="BA432" s="16" t="str">
        <f t="shared" si="141"/>
        <v>OK</v>
      </c>
      <c r="BB432" s="21">
        <f>COUNTIF('Trip Changes'!B:B,A432)</f>
        <v>0</v>
      </c>
      <c r="BC432" s="16" t="str">
        <f>IF(OR(AND(AD432="Yes",COUNTIF('Trip Changes'!B:B,A432)&gt;0),AND(AD432="No",COUNTIF('Trip Changes'!B:B,A432)=0)),"OK","Check")</f>
        <v>OK</v>
      </c>
      <c r="BD432" t="str">
        <f t="shared" si="142"/>
        <v>OK</v>
      </c>
      <c r="BE432" t="str">
        <f t="shared" si="143"/>
        <v>OK</v>
      </c>
      <c r="BF432" t="str">
        <f t="shared" si="144"/>
        <v>OK</v>
      </c>
      <c r="BG432" t="str">
        <f t="shared" si="145"/>
        <v>OK</v>
      </c>
      <c r="BH432" t="str">
        <f t="shared" si="146"/>
        <v>OK</v>
      </c>
      <c r="BI432" t="str">
        <f t="shared" si="138"/>
        <v>OK</v>
      </c>
      <c r="BJ432" t="str">
        <f t="shared" si="139"/>
        <v>OK</v>
      </c>
      <c r="BK432" t="str">
        <f t="shared" si="140"/>
        <v>OK</v>
      </c>
    </row>
    <row r="433" spans="1:63">
      <c r="A433" s="16" t="s">
        <v>762</v>
      </c>
      <c r="B433" s="16" t="s">
        <v>761</v>
      </c>
      <c r="C433" s="16" t="s">
        <v>257</v>
      </c>
      <c r="D433" s="16" t="s">
        <v>248</v>
      </c>
      <c r="E433" s="16" t="s">
        <v>169</v>
      </c>
      <c r="F433" s="16" t="s">
        <v>157</v>
      </c>
      <c r="G433" s="15">
        <v>46160</v>
      </c>
      <c r="H433" s="15">
        <v>46166</v>
      </c>
      <c r="I433" s="15">
        <v>46170</v>
      </c>
      <c r="J433" s="15" t="s">
        <v>163</v>
      </c>
      <c r="K433" s="16" t="s">
        <v>257</v>
      </c>
      <c r="L433" t="s">
        <v>209</v>
      </c>
      <c r="M433" s="16" t="s">
        <v>152</v>
      </c>
      <c r="N433" s="16" t="s">
        <v>153</v>
      </c>
      <c r="O433" t="s">
        <v>1614</v>
      </c>
      <c r="P433" s="18">
        <v>3396</v>
      </c>
      <c r="Q433" s="21">
        <v>6</v>
      </c>
      <c r="R433" s="21" t="str">
        <f t="shared" si="126"/>
        <v>4-7 days</v>
      </c>
      <c r="S433" s="16" t="s">
        <v>145</v>
      </c>
      <c r="T433" s="16" t="s">
        <v>172</v>
      </c>
      <c r="U433" s="16" t="s">
        <v>173</v>
      </c>
      <c r="V433" t="str">
        <f>IF(U433="","",IFERROR(VLOOKUP(U433,Hotels!A:B,2,FALSE),"Not Found"))</f>
        <v>Accor</v>
      </c>
      <c r="W433" s="14">
        <v>377.99</v>
      </c>
      <c r="X433" s="14">
        <v>0</v>
      </c>
      <c r="Y433" s="21">
        <v>3</v>
      </c>
      <c r="Z433" s="29">
        <f t="shared" si="127"/>
        <v>118.75666666666666</v>
      </c>
      <c r="AA433" s="14">
        <v>356.27</v>
      </c>
      <c r="AB433" s="14">
        <v>122.86</v>
      </c>
      <c r="AC433" s="14">
        <v>857.12</v>
      </c>
      <c r="AD433" s="16" t="s">
        <v>147</v>
      </c>
      <c r="AE433" s="16" t="s">
        <v>147</v>
      </c>
      <c r="AF433" s="14">
        <f>SUMIF('Trip Changes'!$B:$B,A433,'Trip Changes'!$E:$E)</f>
        <v>0</v>
      </c>
      <c r="AG433" s="23">
        <f>SUMIF('Trip Cancellations'!$B:$B,A433,'Trip Cancellations'!$E:$E)</f>
        <v>0</v>
      </c>
      <c r="AH433" s="14">
        <f>SUMIF('Trip Cancellations'!$B:$B,A433,'Trip Cancellations'!$F:$F)</f>
        <v>0</v>
      </c>
      <c r="AI433" s="14">
        <f t="shared" si="128"/>
        <v>857.12</v>
      </c>
      <c r="AJ433" s="14" t="str">
        <f t="shared" si="129"/>
        <v>Yes</v>
      </c>
      <c r="AK433" s="14" t="str">
        <f>IF(Y433=0,"N/A",
IF(_xlfn.XLOOKUP(U433,Hotels!A:A,Hotels!C:C)=TRUE,"Yes","No"))</f>
        <v>Yes</v>
      </c>
      <c r="AL433" s="14" t="str">
        <f>IF(N433="Rail","N/A",IF(_xlfn.XLOOKUP(T433,Airlines!A:A,Airlines!C:C)=TRUE,"Yes","No"))</f>
        <v>Yes</v>
      </c>
      <c r="AM433" s="14" t="str">
        <f t="shared" si="130"/>
        <v>Yes</v>
      </c>
      <c r="AN433" s="14" t="str">
        <f t="shared" si="131"/>
        <v>Yes</v>
      </c>
      <c r="AO433" s="14" t="str">
        <f t="shared" si="132"/>
        <v>Yes</v>
      </c>
      <c r="AP433" s="16" t="s">
        <v>148</v>
      </c>
      <c r="AQ433" t="str">
        <f t="shared" si="133"/>
        <v>Yes</v>
      </c>
      <c r="AR433" s="21">
        <v>5</v>
      </c>
      <c r="AS433" s="5">
        <v>509.4</v>
      </c>
      <c r="AT433" s="5" t="str">
        <f>IF(T433="","",_xlfn.XLOOKUP(T433,Airlines!A:A,Airlines!B:B,"Not Found"))</f>
        <v>Lufthansa</v>
      </c>
      <c r="AU433" s="5" t="str">
        <f>IF(U433="","",_xlfn.XLOOKUP(U433,Hotels!A:A,Hotels!B:B,"Not found"))</f>
        <v>Accor</v>
      </c>
      <c r="AV433" t="s">
        <v>148</v>
      </c>
      <c r="AW433" s="16" t="str">
        <f t="shared" si="134"/>
        <v>OK</v>
      </c>
      <c r="AX433" s="16" t="str">
        <f t="shared" si="135"/>
        <v>OK</v>
      </c>
      <c r="AY433" s="16" t="str">
        <f t="shared" si="136"/>
        <v>OK</v>
      </c>
      <c r="AZ433" s="16" t="str">
        <f t="shared" si="137"/>
        <v>OK</v>
      </c>
      <c r="BA433" s="16" t="str">
        <f t="shared" si="141"/>
        <v>OK</v>
      </c>
      <c r="BB433" s="21">
        <f>COUNTIF('Trip Changes'!B:B,A433)</f>
        <v>0</v>
      </c>
      <c r="BC433" s="16" t="str">
        <f>IF(OR(AND(AD433="Yes",COUNTIF('Trip Changes'!B:B,A433)&gt;0),AND(AD433="No",COUNTIF('Trip Changes'!B:B,A433)=0)),"OK","Check")</f>
        <v>OK</v>
      </c>
      <c r="BD433" t="str">
        <f t="shared" si="142"/>
        <v>OK</v>
      </c>
      <c r="BE433" t="str">
        <f t="shared" si="143"/>
        <v>OK</v>
      </c>
      <c r="BF433" t="str">
        <f t="shared" si="144"/>
        <v>OK</v>
      </c>
      <c r="BG433" t="str">
        <f t="shared" si="145"/>
        <v>OK</v>
      </c>
      <c r="BH433" t="str">
        <f t="shared" si="146"/>
        <v>OK</v>
      </c>
      <c r="BI433" t="str">
        <f t="shared" si="138"/>
        <v>OK</v>
      </c>
      <c r="BJ433" t="str">
        <f t="shared" si="139"/>
        <v>OK</v>
      </c>
      <c r="BK433" t="str">
        <f t="shared" si="140"/>
        <v>OK</v>
      </c>
    </row>
    <row r="434" spans="1:63">
      <c r="A434" s="16" t="s">
        <v>763</v>
      </c>
      <c r="B434" s="16" t="s">
        <v>761</v>
      </c>
      <c r="C434" s="16" t="s">
        <v>257</v>
      </c>
      <c r="D434" s="16" t="s">
        <v>248</v>
      </c>
      <c r="E434" s="16" t="s">
        <v>169</v>
      </c>
      <c r="F434" s="16" t="s">
        <v>157</v>
      </c>
      <c r="G434" s="15">
        <v>46151</v>
      </c>
      <c r="H434" s="15">
        <v>46169</v>
      </c>
      <c r="I434" s="15">
        <v>46172</v>
      </c>
      <c r="J434" s="15" t="s">
        <v>163</v>
      </c>
      <c r="K434" s="16" t="s">
        <v>257</v>
      </c>
      <c r="L434" t="s">
        <v>362</v>
      </c>
      <c r="M434" s="16" t="s">
        <v>152</v>
      </c>
      <c r="N434" s="16" t="s">
        <v>153</v>
      </c>
      <c r="O434" t="s">
        <v>1614</v>
      </c>
      <c r="P434" s="18">
        <v>1844</v>
      </c>
      <c r="Q434" s="21">
        <v>18</v>
      </c>
      <c r="R434" s="21" t="str">
        <f t="shared" si="126"/>
        <v>15-30 days</v>
      </c>
      <c r="S434" s="16" t="s">
        <v>216</v>
      </c>
      <c r="T434" s="16" t="s">
        <v>160</v>
      </c>
      <c r="U434" s="16" t="s">
        <v>190</v>
      </c>
      <c r="V434" t="str">
        <f>IF(U434="","",IFERROR(VLOOKUP(U434,Hotels!A:B,2,FALSE),"Not Found"))</f>
        <v>Radisson Hotel Group</v>
      </c>
      <c r="W434" s="14">
        <v>331.34</v>
      </c>
      <c r="X434" s="14">
        <v>0</v>
      </c>
      <c r="Y434" s="21">
        <v>2</v>
      </c>
      <c r="Z434" s="29">
        <f t="shared" si="127"/>
        <v>219.52</v>
      </c>
      <c r="AA434" s="14">
        <v>439.04</v>
      </c>
      <c r="AB434" s="14">
        <v>40.86</v>
      </c>
      <c r="AC434" s="14">
        <v>811.24</v>
      </c>
      <c r="AD434" s="16" t="s">
        <v>147</v>
      </c>
      <c r="AE434" s="16" t="s">
        <v>147</v>
      </c>
      <c r="AF434" s="14">
        <f>SUMIF('Trip Changes'!$B:$B,A434,'Trip Changes'!$E:$E)</f>
        <v>0</v>
      </c>
      <c r="AG434" s="23">
        <f>SUMIF('Trip Cancellations'!$B:$B,A434,'Trip Cancellations'!$E:$E)</f>
        <v>0</v>
      </c>
      <c r="AH434" s="14">
        <f>SUMIF('Trip Cancellations'!$B:$B,A434,'Trip Cancellations'!$F:$F)</f>
        <v>0</v>
      </c>
      <c r="AI434" s="14">
        <f t="shared" si="128"/>
        <v>811.24</v>
      </c>
      <c r="AJ434" s="14" t="str">
        <f t="shared" si="129"/>
        <v>No</v>
      </c>
      <c r="AK434" s="14" t="str">
        <f>IF(Y434=0,"N/A",
IF(_xlfn.XLOOKUP(U434,Hotels!A:A,Hotels!C:C)=TRUE,"Yes","No"))</f>
        <v>No</v>
      </c>
      <c r="AL434" s="14" t="str">
        <f>IF(N434="Rail","N/A",IF(_xlfn.XLOOKUP(T434,Airlines!A:A,Airlines!C:C)=TRUE,"Yes","No"))</f>
        <v>Yes</v>
      </c>
      <c r="AM434" s="14" t="str">
        <f t="shared" si="130"/>
        <v>Yes</v>
      </c>
      <c r="AN434" s="14" t="str">
        <f t="shared" si="131"/>
        <v>No</v>
      </c>
      <c r="AO434" s="14" t="str">
        <f t="shared" si="132"/>
        <v>No</v>
      </c>
      <c r="AP434" s="16" t="s">
        <v>147</v>
      </c>
      <c r="AQ434" t="str">
        <f t="shared" si="133"/>
        <v>No</v>
      </c>
      <c r="AR434" s="21">
        <v>4</v>
      </c>
      <c r="AS434" s="5">
        <v>276.60000000000002</v>
      </c>
      <c r="AT434" s="5" t="str">
        <f>IF(T434="","",_xlfn.XLOOKUP(T434,Airlines!A:A,Airlines!B:B,"Not Found"))</f>
        <v>Air France</v>
      </c>
      <c r="AU434" s="5" t="str">
        <f>IF(U434="","",_xlfn.XLOOKUP(U434,Hotels!A:A,Hotels!B:B,"Not found"))</f>
        <v>Radisson Hotel Group</v>
      </c>
      <c r="AV434" t="s">
        <v>147</v>
      </c>
      <c r="AW434" s="16" t="str">
        <f t="shared" si="134"/>
        <v>OK</v>
      </c>
      <c r="AX434" s="16" t="str">
        <f t="shared" si="135"/>
        <v>OK</v>
      </c>
      <c r="AY434" s="16" t="str">
        <f t="shared" si="136"/>
        <v>OK</v>
      </c>
      <c r="AZ434" s="16" t="str">
        <f t="shared" si="137"/>
        <v>OK</v>
      </c>
      <c r="BA434" s="16" t="str">
        <f t="shared" si="141"/>
        <v>OK</v>
      </c>
      <c r="BB434" s="21">
        <f>COUNTIF('Trip Changes'!B:B,A434)</f>
        <v>0</v>
      </c>
      <c r="BC434" s="16" t="str">
        <f>IF(OR(AND(AD434="Yes",COUNTIF('Trip Changes'!B:B,A434)&gt;0),AND(AD434="No",COUNTIF('Trip Changes'!B:B,A434)=0)),"OK","Check")</f>
        <v>OK</v>
      </c>
      <c r="BD434" t="str">
        <f t="shared" si="142"/>
        <v>OK</v>
      </c>
      <c r="BE434" t="str">
        <f t="shared" si="143"/>
        <v>OK</v>
      </c>
      <c r="BF434" t="str">
        <f t="shared" si="144"/>
        <v>OK</v>
      </c>
      <c r="BG434" t="str">
        <f t="shared" si="145"/>
        <v>OK</v>
      </c>
      <c r="BH434" t="str">
        <f t="shared" si="146"/>
        <v>OK</v>
      </c>
      <c r="BI434" t="str">
        <f t="shared" si="138"/>
        <v>OK</v>
      </c>
      <c r="BJ434" t="str">
        <f t="shared" si="139"/>
        <v>OK</v>
      </c>
      <c r="BK434" t="str">
        <f t="shared" si="140"/>
        <v>OK</v>
      </c>
    </row>
    <row r="435" spans="1:63">
      <c r="A435" s="16" t="s">
        <v>764</v>
      </c>
      <c r="B435" s="16" t="s">
        <v>761</v>
      </c>
      <c r="C435" s="16" t="s">
        <v>257</v>
      </c>
      <c r="D435" s="16" t="s">
        <v>248</v>
      </c>
      <c r="E435" s="16" t="s">
        <v>169</v>
      </c>
      <c r="F435" s="16" t="s">
        <v>189</v>
      </c>
      <c r="G435" s="15">
        <v>46200</v>
      </c>
      <c r="H435" s="15">
        <v>46229</v>
      </c>
      <c r="I435" s="15">
        <v>46232</v>
      </c>
      <c r="J435" s="15" t="s">
        <v>150</v>
      </c>
      <c r="K435" s="16" t="s">
        <v>257</v>
      </c>
      <c r="L435" t="s">
        <v>233</v>
      </c>
      <c r="M435" s="16" t="s">
        <v>152</v>
      </c>
      <c r="N435" s="16" t="s">
        <v>153</v>
      </c>
      <c r="O435" t="s">
        <v>1614</v>
      </c>
      <c r="P435" s="18">
        <v>1458</v>
      </c>
      <c r="Q435" s="21">
        <v>29</v>
      </c>
      <c r="R435" s="21" t="str">
        <f t="shared" si="126"/>
        <v>15-30 days</v>
      </c>
      <c r="S435" s="16" t="s">
        <v>159</v>
      </c>
      <c r="T435" s="16" t="s">
        <v>154</v>
      </c>
      <c r="U435" s="16" t="s">
        <v>155</v>
      </c>
      <c r="V435" t="str">
        <f>IF(U435="","",IFERROR(VLOOKUP(U435,Hotels!A:B,2,FALSE),"Not Found"))</f>
        <v>Hilton</v>
      </c>
      <c r="W435" s="14">
        <v>514.22</v>
      </c>
      <c r="X435" s="14">
        <v>0</v>
      </c>
      <c r="Y435" s="21">
        <v>2</v>
      </c>
      <c r="Z435" s="29">
        <f t="shared" si="127"/>
        <v>183.685</v>
      </c>
      <c r="AA435" s="14">
        <v>367.37</v>
      </c>
      <c r="AB435" s="14">
        <v>110.05</v>
      </c>
      <c r="AC435" s="14">
        <v>991.64</v>
      </c>
      <c r="AD435" s="16" t="s">
        <v>147</v>
      </c>
      <c r="AE435" s="16" t="s">
        <v>147</v>
      </c>
      <c r="AF435" s="14">
        <f>SUMIF('Trip Changes'!$B:$B,A435,'Trip Changes'!$E:$E)</f>
        <v>0</v>
      </c>
      <c r="AG435" s="23">
        <f>SUMIF('Trip Cancellations'!$B:$B,A435,'Trip Cancellations'!$E:$E)</f>
        <v>0</v>
      </c>
      <c r="AH435" s="14">
        <f>SUMIF('Trip Cancellations'!$B:$B,A435,'Trip Cancellations'!$F:$F)</f>
        <v>0</v>
      </c>
      <c r="AI435" s="14">
        <f t="shared" si="128"/>
        <v>991.64</v>
      </c>
      <c r="AJ435" s="14" t="str">
        <f t="shared" si="129"/>
        <v>No</v>
      </c>
      <c r="AK435" s="14" t="str">
        <f>IF(Y435=0,"N/A",
IF(_xlfn.XLOOKUP(U435,Hotels!A:A,Hotels!C:C)=TRUE,"Yes","No"))</f>
        <v>Yes</v>
      </c>
      <c r="AL435" s="14" t="str">
        <f>IF(N435="Rail","N/A",IF(_xlfn.XLOOKUP(T435,Airlines!A:A,Airlines!C:C)=TRUE,"Yes","No"))</f>
        <v>Yes</v>
      </c>
      <c r="AM435" s="14" t="str">
        <f t="shared" si="130"/>
        <v>Yes</v>
      </c>
      <c r="AN435" s="14" t="str">
        <f t="shared" si="131"/>
        <v>Yes</v>
      </c>
      <c r="AO435" s="14" t="str">
        <f t="shared" si="132"/>
        <v>Yes</v>
      </c>
      <c r="AP435" s="16" t="s">
        <v>148</v>
      </c>
      <c r="AQ435" t="str">
        <f t="shared" si="133"/>
        <v>No</v>
      </c>
      <c r="AR435" s="21">
        <v>5</v>
      </c>
      <c r="AS435" s="5">
        <v>218.7</v>
      </c>
      <c r="AT435" s="5" t="str">
        <f>IF(T435="","",_xlfn.XLOOKUP(T435,Airlines!A:A,Airlines!B:B,"Not Found"))</f>
        <v>British Airways</v>
      </c>
      <c r="AU435" s="5" t="str">
        <f>IF(U435="","",_xlfn.XLOOKUP(U435,Hotels!A:A,Hotels!B:B,"Not found"))</f>
        <v>Hilton</v>
      </c>
      <c r="AV435" t="s">
        <v>148</v>
      </c>
      <c r="AW435" s="16" t="str">
        <f t="shared" si="134"/>
        <v>OK</v>
      </c>
      <c r="AX435" s="16" t="str">
        <f t="shared" si="135"/>
        <v>OK</v>
      </c>
      <c r="AY435" s="16" t="str">
        <f t="shared" si="136"/>
        <v>OK</v>
      </c>
      <c r="AZ435" s="16" t="str">
        <f t="shared" si="137"/>
        <v>OK</v>
      </c>
      <c r="BA435" s="16" t="str">
        <f t="shared" si="141"/>
        <v>OK</v>
      </c>
      <c r="BB435" s="21">
        <f>COUNTIF('Trip Changes'!B:B,A435)</f>
        <v>0</v>
      </c>
      <c r="BC435" s="16" t="str">
        <f>IF(OR(AND(AD435="Yes",COUNTIF('Trip Changes'!B:B,A435)&gt;0),AND(AD435="No",COUNTIF('Trip Changes'!B:B,A435)=0)),"OK","Check")</f>
        <v>OK</v>
      </c>
      <c r="BD435" t="str">
        <f t="shared" si="142"/>
        <v>OK</v>
      </c>
      <c r="BE435" t="str">
        <f t="shared" si="143"/>
        <v>OK</v>
      </c>
      <c r="BF435" t="str">
        <f t="shared" si="144"/>
        <v>OK</v>
      </c>
      <c r="BG435" t="str">
        <f t="shared" si="145"/>
        <v>OK</v>
      </c>
      <c r="BH435" t="str">
        <f t="shared" si="146"/>
        <v>OK</v>
      </c>
      <c r="BI435" t="str">
        <f t="shared" si="138"/>
        <v>OK</v>
      </c>
      <c r="BJ435" t="str">
        <f t="shared" si="139"/>
        <v>OK</v>
      </c>
      <c r="BK435" t="str">
        <f t="shared" si="140"/>
        <v>OK</v>
      </c>
    </row>
    <row r="436" spans="1:63">
      <c r="A436" s="16" t="s">
        <v>765</v>
      </c>
      <c r="B436" s="16" t="s">
        <v>766</v>
      </c>
      <c r="C436" s="16" t="s">
        <v>257</v>
      </c>
      <c r="D436" s="16" t="s">
        <v>230</v>
      </c>
      <c r="E436" s="16" t="s">
        <v>262</v>
      </c>
      <c r="F436" s="16" t="s">
        <v>162</v>
      </c>
      <c r="G436" s="15">
        <v>46172</v>
      </c>
      <c r="H436" s="15">
        <v>46181</v>
      </c>
      <c r="I436" s="15">
        <v>46185</v>
      </c>
      <c r="J436" s="15" t="s">
        <v>141</v>
      </c>
      <c r="K436" s="16" t="s">
        <v>257</v>
      </c>
      <c r="L436" t="s">
        <v>227</v>
      </c>
      <c r="M436" s="16" t="s">
        <v>152</v>
      </c>
      <c r="N436" s="16" t="s">
        <v>153</v>
      </c>
      <c r="O436" t="s">
        <v>1614</v>
      </c>
      <c r="P436" s="18">
        <v>3262</v>
      </c>
      <c r="Q436" s="21">
        <v>9</v>
      </c>
      <c r="R436" s="21" t="str">
        <f t="shared" si="126"/>
        <v>8-14 days</v>
      </c>
      <c r="S436" s="16" t="s">
        <v>145</v>
      </c>
      <c r="T436" s="16" t="s">
        <v>154</v>
      </c>
      <c r="U436" s="16" t="s">
        <v>173</v>
      </c>
      <c r="V436" t="str">
        <f>IF(U436="","",IFERROR(VLOOKUP(U436,Hotels!A:B,2,FALSE),"Not Found"))</f>
        <v>Accor</v>
      </c>
      <c r="W436" s="14">
        <v>353.85</v>
      </c>
      <c r="X436" s="14">
        <v>0</v>
      </c>
      <c r="Y436" s="21">
        <v>3</v>
      </c>
      <c r="Z436" s="29">
        <f t="shared" si="127"/>
        <v>166.25333333333333</v>
      </c>
      <c r="AA436" s="14">
        <v>498.76</v>
      </c>
      <c r="AB436" s="14">
        <v>74.13</v>
      </c>
      <c r="AC436" s="14">
        <v>926.74</v>
      </c>
      <c r="AD436" s="16" t="s">
        <v>148</v>
      </c>
      <c r="AE436" s="16" t="s">
        <v>147</v>
      </c>
      <c r="AF436" s="14">
        <f>SUMIF('Trip Changes'!$B:$B,A436,'Trip Changes'!$E:$E)</f>
        <v>74.599999999999994</v>
      </c>
      <c r="AG436" s="23">
        <f>SUMIF('Trip Cancellations'!$B:$B,A436,'Trip Cancellations'!$E:$E)</f>
        <v>0</v>
      </c>
      <c r="AH436" s="14">
        <f>SUMIF('Trip Cancellations'!$B:$B,A436,'Trip Cancellations'!$F:$F)</f>
        <v>0</v>
      </c>
      <c r="AI436" s="14">
        <f t="shared" si="128"/>
        <v>1001.34</v>
      </c>
      <c r="AJ436" s="14" t="str">
        <f t="shared" si="129"/>
        <v>Yes</v>
      </c>
      <c r="AK436" s="14" t="str">
        <f>IF(Y436=0,"N/A",
IF(_xlfn.XLOOKUP(U436,Hotels!A:A,Hotels!C:C)=TRUE,"Yes","No"))</f>
        <v>Yes</v>
      </c>
      <c r="AL436" s="14" t="str">
        <f>IF(N436="Rail","N/A",IF(_xlfn.XLOOKUP(T436,Airlines!A:A,Airlines!C:C)=TRUE,"Yes","No"))</f>
        <v>Yes</v>
      </c>
      <c r="AM436" s="14" t="str">
        <f t="shared" si="130"/>
        <v>Yes</v>
      </c>
      <c r="AN436" s="14" t="str">
        <f t="shared" si="131"/>
        <v>Yes</v>
      </c>
      <c r="AO436" s="14" t="str">
        <f t="shared" si="132"/>
        <v>Yes</v>
      </c>
      <c r="AP436" s="16" t="s">
        <v>148</v>
      </c>
      <c r="AQ436" t="str">
        <f t="shared" si="133"/>
        <v>Yes</v>
      </c>
      <c r="AR436" s="21">
        <v>4</v>
      </c>
      <c r="AS436" s="5">
        <v>489.3</v>
      </c>
      <c r="AT436" s="5" t="str">
        <f>IF(T436="","",_xlfn.XLOOKUP(T436,Airlines!A:A,Airlines!B:B,"Not Found"))</f>
        <v>British Airways</v>
      </c>
      <c r="AU436" s="5" t="str">
        <f>IF(U436="","",_xlfn.XLOOKUP(U436,Hotels!A:A,Hotels!B:B,"Not found"))</f>
        <v>Accor</v>
      </c>
      <c r="AV436" t="s">
        <v>147</v>
      </c>
      <c r="AW436" s="16" t="str">
        <f t="shared" si="134"/>
        <v>OK</v>
      </c>
      <c r="AX436" s="16" t="str">
        <f t="shared" si="135"/>
        <v>OK</v>
      </c>
      <c r="AY436" s="16" t="str">
        <f t="shared" si="136"/>
        <v>OK</v>
      </c>
      <c r="AZ436" s="16" t="str">
        <f t="shared" si="137"/>
        <v>OK</v>
      </c>
      <c r="BA436" s="16" t="str">
        <f t="shared" si="141"/>
        <v>OK</v>
      </c>
      <c r="BB436" s="21">
        <f>COUNTIF('Trip Changes'!B:B,A436)</f>
        <v>1</v>
      </c>
      <c r="BC436" s="16" t="str">
        <f>IF(OR(AND(AD436="Yes",COUNTIF('Trip Changes'!B:B,A436)&gt;0),AND(AD436="No",COUNTIF('Trip Changes'!B:B,A436)=0)),"OK","Check")</f>
        <v>OK</v>
      </c>
      <c r="BD436" t="str">
        <f t="shared" si="142"/>
        <v>OK</v>
      </c>
      <c r="BE436" t="str">
        <f t="shared" si="143"/>
        <v>OK</v>
      </c>
      <c r="BF436" t="str">
        <f t="shared" si="144"/>
        <v>OK</v>
      </c>
      <c r="BG436" t="str">
        <f t="shared" si="145"/>
        <v>OK</v>
      </c>
      <c r="BH436" t="str">
        <f t="shared" si="146"/>
        <v>OK</v>
      </c>
      <c r="BI436" t="str">
        <f t="shared" si="138"/>
        <v>OK</v>
      </c>
      <c r="BJ436" t="str">
        <f t="shared" si="139"/>
        <v>OK</v>
      </c>
      <c r="BK436" t="str">
        <f t="shared" si="140"/>
        <v>OK</v>
      </c>
    </row>
    <row r="437" spans="1:63">
      <c r="A437" s="16" t="s">
        <v>767</v>
      </c>
      <c r="B437" s="16" t="s">
        <v>766</v>
      </c>
      <c r="C437" s="16" t="s">
        <v>257</v>
      </c>
      <c r="D437" s="16" t="s">
        <v>230</v>
      </c>
      <c r="E437" s="16" t="s">
        <v>262</v>
      </c>
      <c r="F437" s="16" t="s">
        <v>189</v>
      </c>
      <c r="G437" s="15">
        <v>46152</v>
      </c>
      <c r="H437" s="15">
        <v>46154</v>
      </c>
      <c r="I437" s="15">
        <v>46156</v>
      </c>
      <c r="J437" s="15" t="s">
        <v>163</v>
      </c>
      <c r="K437" s="16" t="s">
        <v>257</v>
      </c>
      <c r="L437" t="s">
        <v>283</v>
      </c>
      <c r="M437" s="16" t="s">
        <v>152</v>
      </c>
      <c r="N437" s="16" t="s">
        <v>153</v>
      </c>
      <c r="O437" t="s">
        <v>1614</v>
      </c>
      <c r="P437" s="18">
        <v>12200</v>
      </c>
      <c r="Q437" s="21">
        <v>2</v>
      </c>
      <c r="R437" s="21" t="str">
        <f t="shared" si="126"/>
        <v>0-3 days</v>
      </c>
      <c r="S437" s="16" t="s">
        <v>145</v>
      </c>
      <c r="T437" s="16" t="s">
        <v>154</v>
      </c>
      <c r="U437" s="16" t="s">
        <v>164</v>
      </c>
      <c r="V437" t="str">
        <f>IF(U437="","",IFERROR(VLOOKUP(U437,Hotels!A:B,2,FALSE),"Not Found"))</f>
        <v>Marriott</v>
      </c>
      <c r="W437" s="14">
        <v>995.21</v>
      </c>
      <c r="X437" s="14">
        <v>0</v>
      </c>
      <c r="Y437" s="21">
        <v>1</v>
      </c>
      <c r="Z437" s="29">
        <f t="shared" si="127"/>
        <v>193.39</v>
      </c>
      <c r="AA437" s="14">
        <v>193.39</v>
      </c>
      <c r="AB437" s="14">
        <v>96.77</v>
      </c>
      <c r="AC437" s="14">
        <v>1285.3699999999999</v>
      </c>
      <c r="AD437" s="16" t="s">
        <v>148</v>
      </c>
      <c r="AE437" s="16" t="s">
        <v>147</v>
      </c>
      <c r="AF437" s="14">
        <f>SUMIF('Trip Changes'!$B:$B,A437,'Trip Changes'!$E:$E)</f>
        <v>120.94</v>
      </c>
      <c r="AG437" s="23">
        <f>SUMIF('Trip Cancellations'!$B:$B,A437,'Trip Cancellations'!$E:$E)</f>
        <v>0</v>
      </c>
      <c r="AH437" s="14">
        <f>SUMIF('Trip Cancellations'!$B:$B,A437,'Trip Cancellations'!$F:$F)</f>
        <v>0</v>
      </c>
      <c r="AI437" s="14">
        <f t="shared" si="128"/>
        <v>1406.31</v>
      </c>
      <c r="AJ437" s="14" t="str">
        <f t="shared" si="129"/>
        <v>Yes</v>
      </c>
      <c r="AK437" s="14" t="str">
        <f>IF(Y437=0,"N/A",
IF(_xlfn.XLOOKUP(U437,Hotels!A:A,Hotels!C:C)=TRUE,"Yes","No"))</f>
        <v>Yes</v>
      </c>
      <c r="AL437" s="14" t="str">
        <f>IF(N437="Rail","N/A",IF(_xlfn.XLOOKUP(T437,Airlines!A:A,Airlines!C:C)=TRUE,"Yes","No"))</f>
        <v>Yes</v>
      </c>
      <c r="AM437" s="14" t="str">
        <f t="shared" si="130"/>
        <v>Yes</v>
      </c>
      <c r="AN437" s="14" t="str">
        <f t="shared" si="131"/>
        <v>Yes</v>
      </c>
      <c r="AO437" s="14" t="str">
        <f t="shared" si="132"/>
        <v>Yes</v>
      </c>
      <c r="AP437" s="16" t="s">
        <v>148</v>
      </c>
      <c r="AQ437" t="str">
        <f t="shared" si="133"/>
        <v>Yes</v>
      </c>
      <c r="AR437" s="21">
        <v>5</v>
      </c>
      <c r="AS437" s="5">
        <v>1830</v>
      </c>
      <c r="AT437" s="5" t="str">
        <f>IF(T437="","",_xlfn.XLOOKUP(T437,Airlines!A:A,Airlines!B:B,"Not Found"))</f>
        <v>British Airways</v>
      </c>
      <c r="AU437" s="5" t="str">
        <f>IF(U437="","",_xlfn.XLOOKUP(U437,Hotels!A:A,Hotels!B:B,"Not found"))</f>
        <v>Marriott</v>
      </c>
      <c r="AV437" t="s">
        <v>148</v>
      </c>
      <c r="AW437" s="16" t="str">
        <f t="shared" si="134"/>
        <v>OK</v>
      </c>
      <c r="AX437" s="16" t="str">
        <f t="shared" si="135"/>
        <v>OK</v>
      </c>
      <c r="AY437" s="16" t="str">
        <f t="shared" si="136"/>
        <v>OK</v>
      </c>
      <c r="AZ437" s="16" t="str">
        <f t="shared" si="137"/>
        <v>OK</v>
      </c>
      <c r="BA437" s="16" t="str">
        <f t="shared" si="141"/>
        <v>OK</v>
      </c>
      <c r="BB437" s="21">
        <f>COUNTIF('Trip Changes'!B:B,A437)</f>
        <v>1</v>
      </c>
      <c r="BC437" s="16" t="str">
        <f>IF(OR(AND(AD437="Yes",COUNTIF('Trip Changes'!B:B,A437)&gt;0),AND(AD437="No",COUNTIF('Trip Changes'!B:B,A437)=0)),"OK","Check")</f>
        <v>OK</v>
      </c>
      <c r="BD437" t="str">
        <f t="shared" si="142"/>
        <v>OK</v>
      </c>
      <c r="BE437" t="str">
        <f t="shared" si="143"/>
        <v>OK</v>
      </c>
      <c r="BF437" t="str">
        <f t="shared" si="144"/>
        <v>OK</v>
      </c>
      <c r="BG437" t="str">
        <f t="shared" si="145"/>
        <v>OK</v>
      </c>
      <c r="BH437" t="str">
        <f t="shared" si="146"/>
        <v>OK</v>
      </c>
      <c r="BI437" t="str">
        <f t="shared" si="138"/>
        <v>OK</v>
      </c>
      <c r="BJ437" t="str">
        <f t="shared" si="139"/>
        <v>OK</v>
      </c>
      <c r="BK437" t="str">
        <f t="shared" si="140"/>
        <v>OK</v>
      </c>
    </row>
    <row r="438" spans="1:63">
      <c r="A438" s="16" t="s">
        <v>768</v>
      </c>
      <c r="B438" s="16" t="s">
        <v>766</v>
      </c>
      <c r="C438" s="16" t="s">
        <v>257</v>
      </c>
      <c r="D438" s="16" t="s">
        <v>230</v>
      </c>
      <c r="E438" s="16" t="s">
        <v>262</v>
      </c>
      <c r="F438" s="16" t="s">
        <v>157</v>
      </c>
      <c r="G438" s="15">
        <v>46212</v>
      </c>
      <c r="H438" s="15">
        <v>46218</v>
      </c>
      <c r="I438" s="15">
        <v>46222</v>
      </c>
      <c r="J438" s="15" t="s">
        <v>150</v>
      </c>
      <c r="K438" s="16" t="s">
        <v>257</v>
      </c>
      <c r="L438" t="s">
        <v>185</v>
      </c>
      <c r="M438" s="16" t="s">
        <v>152</v>
      </c>
      <c r="N438" s="16" t="s">
        <v>153</v>
      </c>
      <c r="O438" t="s">
        <v>1632</v>
      </c>
      <c r="P438" s="18">
        <v>11356</v>
      </c>
      <c r="Q438" s="21">
        <v>6</v>
      </c>
      <c r="R438" s="21" t="str">
        <f t="shared" si="126"/>
        <v>4-7 days</v>
      </c>
      <c r="S438" s="16" t="s">
        <v>207</v>
      </c>
      <c r="T438" s="16" t="s">
        <v>186</v>
      </c>
      <c r="U438" s="16" t="s">
        <v>164</v>
      </c>
      <c r="V438" t="str">
        <f>IF(U438="","",IFERROR(VLOOKUP(U438,Hotels!A:B,2,FALSE),"Not Found"))</f>
        <v>Marriott</v>
      </c>
      <c r="W438" s="14">
        <v>1486.17</v>
      </c>
      <c r="X438" s="14">
        <v>0</v>
      </c>
      <c r="Y438" s="21">
        <v>3</v>
      </c>
      <c r="Z438" s="29">
        <f t="shared" si="127"/>
        <v>227.59</v>
      </c>
      <c r="AA438" s="14">
        <v>682.77</v>
      </c>
      <c r="AB438" s="14">
        <v>116.45</v>
      </c>
      <c r="AC438" s="14">
        <v>2285.39</v>
      </c>
      <c r="AD438" s="16" t="s">
        <v>147</v>
      </c>
      <c r="AE438" s="16" t="s">
        <v>147</v>
      </c>
      <c r="AF438" s="14">
        <f>SUMIF('Trip Changes'!$B:$B,A438,'Trip Changes'!$E:$E)</f>
        <v>0</v>
      </c>
      <c r="AG438" s="23">
        <f>SUMIF('Trip Cancellations'!$B:$B,A438,'Trip Cancellations'!$E:$E)</f>
        <v>0</v>
      </c>
      <c r="AH438" s="14">
        <f>SUMIF('Trip Cancellations'!$B:$B,A438,'Trip Cancellations'!$F:$F)</f>
        <v>0</v>
      </c>
      <c r="AI438" s="14">
        <f t="shared" si="128"/>
        <v>2285.39</v>
      </c>
      <c r="AJ438" s="14" t="str">
        <f t="shared" si="129"/>
        <v>No</v>
      </c>
      <c r="AK438" s="14" t="str">
        <f>IF(Y438=0,"N/A",
IF(_xlfn.XLOOKUP(U438,Hotels!A:A,Hotels!C:C)=TRUE,"Yes","No"))</f>
        <v>Yes</v>
      </c>
      <c r="AL438" s="14" t="str">
        <f>IF(N438="Rail","N/A",IF(_xlfn.XLOOKUP(T438,Airlines!A:A,Airlines!C:C)=TRUE,"Yes","No"))</f>
        <v>Yes</v>
      </c>
      <c r="AM438" s="14" t="str">
        <f t="shared" si="130"/>
        <v>No</v>
      </c>
      <c r="AN438" s="14" t="str">
        <f t="shared" si="131"/>
        <v>No</v>
      </c>
      <c r="AO438" s="14" t="str">
        <f t="shared" si="132"/>
        <v>Yes</v>
      </c>
      <c r="AP438" s="16" t="s">
        <v>148</v>
      </c>
      <c r="AQ438" t="str">
        <f t="shared" si="133"/>
        <v>No</v>
      </c>
      <c r="AR438" s="21">
        <v>4</v>
      </c>
      <c r="AS438" s="5">
        <v>1703.4</v>
      </c>
      <c r="AT438" s="5" t="str">
        <f>IF(T438="","",_xlfn.XLOOKUP(T438,Airlines!A:A,Airlines!B:B,"Not Found"))</f>
        <v>Virgin Atlantic</v>
      </c>
      <c r="AU438" s="5" t="str">
        <f>IF(U438="","",_xlfn.XLOOKUP(U438,Hotels!A:A,Hotels!B:B,"Not found"))</f>
        <v>Marriott</v>
      </c>
      <c r="AV438" t="s">
        <v>147</v>
      </c>
      <c r="AW438" s="16" t="str">
        <f t="shared" si="134"/>
        <v>OK</v>
      </c>
      <c r="AX438" s="16" t="str">
        <f t="shared" si="135"/>
        <v>OK</v>
      </c>
      <c r="AY438" s="16" t="str">
        <f t="shared" si="136"/>
        <v>OK</v>
      </c>
      <c r="AZ438" s="16" t="str">
        <f t="shared" si="137"/>
        <v>OK</v>
      </c>
      <c r="BA438" s="16" t="str">
        <f t="shared" si="141"/>
        <v>OK</v>
      </c>
      <c r="BB438" s="21">
        <f>COUNTIF('Trip Changes'!B:B,A438)</f>
        <v>0</v>
      </c>
      <c r="BC438" s="16" t="str">
        <f>IF(OR(AND(AD438="Yes",COUNTIF('Trip Changes'!B:B,A438)&gt;0),AND(AD438="No",COUNTIF('Trip Changes'!B:B,A438)=0)),"OK","Check")</f>
        <v>OK</v>
      </c>
      <c r="BD438" t="str">
        <f t="shared" si="142"/>
        <v>OK</v>
      </c>
      <c r="BE438" t="str">
        <f t="shared" si="143"/>
        <v>OK</v>
      </c>
      <c r="BF438" t="str">
        <f t="shared" si="144"/>
        <v>OK</v>
      </c>
      <c r="BG438" t="str">
        <f t="shared" si="145"/>
        <v>OK</v>
      </c>
      <c r="BH438" t="str">
        <f t="shared" si="146"/>
        <v>OK</v>
      </c>
      <c r="BI438" t="str">
        <f t="shared" si="138"/>
        <v>OK</v>
      </c>
      <c r="BJ438" t="str">
        <f t="shared" si="139"/>
        <v>OK</v>
      </c>
      <c r="BK438" t="str">
        <f t="shared" si="140"/>
        <v>OK</v>
      </c>
    </row>
    <row r="439" spans="1:63">
      <c r="A439" s="16" t="s">
        <v>769</v>
      </c>
      <c r="B439" s="16" t="s">
        <v>766</v>
      </c>
      <c r="C439" s="16" t="s">
        <v>257</v>
      </c>
      <c r="D439" s="16" t="s">
        <v>230</v>
      </c>
      <c r="E439" s="16" t="s">
        <v>262</v>
      </c>
      <c r="F439" s="16" t="s">
        <v>162</v>
      </c>
      <c r="G439" s="15">
        <v>46185</v>
      </c>
      <c r="H439" s="15">
        <v>46190</v>
      </c>
      <c r="I439" s="15">
        <v>46194</v>
      </c>
      <c r="J439" s="15" t="s">
        <v>141</v>
      </c>
      <c r="K439" s="16" t="s">
        <v>257</v>
      </c>
      <c r="L439" t="s">
        <v>307</v>
      </c>
      <c r="M439" s="16" t="s">
        <v>143</v>
      </c>
      <c r="N439" s="16" t="s">
        <v>144</v>
      </c>
      <c r="O439" t="s">
        <v>1630</v>
      </c>
      <c r="P439" s="18">
        <v>1164</v>
      </c>
      <c r="Q439" s="21">
        <v>5</v>
      </c>
      <c r="R439" s="21" t="str">
        <f t="shared" si="126"/>
        <v>4-7 days</v>
      </c>
      <c r="S439" s="16" t="s">
        <v>159</v>
      </c>
      <c r="U439" s="16" t="s">
        <v>146</v>
      </c>
      <c r="V439" t="str">
        <f>IF(U439="","",IFERROR(VLOOKUP(U439,Hotels!A:B,2,FALSE),"Not Found"))</f>
        <v>Premier Inn</v>
      </c>
      <c r="W439" s="14">
        <v>0</v>
      </c>
      <c r="X439" s="14">
        <v>217.92</v>
      </c>
      <c r="Y439" s="21">
        <v>3</v>
      </c>
      <c r="Z439" s="29">
        <f t="shared" si="127"/>
        <v>107.70666666666666</v>
      </c>
      <c r="AA439" s="14">
        <v>323.12</v>
      </c>
      <c r="AB439" s="14">
        <v>26.68</v>
      </c>
      <c r="AC439" s="14">
        <v>567.72</v>
      </c>
      <c r="AD439" s="16" t="s">
        <v>147</v>
      </c>
      <c r="AE439" s="16" t="s">
        <v>147</v>
      </c>
      <c r="AF439" s="14">
        <f>SUMIF('Trip Changes'!$B:$B,A439,'Trip Changes'!$E:$E)</f>
        <v>0</v>
      </c>
      <c r="AG439" s="23">
        <f>SUMIF('Trip Cancellations'!$B:$B,A439,'Trip Cancellations'!$E:$E)</f>
        <v>0</v>
      </c>
      <c r="AH439" s="14">
        <f>SUMIF('Trip Cancellations'!$B:$B,A439,'Trip Cancellations'!$F:$F)</f>
        <v>0</v>
      </c>
      <c r="AI439" s="14">
        <f t="shared" si="128"/>
        <v>567.72</v>
      </c>
      <c r="AJ439" s="14" t="str">
        <f t="shared" si="129"/>
        <v>Yes</v>
      </c>
      <c r="AK439" s="14" t="str">
        <f>IF(Y439=0,"N/A",
IF(_xlfn.XLOOKUP(U439,Hotels!A:A,Hotels!C:C)=TRUE,"Yes","No"))</f>
        <v>Yes</v>
      </c>
      <c r="AL439" s="14" t="str">
        <f>IF(N439="Rail","N/A",IF(_xlfn.XLOOKUP(T439,Airlines!A:A,Airlines!C:C)=TRUE,"Yes","No"))</f>
        <v>N/A</v>
      </c>
      <c r="AM439" s="14" t="str">
        <f t="shared" si="130"/>
        <v>Yes</v>
      </c>
      <c r="AN439" s="14" t="str">
        <f t="shared" si="131"/>
        <v>Yes</v>
      </c>
      <c r="AO439" s="14" t="str">
        <f t="shared" si="132"/>
        <v>Yes</v>
      </c>
      <c r="AP439" s="16" t="s">
        <v>148</v>
      </c>
      <c r="AQ439" t="str">
        <f t="shared" si="133"/>
        <v>Yes</v>
      </c>
      <c r="AR439" s="21">
        <v>4</v>
      </c>
      <c r="AS439" s="5">
        <v>46.6</v>
      </c>
      <c r="AT439" s="5" t="str">
        <f>IF(T439="","",_xlfn.XLOOKUP(T439,Airlines!A:A,Airlines!B:B,"Not Found"))</f>
        <v/>
      </c>
      <c r="AU439" s="5" t="str">
        <f>IF(U439="","",_xlfn.XLOOKUP(U439,Hotels!A:A,Hotels!B:B,"Not found"))</f>
        <v>Premier Inn</v>
      </c>
      <c r="AV439" t="s">
        <v>147</v>
      </c>
      <c r="AW439" s="16" t="str">
        <f t="shared" si="134"/>
        <v>OK</v>
      </c>
      <c r="AX439" s="16" t="str">
        <f t="shared" si="135"/>
        <v>OK</v>
      </c>
      <c r="AY439" s="16" t="str">
        <f t="shared" si="136"/>
        <v>OK</v>
      </c>
      <c r="AZ439" s="16" t="str">
        <f t="shared" si="137"/>
        <v>OK</v>
      </c>
      <c r="BA439" s="16" t="str">
        <f t="shared" si="141"/>
        <v>OK</v>
      </c>
      <c r="BB439" s="21">
        <f>COUNTIF('Trip Changes'!B:B,A439)</f>
        <v>0</v>
      </c>
      <c r="BC439" s="16" t="str">
        <f>IF(OR(AND(AD439="Yes",COUNTIF('Trip Changes'!B:B,A439)&gt;0),AND(AD439="No",COUNTIF('Trip Changes'!B:B,A439)=0)),"OK","Check")</f>
        <v>OK</v>
      </c>
      <c r="BD439" t="str">
        <f t="shared" si="142"/>
        <v>OK</v>
      </c>
      <c r="BE439" t="str">
        <f t="shared" si="143"/>
        <v>OK</v>
      </c>
      <c r="BF439" t="str">
        <f t="shared" si="144"/>
        <v>OK</v>
      </c>
      <c r="BG439" t="str">
        <f t="shared" si="145"/>
        <v>OK</v>
      </c>
      <c r="BH439" t="str">
        <f t="shared" si="146"/>
        <v>OK</v>
      </c>
      <c r="BI439" t="str">
        <f t="shared" si="138"/>
        <v>OK</v>
      </c>
      <c r="BJ439" t="str">
        <f t="shared" si="139"/>
        <v>OK</v>
      </c>
      <c r="BK439" t="str">
        <f t="shared" si="140"/>
        <v>OK</v>
      </c>
    </row>
    <row r="440" spans="1:63">
      <c r="A440" s="16" t="s">
        <v>770</v>
      </c>
      <c r="B440" s="16" t="s">
        <v>766</v>
      </c>
      <c r="C440" s="16" t="s">
        <v>257</v>
      </c>
      <c r="D440" s="16" t="s">
        <v>230</v>
      </c>
      <c r="E440" s="16" t="s">
        <v>262</v>
      </c>
      <c r="F440" s="16" t="s">
        <v>140</v>
      </c>
      <c r="G440" s="15">
        <v>46198</v>
      </c>
      <c r="H440" s="15">
        <v>46217</v>
      </c>
      <c r="I440" s="15">
        <v>46223</v>
      </c>
      <c r="J440" s="15" t="s">
        <v>150</v>
      </c>
      <c r="K440" s="16" t="s">
        <v>257</v>
      </c>
      <c r="L440" t="s">
        <v>283</v>
      </c>
      <c r="M440" s="16" t="s">
        <v>152</v>
      </c>
      <c r="N440" s="16" t="s">
        <v>153</v>
      </c>
      <c r="O440" t="s">
        <v>1631</v>
      </c>
      <c r="P440" s="18">
        <v>12474</v>
      </c>
      <c r="Q440" s="21">
        <v>19</v>
      </c>
      <c r="R440" s="21" t="str">
        <f t="shared" si="126"/>
        <v>15-30 days</v>
      </c>
      <c r="S440" s="16" t="s">
        <v>159</v>
      </c>
      <c r="T440" s="16" t="s">
        <v>154</v>
      </c>
      <c r="U440" s="16" t="s">
        <v>164</v>
      </c>
      <c r="V440" t="str">
        <f>IF(U440="","",IFERROR(VLOOKUP(U440,Hotels!A:B,2,FALSE),"Not Found"))</f>
        <v>Marriott</v>
      </c>
      <c r="W440" s="14">
        <v>1180.72</v>
      </c>
      <c r="X440" s="14">
        <v>0</v>
      </c>
      <c r="Y440" s="21">
        <v>5</v>
      </c>
      <c r="Z440" s="29">
        <f t="shared" si="127"/>
        <v>188.30599999999998</v>
      </c>
      <c r="AA440" s="14">
        <v>941.53</v>
      </c>
      <c r="AB440" s="14">
        <v>72.010000000000005</v>
      </c>
      <c r="AC440" s="14">
        <v>2194.2600000000002</v>
      </c>
      <c r="AD440" s="16" t="s">
        <v>147</v>
      </c>
      <c r="AE440" s="16" t="s">
        <v>148</v>
      </c>
      <c r="AF440" s="14">
        <f>SUMIF('Trip Changes'!$B:$B,A440,'Trip Changes'!$E:$E)</f>
        <v>0</v>
      </c>
      <c r="AG440" s="23">
        <f>SUMIF('Trip Cancellations'!$B:$B,A440,'Trip Cancellations'!$E:$E)</f>
        <v>40.58</v>
      </c>
      <c r="AH440" s="14">
        <f>SUMIF('Trip Cancellations'!$B:$B,A440,'Trip Cancellations'!$F:$F)</f>
        <v>1910.03</v>
      </c>
      <c r="AI440" s="14">
        <f t="shared" si="128"/>
        <v>324.81000000000017</v>
      </c>
      <c r="AJ440" s="14" t="str">
        <f t="shared" si="129"/>
        <v>Yes</v>
      </c>
      <c r="AK440" s="14" t="str">
        <f>IF(Y440=0,"N/A",
IF(_xlfn.XLOOKUP(U440,Hotels!A:A,Hotels!C:C)=TRUE,"Yes","No"))</f>
        <v>Yes</v>
      </c>
      <c r="AL440" s="14" t="str">
        <f>IF(N440="Rail","N/A",IF(_xlfn.XLOOKUP(T440,Airlines!A:A,Airlines!C:C)=TRUE,"Yes","No"))</f>
        <v>Yes</v>
      </c>
      <c r="AM440" s="14" t="str">
        <f t="shared" si="130"/>
        <v>No</v>
      </c>
      <c r="AN440" s="14" t="str">
        <f t="shared" si="131"/>
        <v>Yes</v>
      </c>
      <c r="AO440" s="14" t="str">
        <f t="shared" si="132"/>
        <v>Yes</v>
      </c>
      <c r="AP440" s="16" t="s">
        <v>148</v>
      </c>
      <c r="AQ440" t="str">
        <f t="shared" si="133"/>
        <v>No</v>
      </c>
      <c r="AR440" s="21">
        <v>4</v>
      </c>
      <c r="AS440" s="5">
        <v>1871.1</v>
      </c>
      <c r="AT440" s="5" t="str">
        <f>IF(T440="","",_xlfn.XLOOKUP(T440,Airlines!A:A,Airlines!B:B,"Not Found"))</f>
        <v>British Airways</v>
      </c>
      <c r="AU440" s="5" t="str">
        <f>IF(U440="","",_xlfn.XLOOKUP(U440,Hotels!A:A,Hotels!B:B,"Not found"))</f>
        <v>Marriott</v>
      </c>
      <c r="AV440" t="s">
        <v>148</v>
      </c>
      <c r="AW440" s="16" t="str">
        <f t="shared" si="134"/>
        <v>OK</v>
      </c>
      <c r="AX440" s="16" t="str">
        <f t="shared" si="135"/>
        <v>OK</v>
      </c>
      <c r="AY440" s="16" t="str">
        <f t="shared" si="136"/>
        <v>OK</v>
      </c>
      <c r="AZ440" s="16" t="str">
        <f t="shared" si="137"/>
        <v>OK</v>
      </c>
      <c r="BA440" s="16" t="str">
        <f t="shared" si="141"/>
        <v>OK</v>
      </c>
      <c r="BB440" s="21">
        <f>COUNTIF('Trip Changes'!B:B,A440)</f>
        <v>0</v>
      </c>
      <c r="BC440" s="16" t="str">
        <f>IF(OR(AND(AD440="Yes",COUNTIF('Trip Changes'!B:B,A440)&gt;0),AND(AD440="No",COUNTIF('Trip Changes'!B:B,A440)=0)),"OK","Check")</f>
        <v>OK</v>
      </c>
      <c r="BD440" t="str">
        <f t="shared" si="142"/>
        <v>OK</v>
      </c>
      <c r="BE440" t="str">
        <f t="shared" si="143"/>
        <v>OK</v>
      </c>
      <c r="BF440" t="str">
        <f t="shared" si="144"/>
        <v>OK</v>
      </c>
      <c r="BG440" t="str">
        <f t="shared" si="145"/>
        <v>OK</v>
      </c>
      <c r="BH440" t="str">
        <f t="shared" si="146"/>
        <v>OK</v>
      </c>
      <c r="BI440" t="str">
        <f t="shared" si="138"/>
        <v>OK</v>
      </c>
      <c r="BJ440" t="str">
        <f t="shared" si="139"/>
        <v>OK</v>
      </c>
      <c r="BK440" t="str">
        <f t="shared" si="140"/>
        <v>OK</v>
      </c>
    </row>
    <row r="441" spans="1:63">
      <c r="A441" s="16" t="s">
        <v>771</v>
      </c>
      <c r="B441" s="16" t="s">
        <v>766</v>
      </c>
      <c r="C441" s="16" t="s">
        <v>257</v>
      </c>
      <c r="D441" s="16" t="s">
        <v>230</v>
      </c>
      <c r="E441" s="16" t="s">
        <v>262</v>
      </c>
      <c r="F441" s="16" t="s">
        <v>162</v>
      </c>
      <c r="G441" s="15">
        <v>46191</v>
      </c>
      <c r="H441" s="15">
        <v>46211</v>
      </c>
      <c r="I441" s="15">
        <v>46216</v>
      </c>
      <c r="J441" s="15" t="s">
        <v>150</v>
      </c>
      <c r="K441" s="16" t="s">
        <v>257</v>
      </c>
      <c r="L441" t="s">
        <v>151</v>
      </c>
      <c r="M441" s="16" t="s">
        <v>152</v>
      </c>
      <c r="N441" s="16" t="s">
        <v>153</v>
      </c>
      <c r="O441" t="s">
        <v>1614</v>
      </c>
      <c r="P441" s="18">
        <v>1236</v>
      </c>
      <c r="Q441" s="21">
        <v>20</v>
      </c>
      <c r="R441" s="21" t="str">
        <f t="shared" si="126"/>
        <v>15-30 days</v>
      </c>
      <c r="S441" s="16" t="s">
        <v>145</v>
      </c>
      <c r="T441" s="16" t="s">
        <v>154</v>
      </c>
      <c r="U441" s="16" t="s">
        <v>173</v>
      </c>
      <c r="V441" t="str">
        <f>IF(U441="","",IFERROR(VLOOKUP(U441,Hotels!A:B,2,FALSE),"Not Found"))</f>
        <v>Accor</v>
      </c>
      <c r="W441" s="14">
        <v>302.8</v>
      </c>
      <c r="X441" s="14">
        <v>0</v>
      </c>
      <c r="Y441" s="21">
        <v>4</v>
      </c>
      <c r="Z441" s="29">
        <f t="shared" si="127"/>
        <v>151.47</v>
      </c>
      <c r="AA441" s="14">
        <v>605.88</v>
      </c>
      <c r="AB441" s="14">
        <v>79.64</v>
      </c>
      <c r="AC441" s="14">
        <v>988.32</v>
      </c>
      <c r="AD441" s="16" t="s">
        <v>147</v>
      </c>
      <c r="AE441" s="16" t="s">
        <v>147</v>
      </c>
      <c r="AF441" s="14">
        <f>SUMIF('Trip Changes'!$B:$B,A441,'Trip Changes'!$E:$E)</f>
        <v>0</v>
      </c>
      <c r="AG441" s="23">
        <f>SUMIF('Trip Cancellations'!$B:$B,A441,'Trip Cancellations'!$E:$E)</f>
        <v>0</v>
      </c>
      <c r="AH441" s="14">
        <f>SUMIF('Trip Cancellations'!$B:$B,A441,'Trip Cancellations'!$F:$F)</f>
        <v>0</v>
      </c>
      <c r="AI441" s="14">
        <f t="shared" si="128"/>
        <v>988.32</v>
      </c>
      <c r="AJ441" s="14" t="str">
        <f t="shared" si="129"/>
        <v>Yes</v>
      </c>
      <c r="AK441" s="14" t="str">
        <f>IF(Y441=0,"N/A",
IF(_xlfn.XLOOKUP(U441,Hotels!A:A,Hotels!C:C)=TRUE,"Yes","No"))</f>
        <v>Yes</v>
      </c>
      <c r="AL441" s="14" t="str">
        <f>IF(N441="Rail","N/A",IF(_xlfn.XLOOKUP(T441,Airlines!A:A,Airlines!C:C)=TRUE,"Yes","No"))</f>
        <v>Yes</v>
      </c>
      <c r="AM441" s="14" t="str">
        <f t="shared" si="130"/>
        <v>Yes</v>
      </c>
      <c r="AN441" s="14" t="str">
        <f t="shared" si="131"/>
        <v>Yes</v>
      </c>
      <c r="AO441" s="14" t="str">
        <f t="shared" si="132"/>
        <v>Yes</v>
      </c>
      <c r="AP441" s="16" t="s">
        <v>147</v>
      </c>
      <c r="AQ441" t="str">
        <f t="shared" si="133"/>
        <v>Yes</v>
      </c>
      <c r="AR441" s="21">
        <v>4</v>
      </c>
      <c r="AS441" s="5">
        <v>185.4</v>
      </c>
      <c r="AT441" s="5" t="str">
        <f>IF(T441="","",_xlfn.XLOOKUP(T441,Airlines!A:A,Airlines!B:B,"Not Found"))</f>
        <v>British Airways</v>
      </c>
      <c r="AU441" s="5" t="str">
        <f>IF(U441="","",_xlfn.XLOOKUP(U441,Hotels!A:A,Hotels!B:B,"Not found"))</f>
        <v>Accor</v>
      </c>
      <c r="AV441" t="s">
        <v>147</v>
      </c>
      <c r="AW441" s="16" t="str">
        <f t="shared" si="134"/>
        <v>OK</v>
      </c>
      <c r="AX441" s="16" t="str">
        <f t="shared" si="135"/>
        <v>OK</v>
      </c>
      <c r="AY441" s="16" t="str">
        <f t="shared" si="136"/>
        <v>OK</v>
      </c>
      <c r="AZ441" s="16" t="str">
        <f t="shared" si="137"/>
        <v>OK</v>
      </c>
      <c r="BA441" s="16" t="str">
        <f t="shared" si="141"/>
        <v>OK</v>
      </c>
      <c r="BB441" s="21">
        <f>COUNTIF('Trip Changes'!B:B,A441)</f>
        <v>0</v>
      </c>
      <c r="BC441" s="16" t="str">
        <f>IF(OR(AND(AD441="Yes",COUNTIF('Trip Changes'!B:B,A441)&gt;0),AND(AD441="No",COUNTIF('Trip Changes'!B:B,A441)=0)),"OK","Check")</f>
        <v>OK</v>
      </c>
      <c r="BD441" t="str">
        <f t="shared" si="142"/>
        <v>OK</v>
      </c>
      <c r="BE441" t="str">
        <f t="shared" si="143"/>
        <v>OK</v>
      </c>
      <c r="BF441" t="str">
        <f t="shared" si="144"/>
        <v>OK</v>
      </c>
      <c r="BG441" t="str">
        <f t="shared" si="145"/>
        <v>OK</v>
      </c>
      <c r="BH441" t="str">
        <f t="shared" si="146"/>
        <v>OK</v>
      </c>
      <c r="BI441" t="str">
        <f t="shared" si="138"/>
        <v>OK</v>
      </c>
      <c r="BJ441" t="str">
        <f t="shared" si="139"/>
        <v>OK</v>
      </c>
      <c r="BK441" t="str">
        <f t="shared" si="140"/>
        <v>OK</v>
      </c>
    </row>
    <row r="442" spans="1:63">
      <c r="A442" s="16" t="s">
        <v>772</v>
      </c>
      <c r="B442" s="16" t="s">
        <v>773</v>
      </c>
      <c r="C442" s="16" t="s">
        <v>182</v>
      </c>
      <c r="D442" s="16" t="s">
        <v>248</v>
      </c>
      <c r="E442" s="16" t="s">
        <v>139</v>
      </c>
      <c r="F442" s="16" t="s">
        <v>162</v>
      </c>
      <c r="G442" s="15">
        <v>46213</v>
      </c>
      <c r="H442" s="15">
        <v>46215</v>
      </c>
      <c r="I442" s="15">
        <v>46218</v>
      </c>
      <c r="J442" s="15" t="s">
        <v>150</v>
      </c>
      <c r="K442" s="16" t="s">
        <v>182</v>
      </c>
      <c r="L442" t="s">
        <v>171</v>
      </c>
      <c r="M442" s="16" t="s">
        <v>152</v>
      </c>
      <c r="N442" s="16" t="s">
        <v>153</v>
      </c>
      <c r="O442" t="s">
        <v>1614</v>
      </c>
      <c r="P442" s="18">
        <v>2786</v>
      </c>
      <c r="Q442" s="21">
        <v>2</v>
      </c>
      <c r="R442" s="21" t="str">
        <f t="shared" si="126"/>
        <v>0-3 days</v>
      </c>
      <c r="S442" s="16" t="s">
        <v>159</v>
      </c>
      <c r="T442" s="16" t="s">
        <v>172</v>
      </c>
      <c r="U442" s="16" t="s">
        <v>155</v>
      </c>
      <c r="V442" t="str">
        <f>IF(U442="","",IFERROR(VLOOKUP(U442,Hotels!A:B,2,FALSE),"Not Found"))</f>
        <v>Hilton</v>
      </c>
      <c r="W442" s="14">
        <v>371.15</v>
      </c>
      <c r="X442" s="14">
        <v>0</v>
      </c>
      <c r="Y442" s="21">
        <v>2</v>
      </c>
      <c r="Z442" s="29">
        <f t="shared" si="127"/>
        <v>217.71</v>
      </c>
      <c r="AA442" s="14">
        <v>435.42</v>
      </c>
      <c r="AB442" s="14">
        <v>71.42</v>
      </c>
      <c r="AC442" s="14">
        <v>877.99</v>
      </c>
      <c r="AD442" s="16" t="s">
        <v>147</v>
      </c>
      <c r="AE442" s="16" t="s">
        <v>147</v>
      </c>
      <c r="AF442" s="14">
        <f>SUMIF('Trip Changes'!$B:$B,A442,'Trip Changes'!$E:$E)</f>
        <v>0</v>
      </c>
      <c r="AG442" s="23">
        <f>SUMIF('Trip Cancellations'!$B:$B,A442,'Trip Cancellations'!$E:$E)</f>
        <v>0</v>
      </c>
      <c r="AH442" s="14">
        <f>SUMIF('Trip Cancellations'!$B:$B,A442,'Trip Cancellations'!$F:$F)</f>
        <v>0</v>
      </c>
      <c r="AI442" s="14">
        <f t="shared" si="128"/>
        <v>877.99</v>
      </c>
      <c r="AJ442" s="14" t="str">
        <f t="shared" si="129"/>
        <v>No</v>
      </c>
      <c r="AK442" s="14" t="str">
        <f>IF(Y442=0,"N/A",
IF(_xlfn.XLOOKUP(U442,Hotels!A:A,Hotels!C:C)=TRUE,"Yes","No"))</f>
        <v>Yes</v>
      </c>
      <c r="AL442" s="14" t="str">
        <f>IF(N442="Rail","N/A",IF(_xlfn.XLOOKUP(T442,Airlines!A:A,Airlines!C:C)=TRUE,"Yes","No"))</f>
        <v>Yes</v>
      </c>
      <c r="AM442" s="14" t="str">
        <f t="shared" si="130"/>
        <v>Yes</v>
      </c>
      <c r="AN442" s="14" t="str">
        <f t="shared" si="131"/>
        <v>Yes</v>
      </c>
      <c r="AO442" s="14" t="str">
        <f t="shared" si="132"/>
        <v>Yes</v>
      </c>
      <c r="AP442" s="16" t="s">
        <v>148</v>
      </c>
      <c r="AQ442" t="str">
        <f t="shared" si="133"/>
        <v>No</v>
      </c>
      <c r="AR442" s="21">
        <v>5</v>
      </c>
      <c r="AS442" s="5">
        <v>417.9</v>
      </c>
      <c r="AT442" s="5" t="str">
        <f>IF(T442="","",_xlfn.XLOOKUP(T442,Airlines!A:A,Airlines!B:B,"Not Found"))</f>
        <v>Lufthansa</v>
      </c>
      <c r="AU442" s="5" t="str">
        <f>IF(U442="","",_xlfn.XLOOKUP(U442,Hotels!A:A,Hotels!B:B,"Not found"))</f>
        <v>Hilton</v>
      </c>
      <c r="AV442" t="s">
        <v>148</v>
      </c>
      <c r="AW442" s="16" t="str">
        <f t="shared" si="134"/>
        <v>OK</v>
      </c>
      <c r="AX442" s="16" t="str">
        <f t="shared" si="135"/>
        <v>OK</v>
      </c>
      <c r="AY442" s="16" t="str">
        <f t="shared" si="136"/>
        <v>OK</v>
      </c>
      <c r="AZ442" s="16" t="str">
        <f t="shared" si="137"/>
        <v>OK</v>
      </c>
      <c r="BA442" s="16" t="str">
        <f t="shared" si="141"/>
        <v>OK</v>
      </c>
      <c r="BB442" s="21">
        <f>COUNTIF('Trip Changes'!B:B,A442)</f>
        <v>0</v>
      </c>
      <c r="BC442" s="16" t="str">
        <f>IF(OR(AND(AD442="Yes",COUNTIF('Trip Changes'!B:B,A442)&gt;0),AND(AD442="No",COUNTIF('Trip Changes'!B:B,A442)=0)),"OK","Check")</f>
        <v>OK</v>
      </c>
      <c r="BD442" t="str">
        <f t="shared" si="142"/>
        <v>OK</v>
      </c>
      <c r="BE442" t="str">
        <f t="shared" si="143"/>
        <v>OK</v>
      </c>
      <c r="BF442" t="str">
        <f t="shared" si="144"/>
        <v>OK</v>
      </c>
      <c r="BG442" t="str">
        <f t="shared" si="145"/>
        <v>OK</v>
      </c>
      <c r="BH442" t="str">
        <f t="shared" si="146"/>
        <v>OK</v>
      </c>
      <c r="BI442" t="str">
        <f t="shared" si="138"/>
        <v>OK</v>
      </c>
      <c r="BJ442" t="str">
        <f t="shared" si="139"/>
        <v>OK</v>
      </c>
      <c r="BK442" t="str">
        <f t="shared" si="140"/>
        <v>OK</v>
      </c>
    </row>
    <row r="443" spans="1:63">
      <c r="A443" s="16" t="s">
        <v>774</v>
      </c>
      <c r="B443" s="16" t="s">
        <v>773</v>
      </c>
      <c r="C443" s="16" t="s">
        <v>182</v>
      </c>
      <c r="D443" s="16" t="s">
        <v>248</v>
      </c>
      <c r="E443" s="16" t="s">
        <v>139</v>
      </c>
      <c r="F443" s="16" t="s">
        <v>178</v>
      </c>
      <c r="G443" s="15">
        <v>46190</v>
      </c>
      <c r="H443" s="15">
        <v>46198</v>
      </c>
      <c r="I443" s="15">
        <v>46205</v>
      </c>
      <c r="J443" s="15" t="s">
        <v>141</v>
      </c>
      <c r="K443" s="16" t="s">
        <v>182</v>
      </c>
      <c r="L443" t="s">
        <v>179</v>
      </c>
      <c r="M443" s="16" t="s">
        <v>152</v>
      </c>
      <c r="N443" s="16" t="s">
        <v>153</v>
      </c>
      <c r="O443" t="s">
        <v>1614</v>
      </c>
      <c r="P443" s="18">
        <v>11300</v>
      </c>
      <c r="Q443" s="21">
        <v>8</v>
      </c>
      <c r="R443" s="21" t="str">
        <f t="shared" si="126"/>
        <v>8-14 days</v>
      </c>
      <c r="S443" s="16" t="s">
        <v>145</v>
      </c>
      <c r="T443" s="16" t="s">
        <v>441</v>
      </c>
      <c r="U443" s="16" t="s">
        <v>164</v>
      </c>
      <c r="V443" t="str">
        <f>IF(U443="","",IFERROR(VLOOKUP(U443,Hotels!A:B,2,FALSE),"Not Found"))</f>
        <v>Marriott</v>
      </c>
      <c r="W443" s="14">
        <v>1735.6</v>
      </c>
      <c r="X443" s="14">
        <v>0</v>
      </c>
      <c r="Y443" s="21">
        <v>6</v>
      </c>
      <c r="Z443" s="29">
        <f t="shared" si="127"/>
        <v>177.17333333333332</v>
      </c>
      <c r="AA443" s="14">
        <v>1063.04</v>
      </c>
      <c r="AB443" s="14">
        <v>48.58</v>
      </c>
      <c r="AC443" s="14">
        <v>2847.22</v>
      </c>
      <c r="AD443" s="16" t="s">
        <v>147</v>
      </c>
      <c r="AE443" s="16" t="s">
        <v>147</v>
      </c>
      <c r="AF443" s="14">
        <f>SUMIF('Trip Changes'!$B:$B,A443,'Trip Changes'!$E:$E)</f>
        <v>0</v>
      </c>
      <c r="AG443" s="23">
        <f>SUMIF('Trip Cancellations'!$B:$B,A443,'Trip Cancellations'!$E:$E)</f>
        <v>0</v>
      </c>
      <c r="AH443" s="14">
        <f>SUMIF('Trip Cancellations'!$B:$B,A443,'Trip Cancellations'!$F:$F)</f>
        <v>0</v>
      </c>
      <c r="AI443" s="14">
        <f t="shared" si="128"/>
        <v>2847.22</v>
      </c>
      <c r="AJ443" s="14" t="str">
        <f t="shared" si="129"/>
        <v>Yes</v>
      </c>
      <c r="AK443" s="14" t="str">
        <f>IF(Y443=0,"N/A",
IF(_xlfn.XLOOKUP(U443,Hotels!A:A,Hotels!C:C)=TRUE,"Yes","No"))</f>
        <v>Yes</v>
      </c>
      <c r="AL443" s="14" t="str">
        <f>IF(N443="Rail","N/A",IF(_xlfn.XLOOKUP(T443,Airlines!A:A,Airlines!C:C)=TRUE,"Yes","No"))</f>
        <v>Yes</v>
      </c>
      <c r="AM443" s="14" t="str">
        <f t="shared" si="130"/>
        <v>Yes</v>
      </c>
      <c r="AN443" s="14" t="str">
        <f t="shared" si="131"/>
        <v>Yes</v>
      </c>
      <c r="AO443" s="14" t="str">
        <f t="shared" si="132"/>
        <v>Yes</v>
      </c>
      <c r="AP443" s="16" t="s">
        <v>147</v>
      </c>
      <c r="AQ443" t="str">
        <f t="shared" si="133"/>
        <v>Yes</v>
      </c>
      <c r="AR443" s="21">
        <v>4</v>
      </c>
      <c r="AS443" s="5">
        <v>1695</v>
      </c>
      <c r="AT443" s="5" t="str">
        <f>IF(T443="","",_xlfn.XLOOKUP(T443,Airlines!A:A,Airlines!B:B,"Not Found"))</f>
        <v>Emirates</v>
      </c>
      <c r="AU443" s="5" t="str">
        <f>IF(U443="","",_xlfn.XLOOKUP(U443,Hotels!A:A,Hotels!B:B,"Not found"))</f>
        <v>Marriott</v>
      </c>
      <c r="AV443" t="s">
        <v>147</v>
      </c>
      <c r="AW443" s="16" t="str">
        <f t="shared" si="134"/>
        <v>OK</v>
      </c>
      <c r="AX443" s="16" t="str">
        <f t="shared" si="135"/>
        <v>OK</v>
      </c>
      <c r="AY443" s="16" t="str">
        <f t="shared" si="136"/>
        <v>OK</v>
      </c>
      <c r="AZ443" s="16" t="str">
        <f t="shared" si="137"/>
        <v>OK</v>
      </c>
      <c r="BA443" s="16" t="str">
        <f t="shared" si="141"/>
        <v>OK</v>
      </c>
      <c r="BB443" s="21">
        <f>COUNTIF('Trip Changes'!B:B,A443)</f>
        <v>0</v>
      </c>
      <c r="BC443" s="16" t="str">
        <f>IF(OR(AND(AD443="Yes",COUNTIF('Trip Changes'!B:B,A443)&gt;0),AND(AD443="No",COUNTIF('Trip Changes'!B:B,A443)=0)),"OK","Check")</f>
        <v>OK</v>
      </c>
      <c r="BD443" t="str">
        <f t="shared" si="142"/>
        <v>OK</v>
      </c>
      <c r="BE443" t="str">
        <f t="shared" si="143"/>
        <v>OK</v>
      </c>
      <c r="BF443" t="str">
        <f t="shared" si="144"/>
        <v>OK</v>
      </c>
      <c r="BG443" t="str">
        <f t="shared" si="145"/>
        <v>OK</v>
      </c>
      <c r="BH443" t="str">
        <f t="shared" si="146"/>
        <v>OK</v>
      </c>
      <c r="BI443" t="str">
        <f t="shared" si="138"/>
        <v>OK</v>
      </c>
      <c r="BJ443" t="str">
        <f t="shared" si="139"/>
        <v>OK</v>
      </c>
      <c r="BK443" t="str">
        <f t="shared" si="140"/>
        <v>OK</v>
      </c>
    </row>
    <row r="444" spans="1:63">
      <c r="A444" s="16" t="s">
        <v>775</v>
      </c>
      <c r="B444" s="16" t="s">
        <v>776</v>
      </c>
      <c r="C444" s="16" t="s">
        <v>307</v>
      </c>
      <c r="D444" s="16" t="s">
        <v>248</v>
      </c>
      <c r="E444" s="16" t="s">
        <v>169</v>
      </c>
      <c r="F444" s="16" t="s">
        <v>178</v>
      </c>
      <c r="G444" s="15">
        <v>46145</v>
      </c>
      <c r="H444" s="15">
        <v>46146</v>
      </c>
      <c r="I444" s="15">
        <v>46149</v>
      </c>
      <c r="J444" s="15" t="s">
        <v>163</v>
      </c>
      <c r="K444" s="16" t="s">
        <v>307</v>
      </c>
      <c r="L444" t="s">
        <v>199</v>
      </c>
      <c r="M444" s="16" t="s">
        <v>152</v>
      </c>
      <c r="N444" s="16" t="s">
        <v>153</v>
      </c>
      <c r="O444" t="s">
        <v>1614</v>
      </c>
      <c r="P444" s="18">
        <v>1228</v>
      </c>
      <c r="Q444" s="21">
        <v>1</v>
      </c>
      <c r="R444" s="21" t="str">
        <f t="shared" si="126"/>
        <v>0-3 days</v>
      </c>
      <c r="S444" s="16" t="s">
        <v>145</v>
      </c>
      <c r="T444" s="16" t="s">
        <v>200</v>
      </c>
      <c r="U444" s="16" t="s">
        <v>164</v>
      </c>
      <c r="V444" t="str">
        <f>IF(U444="","",IFERROR(VLOOKUP(U444,Hotels!A:B,2,FALSE),"Not Found"))</f>
        <v>Marriott</v>
      </c>
      <c r="W444" s="14">
        <v>651.97</v>
      </c>
      <c r="X444" s="14">
        <v>0</v>
      </c>
      <c r="Y444" s="21">
        <v>2</v>
      </c>
      <c r="Z444" s="29">
        <f t="shared" si="127"/>
        <v>133.64500000000001</v>
      </c>
      <c r="AA444" s="14">
        <v>267.29000000000002</v>
      </c>
      <c r="AB444" s="14">
        <v>118.01</v>
      </c>
      <c r="AC444" s="14">
        <v>1037.27</v>
      </c>
      <c r="AD444" s="16" t="s">
        <v>147</v>
      </c>
      <c r="AE444" s="16" t="s">
        <v>147</v>
      </c>
      <c r="AF444" s="14">
        <f>SUMIF('Trip Changes'!$B:$B,A444,'Trip Changes'!$E:$E)</f>
        <v>0</v>
      </c>
      <c r="AG444" s="23">
        <f>SUMIF('Trip Cancellations'!$B:$B,A444,'Trip Cancellations'!$E:$E)</f>
        <v>0</v>
      </c>
      <c r="AH444" s="14">
        <f>SUMIF('Trip Cancellations'!$B:$B,A444,'Trip Cancellations'!$F:$F)</f>
        <v>0</v>
      </c>
      <c r="AI444" s="14">
        <f t="shared" si="128"/>
        <v>1037.27</v>
      </c>
      <c r="AJ444" s="14" t="str">
        <f t="shared" si="129"/>
        <v>Yes</v>
      </c>
      <c r="AK444" s="14" t="str">
        <f>IF(Y444=0,"N/A",
IF(_xlfn.XLOOKUP(U444,Hotels!A:A,Hotels!C:C)=TRUE,"Yes","No"))</f>
        <v>Yes</v>
      </c>
      <c r="AL444" s="14" t="str">
        <f>IF(N444="Rail","N/A",IF(_xlfn.XLOOKUP(T444,Airlines!A:A,Airlines!C:C)=TRUE,"Yes","No"))</f>
        <v>Yes</v>
      </c>
      <c r="AM444" s="14" t="str">
        <f t="shared" si="130"/>
        <v>Yes</v>
      </c>
      <c r="AN444" s="14" t="str">
        <f t="shared" si="131"/>
        <v>Yes</v>
      </c>
      <c r="AO444" s="14" t="str">
        <f t="shared" si="132"/>
        <v>Yes</v>
      </c>
      <c r="AP444" s="16" t="s">
        <v>148</v>
      </c>
      <c r="AQ444" t="str">
        <f t="shared" si="133"/>
        <v>Yes</v>
      </c>
      <c r="AR444" s="21">
        <v>5</v>
      </c>
      <c r="AS444" s="5">
        <v>184.2</v>
      </c>
      <c r="AT444" s="5" t="str">
        <f>IF(T444="","",_xlfn.XLOOKUP(T444,Airlines!A:A,Airlines!B:B,"Not Found"))</f>
        <v>Aer Lingus</v>
      </c>
      <c r="AU444" s="5" t="str">
        <f>IF(U444="","",_xlfn.XLOOKUP(U444,Hotels!A:A,Hotels!B:B,"Not found"))</f>
        <v>Marriott</v>
      </c>
      <c r="AV444" t="s">
        <v>147</v>
      </c>
      <c r="AW444" s="16" t="str">
        <f t="shared" si="134"/>
        <v>OK</v>
      </c>
      <c r="AX444" s="16" t="str">
        <f t="shared" si="135"/>
        <v>OK</v>
      </c>
      <c r="AY444" s="16" t="str">
        <f t="shared" si="136"/>
        <v>OK</v>
      </c>
      <c r="AZ444" s="16" t="str">
        <f t="shared" si="137"/>
        <v>OK</v>
      </c>
      <c r="BA444" s="16" t="str">
        <f t="shared" si="141"/>
        <v>OK</v>
      </c>
      <c r="BB444" s="21">
        <f>COUNTIF('Trip Changes'!B:B,A444)</f>
        <v>0</v>
      </c>
      <c r="BC444" s="16" t="str">
        <f>IF(OR(AND(AD444="Yes",COUNTIF('Trip Changes'!B:B,A444)&gt;0),AND(AD444="No",COUNTIF('Trip Changes'!B:B,A444)=0)),"OK","Check")</f>
        <v>OK</v>
      </c>
      <c r="BD444" t="str">
        <f t="shared" si="142"/>
        <v>OK</v>
      </c>
      <c r="BE444" t="str">
        <f t="shared" si="143"/>
        <v>OK</v>
      </c>
      <c r="BF444" t="str">
        <f t="shared" si="144"/>
        <v>OK</v>
      </c>
      <c r="BG444" t="str">
        <f t="shared" si="145"/>
        <v>OK</v>
      </c>
      <c r="BH444" t="str">
        <f t="shared" si="146"/>
        <v>OK</v>
      </c>
      <c r="BI444" t="str">
        <f t="shared" si="138"/>
        <v>OK</v>
      </c>
      <c r="BJ444" t="str">
        <f t="shared" si="139"/>
        <v>OK</v>
      </c>
      <c r="BK444" t="str">
        <f t="shared" si="140"/>
        <v>OK</v>
      </c>
    </row>
    <row r="445" spans="1:63">
      <c r="A445" s="16" t="s">
        <v>777</v>
      </c>
      <c r="B445" s="16" t="s">
        <v>776</v>
      </c>
      <c r="C445" s="16" t="s">
        <v>307</v>
      </c>
      <c r="D445" s="16" t="s">
        <v>248</v>
      </c>
      <c r="E445" s="16" t="s">
        <v>169</v>
      </c>
      <c r="F445" s="16" t="s">
        <v>189</v>
      </c>
      <c r="G445" s="15">
        <v>46208</v>
      </c>
      <c r="H445" s="15">
        <v>46230</v>
      </c>
      <c r="I445" s="15">
        <v>46233</v>
      </c>
      <c r="J445" s="15" t="s">
        <v>150</v>
      </c>
      <c r="K445" s="16" t="s">
        <v>307</v>
      </c>
      <c r="L445" t="s">
        <v>199</v>
      </c>
      <c r="M445" s="16" t="s">
        <v>152</v>
      </c>
      <c r="N445" s="16" t="s">
        <v>153</v>
      </c>
      <c r="O445" t="s">
        <v>1614</v>
      </c>
      <c r="P445" s="18">
        <v>3490</v>
      </c>
      <c r="Q445" s="21">
        <v>22</v>
      </c>
      <c r="R445" s="21" t="str">
        <f t="shared" si="126"/>
        <v>15-30 days</v>
      </c>
      <c r="S445" s="16" t="s">
        <v>145</v>
      </c>
      <c r="T445" s="16" t="s">
        <v>200</v>
      </c>
      <c r="U445" s="16" t="s">
        <v>155</v>
      </c>
      <c r="V445" t="str">
        <f>IF(U445="","",IFERROR(VLOOKUP(U445,Hotels!A:B,2,FALSE),"Not Found"))</f>
        <v>Hilton</v>
      </c>
      <c r="W445" s="14">
        <v>173.64</v>
      </c>
      <c r="X445" s="14">
        <v>0</v>
      </c>
      <c r="Y445" s="21">
        <v>2</v>
      </c>
      <c r="Z445" s="29">
        <f t="shared" si="127"/>
        <v>232.28</v>
      </c>
      <c r="AA445" s="14">
        <v>464.56</v>
      </c>
      <c r="AB445" s="14">
        <v>124.6</v>
      </c>
      <c r="AC445" s="14">
        <v>762.8</v>
      </c>
      <c r="AD445" s="16" t="s">
        <v>147</v>
      </c>
      <c r="AE445" s="16" t="s">
        <v>147</v>
      </c>
      <c r="AF445" s="14">
        <f>SUMIF('Trip Changes'!$B:$B,A445,'Trip Changes'!$E:$E)</f>
        <v>0</v>
      </c>
      <c r="AG445" s="23">
        <f>SUMIF('Trip Cancellations'!$B:$B,A445,'Trip Cancellations'!$E:$E)</f>
        <v>0</v>
      </c>
      <c r="AH445" s="14">
        <f>SUMIF('Trip Cancellations'!$B:$B,A445,'Trip Cancellations'!$F:$F)</f>
        <v>0</v>
      </c>
      <c r="AI445" s="14">
        <f t="shared" si="128"/>
        <v>762.8</v>
      </c>
      <c r="AJ445" s="14" t="str">
        <f t="shared" si="129"/>
        <v>No</v>
      </c>
      <c r="AK445" s="14" t="str">
        <f>IF(Y445=0,"N/A",
IF(_xlfn.XLOOKUP(U445,Hotels!A:A,Hotels!C:C)=TRUE,"Yes","No"))</f>
        <v>Yes</v>
      </c>
      <c r="AL445" s="14" t="str">
        <f>IF(N445="Rail","N/A",IF(_xlfn.XLOOKUP(T445,Airlines!A:A,Airlines!C:C)=TRUE,"Yes","No"))</f>
        <v>Yes</v>
      </c>
      <c r="AM445" s="14" t="str">
        <f t="shared" si="130"/>
        <v>Yes</v>
      </c>
      <c r="AN445" s="14" t="str">
        <f t="shared" si="131"/>
        <v>Yes</v>
      </c>
      <c r="AO445" s="14" t="str">
        <f t="shared" si="132"/>
        <v>Yes</v>
      </c>
      <c r="AP445" s="16" t="s">
        <v>148</v>
      </c>
      <c r="AQ445" t="str">
        <f t="shared" si="133"/>
        <v>No</v>
      </c>
      <c r="AR445" s="21">
        <v>5</v>
      </c>
      <c r="AS445" s="5">
        <v>523.5</v>
      </c>
      <c r="AT445" s="5" t="str">
        <f>IF(T445="","",_xlfn.XLOOKUP(T445,Airlines!A:A,Airlines!B:B,"Not Found"))</f>
        <v>Aer Lingus</v>
      </c>
      <c r="AU445" s="5" t="str">
        <f>IF(U445="","",_xlfn.XLOOKUP(U445,Hotels!A:A,Hotels!B:B,"Not found"))</f>
        <v>Hilton</v>
      </c>
      <c r="AV445" t="s">
        <v>148</v>
      </c>
      <c r="AW445" s="16" t="str">
        <f t="shared" si="134"/>
        <v>OK</v>
      </c>
      <c r="AX445" s="16" t="str">
        <f t="shared" si="135"/>
        <v>OK</v>
      </c>
      <c r="AY445" s="16" t="str">
        <f t="shared" si="136"/>
        <v>OK</v>
      </c>
      <c r="AZ445" s="16" t="str">
        <f t="shared" si="137"/>
        <v>OK</v>
      </c>
      <c r="BA445" s="16" t="str">
        <f t="shared" si="141"/>
        <v>OK</v>
      </c>
      <c r="BB445" s="21">
        <f>COUNTIF('Trip Changes'!B:B,A445)</f>
        <v>0</v>
      </c>
      <c r="BC445" s="16" t="str">
        <f>IF(OR(AND(AD445="Yes",COUNTIF('Trip Changes'!B:B,A445)&gt;0),AND(AD445="No",COUNTIF('Trip Changes'!B:B,A445)=0)),"OK","Check")</f>
        <v>OK</v>
      </c>
      <c r="BD445" t="str">
        <f t="shared" si="142"/>
        <v>OK</v>
      </c>
      <c r="BE445" t="str">
        <f t="shared" si="143"/>
        <v>OK</v>
      </c>
      <c r="BF445" t="str">
        <f t="shared" si="144"/>
        <v>OK</v>
      </c>
      <c r="BG445" t="str">
        <f t="shared" si="145"/>
        <v>OK</v>
      </c>
      <c r="BH445" t="str">
        <f t="shared" si="146"/>
        <v>OK</v>
      </c>
      <c r="BI445" t="str">
        <f t="shared" si="138"/>
        <v>OK</v>
      </c>
      <c r="BJ445" t="str">
        <f t="shared" si="139"/>
        <v>OK</v>
      </c>
      <c r="BK445" t="str">
        <f t="shared" si="140"/>
        <v>OK</v>
      </c>
    </row>
    <row r="446" spans="1:63">
      <c r="A446" s="16" t="s">
        <v>778</v>
      </c>
      <c r="B446" s="16" t="s">
        <v>776</v>
      </c>
      <c r="C446" s="16" t="s">
        <v>307</v>
      </c>
      <c r="D446" s="16" t="s">
        <v>248</v>
      </c>
      <c r="E446" s="16" t="s">
        <v>169</v>
      </c>
      <c r="F446" s="16" t="s">
        <v>162</v>
      </c>
      <c r="G446" s="15">
        <v>46152</v>
      </c>
      <c r="H446" s="15">
        <v>46172</v>
      </c>
      <c r="I446" s="15">
        <v>46176</v>
      </c>
      <c r="J446" s="15" t="s">
        <v>163</v>
      </c>
      <c r="K446" s="16" t="s">
        <v>307</v>
      </c>
      <c r="L446" t="s">
        <v>199</v>
      </c>
      <c r="M446" s="16" t="s">
        <v>152</v>
      </c>
      <c r="N446" s="16" t="s">
        <v>153</v>
      </c>
      <c r="O446" t="s">
        <v>1614</v>
      </c>
      <c r="P446" s="18">
        <v>3598</v>
      </c>
      <c r="Q446" s="21">
        <v>20</v>
      </c>
      <c r="R446" s="21" t="str">
        <f t="shared" si="126"/>
        <v>15-30 days</v>
      </c>
      <c r="S446" s="16" t="s">
        <v>216</v>
      </c>
      <c r="T446" s="16" t="s">
        <v>154</v>
      </c>
      <c r="U446" s="16" t="s">
        <v>164</v>
      </c>
      <c r="V446" t="str">
        <f>IF(U446="","",IFERROR(VLOOKUP(U446,Hotels!A:B,2,FALSE),"Not Found"))</f>
        <v>Marriott</v>
      </c>
      <c r="W446" s="14">
        <v>185.8</v>
      </c>
      <c r="X446" s="14">
        <v>0</v>
      </c>
      <c r="Y446" s="21">
        <v>3</v>
      </c>
      <c r="Z446" s="29">
        <f t="shared" si="127"/>
        <v>180.98000000000002</v>
      </c>
      <c r="AA446" s="14">
        <v>542.94000000000005</v>
      </c>
      <c r="AB446" s="14">
        <v>39.15</v>
      </c>
      <c r="AC446" s="14">
        <v>767.89</v>
      </c>
      <c r="AD446" s="16" t="s">
        <v>148</v>
      </c>
      <c r="AE446" s="16" t="s">
        <v>147</v>
      </c>
      <c r="AF446" s="14">
        <f>SUMIF('Trip Changes'!$B:$B,A446,'Trip Changes'!$E:$E)</f>
        <v>175.92</v>
      </c>
      <c r="AG446" s="23">
        <f>SUMIF('Trip Cancellations'!$B:$B,A446,'Trip Cancellations'!$E:$E)</f>
        <v>0</v>
      </c>
      <c r="AH446" s="14">
        <f>SUMIF('Trip Cancellations'!$B:$B,A446,'Trip Cancellations'!$F:$F)</f>
        <v>0</v>
      </c>
      <c r="AI446" s="14">
        <f t="shared" si="128"/>
        <v>943.81</v>
      </c>
      <c r="AJ446" s="14" t="str">
        <f t="shared" si="129"/>
        <v>No</v>
      </c>
      <c r="AK446" s="14" t="str">
        <f>IF(Y446=0,"N/A",
IF(_xlfn.XLOOKUP(U446,Hotels!A:A,Hotels!C:C)=TRUE,"Yes","No"))</f>
        <v>Yes</v>
      </c>
      <c r="AL446" s="14" t="str">
        <f>IF(N446="Rail","N/A",IF(_xlfn.XLOOKUP(T446,Airlines!A:A,Airlines!C:C)=TRUE,"Yes","No"))</f>
        <v>Yes</v>
      </c>
      <c r="AM446" s="14" t="str">
        <f t="shared" si="130"/>
        <v>Yes</v>
      </c>
      <c r="AN446" s="14" t="str">
        <f t="shared" si="131"/>
        <v>No</v>
      </c>
      <c r="AO446" s="14" t="str">
        <f t="shared" si="132"/>
        <v>Yes</v>
      </c>
      <c r="AP446" s="16" t="s">
        <v>148</v>
      </c>
      <c r="AQ446" t="str">
        <f t="shared" si="133"/>
        <v>No</v>
      </c>
      <c r="AR446" s="21">
        <v>4</v>
      </c>
      <c r="AS446" s="5">
        <v>539.70000000000005</v>
      </c>
      <c r="AT446" s="5" t="str">
        <f>IF(T446="","",_xlfn.XLOOKUP(T446,Airlines!A:A,Airlines!B:B,"Not Found"))</f>
        <v>British Airways</v>
      </c>
      <c r="AU446" s="5" t="str">
        <f>IF(U446="","",_xlfn.XLOOKUP(U446,Hotels!A:A,Hotels!B:B,"Not found"))</f>
        <v>Marriott</v>
      </c>
      <c r="AV446" t="s">
        <v>148</v>
      </c>
      <c r="AW446" s="16" t="str">
        <f t="shared" si="134"/>
        <v>OK</v>
      </c>
      <c r="AX446" s="16" t="str">
        <f t="shared" si="135"/>
        <v>OK</v>
      </c>
      <c r="AY446" s="16" t="str">
        <f t="shared" si="136"/>
        <v>OK</v>
      </c>
      <c r="AZ446" s="16" t="str">
        <f t="shared" si="137"/>
        <v>OK</v>
      </c>
      <c r="BA446" s="16" t="str">
        <f t="shared" si="141"/>
        <v>OK</v>
      </c>
      <c r="BB446" s="21">
        <f>COUNTIF('Trip Changes'!B:B,A446)</f>
        <v>1</v>
      </c>
      <c r="BC446" s="16" t="str">
        <f>IF(OR(AND(AD446="Yes",COUNTIF('Trip Changes'!B:B,A446)&gt;0),AND(AD446="No",COUNTIF('Trip Changes'!B:B,A446)=0)),"OK","Check")</f>
        <v>OK</v>
      </c>
      <c r="BD446" t="str">
        <f t="shared" si="142"/>
        <v>OK</v>
      </c>
      <c r="BE446" t="str">
        <f t="shared" si="143"/>
        <v>OK</v>
      </c>
      <c r="BF446" t="str">
        <f t="shared" si="144"/>
        <v>OK</v>
      </c>
      <c r="BG446" t="str">
        <f t="shared" si="145"/>
        <v>OK</v>
      </c>
      <c r="BH446" t="str">
        <f t="shared" si="146"/>
        <v>OK</v>
      </c>
      <c r="BI446" t="str">
        <f t="shared" si="138"/>
        <v>OK</v>
      </c>
      <c r="BJ446" t="str">
        <f t="shared" si="139"/>
        <v>OK</v>
      </c>
      <c r="BK446" t="str">
        <f t="shared" si="140"/>
        <v>OK</v>
      </c>
    </row>
    <row r="447" spans="1:63">
      <c r="A447" s="16" t="s">
        <v>779</v>
      </c>
      <c r="B447" s="16" t="s">
        <v>780</v>
      </c>
      <c r="C447" s="16" t="s">
        <v>182</v>
      </c>
      <c r="D447" s="16" t="s">
        <v>230</v>
      </c>
      <c r="E447" s="16" t="s">
        <v>268</v>
      </c>
      <c r="F447" s="16" t="s">
        <v>178</v>
      </c>
      <c r="G447" s="15">
        <v>46205</v>
      </c>
      <c r="H447" s="15">
        <v>46217</v>
      </c>
      <c r="I447" s="15">
        <v>46220</v>
      </c>
      <c r="J447" s="15" t="s">
        <v>150</v>
      </c>
      <c r="K447" s="16" t="s">
        <v>182</v>
      </c>
      <c r="L447" t="s">
        <v>175</v>
      </c>
      <c r="M447" s="16" t="s">
        <v>152</v>
      </c>
      <c r="N447" s="16" t="s">
        <v>153</v>
      </c>
      <c r="O447" t="s">
        <v>1614</v>
      </c>
      <c r="P447" s="18">
        <v>2626</v>
      </c>
      <c r="Q447" s="21">
        <v>12</v>
      </c>
      <c r="R447" s="21" t="str">
        <f t="shared" si="126"/>
        <v>8-14 days</v>
      </c>
      <c r="S447" s="16" t="s">
        <v>145</v>
      </c>
      <c r="T447" s="16" t="s">
        <v>160</v>
      </c>
      <c r="U447" s="16" t="s">
        <v>164</v>
      </c>
      <c r="V447" t="str">
        <f>IF(U447="","",IFERROR(VLOOKUP(U447,Hotels!A:B,2,FALSE),"Not Found"))</f>
        <v>Marriott</v>
      </c>
      <c r="W447" s="14">
        <v>162</v>
      </c>
      <c r="X447" s="14">
        <v>0</v>
      </c>
      <c r="Y447" s="21">
        <v>2</v>
      </c>
      <c r="Z447" s="29">
        <f t="shared" si="127"/>
        <v>207.51</v>
      </c>
      <c r="AA447" s="14">
        <v>415.02</v>
      </c>
      <c r="AB447" s="14">
        <v>67.569999999999993</v>
      </c>
      <c r="AC447" s="14">
        <v>644.59</v>
      </c>
      <c r="AD447" s="16" t="s">
        <v>147</v>
      </c>
      <c r="AE447" s="16" t="s">
        <v>147</v>
      </c>
      <c r="AF447" s="14">
        <f>SUMIF('Trip Changes'!$B:$B,A447,'Trip Changes'!$E:$E)</f>
        <v>0</v>
      </c>
      <c r="AG447" s="23">
        <f>SUMIF('Trip Cancellations'!$B:$B,A447,'Trip Cancellations'!$E:$E)</f>
        <v>0</v>
      </c>
      <c r="AH447" s="14">
        <f>SUMIF('Trip Cancellations'!$B:$B,A447,'Trip Cancellations'!$F:$F)</f>
        <v>0</v>
      </c>
      <c r="AI447" s="14">
        <f t="shared" si="128"/>
        <v>644.59</v>
      </c>
      <c r="AJ447" s="14" t="str">
        <f t="shared" si="129"/>
        <v>Yes</v>
      </c>
      <c r="AK447" s="14" t="str">
        <f>IF(Y447=0,"N/A",
IF(_xlfn.XLOOKUP(U447,Hotels!A:A,Hotels!C:C)=TRUE,"Yes","No"))</f>
        <v>Yes</v>
      </c>
      <c r="AL447" s="14" t="str">
        <f>IF(N447="Rail","N/A",IF(_xlfn.XLOOKUP(T447,Airlines!A:A,Airlines!C:C)=TRUE,"Yes","No"))</f>
        <v>Yes</v>
      </c>
      <c r="AM447" s="14" t="str">
        <f t="shared" si="130"/>
        <v>Yes</v>
      </c>
      <c r="AN447" s="14" t="str">
        <f t="shared" si="131"/>
        <v>Yes</v>
      </c>
      <c r="AO447" s="14" t="str">
        <f t="shared" si="132"/>
        <v>Yes</v>
      </c>
      <c r="AP447" s="16" t="s">
        <v>148</v>
      </c>
      <c r="AQ447" t="str">
        <f t="shared" si="133"/>
        <v>Yes</v>
      </c>
      <c r="AR447" s="21">
        <v>4</v>
      </c>
      <c r="AS447" s="5">
        <v>393.9</v>
      </c>
      <c r="AT447" s="5" t="str">
        <f>IF(T447="","",_xlfn.XLOOKUP(T447,Airlines!A:A,Airlines!B:B,"Not Found"))</f>
        <v>Air France</v>
      </c>
      <c r="AU447" s="5" t="str">
        <f>IF(U447="","",_xlfn.XLOOKUP(U447,Hotels!A:A,Hotels!B:B,"Not found"))</f>
        <v>Marriott</v>
      </c>
      <c r="AV447" t="s">
        <v>148</v>
      </c>
      <c r="AW447" s="16" t="str">
        <f t="shared" si="134"/>
        <v>OK</v>
      </c>
      <c r="AX447" s="16" t="str">
        <f t="shared" si="135"/>
        <v>OK</v>
      </c>
      <c r="AY447" s="16" t="str">
        <f t="shared" si="136"/>
        <v>OK</v>
      </c>
      <c r="AZ447" s="16" t="str">
        <f t="shared" si="137"/>
        <v>OK</v>
      </c>
      <c r="BA447" s="16" t="str">
        <f t="shared" si="141"/>
        <v>OK</v>
      </c>
      <c r="BB447" s="21">
        <f>COUNTIF('Trip Changes'!B:B,A447)</f>
        <v>0</v>
      </c>
      <c r="BC447" s="16" t="str">
        <f>IF(OR(AND(AD447="Yes",COUNTIF('Trip Changes'!B:B,A447)&gt;0),AND(AD447="No",COUNTIF('Trip Changes'!B:B,A447)=0)),"OK","Check")</f>
        <v>OK</v>
      </c>
      <c r="BD447" t="str">
        <f t="shared" si="142"/>
        <v>OK</v>
      </c>
      <c r="BE447" t="str">
        <f t="shared" si="143"/>
        <v>OK</v>
      </c>
      <c r="BF447" t="str">
        <f t="shared" si="144"/>
        <v>OK</v>
      </c>
      <c r="BG447" t="str">
        <f t="shared" si="145"/>
        <v>OK</v>
      </c>
      <c r="BH447" t="str">
        <f t="shared" si="146"/>
        <v>OK</v>
      </c>
      <c r="BI447" t="str">
        <f t="shared" si="138"/>
        <v>OK</v>
      </c>
      <c r="BJ447" t="str">
        <f t="shared" si="139"/>
        <v>OK</v>
      </c>
      <c r="BK447" t="str">
        <f t="shared" si="140"/>
        <v>OK</v>
      </c>
    </row>
    <row r="448" spans="1:63">
      <c r="A448" s="16" t="s">
        <v>781</v>
      </c>
      <c r="B448" s="16" t="s">
        <v>780</v>
      </c>
      <c r="C448" s="16" t="s">
        <v>182</v>
      </c>
      <c r="D448" s="16" t="s">
        <v>230</v>
      </c>
      <c r="E448" s="16" t="s">
        <v>268</v>
      </c>
      <c r="F448" s="16" t="s">
        <v>207</v>
      </c>
      <c r="G448" s="15">
        <v>46159</v>
      </c>
      <c r="H448" s="15">
        <v>46168</v>
      </c>
      <c r="I448" s="15">
        <v>46170</v>
      </c>
      <c r="J448" s="15" t="s">
        <v>163</v>
      </c>
      <c r="K448" s="16" t="s">
        <v>182</v>
      </c>
      <c r="L448" t="s">
        <v>283</v>
      </c>
      <c r="M448" s="16" t="s">
        <v>152</v>
      </c>
      <c r="N448" s="16" t="s">
        <v>153</v>
      </c>
      <c r="O448" t="s">
        <v>1614</v>
      </c>
      <c r="P448" s="18">
        <v>10250</v>
      </c>
      <c r="Q448" s="21">
        <v>9</v>
      </c>
      <c r="R448" s="21" t="str">
        <f t="shared" si="126"/>
        <v>8-14 days</v>
      </c>
      <c r="S448" s="16" t="s">
        <v>145</v>
      </c>
      <c r="T448" s="16" t="s">
        <v>186</v>
      </c>
      <c r="U448" s="16" t="s">
        <v>187</v>
      </c>
      <c r="V448" t="str">
        <f>IF(U448="","",IFERROR(VLOOKUP(U448,Hotels!A:B,2,FALSE),"Not Found"))</f>
        <v>IHG Hotels &amp; Resorts</v>
      </c>
      <c r="W448" s="14">
        <v>865.5</v>
      </c>
      <c r="X448" s="14">
        <v>0</v>
      </c>
      <c r="Y448" s="21">
        <v>1</v>
      </c>
      <c r="Z448" s="29">
        <f t="shared" si="127"/>
        <v>141.16999999999999</v>
      </c>
      <c r="AA448" s="14">
        <v>141.16999999999999</v>
      </c>
      <c r="AB448" s="14">
        <v>125.15</v>
      </c>
      <c r="AC448" s="14">
        <v>1131.82</v>
      </c>
      <c r="AD448" s="16" t="s">
        <v>147</v>
      </c>
      <c r="AE448" s="16" t="s">
        <v>147</v>
      </c>
      <c r="AF448" s="14">
        <f>SUMIF('Trip Changes'!$B:$B,A448,'Trip Changes'!$E:$E)</f>
        <v>0</v>
      </c>
      <c r="AG448" s="23">
        <f>SUMIF('Trip Cancellations'!$B:$B,A448,'Trip Cancellations'!$E:$E)</f>
        <v>0</v>
      </c>
      <c r="AH448" s="14">
        <f>SUMIF('Trip Cancellations'!$B:$B,A448,'Trip Cancellations'!$F:$F)</f>
        <v>0</v>
      </c>
      <c r="AI448" s="14">
        <f t="shared" si="128"/>
        <v>1131.82</v>
      </c>
      <c r="AJ448" s="14" t="str">
        <f t="shared" si="129"/>
        <v>Yes</v>
      </c>
      <c r="AK448" s="14" t="str">
        <f>IF(Y448=0,"N/A",
IF(_xlfn.XLOOKUP(U448,Hotels!A:A,Hotels!C:C)=TRUE,"Yes","No"))</f>
        <v>Yes</v>
      </c>
      <c r="AL448" s="14" t="str">
        <f>IF(N448="Rail","N/A",IF(_xlfn.XLOOKUP(T448,Airlines!A:A,Airlines!C:C)=TRUE,"Yes","No"))</f>
        <v>Yes</v>
      </c>
      <c r="AM448" s="14" t="str">
        <f t="shared" si="130"/>
        <v>Yes</v>
      </c>
      <c r="AN448" s="14" t="str">
        <f t="shared" si="131"/>
        <v>Yes</v>
      </c>
      <c r="AO448" s="14" t="str">
        <f t="shared" si="132"/>
        <v>Yes</v>
      </c>
      <c r="AP448" s="16" t="s">
        <v>148</v>
      </c>
      <c r="AQ448" t="str">
        <f t="shared" si="133"/>
        <v>Yes</v>
      </c>
      <c r="AR448" s="21">
        <v>5</v>
      </c>
      <c r="AS448" s="5">
        <v>1537.5</v>
      </c>
      <c r="AT448" s="5" t="str">
        <f>IF(T448="","",_xlfn.XLOOKUP(T448,Airlines!A:A,Airlines!B:B,"Not Found"))</f>
        <v>Virgin Atlantic</v>
      </c>
      <c r="AU448" s="5" t="str">
        <f>IF(U448="","",_xlfn.XLOOKUP(U448,Hotels!A:A,Hotels!B:B,"Not found"))</f>
        <v>IHG Hotels &amp; Resorts</v>
      </c>
      <c r="AV448" t="s">
        <v>148</v>
      </c>
      <c r="AW448" s="16" t="str">
        <f t="shared" si="134"/>
        <v>OK</v>
      </c>
      <c r="AX448" s="16" t="str">
        <f t="shared" si="135"/>
        <v>OK</v>
      </c>
      <c r="AY448" s="16" t="str">
        <f t="shared" si="136"/>
        <v>OK</v>
      </c>
      <c r="AZ448" s="16" t="str">
        <f t="shared" si="137"/>
        <v>OK</v>
      </c>
      <c r="BA448" s="16" t="str">
        <f t="shared" si="141"/>
        <v>OK</v>
      </c>
      <c r="BB448" s="21">
        <f>COUNTIF('Trip Changes'!B:B,A448)</f>
        <v>0</v>
      </c>
      <c r="BC448" s="16" t="str">
        <f>IF(OR(AND(AD448="Yes",COUNTIF('Trip Changes'!B:B,A448)&gt;0),AND(AD448="No",COUNTIF('Trip Changes'!B:B,A448)=0)),"OK","Check")</f>
        <v>OK</v>
      </c>
      <c r="BD448" t="str">
        <f t="shared" si="142"/>
        <v>OK</v>
      </c>
      <c r="BE448" t="str">
        <f t="shared" si="143"/>
        <v>OK</v>
      </c>
      <c r="BF448" t="str">
        <f t="shared" si="144"/>
        <v>OK</v>
      </c>
      <c r="BG448" t="str">
        <f t="shared" si="145"/>
        <v>OK</v>
      </c>
      <c r="BH448" t="str">
        <f t="shared" si="146"/>
        <v>OK</v>
      </c>
      <c r="BI448" t="str">
        <f t="shared" si="138"/>
        <v>OK</v>
      </c>
      <c r="BJ448" t="str">
        <f t="shared" si="139"/>
        <v>OK</v>
      </c>
      <c r="BK448" t="str">
        <f t="shared" si="140"/>
        <v>OK</v>
      </c>
    </row>
    <row r="449" spans="1:63">
      <c r="A449" s="16" t="s">
        <v>782</v>
      </c>
      <c r="B449" s="16" t="s">
        <v>780</v>
      </c>
      <c r="C449" s="16" t="s">
        <v>182</v>
      </c>
      <c r="D449" s="16" t="s">
        <v>230</v>
      </c>
      <c r="E449" s="16" t="s">
        <v>268</v>
      </c>
      <c r="F449" s="16" t="s">
        <v>162</v>
      </c>
      <c r="G449" s="15">
        <v>46187</v>
      </c>
      <c r="H449" s="15">
        <v>46213</v>
      </c>
      <c r="I449" s="15">
        <v>46215</v>
      </c>
      <c r="J449" s="15" t="s">
        <v>150</v>
      </c>
      <c r="K449" s="16" t="s">
        <v>182</v>
      </c>
      <c r="L449" t="s">
        <v>142</v>
      </c>
      <c r="M449" s="16" t="s">
        <v>143</v>
      </c>
      <c r="N449" s="16" t="s">
        <v>153</v>
      </c>
      <c r="O449" t="s">
        <v>1614</v>
      </c>
      <c r="P449" s="18">
        <v>826</v>
      </c>
      <c r="Q449" s="21">
        <v>26</v>
      </c>
      <c r="R449" s="21" t="str">
        <f t="shared" si="126"/>
        <v>15-30 days</v>
      </c>
      <c r="S449" s="16" t="s">
        <v>159</v>
      </c>
      <c r="T449" s="16" t="s">
        <v>176</v>
      </c>
      <c r="U449" s="16" t="s">
        <v>146</v>
      </c>
      <c r="V449" t="str">
        <f>IF(U449="","",IFERROR(VLOOKUP(U449,Hotels!A:B,2,FALSE),"Not Found"))</f>
        <v>Premier Inn</v>
      </c>
      <c r="W449" s="14">
        <v>288.7</v>
      </c>
      <c r="X449" s="14">
        <v>0</v>
      </c>
      <c r="Y449" s="21">
        <v>1</v>
      </c>
      <c r="Z449" s="29">
        <f t="shared" si="127"/>
        <v>161.19</v>
      </c>
      <c r="AA449" s="14">
        <v>161.19</v>
      </c>
      <c r="AB449" s="14">
        <v>63</v>
      </c>
      <c r="AC449" s="14">
        <v>512.89</v>
      </c>
      <c r="AD449" s="16" t="s">
        <v>147</v>
      </c>
      <c r="AE449" s="16" t="s">
        <v>147</v>
      </c>
      <c r="AF449" s="14">
        <f>SUMIF('Trip Changes'!$B:$B,A449,'Trip Changes'!$E:$E)</f>
        <v>0</v>
      </c>
      <c r="AG449" s="23">
        <f>SUMIF('Trip Cancellations'!$B:$B,A449,'Trip Cancellations'!$E:$E)</f>
        <v>0</v>
      </c>
      <c r="AH449" s="14">
        <f>SUMIF('Trip Cancellations'!$B:$B,A449,'Trip Cancellations'!$F:$F)</f>
        <v>0</v>
      </c>
      <c r="AI449" s="14">
        <f t="shared" si="128"/>
        <v>512.89</v>
      </c>
      <c r="AJ449" s="14" t="str">
        <f t="shared" si="129"/>
        <v>Yes</v>
      </c>
      <c r="AK449" s="14" t="str">
        <f>IF(Y449=0,"N/A",
IF(_xlfn.XLOOKUP(U449,Hotels!A:A,Hotels!C:C)=TRUE,"Yes","No"))</f>
        <v>Yes</v>
      </c>
      <c r="AL449" s="14" t="str">
        <f>IF(N449="Rail","N/A",IF(_xlfn.XLOOKUP(T449,Airlines!A:A,Airlines!C:C)=TRUE,"Yes","No"))</f>
        <v>Yes</v>
      </c>
      <c r="AM449" s="14" t="str">
        <f t="shared" si="130"/>
        <v>Yes</v>
      </c>
      <c r="AN449" s="14" t="str">
        <f t="shared" si="131"/>
        <v>Yes</v>
      </c>
      <c r="AO449" s="14" t="str">
        <f t="shared" si="132"/>
        <v>Yes</v>
      </c>
      <c r="AP449" s="16" t="s">
        <v>148</v>
      </c>
      <c r="AQ449" t="str">
        <f t="shared" si="133"/>
        <v>Yes</v>
      </c>
      <c r="AR449" s="21">
        <v>4</v>
      </c>
      <c r="AS449" s="5">
        <v>123.9</v>
      </c>
      <c r="AT449" s="5" t="str">
        <f>IF(T449="","",_xlfn.XLOOKUP(T449,Airlines!A:A,Airlines!B:B,"Not Found"))</f>
        <v>easyJet</v>
      </c>
      <c r="AU449" s="5" t="str">
        <f>IF(U449="","",_xlfn.XLOOKUP(U449,Hotels!A:A,Hotels!B:B,"Not found"))</f>
        <v>Premier Inn</v>
      </c>
      <c r="AV449" t="s">
        <v>147</v>
      </c>
      <c r="AW449" s="16" t="str">
        <f t="shared" si="134"/>
        <v>OK</v>
      </c>
      <c r="AX449" s="16" t="str">
        <f t="shared" si="135"/>
        <v>OK</v>
      </c>
      <c r="AY449" s="16" t="str">
        <f t="shared" si="136"/>
        <v>OK</v>
      </c>
      <c r="AZ449" s="16" t="str">
        <f t="shared" si="137"/>
        <v>OK</v>
      </c>
      <c r="BA449" s="16" t="str">
        <f t="shared" si="141"/>
        <v>OK</v>
      </c>
      <c r="BB449" s="21">
        <f>COUNTIF('Trip Changes'!B:B,A449)</f>
        <v>0</v>
      </c>
      <c r="BC449" s="16" t="str">
        <f>IF(OR(AND(AD449="Yes",COUNTIF('Trip Changes'!B:B,A449)&gt;0),AND(AD449="No",COUNTIF('Trip Changes'!B:B,A449)=0)),"OK","Check")</f>
        <v>OK</v>
      </c>
      <c r="BD449" t="str">
        <f t="shared" si="142"/>
        <v>OK</v>
      </c>
      <c r="BE449" t="str">
        <f t="shared" si="143"/>
        <v>OK</v>
      </c>
      <c r="BF449" t="str">
        <f t="shared" si="144"/>
        <v>OK</v>
      </c>
      <c r="BG449" t="str">
        <f t="shared" si="145"/>
        <v>OK</v>
      </c>
      <c r="BH449" t="str">
        <f t="shared" si="146"/>
        <v>OK</v>
      </c>
      <c r="BI449" t="str">
        <f t="shared" si="138"/>
        <v>OK</v>
      </c>
      <c r="BJ449" t="str">
        <f t="shared" si="139"/>
        <v>OK</v>
      </c>
      <c r="BK449" t="str">
        <f t="shared" si="140"/>
        <v>OK</v>
      </c>
    </row>
    <row r="450" spans="1:63">
      <c r="A450" s="16" t="s">
        <v>783</v>
      </c>
      <c r="B450" s="16" t="s">
        <v>784</v>
      </c>
      <c r="C450" s="16" t="s">
        <v>182</v>
      </c>
      <c r="D450" s="16" t="s">
        <v>194</v>
      </c>
      <c r="E450" s="16" t="s">
        <v>249</v>
      </c>
      <c r="F450" s="16" t="s">
        <v>181</v>
      </c>
      <c r="G450" s="15">
        <v>46186</v>
      </c>
      <c r="H450" s="15">
        <v>46214</v>
      </c>
      <c r="I450" s="15">
        <v>46217</v>
      </c>
      <c r="J450" s="15" t="s">
        <v>150</v>
      </c>
      <c r="K450" s="16" t="s">
        <v>182</v>
      </c>
      <c r="L450" t="s">
        <v>151</v>
      </c>
      <c r="M450" s="16" t="s">
        <v>152</v>
      </c>
      <c r="N450" s="16" t="s">
        <v>153</v>
      </c>
      <c r="O450" t="s">
        <v>1614</v>
      </c>
      <c r="P450" s="18">
        <v>1136</v>
      </c>
      <c r="Q450" s="21">
        <v>28</v>
      </c>
      <c r="R450" s="21" t="str">
        <f t="shared" ref="R450:R513" si="147">IF(Q450&lt;=3,"0-3 days",IF(Q450&lt;=7,"4-7 days",IF(Q450&lt;=14,"8-14 days",IF(Q450&lt;=30,"15-30 days","31+ days"))))</f>
        <v>15-30 days</v>
      </c>
      <c r="S450" s="16" t="s">
        <v>216</v>
      </c>
      <c r="T450" s="16" t="s">
        <v>172</v>
      </c>
      <c r="U450" s="16" t="s">
        <v>155</v>
      </c>
      <c r="V450" t="str">
        <f>IF(U450="","",IFERROR(VLOOKUP(U450,Hotels!A:B,2,FALSE),"Not Found"))</f>
        <v>Hilton</v>
      </c>
      <c r="W450" s="14">
        <v>280.23</v>
      </c>
      <c r="X450" s="14">
        <v>0</v>
      </c>
      <c r="Y450" s="21">
        <v>2</v>
      </c>
      <c r="Z450" s="29">
        <f t="shared" ref="Z450:Z513" si="148">IF(Y450&gt;0,AA450/Y450,0)</f>
        <v>155.68</v>
      </c>
      <c r="AA450" s="14">
        <v>311.36</v>
      </c>
      <c r="AB450" s="14">
        <v>55.5</v>
      </c>
      <c r="AC450" s="14">
        <v>647.09</v>
      </c>
      <c r="AD450" s="16" t="s">
        <v>148</v>
      </c>
      <c r="AE450" s="16" t="s">
        <v>147</v>
      </c>
      <c r="AF450" s="14">
        <f>SUMIF('Trip Changes'!$B:$B,A450,'Trip Changes'!$E:$E)</f>
        <v>236.28</v>
      </c>
      <c r="AG450" s="23">
        <f>SUMIF('Trip Cancellations'!$B:$B,A450,'Trip Cancellations'!$E:$E)</f>
        <v>0</v>
      </c>
      <c r="AH450" s="14">
        <f>SUMIF('Trip Cancellations'!$B:$B,A450,'Trip Cancellations'!$F:$F)</f>
        <v>0</v>
      </c>
      <c r="AI450" s="14">
        <f t="shared" ref="AI450:AI513" si="149">AC450+AF450+AG450-AH450</f>
        <v>883.37</v>
      </c>
      <c r="AJ450" s="14" t="str">
        <f t="shared" ref="AJ450:AJ513" si="150">IF(Y450=0,"N/A",
IF(OR(L450="London",L450="Manchester",L450="Birmingham",L450="Edinburgh",L450="Glasgow",
L450="New York",L450="Boston",L450="Chicago",L450="Zurich",L450="Singapore",L450="Hong Kong",L450="Dubai"),
IF(Z450&lt;=220,"Yes","No"),
IF(Z450&lt;=180,"Yes","No")))</f>
        <v>Yes</v>
      </c>
      <c r="AK450" s="14" t="str">
        <f>IF(Y450=0,"N/A",
IF(_xlfn.XLOOKUP(U450,Hotels!A:A,Hotels!C:C)=TRUE,"Yes","No"))</f>
        <v>Yes</v>
      </c>
      <c r="AL450" s="14" t="str">
        <f>IF(N450="Rail","N/A",IF(_xlfn.XLOOKUP(T450,Airlines!A:A,Airlines!C:C)=TRUE,"Yes","No"))</f>
        <v>Yes</v>
      </c>
      <c r="AM450" s="14" t="str">
        <f t="shared" ref="AM450:AM513" si="151">IF(OR(
AND(N450="Air",O450="Economy"),
AND(N450="Rail",O450="Standard / 2nd Class")
),"Yes","No")</f>
        <v>Yes</v>
      </c>
      <c r="AN450" s="14" t="str">
        <f t="shared" ref="AN450:AN513" si="152">IF(OR(S450="Online Booking Tool",S450="TMC Assisted"),"Yes","No")</f>
        <v>No</v>
      </c>
      <c r="AO450" s="14" t="str">
        <f t="shared" ref="AO450:AO513" si="153">IF(AND(OR(AK450="Yes",AK450="N/A"),OR(AL450="Yes",AL450="N/A")),"Yes","No")</f>
        <v>Yes</v>
      </c>
      <c r="AP450" s="16" t="s">
        <v>148</v>
      </c>
      <c r="AQ450" t="str">
        <f t="shared" ref="AQ450:AQ513" si="154">IF(AND(OR(AJ450="Yes",AJ450="N/A"),OR(AK450="Yes",AK450="N/A"),OR(AL450="Yes",AL450="N/A"),AM450="Yes",AN450="Yes"),"Yes","No")</f>
        <v>No</v>
      </c>
      <c r="AR450" s="21">
        <v>4</v>
      </c>
      <c r="AS450" s="5">
        <v>170.4</v>
      </c>
      <c r="AT450" s="5" t="str">
        <f>IF(T450="","",_xlfn.XLOOKUP(T450,Airlines!A:A,Airlines!B:B,"Not Found"))</f>
        <v>Lufthansa</v>
      </c>
      <c r="AU450" s="5" t="str">
        <f>IF(U450="","",_xlfn.XLOOKUP(U450,Hotels!A:A,Hotels!B:B,"Not found"))</f>
        <v>Hilton</v>
      </c>
      <c r="AV450" t="s">
        <v>148</v>
      </c>
      <c r="AW450" s="16" t="str">
        <f t="shared" ref="AW450:AW513" si="155">IF(OR(A450="",B450="",G450="",H450="",I450="",K450="",L450="",M450="",N450="",S450="",AC450="",AI450=""),"Check","OK")</f>
        <v>OK</v>
      </c>
      <c r="AX450" s="16" t="str">
        <f t="shared" ref="AX450:AX513" si="156">IF(AND(G450&lt;=H450, H450&lt;=I450),"OK","CHECK")</f>
        <v>OK</v>
      </c>
      <c r="AY450" s="16" t="str">
        <f t="shared" ref="AY450:AY513" si="157">IF(Q450=H450-G450,"OK","Check")</f>
        <v>OK</v>
      </c>
      <c r="AZ450" s="16" t="str">
        <f t="shared" ref="AZ450:AZ513" si="158">IF(ROUND(W450+X450+AA450+AB450,2)=ROUND(AC450,2),"OK","Check")</f>
        <v>OK</v>
      </c>
      <c r="BA450" s="16" t="str">
        <f t="shared" si="141"/>
        <v>OK</v>
      </c>
      <c r="BB450" s="21">
        <f>COUNTIF('Trip Changes'!B:B,A450)</f>
        <v>1</v>
      </c>
      <c r="BC450" s="16" t="str">
        <f>IF(OR(AND(AD450="Yes",COUNTIF('Trip Changes'!B:B,A450)&gt;0),AND(AD450="No",COUNTIF('Trip Changes'!B:B,A450)=0)),"OK","Check")</f>
        <v>OK</v>
      </c>
      <c r="BD450" t="str">
        <f t="shared" si="142"/>
        <v>OK</v>
      </c>
      <c r="BE450" t="str">
        <f t="shared" si="143"/>
        <v>OK</v>
      </c>
      <c r="BF450" t="str">
        <f t="shared" si="144"/>
        <v>OK</v>
      </c>
      <c r="BG450" t="str">
        <f t="shared" si="145"/>
        <v>OK</v>
      </c>
      <c r="BH450" t="str">
        <f t="shared" si="146"/>
        <v>OK</v>
      </c>
      <c r="BI450" t="str">
        <f t="shared" ref="BI450:BI513" si="159">IF(OR(N450="Air",N450="Rail"),"OK","Check")</f>
        <v>OK</v>
      </c>
      <c r="BJ450" t="str">
        <f t="shared" ref="BJ450:BJ513" si="160">IF(OR(M450="Domestic",M450="International"),"OK","Check")</f>
        <v>OK</v>
      </c>
      <c r="BK450" t="str">
        <f t="shared" ref="BK450:BK513" si="161">IF(OR(S450="Online Booking Tool",S450="TMC Assisted",S450="Direct Supplier",S450="Other"),"OK","Check")</f>
        <v>OK</v>
      </c>
    </row>
    <row r="451" spans="1:63">
      <c r="A451" s="16" t="s">
        <v>785</v>
      </c>
      <c r="B451" s="16" t="s">
        <v>784</v>
      </c>
      <c r="C451" s="16" t="s">
        <v>182</v>
      </c>
      <c r="D451" s="16" t="s">
        <v>194</v>
      </c>
      <c r="E451" s="16" t="s">
        <v>249</v>
      </c>
      <c r="F451" s="16" t="s">
        <v>140</v>
      </c>
      <c r="G451" s="15">
        <v>46203</v>
      </c>
      <c r="H451" s="15">
        <v>46219</v>
      </c>
      <c r="I451" s="15">
        <v>46224</v>
      </c>
      <c r="J451" s="15" t="s">
        <v>150</v>
      </c>
      <c r="K451" s="16" t="s">
        <v>182</v>
      </c>
      <c r="L451" t="s">
        <v>199</v>
      </c>
      <c r="M451" s="16" t="s">
        <v>152</v>
      </c>
      <c r="N451" s="16" t="s">
        <v>153</v>
      </c>
      <c r="O451" t="s">
        <v>1614</v>
      </c>
      <c r="P451" s="18">
        <v>1480</v>
      </c>
      <c r="Q451" s="21">
        <v>16</v>
      </c>
      <c r="R451" s="21" t="str">
        <f t="shared" si="147"/>
        <v>15-30 days</v>
      </c>
      <c r="S451" s="16" t="s">
        <v>216</v>
      </c>
      <c r="T451" s="16" t="s">
        <v>154</v>
      </c>
      <c r="U451" s="16" t="s">
        <v>155</v>
      </c>
      <c r="V451" t="str">
        <f>IF(U451="","",IFERROR(VLOOKUP(U451,Hotels!A:B,2,FALSE),"Not Found"))</f>
        <v>Hilton</v>
      </c>
      <c r="W451" s="14">
        <v>362.43</v>
      </c>
      <c r="X451" s="14">
        <v>0</v>
      </c>
      <c r="Y451" s="21">
        <v>4</v>
      </c>
      <c r="Z451" s="29">
        <f t="shared" si="148"/>
        <v>178.63499999999999</v>
      </c>
      <c r="AA451" s="14">
        <v>714.54</v>
      </c>
      <c r="AB451" s="14">
        <v>108.48</v>
      </c>
      <c r="AC451" s="14">
        <v>1185.45</v>
      </c>
      <c r="AD451" s="16" t="s">
        <v>147</v>
      </c>
      <c r="AE451" s="16" t="s">
        <v>147</v>
      </c>
      <c r="AF451" s="14">
        <f>SUMIF('Trip Changes'!$B:$B,A451,'Trip Changes'!$E:$E)</f>
        <v>0</v>
      </c>
      <c r="AG451" s="23">
        <f>SUMIF('Trip Cancellations'!$B:$B,A451,'Trip Cancellations'!$E:$E)</f>
        <v>0</v>
      </c>
      <c r="AH451" s="14">
        <f>SUMIF('Trip Cancellations'!$B:$B,A451,'Trip Cancellations'!$F:$F)</f>
        <v>0</v>
      </c>
      <c r="AI451" s="14">
        <f t="shared" si="149"/>
        <v>1185.45</v>
      </c>
      <c r="AJ451" s="14" t="str">
        <f t="shared" si="150"/>
        <v>Yes</v>
      </c>
      <c r="AK451" s="14" t="str">
        <f>IF(Y451=0,"N/A",
IF(_xlfn.XLOOKUP(U451,Hotels!A:A,Hotels!C:C)=TRUE,"Yes","No"))</f>
        <v>Yes</v>
      </c>
      <c r="AL451" s="14" t="str">
        <f>IF(N451="Rail","N/A",IF(_xlfn.XLOOKUP(T451,Airlines!A:A,Airlines!C:C)=TRUE,"Yes","No"))</f>
        <v>Yes</v>
      </c>
      <c r="AM451" s="14" t="str">
        <f t="shared" si="151"/>
        <v>Yes</v>
      </c>
      <c r="AN451" s="14" t="str">
        <f t="shared" si="152"/>
        <v>No</v>
      </c>
      <c r="AO451" s="14" t="str">
        <f t="shared" si="153"/>
        <v>Yes</v>
      </c>
      <c r="AP451" s="16" t="s">
        <v>148</v>
      </c>
      <c r="AQ451" t="str">
        <f t="shared" si="154"/>
        <v>No</v>
      </c>
      <c r="AR451" s="21">
        <v>5</v>
      </c>
      <c r="AS451" s="5">
        <v>222</v>
      </c>
      <c r="AT451" s="5" t="str">
        <f>IF(T451="","",_xlfn.XLOOKUP(T451,Airlines!A:A,Airlines!B:B,"Not Found"))</f>
        <v>British Airways</v>
      </c>
      <c r="AU451" s="5" t="str">
        <f>IF(U451="","",_xlfn.XLOOKUP(U451,Hotels!A:A,Hotels!B:B,"Not found"))</f>
        <v>Hilton</v>
      </c>
      <c r="AV451" t="s">
        <v>148</v>
      </c>
      <c r="AW451" s="16" t="str">
        <f t="shared" si="155"/>
        <v>OK</v>
      </c>
      <c r="AX451" s="16" t="str">
        <f t="shared" si="156"/>
        <v>OK</v>
      </c>
      <c r="AY451" s="16" t="str">
        <f t="shared" si="157"/>
        <v>OK</v>
      </c>
      <c r="AZ451" s="16" t="str">
        <f t="shared" si="158"/>
        <v>OK</v>
      </c>
      <c r="BA451" s="16" t="str">
        <f t="shared" ref="BA451:BA514" si="162">IF(ROUND(AC451+AF451+AG451-AH451,2)=ROUND(AI451,2),"OK","Check")</f>
        <v>OK</v>
      </c>
      <c r="BB451" s="21">
        <f>COUNTIF('Trip Changes'!B:B,A451)</f>
        <v>0</v>
      </c>
      <c r="BC451" s="16" t="str">
        <f>IF(OR(AND(AD451="Yes",COUNTIF('Trip Changes'!B:B,A451)&gt;0),AND(AD451="No",COUNTIF('Trip Changes'!B:B,A451)=0)),"OK","Check")</f>
        <v>OK</v>
      </c>
      <c r="BD451" t="str">
        <f t="shared" ref="BD451:BD514" si="163">IF(OR(AD451="Yes",AD451="No"),"OK","Check")</f>
        <v>OK</v>
      </c>
      <c r="BE451" t="str">
        <f t="shared" ref="BE451:BE514" si="164">IF(OR(AE451="Yes",AE451="No"),"OK","Check")</f>
        <v>OK</v>
      </c>
      <c r="BF451" t="str">
        <f t="shared" ref="BF451:BF514" si="165">IF(OR(AP451="Yes",AP451="No"),"OK","Check")</f>
        <v>OK</v>
      </c>
      <c r="BG451" t="str">
        <f t="shared" ref="BG451:BG514" si="166">IF(OR(AV451="Yes",AV451="No"),"OK","Check")</f>
        <v>OK</v>
      </c>
      <c r="BH451" t="str">
        <f t="shared" ref="BH451:BH514" si="167">IF(AND(ISNUMBER(AR451),AR451&gt;=1,AR451&lt;=5),"OK","Check")</f>
        <v>OK</v>
      </c>
      <c r="BI451" t="str">
        <f t="shared" si="159"/>
        <v>OK</v>
      </c>
      <c r="BJ451" t="str">
        <f t="shared" si="160"/>
        <v>OK</v>
      </c>
      <c r="BK451" t="str">
        <f t="shared" si="161"/>
        <v>OK</v>
      </c>
    </row>
    <row r="452" spans="1:63">
      <c r="A452" s="16" t="s">
        <v>786</v>
      </c>
      <c r="B452" s="16" t="s">
        <v>784</v>
      </c>
      <c r="C452" s="16" t="s">
        <v>182</v>
      </c>
      <c r="D452" s="16" t="s">
        <v>194</v>
      </c>
      <c r="E452" s="16" t="s">
        <v>249</v>
      </c>
      <c r="F452" s="16" t="s">
        <v>162</v>
      </c>
      <c r="G452" s="15">
        <v>46163</v>
      </c>
      <c r="H452" s="15">
        <v>46168</v>
      </c>
      <c r="I452" s="15">
        <v>46171</v>
      </c>
      <c r="J452" s="15" t="s">
        <v>163</v>
      </c>
      <c r="K452" s="16" t="s">
        <v>182</v>
      </c>
      <c r="L452" t="s">
        <v>199</v>
      </c>
      <c r="M452" s="16" t="s">
        <v>152</v>
      </c>
      <c r="N452" s="16" t="s">
        <v>153</v>
      </c>
      <c r="O452" t="s">
        <v>1631</v>
      </c>
      <c r="P452" s="18">
        <v>2436</v>
      </c>
      <c r="Q452" s="21">
        <v>5</v>
      </c>
      <c r="R452" s="21" t="str">
        <f t="shared" si="147"/>
        <v>4-7 days</v>
      </c>
      <c r="S452" s="16" t="s">
        <v>145</v>
      </c>
      <c r="T452" s="16" t="s">
        <v>291</v>
      </c>
      <c r="U452" s="16" t="s">
        <v>187</v>
      </c>
      <c r="V452" t="str">
        <f>IF(U452="","",IFERROR(VLOOKUP(U452,Hotels!A:B,2,FALSE),"Not Found"))</f>
        <v>IHG Hotels &amp; Resorts</v>
      </c>
      <c r="W452" s="14">
        <v>282.99</v>
      </c>
      <c r="X452" s="14">
        <v>0</v>
      </c>
      <c r="Y452" s="21">
        <v>2</v>
      </c>
      <c r="Z452" s="29">
        <f t="shared" si="148"/>
        <v>157.435</v>
      </c>
      <c r="AA452" s="14">
        <v>314.87</v>
      </c>
      <c r="AB452" s="14">
        <v>110.69</v>
      </c>
      <c r="AC452" s="14">
        <v>708.55</v>
      </c>
      <c r="AD452" s="16" t="s">
        <v>147</v>
      </c>
      <c r="AE452" s="16" t="s">
        <v>147</v>
      </c>
      <c r="AF452" s="14">
        <f>SUMIF('Trip Changes'!$B:$B,A452,'Trip Changes'!$E:$E)</f>
        <v>0</v>
      </c>
      <c r="AG452" s="23">
        <f>SUMIF('Trip Cancellations'!$B:$B,A452,'Trip Cancellations'!$E:$E)</f>
        <v>0</v>
      </c>
      <c r="AH452" s="14">
        <f>SUMIF('Trip Cancellations'!$B:$B,A452,'Trip Cancellations'!$F:$F)</f>
        <v>0</v>
      </c>
      <c r="AI452" s="14">
        <f t="shared" si="149"/>
        <v>708.55</v>
      </c>
      <c r="AJ452" s="14" t="str">
        <f t="shared" si="150"/>
        <v>Yes</v>
      </c>
      <c r="AK452" s="14" t="str">
        <f>IF(Y452=0,"N/A",
IF(_xlfn.XLOOKUP(U452,Hotels!A:A,Hotels!C:C)=TRUE,"Yes","No"))</f>
        <v>Yes</v>
      </c>
      <c r="AL452" s="14" t="str">
        <f>IF(N452="Rail","N/A",IF(_xlfn.XLOOKUP(T452,Airlines!A:A,Airlines!C:C)=TRUE,"Yes","No"))</f>
        <v>No</v>
      </c>
      <c r="AM452" s="14" t="str">
        <f t="shared" si="151"/>
        <v>No</v>
      </c>
      <c r="AN452" s="14" t="str">
        <f t="shared" si="152"/>
        <v>Yes</v>
      </c>
      <c r="AO452" s="14" t="str">
        <f t="shared" si="153"/>
        <v>No</v>
      </c>
      <c r="AP452" s="16" t="s">
        <v>148</v>
      </c>
      <c r="AQ452" t="str">
        <f t="shared" si="154"/>
        <v>No</v>
      </c>
      <c r="AR452" s="21">
        <v>4</v>
      </c>
      <c r="AS452" s="5">
        <v>365.4</v>
      </c>
      <c r="AT452" s="5" t="str">
        <f>IF(T452="","",_xlfn.XLOOKUP(T452,Airlines!A:A,Airlines!B:B,"Not Found"))</f>
        <v>Ryanair</v>
      </c>
      <c r="AU452" s="5" t="str">
        <f>IF(U452="","",_xlfn.XLOOKUP(U452,Hotels!A:A,Hotels!B:B,"Not found"))</f>
        <v>IHG Hotels &amp; Resorts</v>
      </c>
      <c r="AV452" t="s">
        <v>147</v>
      </c>
      <c r="AW452" s="16" t="str">
        <f t="shared" si="155"/>
        <v>OK</v>
      </c>
      <c r="AX452" s="16" t="str">
        <f t="shared" si="156"/>
        <v>OK</v>
      </c>
      <c r="AY452" s="16" t="str">
        <f t="shared" si="157"/>
        <v>OK</v>
      </c>
      <c r="AZ452" s="16" t="str">
        <f t="shared" si="158"/>
        <v>OK</v>
      </c>
      <c r="BA452" s="16" t="str">
        <f t="shared" si="162"/>
        <v>OK</v>
      </c>
      <c r="BB452" s="21">
        <f>COUNTIF('Trip Changes'!B:B,A452)</f>
        <v>0</v>
      </c>
      <c r="BC452" s="16" t="str">
        <f>IF(OR(AND(AD452="Yes",COUNTIF('Trip Changes'!B:B,A452)&gt;0),AND(AD452="No",COUNTIF('Trip Changes'!B:B,A452)=0)),"OK","Check")</f>
        <v>OK</v>
      </c>
      <c r="BD452" t="str">
        <f t="shared" si="163"/>
        <v>OK</v>
      </c>
      <c r="BE452" t="str">
        <f t="shared" si="164"/>
        <v>OK</v>
      </c>
      <c r="BF452" t="str">
        <f t="shared" si="165"/>
        <v>OK</v>
      </c>
      <c r="BG452" t="str">
        <f t="shared" si="166"/>
        <v>OK</v>
      </c>
      <c r="BH452" t="str">
        <f t="shared" si="167"/>
        <v>OK</v>
      </c>
      <c r="BI452" t="str">
        <f t="shared" si="159"/>
        <v>OK</v>
      </c>
      <c r="BJ452" t="str">
        <f t="shared" si="160"/>
        <v>OK</v>
      </c>
      <c r="BK452" t="str">
        <f t="shared" si="161"/>
        <v>OK</v>
      </c>
    </row>
    <row r="453" spans="1:63">
      <c r="A453" s="16" t="s">
        <v>787</v>
      </c>
      <c r="B453" s="16" t="s">
        <v>788</v>
      </c>
      <c r="C453" s="16" t="s">
        <v>142</v>
      </c>
      <c r="D453" s="16" t="s">
        <v>204</v>
      </c>
      <c r="E453" s="16" t="s">
        <v>268</v>
      </c>
      <c r="F453" s="16" t="s">
        <v>140</v>
      </c>
      <c r="G453" s="15">
        <v>46152</v>
      </c>
      <c r="H453" s="15">
        <v>46153</v>
      </c>
      <c r="I453" s="15">
        <v>46155</v>
      </c>
      <c r="J453" s="15" t="s">
        <v>163</v>
      </c>
      <c r="K453" s="16" t="s">
        <v>142</v>
      </c>
      <c r="L453" t="s">
        <v>233</v>
      </c>
      <c r="M453" s="16" t="s">
        <v>152</v>
      </c>
      <c r="N453" s="16" t="s">
        <v>153</v>
      </c>
      <c r="O453" t="s">
        <v>1614</v>
      </c>
      <c r="P453" s="18">
        <v>1710</v>
      </c>
      <c r="Q453" s="21">
        <v>1</v>
      </c>
      <c r="R453" s="21" t="str">
        <f t="shared" si="147"/>
        <v>0-3 days</v>
      </c>
      <c r="S453" s="16" t="s">
        <v>159</v>
      </c>
      <c r="T453" s="16" t="s">
        <v>176</v>
      </c>
      <c r="U453" s="16" t="s">
        <v>173</v>
      </c>
      <c r="V453" t="str">
        <f>IF(U453="","",IFERROR(VLOOKUP(U453,Hotels!A:B,2,FALSE),"Not Found"))</f>
        <v>Accor</v>
      </c>
      <c r="W453" s="14">
        <v>462.09</v>
      </c>
      <c r="X453" s="14">
        <v>0</v>
      </c>
      <c r="Y453" s="21">
        <v>1</v>
      </c>
      <c r="Z453" s="29">
        <f t="shared" si="148"/>
        <v>184.3</v>
      </c>
      <c r="AA453" s="14">
        <v>184.3</v>
      </c>
      <c r="AB453" s="14">
        <v>69.62</v>
      </c>
      <c r="AC453" s="14">
        <v>716.01</v>
      </c>
      <c r="AD453" s="16" t="s">
        <v>147</v>
      </c>
      <c r="AE453" s="16" t="s">
        <v>147</v>
      </c>
      <c r="AF453" s="14">
        <f>SUMIF('Trip Changes'!$B:$B,A453,'Trip Changes'!$E:$E)</f>
        <v>0</v>
      </c>
      <c r="AG453" s="23">
        <f>SUMIF('Trip Cancellations'!$B:$B,A453,'Trip Cancellations'!$E:$E)</f>
        <v>0</v>
      </c>
      <c r="AH453" s="14">
        <f>SUMIF('Trip Cancellations'!$B:$B,A453,'Trip Cancellations'!$F:$F)</f>
        <v>0</v>
      </c>
      <c r="AI453" s="14">
        <f t="shared" si="149"/>
        <v>716.01</v>
      </c>
      <c r="AJ453" s="14" t="str">
        <f t="shared" si="150"/>
        <v>No</v>
      </c>
      <c r="AK453" s="14" t="str">
        <f>IF(Y453=0,"N/A",
IF(_xlfn.XLOOKUP(U453,Hotels!A:A,Hotels!C:C)=TRUE,"Yes","No"))</f>
        <v>Yes</v>
      </c>
      <c r="AL453" s="14" t="str">
        <f>IF(N453="Rail","N/A",IF(_xlfn.XLOOKUP(T453,Airlines!A:A,Airlines!C:C)=TRUE,"Yes","No"))</f>
        <v>Yes</v>
      </c>
      <c r="AM453" s="14" t="str">
        <f t="shared" si="151"/>
        <v>Yes</v>
      </c>
      <c r="AN453" s="14" t="str">
        <f t="shared" si="152"/>
        <v>Yes</v>
      </c>
      <c r="AO453" s="14" t="str">
        <f t="shared" si="153"/>
        <v>Yes</v>
      </c>
      <c r="AP453" s="16" t="s">
        <v>147</v>
      </c>
      <c r="AQ453" t="str">
        <f t="shared" si="154"/>
        <v>No</v>
      </c>
      <c r="AR453" s="21">
        <v>4</v>
      </c>
      <c r="AS453" s="5">
        <v>256.5</v>
      </c>
      <c r="AT453" s="5" t="str">
        <f>IF(T453="","",_xlfn.XLOOKUP(T453,Airlines!A:A,Airlines!B:B,"Not Found"))</f>
        <v>easyJet</v>
      </c>
      <c r="AU453" s="5" t="str">
        <f>IF(U453="","",_xlfn.XLOOKUP(U453,Hotels!A:A,Hotels!B:B,"Not found"))</f>
        <v>Accor</v>
      </c>
      <c r="AV453" t="s">
        <v>147</v>
      </c>
      <c r="AW453" s="16" t="str">
        <f t="shared" si="155"/>
        <v>OK</v>
      </c>
      <c r="AX453" s="16" t="str">
        <f t="shared" si="156"/>
        <v>OK</v>
      </c>
      <c r="AY453" s="16" t="str">
        <f t="shared" si="157"/>
        <v>OK</v>
      </c>
      <c r="AZ453" s="16" t="str">
        <f t="shared" si="158"/>
        <v>OK</v>
      </c>
      <c r="BA453" s="16" t="str">
        <f t="shared" si="162"/>
        <v>OK</v>
      </c>
      <c r="BB453" s="21">
        <f>COUNTIF('Trip Changes'!B:B,A453)</f>
        <v>0</v>
      </c>
      <c r="BC453" s="16" t="str">
        <f>IF(OR(AND(AD453="Yes",COUNTIF('Trip Changes'!B:B,A453)&gt;0),AND(AD453="No",COUNTIF('Trip Changes'!B:B,A453)=0)),"OK","Check")</f>
        <v>OK</v>
      </c>
      <c r="BD453" t="str">
        <f t="shared" si="163"/>
        <v>OK</v>
      </c>
      <c r="BE453" t="str">
        <f t="shared" si="164"/>
        <v>OK</v>
      </c>
      <c r="BF453" t="str">
        <f t="shared" si="165"/>
        <v>OK</v>
      </c>
      <c r="BG453" t="str">
        <f t="shared" si="166"/>
        <v>OK</v>
      </c>
      <c r="BH453" t="str">
        <f t="shared" si="167"/>
        <v>OK</v>
      </c>
      <c r="BI453" t="str">
        <f t="shared" si="159"/>
        <v>OK</v>
      </c>
      <c r="BJ453" t="str">
        <f t="shared" si="160"/>
        <v>OK</v>
      </c>
      <c r="BK453" t="str">
        <f t="shared" si="161"/>
        <v>OK</v>
      </c>
    </row>
    <row r="454" spans="1:63">
      <c r="A454" s="16" t="s">
        <v>789</v>
      </c>
      <c r="B454" s="16" t="s">
        <v>788</v>
      </c>
      <c r="C454" s="16" t="s">
        <v>142</v>
      </c>
      <c r="D454" s="16" t="s">
        <v>204</v>
      </c>
      <c r="E454" s="16" t="s">
        <v>268</v>
      </c>
      <c r="F454" s="16" t="s">
        <v>140</v>
      </c>
      <c r="G454" s="15">
        <v>46153</v>
      </c>
      <c r="H454" s="15">
        <v>46154</v>
      </c>
      <c r="I454" s="15">
        <v>46155</v>
      </c>
      <c r="J454" s="15" t="s">
        <v>163</v>
      </c>
      <c r="K454" s="16" t="s">
        <v>142</v>
      </c>
      <c r="L454" t="s">
        <v>182</v>
      </c>
      <c r="M454" s="16" t="s">
        <v>143</v>
      </c>
      <c r="N454" s="16" t="s">
        <v>144</v>
      </c>
      <c r="O454" t="s">
        <v>1630</v>
      </c>
      <c r="P454" s="18">
        <v>894</v>
      </c>
      <c r="Q454" s="21">
        <v>1</v>
      </c>
      <c r="R454" s="21" t="str">
        <f t="shared" si="147"/>
        <v>0-3 days</v>
      </c>
      <c r="S454" s="16" t="s">
        <v>145</v>
      </c>
      <c r="V454" t="str">
        <f>IF(U454="","",IFERROR(VLOOKUP(U454,Hotels!A:B,2,FALSE),"Not Found"))</f>
        <v/>
      </c>
      <c r="W454" s="14">
        <v>0</v>
      </c>
      <c r="X454" s="14">
        <v>235.02</v>
      </c>
      <c r="Y454" s="21">
        <v>0</v>
      </c>
      <c r="Z454" s="29">
        <f t="shared" si="148"/>
        <v>0</v>
      </c>
      <c r="AA454" s="14">
        <v>0</v>
      </c>
      <c r="AB454" s="14">
        <v>45.83</v>
      </c>
      <c r="AC454" s="14">
        <v>280.85000000000002</v>
      </c>
      <c r="AD454" s="16" t="s">
        <v>147</v>
      </c>
      <c r="AE454" s="16" t="s">
        <v>147</v>
      </c>
      <c r="AF454" s="14">
        <f>SUMIF('Trip Changes'!$B:$B,A454,'Trip Changes'!$E:$E)</f>
        <v>0</v>
      </c>
      <c r="AG454" s="23">
        <f>SUMIF('Trip Cancellations'!$B:$B,A454,'Trip Cancellations'!$E:$E)</f>
        <v>0</v>
      </c>
      <c r="AH454" s="14">
        <f>SUMIF('Trip Cancellations'!$B:$B,A454,'Trip Cancellations'!$F:$F)</f>
        <v>0</v>
      </c>
      <c r="AI454" s="14">
        <f t="shared" si="149"/>
        <v>280.85000000000002</v>
      </c>
      <c r="AJ454" s="14" t="str">
        <f t="shared" si="150"/>
        <v>N/A</v>
      </c>
      <c r="AK454" s="14" t="str">
        <f>IF(Y454=0,"N/A",
IF(_xlfn.XLOOKUP(U454,Hotels!A:A,Hotels!C:C)=TRUE,"Yes","No"))</f>
        <v>N/A</v>
      </c>
      <c r="AL454" s="14" t="str">
        <f>IF(N454="Rail","N/A",IF(_xlfn.XLOOKUP(T454,Airlines!A:A,Airlines!C:C)=TRUE,"Yes","No"))</f>
        <v>N/A</v>
      </c>
      <c r="AM454" s="14" t="str">
        <f t="shared" si="151"/>
        <v>Yes</v>
      </c>
      <c r="AN454" s="14" t="str">
        <f t="shared" si="152"/>
        <v>Yes</v>
      </c>
      <c r="AO454" s="14" t="str">
        <f t="shared" si="153"/>
        <v>Yes</v>
      </c>
      <c r="AP454" s="16" t="s">
        <v>148</v>
      </c>
      <c r="AQ454" t="str">
        <f t="shared" si="154"/>
        <v>Yes</v>
      </c>
      <c r="AR454" s="21">
        <v>4</v>
      </c>
      <c r="AS454" s="5">
        <v>35.799999999999997</v>
      </c>
      <c r="AT454" s="5" t="str">
        <f>IF(T454="","",_xlfn.XLOOKUP(T454,Airlines!A:A,Airlines!B:B,"Not Found"))</f>
        <v/>
      </c>
      <c r="AU454" s="5" t="str">
        <f>IF(U454="","",_xlfn.XLOOKUP(U454,Hotels!A:A,Hotels!B:B,"Not found"))</f>
        <v/>
      </c>
      <c r="AV454" t="s">
        <v>147</v>
      </c>
      <c r="AW454" s="16" t="str">
        <f t="shared" si="155"/>
        <v>OK</v>
      </c>
      <c r="AX454" s="16" t="str">
        <f t="shared" si="156"/>
        <v>OK</v>
      </c>
      <c r="AY454" s="16" t="str">
        <f t="shared" si="157"/>
        <v>OK</v>
      </c>
      <c r="AZ454" s="16" t="str">
        <f t="shared" si="158"/>
        <v>OK</v>
      </c>
      <c r="BA454" s="16" t="str">
        <f t="shared" si="162"/>
        <v>OK</v>
      </c>
      <c r="BB454" s="21">
        <f>COUNTIF('Trip Changes'!B:B,A454)</f>
        <v>0</v>
      </c>
      <c r="BC454" s="16" t="str">
        <f>IF(OR(AND(AD454="Yes",COUNTIF('Trip Changes'!B:B,A454)&gt;0),AND(AD454="No",COUNTIF('Trip Changes'!B:B,A454)=0)),"OK","Check")</f>
        <v>OK</v>
      </c>
      <c r="BD454" t="str">
        <f t="shared" si="163"/>
        <v>OK</v>
      </c>
      <c r="BE454" t="str">
        <f t="shared" si="164"/>
        <v>OK</v>
      </c>
      <c r="BF454" t="str">
        <f t="shared" si="165"/>
        <v>OK</v>
      </c>
      <c r="BG454" t="str">
        <f t="shared" si="166"/>
        <v>OK</v>
      </c>
      <c r="BH454" t="str">
        <f t="shared" si="167"/>
        <v>OK</v>
      </c>
      <c r="BI454" t="str">
        <f t="shared" si="159"/>
        <v>OK</v>
      </c>
      <c r="BJ454" t="str">
        <f t="shared" si="160"/>
        <v>OK</v>
      </c>
      <c r="BK454" t="str">
        <f t="shared" si="161"/>
        <v>OK</v>
      </c>
    </row>
    <row r="455" spans="1:63">
      <c r="A455" s="16" t="s">
        <v>790</v>
      </c>
      <c r="B455" s="16" t="s">
        <v>788</v>
      </c>
      <c r="C455" s="16" t="s">
        <v>142</v>
      </c>
      <c r="D455" s="16" t="s">
        <v>204</v>
      </c>
      <c r="E455" s="16" t="s">
        <v>268</v>
      </c>
      <c r="F455" s="16" t="s">
        <v>162</v>
      </c>
      <c r="G455" s="15">
        <v>46209</v>
      </c>
      <c r="H455" s="15">
        <v>46228</v>
      </c>
      <c r="I455" s="15">
        <v>46232</v>
      </c>
      <c r="J455" s="15" t="s">
        <v>150</v>
      </c>
      <c r="K455" s="16" t="s">
        <v>142</v>
      </c>
      <c r="L455" t="s">
        <v>283</v>
      </c>
      <c r="M455" s="16" t="s">
        <v>152</v>
      </c>
      <c r="N455" s="16" t="s">
        <v>153</v>
      </c>
      <c r="O455" t="s">
        <v>1614</v>
      </c>
      <c r="P455" s="18">
        <v>10294</v>
      </c>
      <c r="Q455" s="21">
        <v>19</v>
      </c>
      <c r="R455" s="21" t="str">
        <f t="shared" si="147"/>
        <v>15-30 days</v>
      </c>
      <c r="S455" s="16" t="s">
        <v>159</v>
      </c>
      <c r="T455" s="16" t="s">
        <v>154</v>
      </c>
      <c r="U455" s="16" t="s">
        <v>164</v>
      </c>
      <c r="V455" t="str">
        <f>IF(U455="","",IFERROR(VLOOKUP(U455,Hotels!A:B,2,FALSE),"Not Found"))</f>
        <v>Marriott</v>
      </c>
      <c r="W455" s="14">
        <v>978.88</v>
      </c>
      <c r="X455" s="14">
        <v>0</v>
      </c>
      <c r="Y455" s="21">
        <v>3</v>
      </c>
      <c r="Z455" s="29">
        <f t="shared" si="148"/>
        <v>141.48333333333332</v>
      </c>
      <c r="AA455" s="14">
        <v>424.45</v>
      </c>
      <c r="AB455" s="14">
        <v>84.78</v>
      </c>
      <c r="AC455" s="14">
        <v>1488.11</v>
      </c>
      <c r="AD455" s="16" t="s">
        <v>147</v>
      </c>
      <c r="AE455" s="16" t="s">
        <v>147</v>
      </c>
      <c r="AF455" s="14">
        <f>SUMIF('Trip Changes'!$B:$B,A455,'Trip Changes'!$E:$E)</f>
        <v>0</v>
      </c>
      <c r="AG455" s="23">
        <f>SUMIF('Trip Cancellations'!$B:$B,A455,'Trip Cancellations'!$E:$E)</f>
        <v>0</v>
      </c>
      <c r="AH455" s="14">
        <f>SUMIF('Trip Cancellations'!$B:$B,A455,'Trip Cancellations'!$F:$F)</f>
        <v>0</v>
      </c>
      <c r="AI455" s="14">
        <f t="shared" si="149"/>
        <v>1488.11</v>
      </c>
      <c r="AJ455" s="14" t="str">
        <f t="shared" si="150"/>
        <v>Yes</v>
      </c>
      <c r="AK455" s="14" t="str">
        <f>IF(Y455=0,"N/A",
IF(_xlfn.XLOOKUP(U455,Hotels!A:A,Hotels!C:C)=TRUE,"Yes","No"))</f>
        <v>Yes</v>
      </c>
      <c r="AL455" s="14" t="str">
        <f>IF(N455="Rail","N/A",IF(_xlfn.XLOOKUP(T455,Airlines!A:A,Airlines!C:C)=TRUE,"Yes","No"))</f>
        <v>Yes</v>
      </c>
      <c r="AM455" s="14" t="str">
        <f t="shared" si="151"/>
        <v>Yes</v>
      </c>
      <c r="AN455" s="14" t="str">
        <f t="shared" si="152"/>
        <v>Yes</v>
      </c>
      <c r="AO455" s="14" t="str">
        <f t="shared" si="153"/>
        <v>Yes</v>
      </c>
      <c r="AP455" s="16" t="s">
        <v>148</v>
      </c>
      <c r="AQ455" t="str">
        <f t="shared" si="154"/>
        <v>Yes</v>
      </c>
      <c r="AR455" s="21">
        <v>4</v>
      </c>
      <c r="AS455" s="5">
        <v>1544.1</v>
      </c>
      <c r="AT455" s="5" t="str">
        <f>IF(T455="","",_xlfn.XLOOKUP(T455,Airlines!A:A,Airlines!B:B,"Not Found"))</f>
        <v>British Airways</v>
      </c>
      <c r="AU455" s="5" t="str">
        <f>IF(U455="","",_xlfn.XLOOKUP(U455,Hotels!A:A,Hotels!B:B,"Not found"))</f>
        <v>Marriott</v>
      </c>
      <c r="AV455" t="s">
        <v>147</v>
      </c>
      <c r="AW455" s="16" t="str">
        <f t="shared" si="155"/>
        <v>OK</v>
      </c>
      <c r="AX455" s="16" t="str">
        <f t="shared" si="156"/>
        <v>OK</v>
      </c>
      <c r="AY455" s="16" t="str">
        <f t="shared" si="157"/>
        <v>OK</v>
      </c>
      <c r="AZ455" s="16" t="str">
        <f t="shared" si="158"/>
        <v>OK</v>
      </c>
      <c r="BA455" s="16" t="str">
        <f t="shared" si="162"/>
        <v>OK</v>
      </c>
      <c r="BB455" s="21">
        <f>COUNTIF('Trip Changes'!B:B,A455)</f>
        <v>0</v>
      </c>
      <c r="BC455" s="16" t="str">
        <f>IF(OR(AND(AD455="Yes",COUNTIF('Trip Changes'!B:B,A455)&gt;0),AND(AD455="No",COUNTIF('Trip Changes'!B:B,A455)=0)),"OK","Check")</f>
        <v>OK</v>
      </c>
      <c r="BD455" t="str">
        <f t="shared" si="163"/>
        <v>OK</v>
      </c>
      <c r="BE455" t="str">
        <f t="shared" si="164"/>
        <v>OK</v>
      </c>
      <c r="BF455" t="str">
        <f t="shared" si="165"/>
        <v>OK</v>
      </c>
      <c r="BG455" t="str">
        <f t="shared" si="166"/>
        <v>OK</v>
      </c>
      <c r="BH455" t="str">
        <f t="shared" si="167"/>
        <v>OK</v>
      </c>
      <c r="BI455" t="str">
        <f t="shared" si="159"/>
        <v>OK</v>
      </c>
      <c r="BJ455" t="str">
        <f t="shared" si="160"/>
        <v>OK</v>
      </c>
      <c r="BK455" t="str">
        <f t="shared" si="161"/>
        <v>OK</v>
      </c>
    </row>
    <row r="456" spans="1:63">
      <c r="A456" s="16" t="s">
        <v>791</v>
      </c>
      <c r="B456" s="16" t="s">
        <v>792</v>
      </c>
      <c r="C456" s="16" t="s">
        <v>182</v>
      </c>
      <c r="D456" s="16" t="s">
        <v>168</v>
      </c>
      <c r="E456" s="16" t="s">
        <v>249</v>
      </c>
      <c r="F456" s="16" t="s">
        <v>157</v>
      </c>
      <c r="G456" s="15">
        <v>46190</v>
      </c>
      <c r="H456" s="15">
        <v>46226</v>
      </c>
      <c r="I456" s="15">
        <v>46228</v>
      </c>
      <c r="J456" s="15" t="s">
        <v>150</v>
      </c>
      <c r="K456" s="16" t="s">
        <v>182</v>
      </c>
      <c r="L456" t="s">
        <v>203</v>
      </c>
      <c r="M456" s="16" t="s">
        <v>143</v>
      </c>
      <c r="N456" s="16" t="s">
        <v>144</v>
      </c>
      <c r="O456" t="s">
        <v>1630</v>
      </c>
      <c r="P456" s="18">
        <v>770</v>
      </c>
      <c r="Q456" s="21">
        <v>36</v>
      </c>
      <c r="R456" s="21" t="str">
        <f t="shared" si="147"/>
        <v>31+ days</v>
      </c>
      <c r="S456" s="16" t="s">
        <v>145</v>
      </c>
      <c r="U456" s="16" t="s">
        <v>164</v>
      </c>
      <c r="V456" t="str">
        <f>IF(U456="","",IFERROR(VLOOKUP(U456,Hotels!A:B,2,FALSE),"Not Found"))</f>
        <v>Marriott</v>
      </c>
      <c r="W456" s="14">
        <v>0</v>
      </c>
      <c r="X456" s="14">
        <v>310</v>
      </c>
      <c r="Y456" s="21">
        <v>1</v>
      </c>
      <c r="Z456" s="29">
        <f t="shared" si="148"/>
        <v>208.43</v>
      </c>
      <c r="AA456" s="14">
        <v>208.43</v>
      </c>
      <c r="AB456" s="14">
        <v>81.290000000000006</v>
      </c>
      <c r="AC456" s="14">
        <v>599.72</v>
      </c>
      <c r="AD456" s="16" t="s">
        <v>148</v>
      </c>
      <c r="AE456" s="16" t="s">
        <v>147</v>
      </c>
      <c r="AF456" s="14">
        <f>SUMIF('Trip Changes'!$B:$B,A456,'Trip Changes'!$E:$E)</f>
        <v>134.74</v>
      </c>
      <c r="AG456" s="23">
        <f>SUMIF('Trip Cancellations'!$B:$B,A456,'Trip Cancellations'!$E:$E)</f>
        <v>0</v>
      </c>
      <c r="AH456" s="14">
        <f>SUMIF('Trip Cancellations'!$B:$B,A456,'Trip Cancellations'!$F:$F)</f>
        <v>0</v>
      </c>
      <c r="AI456" s="14">
        <f t="shared" si="149"/>
        <v>734.46</v>
      </c>
      <c r="AJ456" s="14" t="str">
        <f t="shared" si="150"/>
        <v>Yes</v>
      </c>
      <c r="AK456" s="14" t="str">
        <f>IF(Y456=0,"N/A",
IF(_xlfn.XLOOKUP(U456,Hotels!A:A,Hotels!C:C)=TRUE,"Yes","No"))</f>
        <v>Yes</v>
      </c>
      <c r="AL456" s="14" t="str">
        <f>IF(N456="Rail","N/A",IF(_xlfn.XLOOKUP(T456,Airlines!A:A,Airlines!C:C)=TRUE,"Yes","No"))</f>
        <v>N/A</v>
      </c>
      <c r="AM456" s="14" t="str">
        <f t="shared" si="151"/>
        <v>Yes</v>
      </c>
      <c r="AN456" s="14" t="str">
        <f t="shared" si="152"/>
        <v>Yes</v>
      </c>
      <c r="AO456" s="14" t="str">
        <f t="shared" si="153"/>
        <v>Yes</v>
      </c>
      <c r="AP456" s="16" t="s">
        <v>148</v>
      </c>
      <c r="AQ456" t="str">
        <f t="shared" si="154"/>
        <v>Yes</v>
      </c>
      <c r="AR456" s="21">
        <v>4</v>
      </c>
      <c r="AS456" s="5">
        <v>30.8</v>
      </c>
      <c r="AT456" s="5" t="str">
        <f>IF(T456="","",_xlfn.XLOOKUP(T456,Airlines!A:A,Airlines!B:B,"Not Found"))</f>
        <v/>
      </c>
      <c r="AU456" s="5" t="str">
        <f>IF(U456="","",_xlfn.XLOOKUP(U456,Hotels!A:A,Hotels!B:B,"Not found"))</f>
        <v>Marriott</v>
      </c>
      <c r="AV456" t="s">
        <v>147</v>
      </c>
      <c r="AW456" s="16" t="str">
        <f t="shared" si="155"/>
        <v>OK</v>
      </c>
      <c r="AX456" s="16" t="str">
        <f t="shared" si="156"/>
        <v>OK</v>
      </c>
      <c r="AY456" s="16" t="str">
        <f t="shared" si="157"/>
        <v>OK</v>
      </c>
      <c r="AZ456" s="16" t="str">
        <f t="shared" si="158"/>
        <v>OK</v>
      </c>
      <c r="BA456" s="16" t="str">
        <f t="shared" si="162"/>
        <v>OK</v>
      </c>
      <c r="BB456" s="21">
        <f>COUNTIF('Trip Changes'!B:B,A456)</f>
        <v>1</v>
      </c>
      <c r="BC456" s="16" t="str">
        <f>IF(OR(AND(AD456="Yes",COUNTIF('Trip Changes'!B:B,A456)&gt;0),AND(AD456="No",COUNTIF('Trip Changes'!B:B,A456)=0)),"OK","Check")</f>
        <v>OK</v>
      </c>
      <c r="BD456" t="str">
        <f t="shared" si="163"/>
        <v>OK</v>
      </c>
      <c r="BE456" t="str">
        <f t="shared" si="164"/>
        <v>OK</v>
      </c>
      <c r="BF456" t="str">
        <f t="shared" si="165"/>
        <v>OK</v>
      </c>
      <c r="BG456" t="str">
        <f t="shared" si="166"/>
        <v>OK</v>
      </c>
      <c r="BH456" t="str">
        <f t="shared" si="167"/>
        <v>OK</v>
      </c>
      <c r="BI456" t="str">
        <f t="shared" si="159"/>
        <v>OK</v>
      </c>
      <c r="BJ456" t="str">
        <f t="shared" si="160"/>
        <v>OK</v>
      </c>
      <c r="BK456" t="str">
        <f t="shared" si="161"/>
        <v>OK</v>
      </c>
    </row>
    <row r="457" spans="1:63">
      <c r="A457" s="16" t="s">
        <v>793</v>
      </c>
      <c r="B457" s="16" t="s">
        <v>792</v>
      </c>
      <c r="C457" s="16" t="s">
        <v>182</v>
      </c>
      <c r="D457" s="16" t="s">
        <v>168</v>
      </c>
      <c r="E457" s="16" t="s">
        <v>249</v>
      </c>
      <c r="F457" s="16" t="s">
        <v>162</v>
      </c>
      <c r="G457" s="15">
        <v>46144</v>
      </c>
      <c r="H457" s="15">
        <v>46160</v>
      </c>
      <c r="I457" s="15">
        <v>46164</v>
      </c>
      <c r="J457" s="15" t="s">
        <v>163</v>
      </c>
      <c r="K457" s="16" t="s">
        <v>182</v>
      </c>
      <c r="L457" t="s">
        <v>233</v>
      </c>
      <c r="M457" s="16" t="s">
        <v>152</v>
      </c>
      <c r="N457" s="16" t="s">
        <v>153</v>
      </c>
      <c r="O457" t="s">
        <v>1614</v>
      </c>
      <c r="P457" s="18">
        <v>1596</v>
      </c>
      <c r="Q457" s="21">
        <v>16</v>
      </c>
      <c r="R457" s="21" t="str">
        <f t="shared" si="147"/>
        <v>15-30 days</v>
      </c>
      <c r="S457" s="16" t="s">
        <v>159</v>
      </c>
      <c r="T457" s="16" t="s">
        <v>176</v>
      </c>
      <c r="U457" s="16" t="s">
        <v>164</v>
      </c>
      <c r="V457" t="str">
        <f>IF(U457="","",IFERROR(VLOOKUP(U457,Hotels!A:B,2,FALSE),"Not Found"))</f>
        <v>Marriott</v>
      </c>
      <c r="W457" s="14">
        <v>391.62</v>
      </c>
      <c r="X457" s="14">
        <v>0</v>
      </c>
      <c r="Y457" s="21">
        <v>3</v>
      </c>
      <c r="Z457" s="29">
        <f t="shared" si="148"/>
        <v>165.75</v>
      </c>
      <c r="AA457" s="14">
        <v>497.25</v>
      </c>
      <c r="AB457" s="14">
        <v>93.67</v>
      </c>
      <c r="AC457" s="14">
        <v>982.54</v>
      </c>
      <c r="AD457" s="16" t="s">
        <v>147</v>
      </c>
      <c r="AE457" s="16" t="s">
        <v>147</v>
      </c>
      <c r="AF457" s="14">
        <f>SUMIF('Trip Changes'!$B:$B,A457,'Trip Changes'!$E:$E)</f>
        <v>0</v>
      </c>
      <c r="AG457" s="23">
        <f>SUMIF('Trip Cancellations'!$B:$B,A457,'Trip Cancellations'!$E:$E)</f>
        <v>0</v>
      </c>
      <c r="AH457" s="14">
        <f>SUMIF('Trip Cancellations'!$B:$B,A457,'Trip Cancellations'!$F:$F)</f>
        <v>0</v>
      </c>
      <c r="AI457" s="14">
        <f t="shared" si="149"/>
        <v>982.54</v>
      </c>
      <c r="AJ457" s="14" t="str">
        <f t="shared" si="150"/>
        <v>Yes</v>
      </c>
      <c r="AK457" s="14" t="str">
        <f>IF(Y457=0,"N/A",
IF(_xlfn.XLOOKUP(U457,Hotels!A:A,Hotels!C:C)=TRUE,"Yes","No"))</f>
        <v>Yes</v>
      </c>
      <c r="AL457" s="14" t="str">
        <f>IF(N457="Rail","N/A",IF(_xlfn.XLOOKUP(T457,Airlines!A:A,Airlines!C:C)=TRUE,"Yes","No"))</f>
        <v>Yes</v>
      </c>
      <c r="AM457" s="14" t="str">
        <f t="shared" si="151"/>
        <v>Yes</v>
      </c>
      <c r="AN457" s="14" t="str">
        <f t="shared" si="152"/>
        <v>Yes</v>
      </c>
      <c r="AO457" s="14" t="str">
        <f t="shared" si="153"/>
        <v>Yes</v>
      </c>
      <c r="AP457" s="16" t="s">
        <v>148</v>
      </c>
      <c r="AQ457" t="str">
        <f t="shared" si="154"/>
        <v>Yes</v>
      </c>
      <c r="AR457" s="21">
        <v>5</v>
      </c>
      <c r="AS457" s="5">
        <v>239.4</v>
      </c>
      <c r="AT457" s="5" t="str">
        <f>IF(T457="","",_xlfn.XLOOKUP(T457,Airlines!A:A,Airlines!B:B,"Not Found"))</f>
        <v>easyJet</v>
      </c>
      <c r="AU457" s="5" t="str">
        <f>IF(U457="","",_xlfn.XLOOKUP(U457,Hotels!A:A,Hotels!B:B,"Not found"))</f>
        <v>Marriott</v>
      </c>
      <c r="AV457" t="s">
        <v>148</v>
      </c>
      <c r="AW457" s="16" t="str">
        <f t="shared" si="155"/>
        <v>OK</v>
      </c>
      <c r="AX457" s="16" t="str">
        <f t="shared" si="156"/>
        <v>OK</v>
      </c>
      <c r="AY457" s="16" t="str">
        <f t="shared" si="157"/>
        <v>OK</v>
      </c>
      <c r="AZ457" s="16" t="str">
        <f t="shared" si="158"/>
        <v>OK</v>
      </c>
      <c r="BA457" s="16" t="str">
        <f t="shared" si="162"/>
        <v>OK</v>
      </c>
      <c r="BB457" s="21">
        <f>COUNTIF('Trip Changes'!B:B,A457)</f>
        <v>0</v>
      </c>
      <c r="BC457" s="16" t="str">
        <f>IF(OR(AND(AD457="Yes",COUNTIF('Trip Changes'!B:B,A457)&gt;0),AND(AD457="No",COUNTIF('Trip Changes'!B:B,A457)=0)),"OK","Check")</f>
        <v>OK</v>
      </c>
      <c r="BD457" t="str">
        <f t="shared" si="163"/>
        <v>OK</v>
      </c>
      <c r="BE457" t="str">
        <f t="shared" si="164"/>
        <v>OK</v>
      </c>
      <c r="BF457" t="str">
        <f t="shared" si="165"/>
        <v>OK</v>
      </c>
      <c r="BG457" t="str">
        <f t="shared" si="166"/>
        <v>OK</v>
      </c>
      <c r="BH457" t="str">
        <f t="shared" si="167"/>
        <v>OK</v>
      </c>
      <c r="BI457" t="str">
        <f t="shared" si="159"/>
        <v>OK</v>
      </c>
      <c r="BJ457" t="str">
        <f t="shared" si="160"/>
        <v>OK</v>
      </c>
      <c r="BK457" t="str">
        <f t="shared" si="161"/>
        <v>OK</v>
      </c>
    </row>
    <row r="458" spans="1:63">
      <c r="A458" s="16" t="s">
        <v>794</v>
      </c>
      <c r="B458" s="16" t="s">
        <v>792</v>
      </c>
      <c r="C458" s="16" t="s">
        <v>182</v>
      </c>
      <c r="D458" s="16" t="s">
        <v>168</v>
      </c>
      <c r="E458" s="16" t="s">
        <v>249</v>
      </c>
      <c r="F458" s="16" t="s">
        <v>157</v>
      </c>
      <c r="G458" s="15">
        <v>46168</v>
      </c>
      <c r="H458" s="15">
        <v>46185</v>
      </c>
      <c r="I458" s="15">
        <v>46187</v>
      </c>
      <c r="J458" s="15" t="s">
        <v>141</v>
      </c>
      <c r="K458" s="16" t="s">
        <v>182</v>
      </c>
      <c r="L458" t="s">
        <v>225</v>
      </c>
      <c r="M458" s="16" t="s">
        <v>152</v>
      </c>
      <c r="N458" s="16" t="s">
        <v>153</v>
      </c>
      <c r="O458" t="s">
        <v>1614</v>
      </c>
      <c r="P458" s="18">
        <v>2030</v>
      </c>
      <c r="Q458" s="21">
        <v>17</v>
      </c>
      <c r="R458" s="21" t="str">
        <f t="shared" si="147"/>
        <v>15-30 days</v>
      </c>
      <c r="S458" s="16" t="s">
        <v>207</v>
      </c>
      <c r="T458" s="16" t="s">
        <v>236</v>
      </c>
      <c r="U458" s="16" t="s">
        <v>187</v>
      </c>
      <c r="V458" t="str">
        <f>IF(U458="","",IFERROR(VLOOKUP(U458,Hotels!A:B,2,FALSE),"Not Found"))</f>
        <v>IHG Hotels &amp; Resorts</v>
      </c>
      <c r="W458" s="14">
        <v>465.62</v>
      </c>
      <c r="X458" s="14">
        <v>0</v>
      </c>
      <c r="Y458" s="21">
        <v>1</v>
      </c>
      <c r="Z458" s="29">
        <f t="shared" si="148"/>
        <v>144.59</v>
      </c>
      <c r="AA458" s="14">
        <v>144.59</v>
      </c>
      <c r="AB458" s="14">
        <v>115.01</v>
      </c>
      <c r="AC458" s="14">
        <v>725.22</v>
      </c>
      <c r="AD458" s="16" t="s">
        <v>147</v>
      </c>
      <c r="AE458" s="16" t="s">
        <v>147</v>
      </c>
      <c r="AF458" s="14">
        <f>SUMIF('Trip Changes'!$B:$B,A458,'Trip Changes'!$E:$E)</f>
        <v>0</v>
      </c>
      <c r="AG458" s="23">
        <f>SUMIF('Trip Cancellations'!$B:$B,A458,'Trip Cancellations'!$E:$E)</f>
        <v>0</v>
      </c>
      <c r="AH458" s="14">
        <f>SUMIF('Trip Cancellations'!$B:$B,A458,'Trip Cancellations'!$F:$F)</f>
        <v>0</v>
      </c>
      <c r="AI458" s="14">
        <f t="shared" si="149"/>
        <v>725.22</v>
      </c>
      <c r="AJ458" s="14" t="str">
        <f t="shared" si="150"/>
        <v>Yes</v>
      </c>
      <c r="AK458" s="14" t="str">
        <f>IF(Y458=0,"N/A",
IF(_xlfn.XLOOKUP(U458,Hotels!A:A,Hotels!C:C)=TRUE,"Yes","No"))</f>
        <v>Yes</v>
      </c>
      <c r="AL458" s="14" t="str">
        <f>IF(N458="Rail","N/A",IF(_xlfn.XLOOKUP(T458,Airlines!A:A,Airlines!C:C)=TRUE,"Yes","No"))</f>
        <v>Yes</v>
      </c>
      <c r="AM458" s="14" t="str">
        <f t="shared" si="151"/>
        <v>Yes</v>
      </c>
      <c r="AN458" s="14" t="str">
        <f t="shared" si="152"/>
        <v>No</v>
      </c>
      <c r="AO458" s="14" t="str">
        <f t="shared" si="153"/>
        <v>Yes</v>
      </c>
      <c r="AP458" s="16" t="s">
        <v>148</v>
      </c>
      <c r="AQ458" t="str">
        <f t="shared" si="154"/>
        <v>No</v>
      </c>
      <c r="AR458" s="21">
        <v>3</v>
      </c>
      <c r="AS458" s="5">
        <v>304.5</v>
      </c>
      <c r="AT458" s="5" t="str">
        <f>IF(T458="","",_xlfn.XLOOKUP(T458,Airlines!A:A,Airlines!B:B,"Not Found"))</f>
        <v>KLM</v>
      </c>
      <c r="AU458" s="5" t="str">
        <f>IF(U458="","",_xlfn.XLOOKUP(U458,Hotels!A:A,Hotels!B:B,"Not found"))</f>
        <v>IHG Hotels &amp; Resorts</v>
      </c>
      <c r="AV458" t="s">
        <v>147</v>
      </c>
      <c r="AW458" s="16" t="str">
        <f t="shared" si="155"/>
        <v>OK</v>
      </c>
      <c r="AX458" s="16" t="str">
        <f t="shared" si="156"/>
        <v>OK</v>
      </c>
      <c r="AY458" s="16" t="str">
        <f t="shared" si="157"/>
        <v>OK</v>
      </c>
      <c r="AZ458" s="16" t="str">
        <f t="shared" si="158"/>
        <v>OK</v>
      </c>
      <c r="BA458" s="16" t="str">
        <f t="shared" si="162"/>
        <v>OK</v>
      </c>
      <c r="BB458" s="21">
        <f>COUNTIF('Trip Changes'!B:B,A458)</f>
        <v>0</v>
      </c>
      <c r="BC458" s="16" t="str">
        <f>IF(OR(AND(AD458="Yes",COUNTIF('Trip Changes'!B:B,A458)&gt;0),AND(AD458="No",COUNTIF('Trip Changes'!B:B,A458)=0)),"OK","Check")</f>
        <v>OK</v>
      </c>
      <c r="BD458" t="str">
        <f t="shared" si="163"/>
        <v>OK</v>
      </c>
      <c r="BE458" t="str">
        <f t="shared" si="164"/>
        <v>OK</v>
      </c>
      <c r="BF458" t="str">
        <f t="shared" si="165"/>
        <v>OK</v>
      </c>
      <c r="BG458" t="str">
        <f t="shared" si="166"/>
        <v>OK</v>
      </c>
      <c r="BH458" t="str">
        <f t="shared" si="167"/>
        <v>OK</v>
      </c>
      <c r="BI458" t="str">
        <f t="shared" si="159"/>
        <v>OK</v>
      </c>
      <c r="BJ458" t="str">
        <f t="shared" si="160"/>
        <v>OK</v>
      </c>
      <c r="BK458" t="str">
        <f t="shared" si="161"/>
        <v>OK</v>
      </c>
    </row>
    <row r="459" spans="1:63">
      <c r="A459" s="16" t="s">
        <v>795</v>
      </c>
      <c r="B459" s="16" t="s">
        <v>796</v>
      </c>
      <c r="C459" s="16" t="s">
        <v>142</v>
      </c>
      <c r="D459" s="16" t="s">
        <v>168</v>
      </c>
      <c r="E459" s="16" t="s">
        <v>249</v>
      </c>
      <c r="F459" s="16" t="s">
        <v>162</v>
      </c>
      <c r="G459" s="15">
        <v>46219</v>
      </c>
      <c r="H459" s="15">
        <v>46234</v>
      </c>
      <c r="I459" s="15">
        <v>46238</v>
      </c>
      <c r="J459" s="15" t="s">
        <v>150</v>
      </c>
      <c r="K459" s="16" t="s">
        <v>142</v>
      </c>
      <c r="L459" t="s">
        <v>264</v>
      </c>
      <c r="M459" s="16" t="s">
        <v>152</v>
      </c>
      <c r="N459" s="16" t="s">
        <v>153</v>
      </c>
      <c r="O459" t="s">
        <v>1614</v>
      </c>
      <c r="P459" s="18">
        <v>1796</v>
      </c>
      <c r="Q459" s="21">
        <v>15</v>
      </c>
      <c r="R459" s="21" t="str">
        <f t="shared" si="147"/>
        <v>15-30 days</v>
      </c>
      <c r="S459" s="16" t="s">
        <v>145</v>
      </c>
      <c r="T459" s="16" t="s">
        <v>176</v>
      </c>
      <c r="U459" s="16" t="s">
        <v>190</v>
      </c>
      <c r="V459" t="str">
        <f>IF(U459="","",IFERROR(VLOOKUP(U459,Hotels!A:B,2,FALSE),"Not Found"))</f>
        <v>Radisson Hotel Group</v>
      </c>
      <c r="W459" s="14">
        <v>390.15</v>
      </c>
      <c r="X459" s="14">
        <v>0</v>
      </c>
      <c r="Y459" s="21">
        <v>3</v>
      </c>
      <c r="Z459" s="29">
        <f t="shared" si="148"/>
        <v>253.19000000000003</v>
      </c>
      <c r="AA459" s="14">
        <v>759.57</v>
      </c>
      <c r="AB459" s="14">
        <v>56.63</v>
      </c>
      <c r="AC459" s="14">
        <v>1206.3499999999999</v>
      </c>
      <c r="AD459" s="16" t="s">
        <v>148</v>
      </c>
      <c r="AE459" s="16" t="s">
        <v>147</v>
      </c>
      <c r="AF459" s="14">
        <f>SUMIF('Trip Changes'!$B:$B,A459,'Trip Changes'!$E:$E)</f>
        <v>56.34</v>
      </c>
      <c r="AG459" s="23">
        <f>SUMIF('Trip Cancellations'!$B:$B,A459,'Trip Cancellations'!$E:$E)</f>
        <v>0</v>
      </c>
      <c r="AH459" s="14">
        <f>SUMIF('Trip Cancellations'!$B:$B,A459,'Trip Cancellations'!$F:$F)</f>
        <v>0</v>
      </c>
      <c r="AI459" s="14">
        <f t="shared" si="149"/>
        <v>1262.6899999999998</v>
      </c>
      <c r="AJ459" s="14" t="str">
        <f t="shared" si="150"/>
        <v>No</v>
      </c>
      <c r="AK459" s="14" t="str">
        <f>IF(Y459=0,"N/A",
IF(_xlfn.XLOOKUP(U459,Hotels!A:A,Hotels!C:C)=TRUE,"Yes","No"))</f>
        <v>No</v>
      </c>
      <c r="AL459" s="14" t="str">
        <f>IF(N459="Rail","N/A",IF(_xlfn.XLOOKUP(T459,Airlines!A:A,Airlines!C:C)=TRUE,"Yes","No"))</f>
        <v>Yes</v>
      </c>
      <c r="AM459" s="14" t="str">
        <f t="shared" si="151"/>
        <v>Yes</v>
      </c>
      <c r="AN459" s="14" t="str">
        <f t="shared" si="152"/>
        <v>Yes</v>
      </c>
      <c r="AO459" s="14" t="str">
        <f t="shared" si="153"/>
        <v>No</v>
      </c>
      <c r="AP459" s="16" t="s">
        <v>148</v>
      </c>
      <c r="AQ459" t="str">
        <f t="shared" si="154"/>
        <v>No</v>
      </c>
      <c r="AR459" s="21">
        <v>3</v>
      </c>
      <c r="AS459" s="5">
        <v>269.39999999999998</v>
      </c>
      <c r="AT459" s="5" t="str">
        <f>IF(T459="","",_xlfn.XLOOKUP(T459,Airlines!A:A,Airlines!B:B,"Not Found"))</f>
        <v>easyJet</v>
      </c>
      <c r="AU459" s="5" t="str">
        <f>IF(U459="","",_xlfn.XLOOKUP(U459,Hotels!A:A,Hotels!B:B,"Not found"))</f>
        <v>Radisson Hotel Group</v>
      </c>
      <c r="AV459" t="s">
        <v>147</v>
      </c>
      <c r="AW459" s="16" t="str">
        <f t="shared" si="155"/>
        <v>OK</v>
      </c>
      <c r="AX459" s="16" t="str">
        <f t="shared" si="156"/>
        <v>OK</v>
      </c>
      <c r="AY459" s="16" t="str">
        <f t="shared" si="157"/>
        <v>OK</v>
      </c>
      <c r="AZ459" s="16" t="str">
        <f t="shared" si="158"/>
        <v>OK</v>
      </c>
      <c r="BA459" s="16" t="str">
        <f t="shared" si="162"/>
        <v>OK</v>
      </c>
      <c r="BB459" s="21">
        <f>COUNTIF('Trip Changes'!B:B,A459)</f>
        <v>1</v>
      </c>
      <c r="BC459" s="16" t="str">
        <f>IF(OR(AND(AD459="Yes",COUNTIF('Trip Changes'!B:B,A459)&gt;0),AND(AD459="No",COUNTIF('Trip Changes'!B:B,A459)=0)),"OK","Check")</f>
        <v>OK</v>
      </c>
      <c r="BD459" t="str">
        <f t="shared" si="163"/>
        <v>OK</v>
      </c>
      <c r="BE459" t="str">
        <f t="shared" si="164"/>
        <v>OK</v>
      </c>
      <c r="BF459" t="str">
        <f t="shared" si="165"/>
        <v>OK</v>
      </c>
      <c r="BG459" t="str">
        <f t="shared" si="166"/>
        <v>OK</v>
      </c>
      <c r="BH459" t="str">
        <f t="shared" si="167"/>
        <v>OK</v>
      </c>
      <c r="BI459" t="str">
        <f t="shared" si="159"/>
        <v>OK</v>
      </c>
      <c r="BJ459" t="str">
        <f t="shared" si="160"/>
        <v>OK</v>
      </c>
      <c r="BK459" t="str">
        <f t="shared" si="161"/>
        <v>OK</v>
      </c>
    </row>
    <row r="460" spans="1:63">
      <c r="A460" s="16" t="s">
        <v>797</v>
      </c>
      <c r="B460" s="16" t="s">
        <v>796</v>
      </c>
      <c r="C460" s="16" t="s">
        <v>142</v>
      </c>
      <c r="D460" s="16" t="s">
        <v>168</v>
      </c>
      <c r="E460" s="16" t="s">
        <v>249</v>
      </c>
      <c r="F460" s="16" t="s">
        <v>189</v>
      </c>
      <c r="G460" s="15">
        <v>46183</v>
      </c>
      <c r="H460" s="15">
        <v>46198</v>
      </c>
      <c r="I460" s="15">
        <v>46202</v>
      </c>
      <c r="J460" s="15" t="s">
        <v>141</v>
      </c>
      <c r="K460" s="16" t="s">
        <v>142</v>
      </c>
      <c r="L460" t="s">
        <v>227</v>
      </c>
      <c r="M460" s="16" t="s">
        <v>152</v>
      </c>
      <c r="N460" s="16" t="s">
        <v>153</v>
      </c>
      <c r="O460" t="s">
        <v>1614</v>
      </c>
      <c r="P460" s="18">
        <v>2752</v>
      </c>
      <c r="Q460" s="21">
        <v>15</v>
      </c>
      <c r="R460" s="21" t="str">
        <f t="shared" si="147"/>
        <v>15-30 days</v>
      </c>
      <c r="S460" s="16" t="s">
        <v>145</v>
      </c>
      <c r="T460" s="16" t="s">
        <v>154</v>
      </c>
      <c r="U460" s="16" t="s">
        <v>164</v>
      </c>
      <c r="V460" t="str">
        <f>IF(U460="","",IFERROR(VLOOKUP(U460,Hotels!A:B,2,FALSE),"Not Found"))</f>
        <v>Marriott</v>
      </c>
      <c r="W460" s="14">
        <v>462.38</v>
      </c>
      <c r="X460" s="14">
        <v>0</v>
      </c>
      <c r="Y460" s="21">
        <v>3</v>
      </c>
      <c r="Z460" s="29">
        <f t="shared" si="148"/>
        <v>128.18666666666667</v>
      </c>
      <c r="AA460" s="14">
        <v>384.56</v>
      </c>
      <c r="AB460" s="14">
        <v>72.2</v>
      </c>
      <c r="AC460" s="14">
        <v>919.14</v>
      </c>
      <c r="AD460" s="16" t="s">
        <v>147</v>
      </c>
      <c r="AE460" s="16" t="s">
        <v>147</v>
      </c>
      <c r="AF460" s="14">
        <f>SUMIF('Trip Changes'!$B:$B,A460,'Trip Changes'!$E:$E)</f>
        <v>0</v>
      </c>
      <c r="AG460" s="23">
        <f>SUMIF('Trip Cancellations'!$B:$B,A460,'Trip Cancellations'!$E:$E)</f>
        <v>0</v>
      </c>
      <c r="AH460" s="14">
        <f>SUMIF('Trip Cancellations'!$B:$B,A460,'Trip Cancellations'!$F:$F)</f>
        <v>0</v>
      </c>
      <c r="AI460" s="14">
        <f t="shared" si="149"/>
        <v>919.14</v>
      </c>
      <c r="AJ460" s="14" t="str">
        <f t="shared" si="150"/>
        <v>Yes</v>
      </c>
      <c r="AK460" s="14" t="str">
        <f>IF(Y460=0,"N/A",
IF(_xlfn.XLOOKUP(U460,Hotels!A:A,Hotels!C:C)=TRUE,"Yes","No"))</f>
        <v>Yes</v>
      </c>
      <c r="AL460" s="14" t="str">
        <f>IF(N460="Rail","N/A",IF(_xlfn.XLOOKUP(T460,Airlines!A:A,Airlines!C:C)=TRUE,"Yes","No"))</f>
        <v>Yes</v>
      </c>
      <c r="AM460" s="14" t="str">
        <f t="shared" si="151"/>
        <v>Yes</v>
      </c>
      <c r="AN460" s="14" t="str">
        <f t="shared" si="152"/>
        <v>Yes</v>
      </c>
      <c r="AO460" s="14" t="str">
        <f t="shared" si="153"/>
        <v>Yes</v>
      </c>
      <c r="AP460" s="16" t="s">
        <v>148</v>
      </c>
      <c r="AQ460" t="str">
        <f t="shared" si="154"/>
        <v>Yes</v>
      </c>
      <c r="AR460" s="21">
        <v>4</v>
      </c>
      <c r="AS460" s="5">
        <v>412.8</v>
      </c>
      <c r="AT460" s="5" t="str">
        <f>IF(T460="","",_xlfn.XLOOKUP(T460,Airlines!A:A,Airlines!B:B,"Not Found"))</f>
        <v>British Airways</v>
      </c>
      <c r="AU460" s="5" t="str">
        <f>IF(U460="","",_xlfn.XLOOKUP(U460,Hotels!A:A,Hotels!B:B,"Not found"))</f>
        <v>Marriott</v>
      </c>
      <c r="AV460" t="s">
        <v>147</v>
      </c>
      <c r="AW460" s="16" t="str">
        <f t="shared" si="155"/>
        <v>OK</v>
      </c>
      <c r="AX460" s="16" t="str">
        <f t="shared" si="156"/>
        <v>OK</v>
      </c>
      <c r="AY460" s="16" t="str">
        <f t="shared" si="157"/>
        <v>OK</v>
      </c>
      <c r="AZ460" s="16" t="str">
        <f t="shared" si="158"/>
        <v>OK</v>
      </c>
      <c r="BA460" s="16" t="str">
        <f t="shared" si="162"/>
        <v>OK</v>
      </c>
      <c r="BB460" s="21">
        <f>COUNTIF('Trip Changes'!B:B,A460)</f>
        <v>0</v>
      </c>
      <c r="BC460" s="16" t="str">
        <f>IF(OR(AND(AD460="Yes",COUNTIF('Trip Changes'!B:B,A460)&gt;0),AND(AD460="No",COUNTIF('Trip Changes'!B:B,A460)=0)),"OK","Check")</f>
        <v>OK</v>
      </c>
      <c r="BD460" t="str">
        <f t="shared" si="163"/>
        <v>OK</v>
      </c>
      <c r="BE460" t="str">
        <f t="shared" si="164"/>
        <v>OK</v>
      </c>
      <c r="BF460" t="str">
        <f t="shared" si="165"/>
        <v>OK</v>
      </c>
      <c r="BG460" t="str">
        <f t="shared" si="166"/>
        <v>OK</v>
      </c>
      <c r="BH460" t="str">
        <f t="shared" si="167"/>
        <v>OK</v>
      </c>
      <c r="BI460" t="str">
        <f t="shared" si="159"/>
        <v>OK</v>
      </c>
      <c r="BJ460" t="str">
        <f t="shared" si="160"/>
        <v>OK</v>
      </c>
      <c r="BK460" t="str">
        <f t="shared" si="161"/>
        <v>OK</v>
      </c>
    </row>
    <row r="461" spans="1:63">
      <c r="A461" s="16" t="s">
        <v>798</v>
      </c>
      <c r="B461" s="16" t="s">
        <v>796</v>
      </c>
      <c r="C461" s="16" t="s">
        <v>142</v>
      </c>
      <c r="D461" s="16" t="s">
        <v>168</v>
      </c>
      <c r="E461" s="16" t="s">
        <v>249</v>
      </c>
      <c r="F461" s="16" t="s">
        <v>140</v>
      </c>
      <c r="G461" s="15">
        <v>46148</v>
      </c>
      <c r="H461" s="15">
        <v>46162</v>
      </c>
      <c r="I461" s="15">
        <v>46167</v>
      </c>
      <c r="J461" s="15" t="s">
        <v>163</v>
      </c>
      <c r="K461" s="16" t="s">
        <v>142</v>
      </c>
      <c r="L461" t="s">
        <v>223</v>
      </c>
      <c r="M461" s="16" t="s">
        <v>152</v>
      </c>
      <c r="N461" s="16" t="s">
        <v>153</v>
      </c>
      <c r="O461" t="s">
        <v>1614</v>
      </c>
      <c r="P461" s="18">
        <v>19816</v>
      </c>
      <c r="Q461" s="21">
        <v>14</v>
      </c>
      <c r="R461" s="21" t="str">
        <f t="shared" si="147"/>
        <v>8-14 days</v>
      </c>
      <c r="S461" s="16" t="s">
        <v>216</v>
      </c>
      <c r="T461" s="16" t="s">
        <v>441</v>
      </c>
      <c r="U461" s="16" t="s">
        <v>164</v>
      </c>
      <c r="V461" t="str">
        <f>IF(U461="","",IFERROR(VLOOKUP(U461,Hotels!A:B,2,FALSE),"Not Found"))</f>
        <v>Marriott</v>
      </c>
      <c r="W461" s="14">
        <v>795.8</v>
      </c>
      <c r="X461" s="14">
        <v>0</v>
      </c>
      <c r="Y461" s="21">
        <v>4</v>
      </c>
      <c r="Z461" s="29">
        <f t="shared" si="148"/>
        <v>91.025000000000006</v>
      </c>
      <c r="AA461" s="14">
        <v>364.1</v>
      </c>
      <c r="AB461" s="14">
        <v>86.95</v>
      </c>
      <c r="AC461" s="14">
        <v>1246.8499999999999</v>
      </c>
      <c r="AD461" s="16" t="s">
        <v>147</v>
      </c>
      <c r="AE461" s="16" t="s">
        <v>147</v>
      </c>
      <c r="AF461" s="14">
        <f>SUMIF('Trip Changes'!$B:$B,A461,'Trip Changes'!$E:$E)</f>
        <v>0</v>
      </c>
      <c r="AG461" s="23">
        <f>SUMIF('Trip Cancellations'!$B:$B,A461,'Trip Cancellations'!$E:$E)</f>
        <v>0</v>
      </c>
      <c r="AH461" s="14">
        <f>SUMIF('Trip Cancellations'!$B:$B,A461,'Trip Cancellations'!$F:$F)</f>
        <v>0</v>
      </c>
      <c r="AI461" s="14">
        <f t="shared" si="149"/>
        <v>1246.8499999999999</v>
      </c>
      <c r="AJ461" s="14" t="str">
        <f t="shared" si="150"/>
        <v>Yes</v>
      </c>
      <c r="AK461" s="14" t="str">
        <f>IF(Y461=0,"N/A",
IF(_xlfn.XLOOKUP(U461,Hotels!A:A,Hotels!C:C)=TRUE,"Yes","No"))</f>
        <v>Yes</v>
      </c>
      <c r="AL461" s="14" t="str">
        <f>IF(N461="Rail","N/A",IF(_xlfn.XLOOKUP(T461,Airlines!A:A,Airlines!C:C)=TRUE,"Yes","No"))</f>
        <v>Yes</v>
      </c>
      <c r="AM461" s="14" t="str">
        <f t="shared" si="151"/>
        <v>Yes</v>
      </c>
      <c r="AN461" s="14" t="str">
        <f t="shared" si="152"/>
        <v>No</v>
      </c>
      <c r="AO461" s="14" t="str">
        <f t="shared" si="153"/>
        <v>Yes</v>
      </c>
      <c r="AP461" s="16" t="s">
        <v>148</v>
      </c>
      <c r="AQ461" t="str">
        <f t="shared" si="154"/>
        <v>No</v>
      </c>
      <c r="AR461" s="21">
        <v>5</v>
      </c>
      <c r="AS461" s="5">
        <v>2972.4</v>
      </c>
      <c r="AT461" s="5" t="str">
        <f>IF(T461="","",_xlfn.XLOOKUP(T461,Airlines!A:A,Airlines!B:B,"Not Found"))</f>
        <v>Emirates</v>
      </c>
      <c r="AU461" s="5" t="str">
        <f>IF(U461="","",_xlfn.XLOOKUP(U461,Hotels!A:A,Hotels!B:B,"Not found"))</f>
        <v>Marriott</v>
      </c>
      <c r="AV461" t="s">
        <v>148</v>
      </c>
      <c r="AW461" s="16" t="str">
        <f t="shared" si="155"/>
        <v>OK</v>
      </c>
      <c r="AX461" s="16" t="str">
        <f t="shared" si="156"/>
        <v>OK</v>
      </c>
      <c r="AY461" s="16" t="str">
        <f t="shared" si="157"/>
        <v>OK</v>
      </c>
      <c r="AZ461" s="16" t="str">
        <f t="shared" si="158"/>
        <v>OK</v>
      </c>
      <c r="BA461" s="16" t="str">
        <f t="shared" si="162"/>
        <v>OK</v>
      </c>
      <c r="BB461" s="21">
        <f>COUNTIF('Trip Changes'!B:B,A461)</f>
        <v>0</v>
      </c>
      <c r="BC461" s="16" t="str">
        <f>IF(OR(AND(AD461="Yes",COUNTIF('Trip Changes'!B:B,A461)&gt;0),AND(AD461="No",COUNTIF('Trip Changes'!B:B,A461)=0)),"OK","Check")</f>
        <v>OK</v>
      </c>
      <c r="BD461" t="str">
        <f t="shared" si="163"/>
        <v>OK</v>
      </c>
      <c r="BE461" t="str">
        <f t="shared" si="164"/>
        <v>OK</v>
      </c>
      <c r="BF461" t="str">
        <f t="shared" si="165"/>
        <v>OK</v>
      </c>
      <c r="BG461" t="str">
        <f t="shared" si="166"/>
        <v>OK</v>
      </c>
      <c r="BH461" t="str">
        <f t="shared" si="167"/>
        <v>OK</v>
      </c>
      <c r="BI461" t="str">
        <f t="shared" si="159"/>
        <v>OK</v>
      </c>
      <c r="BJ461" t="str">
        <f t="shared" si="160"/>
        <v>OK</v>
      </c>
      <c r="BK461" t="str">
        <f t="shared" si="161"/>
        <v>OK</v>
      </c>
    </row>
    <row r="462" spans="1:63">
      <c r="A462" s="16" t="s">
        <v>799</v>
      </c>
      <c r="B462" s="16" t="s">
        <v>800</v>
      </c>
      <c r="C462" s="16" t="s">
        <v>257</v>
      </c>
      <c r="D462" s="16" t="s">
        <v>204</v>
      </c>
      <c r="E462" s="16" t="s">
        <v>249</v>
      </c>
      <c r="F462" s="16" t="s">
        <v>178</v>
      </c>
      <c r="G462" s="15">
        <v>46163</v>
      </c>
      <c r="H462" s="15">
        <v>46172</v>
      </c>
      <c r="I462" s="15">
        <v>46174</v>
      </c>
      <c r="J462" s="15" t="s">
        <v>163</v>
      </c>
      <c r="K462" s="16" t="s">
        <v>257</v>
      </c>
      <c r="L462" t="s">
        <v>142</v>
      </c>
      <c r="M462" s="16" t="s">
        <v>143</v>
      </c>
      <c r="N462" s="16" t="s">
        <v>144</v>
      </c>
      <c r="O462" t="s">
        <v>1630</v>
      </c>
      <c r="P462" s="18">
        <v>758</v>
      </c>
      <c r="Q462" s="21">
        <v>9</v>
      </c>
      <c r="R462" s="21" t="str">
        <f t="shared" si="147"/>
        <v>8-14 days</v>
      </c>
      <c r="S462" s="16" t="s">
        <v>145</v>
      </c>
      <c r="U462" s="16" t="s">
        <v>164</v>
      </c>
      <c r="V462" t="str">
        <f>IF(U462="","",IFERROR(VLOOKUP(U462,Hotels!A:B,2,FALSE),"Not Found"))</f>
        <v>Marriott</v>
      </c>
      <c r="W462" s="14">
        <v>0</v>
      </c>
      <c r="X462" s="14">
        <v>261.64</v>
      </c>
      <c r="Y462" s="21">
        <v>1</v>
      </c>
      <c r="Z462" s="29">
        <f t="shared" si="148"/>
        <v>83.16</v>
      </c>
      <c r="AA462" s="14">
        <v>83.16</v>
      </c>
      <c r="AB462" s="14">
        <v>20</v>
      </c>
      <c r="AC462" s="14">
        <v>364.8</v>
      </c>
      <c r="AD462" s="16" t="s">
        <v>147</v>
      </c>
      <c r="AE462" s="16" t="s">
        <v>148</v>
      </c>
      <c r="AF462" s="14">
        <f>SUMIF('Trip Changes'!$B:$B,A462,'Trip Changes'!$E:$E)</f>
        <v>0</v>
      </c>
      <c r="AG462" s="23">
        <f>SUMIF('Trip Cancellations'!$B:$B,A462,'Trip Cancellations'!$E:$E)</f>
        <v>22.27</v>
      </c>
      <c r="AH462" s="14">
        <f>SUMIF('Trip Cancellations'!$B:$B,A462,'Trip Cancellations'!$F:$F)</f>
        <v>0</v>
      </c>
      <c r="AI462" s="14">
        <f t="shared" si="149"/>
        <v>387.07</v>
      </c>
      <c r="AJ462" s="14" t="str">
        <f t="shared" si="150"/>
        <v>Yes</v>
      </c>
      <c r="AK462" s="14" t="str">
        <f>IF(Y462=0,"N/A",
IF(_xlfn.XLOOKUP(U462,Hotels!A:A,Hotels!C:C)=TRUE,"Yes","No"))</f>
        <v>Yes</v>
      </c>
      <c r="AL462" s="14" t="str">
        <f>IF(N462="Rail","N/A",IF(_xlfn.XLOOKUP(T462,Airlines!A:A,Airlines!C:C)=TRUE,"Yes","No"))</f>
        <v>N/A</v>
      </c>
      <c r="AM462" s="14" t="str">
        <f t="shared" si="151"/>
        <v>Yes</v>
      </c>
      <c r="AN462" s="14" t="str">
        <f t="shared" si="152"/>
        <v>Yes</v>
      </c>
      <c r="AO462" s="14" t="str">
        <f t="shared" si="153"/>
        <v>Yes</v>
      </c>
      <c r="AP462" s="16" t="s">
        <v>148</v>
      </c>
      <c r="AQ462" t="str">
        <f t="shared" si="154"/>
        <v>Yes</v>
      </c>
      <c r="AR462" s="21">
        <v>3</v>
      </c>
      <c r="AS462" s="5">
        <v>30.3</v>
      </c>
      <c r="AT462" s="5" t="str">
        <f>IF(T462="","",_xlfn.XLOOKUP(T462,Airlines!A:A,Airlines!B:B,"Not Found"))</f>
        <v/>
      </c>
      <c r="AU462" s="5" t="str">
        <f>IF(U462="","",_xlfn.XLOOKUP(U462,Hotels!A:A,Hotels!B:B,"Not found"))</f>
        <v>Marriott</v>
      </c>
      <c r="AV462" t="s">
        <v>147</v>
      </c>
      <c r="AW462" s="16" t="str">
        <f t="shared" si="155"/>
        <v>OK</v>
      </c>
      <c r="AX462" s="16" t="str">
        <f t="shared" si="156"/>
        <v>OK</v>
      </c>
      <c r="AY462" s="16" t="str">
        <f t="shared" si="157"/>
        <v>OK</v>
      </c>
      <c r="AZ462" s="16" t="str">
        <f t="shared" si="158"/>
        <v>OK</v>
      </c>
      <c r="BA462" s="16" t="str">
        <f t="shared" si="162"/>
        <v>OK</v>
      </c>
      <c r="BB462" s="21">
        <f>COUNTIF('Trip Changes'!B:B,A462)</f>
        <v>0</v>
      </c>
      <c r="BC462" s="16" t="str">
        <f>IF(OR(AND(AD462="Yes",COUNTIF('Trip Changes'!B:B,A462)&gt;0),AND(AD462="No",COUNTIF('Trip Changes'!B:B,A462)=0)),"OK","Check")</f>
        <v>OK</v>
      </c>
      <c r="BD462" t="str">
        <f t="shared" si="163"/>
        <v>OK</v>
      </c>
      <c r="BE462" t="str">
        <f t="shared" si="164"/>
        <v>OK</v>
      </c>
      <c r="BF462" t="str">
        <f t="shared" si="165"/>
        <v>OK</v>
      </c>
      <c r="BG462" t="str">
        <f t="shared" si="166"/>
        <v>OK</v>
      </c>
      <c r="BH462" t="str">
        <f t="shared" si="167"/>
        <v>OK</v>
      </c>
      <c r="BI462" t="str">
        <f t="shared" si="159"/>
        <v>OK</v>
      </c>
      <c r="BJ462" t="str">
        <f t="shared" si="160"/>
        <v>OK</v>
      </c>
      <c r="BK462" t="str">
        <f t="shared" si="161"/>
        <v>OK</v>
      </c>
    </row>
    <row r="463" spans="1:63">
      <c r="A463" s="16" t="s">
        <v>801</v>
      </c>
      <c r="B463" s="16" t="s">
        <v>800</v>
      </c>
      <c r="C463" s="16" t="s">
        <v>257</v>
      </c>
      <c r="D463" s="16" t="s">
        <v>204</v>
      </c>
      <c r="E463" s="16" t="s">
        <v>249</v>
      </c>
      <c r="F463" s="16" t="s">
        <v>170</v>
      </c>
      <c r="G463" s="15">
        <v>46161</v>
      </c>
      <c r="H463" s="15">
        <v>46185</v>
      </c>
      <c r="I463" s="15">
        <v>46189</v>
      </c>
      <c r="J463" s="15" t="s">
        <v>141</v>
      </c>
      <c r="K463" s="16" t="s">
        <v>257</v>
      </c>
      <c r="L463" t="s">
        <v>264</v>
      </c>
      <c r="M463" s="16" t="s">
        <v>152</v>
      </c>
      <c r="N463" s="16" t="s">
        <v>153</v>
      </c>
      <c r="O463" t="s">
        <v>1614</v>
      </c>
      <c r="P463" s="18">
        <v>2660</v>
      </c>
      <c r="Q463" s="21">
        <v>24</v>
      </c>
      <c r="R463" s="21" t="str">
        <f t="shared" si="147"/>
        <v>15-30 days</v>
      </c>
      <c r="S463" s="16" t="s">
        <v>145</v>
      </c>
      <c r="T463" s="16" t="s">
        <v>172</v>
      </c>
      <c r="U463" s="16" t="s">
        <v>164</v>
      </c>
      <c r="V463" t="str">
        <f>IF(U463="","",IFERROR(VLOOKUP(U463,Hotels!A:B,2,FALSE),"Not Found"))</f>
        <v>Marriott</v>
      </c>
      <c r="W463" s="14">
        <v>363.87</v>
      </c>
      <c r="X463" s="14">
        <v>0</v>
      </c>
      <c r="Y463" s="21">
        <v>3</v>
      </c>
      <c r="Z463" s="29">
        <f t="shared" si="148"/>
        <v>194.44666666666669</v>
      </c>
      <c r="AA463" s="14">
        <v>583.34</v>
      </c>
      <c r="AB463" s="14">
        <v>81.62</v>
      </c>
      <c r="AC463" s="14">
        <v>1028.83</v>
      </c>
      <c r="AD463" s="16" t="s">
        <v>147</v>
      </c>
      <c r="AE463" s="16" t="s">
        <v>147</v>
      </c>
      <c r="AF463" s="14">
        <f>SUMIF('Trip Changes'!$B:$B,A463,'Trip Changes'!$E:$E)</f>
        <v>0</v>
      </c>
      <c r="AG463" s="23">
        <f>SUMIF('Trip Cancellations'!$B:$B,A463,'Trip Cancellations'!$E:$E)</f>
        <v>0</v>
      </c>
      <c r="AH463" s="14">
        <f>SUMIF('Trip Cancellations'!$B:$B,A463,'Trip Cancellations'!$F:$F)</f>
        <v>0</v>
      </c>
      <c r="AI463" s="14">
        <f t="shared" si="149"/>
        <v>1028.83</v>
      </c>
      <c r="AJ463" s="14" t="str">
        <f t="shared" si="150"/>
        <v>No</v>
      </c>
      <c r="AK463" s="14" t="str">
        <f>IF(Y463=0,"N/A",
IF(_xlfn.XLOOKUP(U463,Hotels!A:A,Hotels!C:C)=TRUE,"Yes","No"))</f>
        <v>Yes</v>
      </c>
      <c r="AL463" s="14" t="str">
        <f>IF(N463="Rail","N/A",IF(_xlfn.XLOOKUP(T463,Airlines!A:A,Airlines!C:C)=TRUE,"Yes","No"))</f>
        <v>Yes</v>
      </c>
      <c r="AM463" s="14" t="str">
        <f t="shared" si="151"/>
        <v>Yes</v>
      </c>
      <c r="AN463" s="14" t="str">
        <f t="shared" si="152"/>
        <v>Yes</v>
      </c>
      <c r="AO463" s="14" t="str">
        <f t="shared" si="153"/>
        <v>Yes</v>
      </c>
      <c r="AP463" s="16" t="s">
        <v>148</v>
      </c>
      <c r="AQ463" t="str">
        <f t="shared" si="154"/>
        <v>No</v>
      </c>
      <c r="AR463" s="21">
        <v>4</v>
      </c>
      <c r="AS463" s="5">
        <v>399</v>
      </c>
      <c r="AT463" s="5" t="str">
        <f>IF(T463="","",_xlfn.XLOOKUP(T463,Airlines!A:A,Airlines!B:B,"Not Found"))</f>
        <v>Lufthansa</v>
      </c>
      <c r="AU463" s="5" t="str">
        <f>IF(U463="","",_xlfn.XLOOKUP(U463,Hotels!A:A,Hotels!B:B,"Not found"))</f>
        <v>Marriott</v>
      </c>
      <c r="AV463" t="s">
        <v>147</v>
      </c>
      <c r="AW463" s="16" t="str">
        <f t="shared" si="155"/>
        <v>OK</v>
      </c>
      <c r="AX463" s="16" t="str">
        <f t="shared" si="156"/>
        <v>OK</v>
      </c>
      <c r="AY463" s="16" t="str">
        <f t="shared" si="157"/>
        <v>OK</v>
      </c>
      <c r="AZ463" s="16" t="str">
        <f t="shared" si="158"/>
        <v>OK</v>
      </c>
      <c r="BA463" s="16" t="str">
        <f t="shared" si="162"/>
        <v>OK</v>
      </c>
      <c r="BB463" s="21">
        <f>COUNTIF('Trip Changes'!B:B,A463)</f>
        <v>0</v>
      </c>
      <c r="BC463" s="16" t="str">
        <f>IF(OR(AND(AD463="Yes",COUNTIF('Trip Changes'!B:B,A463)&gt;0),AND(AD463="No",COUNTIF('Trip Changes'!B:B,A463)=0)),"OK","Check")</f>
        <v>OK</v>
      </c>
      <c r="BD463" t="str">
        <f t="shared" si="163"/>
        <v>OK</v>
      </c>
      <c r="BE463" t="str">
        <f t="shared" si="164"/>
        <v>OK</v>
      </c>
      <c r="BF463" t="str">
        <f t="shared" si="165"/>
        <v>OK</v>
      </c>
      <c r="BG463" t="str">
        <f t="shared" si="166"/>
        <v>OK</v>
      </c>
      <c r="BH463" t="str">
        <f t="shared" si="167"/>
        <v>OK</v>
      </c>
      <c r="BI463" t="str">
        <f t="shared" si="159"/>
        <v>OK</v>
      </c>
      <c r="BJ463" t="str">
        <f t="shared" si="160"/>
        <v>OK</v>
      </c>
      <c r="BK463" t="str">
        <f t="shared" si="161"/>
        <v>OK</v>
      </c>
    </row>
    <row r="464" spans="1:63">
      <c r="A464" s="16" t="s">
        <v>802</v>
      </c>
      <c r="B464" s="16" t="s">
        <v>803</v>
      </c>
      <c r="C464" s="16" t="s">
        <v>182</v>
      </c>
      <c r="D464" s="16" t="s">
        <v>248</v>
      </c>
      <c r="E464" s="16" t="s">
        <v>262</v>
      </c>
      <c r="F464" s="16" t="s">
        <v>157</v>
      </c>
      <c r="G464" s="15">
        <v>46204</v>
      </c>
      <c r="H464" s="15">
        <v>46216</v>
      </c>
      <c r="I464" s="15">
        <v>46221</v>
      </c>
      <c r="J464" s="15" t="s">
        <v>150</v>
      </c>
      <c r="K464" s="16" t="s">
        <v>182</v>
      </c>
      <c r="L464" t="s">
        <v>233</v>
      </c>
      <c r="M464" s="16" t="s">
        <v>152</v>
      </c>
      <c r="N464" s="16" t="s">
        <v>153</v>
      </c>
      <c r="O464" t="s">
        <v>1614</v>
      </c>
      <c r="P464" s="18">
        <v>2934</v>
      </c>
      <c r="Q464" s="21">
        <v>12</v>
      </c>
      <c r="R464" s="21" t="str">
        <f t="shared" si="147"/>
        <v>8-14 days</v>
      </c>
      <c r="S464" s="16" t="s">
        <v>145</v>
      </c>
      <c r="T464" s="16" t="s">
        <v>154</v>
      </c>
      <c r="U464" s="16" t="s">
        <v>164</v>
      </c>
      <c r="V464" t="str">
        <f>IF(U464="","",IFERROR(VLOOKUP(U464,Hotels!A:B,2,FALSE),"Not Found"))</f>
        <v>Marriott</v>
      </c>
      <c r="W464" s="14">
        <v>292.22000000000003</v>
      </c>
      <c r="X464" s="14">
        <v>0</v>
      </c>
      <c r="Y464" s="21">
        <v>4</v>
      </c>
      <c r="Z464" s="29">
        <f t="shared" si="148"/>
        <v>149.69999999999999</v>
      </c>
      <c r="AA464" s="14">
        <v>598.79999999999995</v>
      </c>
      <c r="AB464" s="14">
        <v>50.4</v>
      </c>
      <c r="AC464" s="14">
        <v>941.42</v>
      </c>
      <c r="AD464" s="16" t="s">
        <v>147</v>
      </c>
      <c r="AE464" s="16" t="s">
        <v>148</v>
      </c>
      <c r="AF464" s="14">
        <f>SUMIF('Trip Changes'!$B:$B,A464,'Trip Changes'!$E:$E)</f>
        <v>0</v>
      </c>
      <c r="AG464" s="23">
        <f>SUMIF('Trip Cancellations'!$B:$B,A464,'Trip Cancellations'!$E:$E)</f>
        <v>104.04</v>
      </c>
      <c r="AH464" s="14">
        <f>SUMIF('Trip Cancellations'!$B:$B,A464,'Trip Cancellations'!$F:$F)</f>
        <v>445.51</v>
      </c>
      <c r="AI464" s="14">
        <f t="shared" si="149"/>
        <v>599.95000000000005</v>
      </c>
      <c r="AJ464" s="14" t="str">
        <f t="shared" si="150"/>
        <v>Yes</v>
      </c>
      <c r="AK464" s="14" t="str">
        <f>IF(Y464=0,"N/A",
IF(_xlfn.XLOOKUP(U464,Hotels!A:A,Hotels!C:C)=TRUE,"Yes","No"))</f>
        <v>Yes</v>
      </c>
      <c r="AL464" s="14" t="str">
        <f>IF(N464="Rail","N/A",IF(_xlfn.XLOOKUP(T464,Airlines!A:A,Airlines!C:C)=TRUE,"Yes","No"))</f>
        <v>Yes</v>
      </c>
      <c r="AM464" s="14" t="str">
        <f t="shared" si="151"/>
        <v>Yes</v>
      </c>
      <c r="AN464" s="14" t="str">
        <f t="shared" si="152"/>
        <v>Yes</v>
      </c>
      <c r="AO464" s="14" t="str">
        <f t="shared" si="153"/>
        <v>Yes</v>
      </c>
      <c r="AP464" s="16" t="s">
        <v>148</v>
      </c>
      <c r="AQ464" t="str">
        <f t="shared" si="154"/>
        <v>Yes</v>
      </c>
      <c r="AR464" s="21">
        <v>4</v>
      </c>
      <c r="AS464" s="5">
        <v>440.1</v>
      </c>
      <c r="AT464" s="5" t="str">
        <f>IF(T464="","",_xlfn.XLOOKUP(T464,Airlines!A:A,Airlines!B:B,"Not Found"))</f>
        <v>British Airways</v>
      </c>
      <c r="AU464" s="5" t="str">
        <f>IF(U464="","",_xlfn.XLOOKUP(U464,Hotels!A:A,Hotels!B:B,"Not found"))</f>
        <v>Marriott</v>
      </c>
      <c r="AV464" t="s">
        <v>147</v>
      </c>
      <c r="AW464" s="16" t="str">
        <f t="shared" si="155"/>
        <v>OK</v>
      </c>
      <c r="AX464" s="16" t="str">
        <f t="shared" si="156"/>
        <v>OK</v>
      </c>
      <c r="AY464" s="16" t="str">
        <f t="shared" si="157"/>
        <v>OK</v>
      </c>
      <c r="AZ464" s="16" t="str">
        <f t="shared" si="158"/>
        <v>OK</v>
      </c>
      <c r="BA464" s="16" t="str">
        <f t="shared" si="162"/>
        <v>OK</v>
      </c>
      <c r="BB464" s="21">
        <f>COUNTIF('Trip Changes'!B:B,A464)</f>
        <v>0</v>
      </c>
      <c r="BC464" s="16" t="str">
        <f>IF(OR(AND(AD464="Yes",COUNTIF('Trip Changes'!B:B,A464)&gt;0),AND(AD464="No",COUNTIF('Trip Changes'!B:B,A464)=0)),"OK","Check")</f>
        <v>OK</v>
      </c>
      <c r="BD464" t="str">
        <f t="shared" si="163"/>
        <v>OK</v>
      </c>
      <c r="BE464" t="str">
        <f t="shared" si="164"/>
        <v>OK</v>
      </c>
      <c r="BF464" t="str">
        <f t="shared" si="165"/>
        <v>OK</v>
      </c>
      <c r="BG464" t="str">
        <f t="shared" si="166"/>
        <v>OK</v>
      </c>
      <c r="BH464" t="str">
        <f t="shared" si="167"/>
        <v>OK</v>
      </c>
      <c r="BI464" t="str">
        <f t="shared" si="159"/>
        <v>OK</v>
      </c>
      <c r="BJ464" t="str">
        <f t="shared" si="160"/>
        <v>OK</v>
      </c>
      <c r="BK464" t="str">
        <f t="shared" si="161"/>
        <v>OK</v>
      </c>
    </row>
    <row r="465" spans="1:63">
      <c r="A465" s="16" t="s">
        <v>804</v>
      </c>
      <c r="B465" s="16" t="s">
        <v>803</v>
      </c>
      <c r="C465" s="16" t="s">
        <v>182</v>
      </c>
      <c r="D465" s="16" t="s">
        <v>248</v>
      </c>
      <c r="E465" s="16" t="s">
        <v>262</v>
      </c>
      <c r="F465" s="16" t="s">
        <v>140</v>
      </c>
      <c r="G465" s="15">
        <v>46199</v>
      </c>
      <c r="H465" s="15">
        <v>46200</v>
      </c>
      <c r="I465" s="15">
        <v>46203</v>
      </c>
      <c r="J465" s="15" t="s">
        <v>141</v>
      </c>
      <c r="K465" s="16" t="s">
        <v>182</v>
      </c>
      <c r="L465" t="s">
        <v>307</v>
      </c>
      <c r="M465" s="16" t="s">
        <v>143</v>
      </c>
      <c r="N465" s="16" t="s">
        <v>153</v>
      </c>
      <c r="O465" t="s">
        <v>1614</v>
      </c>
      <c r="P465" s="18">
        <v>1076</v>
      </c>
      <c r="Q465" s="21">
        <v>1</v>
      </c>
      <c r="R465" s="21" t="str">
        <f t="shared" si="147"/>
        <v>0-3 days</v>
      </c>
      <c r="S465" s="16" t="s">
        <v>159</v>
      </c>
      <c r="T465" s="16" t="s">
        <v>154</v>
      </c>
      <c r="U465" s="16" t="s">
        <v>164</v>
      </c>
      <c r="V465" t="str">
        <f>IF(U465="","",IFERROR(VLOOKUP(U465,Hotels!A:B,2,FALSE),"Not Found"))</f>
        <v>Marriott</v>
      </c>
      <c r="W465" s="14">
        <v>290.29000000000002</v>
      </c>
      <c r="X465" s="14">
        <v>0</v>
      </c>
      <c r="Y465" s="21">
        <v>2</v>
      </c>
      <c r="Z465" s="29">
        <f t="shared" si="148"/>
        <v>192.85499999999999</v>
      </c>
      <c r="AA465" s="14">
        <v>385.71</v>
      </c>
      <c r="AB465" s="14">
        <v>30.27</v>
      </c>
      <c r="AC465" s="14">
        <v>706.27</v>
      </c>
      <c r="AD465" s="16" t="s">
        <v>147</v>
      </c>
      <c r="AE465" s="16" t="s">
        <v>147</v>
      </c>
      <c r="AF465" s="14">
        <f>SUMIF('Trip Changes'!$B:$B,A465,'Trip Changes'!$E:$E)</f>
        <v>0</v>
      </c>
      <c r="AG465" s="23">
        <f>SUMIF('Trip Cancellations'!$B:$B,A465,'Trip Cancellations'!$E:$E)</f>
        <v>0</v>
      </c>
      <c r="AH465" s="14">
        <f>SUMIF('Trip Cancellations'!$B:$B,A465,'Trip Cancellations'!$F:$F)</f>
        <v>0</v>
      </c>
      <c r="AI465" s="14">
        <f t="shared" si="149"/>
        <v>706.27</v>
      </c>
      <c r="AJ465" s="14" t="str">
        <f t="shared" si="150"/>
        <v>Yes</v>
      </c>
      <c r="AK465" s="14" t="str">
        <f>IF(Y465=0,"N/A",
IF(_xlfn.XLOOKUP(U465,Hotels!A:A,Hotels!C:C)=TRUE,"Yes","No"))</f>
        <v>Yes</v>
      </c>
      <c r="AL465" s="14" t="str">
        <f>IF(N465="Rail","N/A",IF(_xlfn.XLOOKUP(T465,Airlines!A:A,Airlines!C:C)=TRUE,"Yes","No"))</f>
        <v>Yes</v>
      </c>
      <c r="AM465" s="14" t="str">
        <f t="shared" si="151"/>
        <v>Yes</v>
      </c>
      <c r="AN465" s="14" t="str">
        <f t="shared" si="152"/>
        <v>Yes</v>
      </c>
      <c r="AO465" s="14" t="str">
        <f t="shared" si="153"/>
        <v>Yes</v>
      </c>
      <c r="AP465" s="16" t="s">
        <v>148</v>
      </c>
      <c r="AQ465" t="str">
        <f t="shared" si="154"/>
        <v>Yes</v>
      </c>
      <c r="AR465" s="21">
        <v>4</v>
      </c>
      <c r="AS465" s="5">
        <v>161.4</v>
      </c>
      <c r="AT465" s="5" t="str">
        <f>IF(T465="","",_xlfn.XLOOKUP(T465,Airlines!A:A,Airlines!B:B,"Not Found"))</f>
        <v>British Airways</v>
      </c>
      <c r="AU465" s="5" t="str">
        <f>IF(U465="","",_xlfn.XLOOKUP(U465,Hotels!A:A,Hotels!B:B,"Not found"))</f>
        <v>Marriott</v>
      </c>
      <c r="AV465" t="s">
        <v>147</v>
      </c>
      <c r="AW465" s="16" t="str">
        <f t="shared" si="155"/>
        <v>OK</v>
      </c>
      <c r="AX465" s="16" t="str">
        <f t="shared" si="156"/>
        <v>OK</v>
      </c>
      <c r="AY465" s="16" t="str">
        <f t="shared" si="157"/>
        <v>OK</v>
      </c>
      <c r="AZ465" s="16" t="str">
        <f t="shared" si="158"/>
        <v>OK</v>
      </c>
      <c r="BA465" s="16" t="str">
        <f t="shared" si="162"/>
        <v>OK</v>
      </c>
      <c r="BB465" s="21">
        <f>COUNTIF('Trip Changes'!B:B,A465)</f>
        <v>0</v>
      </c>
      <c r="BC465" s="16" t="str">
        <f>IF(OR(AND(AD465="Yes",COUNTIF('Trip Changes'!B:B,A465)&gt;0),AND(AD465="No",COUNTIF('Trip Changes'!B:B,A465)=0)),"OK","Check")</f>
        <v>OK</v>
      </c>
      <c r="BD465" t="str">
        <f t="shared" si="163"/>
        <v>OK</v>
      </c>
      <c r="BE465" t="str">
        <f t="shared" si="164"/>
        <v>OK</v>
      </c>
      <c r="BF465" t="str">
        <f t="shared" si="165"/>
        <v>OK</v>
      </c>
      <c r="BG465" t="str">
        <f t="shared" si="166"/>
        <v>OK</v>
      </c>
      <c r="BH465" t="str">
        <f t="shared" si="167"/>
        <v>OK</v>
      </c>
      <c r="BI465" t="str">
        <f t="shared" si="159"/>
        <v>OK</v>
      </c>
      <c r="BJ465" t="str">
        <f t="shared" si="160"/>
        <v>OK</v>
      </c>
      <c r="BK465" t="str">
        <f t="shared" si="161"/>
        <v>OK</v>
      </c>
    </row>
    <row r="466" spans="1:63">
      <c r="A466" s="16" t="s">
        <v>805</v>
      </c>
      <c r="B466" s="16" t="s">
        <v>803</v>
      </c>
      <c r="C466" s="16" t="s">
        <v>182</v>
      </c>
      <c r="D466" s="16" t="s">
        <v>248</v>
      </c>
      <c r="E466" s="16" t="s">
        <v>262</v>
      </c>
      <c r="F466" s="16" t="s">
        <v>189</v>
      </c>
      <c r="G466" s="15">
        <v>46215</v>
      </c>
      <c r="H466" s="15">
        <v>46232</v>
      </c>
      <c r="I466" s="15">
        <v>46236</v>
      </c>
      <c r="J466" s="15" t="s">
        <v>150</v>
      </c>
      <c r="K466" s="16" t="s">
        <v>182</v>
      </c>
      <c r="L466" t="s">
        <v>185</v>
      </c>
      <c r="M466" s="16" t="s">
        <v>152</v>
      </c>
      <c r="N466" s="16" t="s">
        <v>153</v>
      </c>
      <c r="O466" t="s">
        <v>1614</v>
      </c>
      <c r="P466" s="18">
        <v>10320</v>
      </c>
      <c r="Q466" s="21">
        <v>17</v>
      </c>
      <c r="R466" s="21" t="str">
        <f t="shared" si="147"/>
        <v>15-30 days</v>
      </c>
      <c r="S466" s="16" t="s">
        <v>145</v>
      </c>
      <c r="T466" s="16" t="s">
        <v>278</v>
      </c>
      <c r="U466" s="16" t="s">
        <v>155</v>
      </c>
      <c r="V466" t="str">
        <f>IF(U466="","",IFERROR(VLOOKUP(U466,Hotels!A:B,2,FALSE),"Not Found"))</f>
        <v>Hilton</v>
      </c>
      <c r="W466" s="14">
        <v>1212.95</v>
      </c>
      <c r="X466" s="14">
        <v>0</v>
      </c>
      <c r="Y466" s="21">
        <v>3</v>
      </c>
      <c r="Z466" s="29">
        <f t="shared" si="148"/>
        <v>151.30666666666667</v>
      </c>
      <c r="AA466" s="14">
        <v>453.92</v>
      </c>
      <c r="AB466" s="14">
        <v>77.84</v>
      </c>
      <c r="AC466" s="14">
        <v>1744.71</v>
      </c>
      <c r="AD466" s="16" t="s">
        <v>147</v>
      </c>
      <c r="AE466" s="16" t="s">
        <v>147</v>
      </c>
      <c r="AF466" s="14">
        <f>SUMIF('Trip Changes'!$B:$B,A466,'Trip Changes'!$E:$E)</f>
        <v>0</v>
      </c>
      <c r="AG466" s="23">
        <f>SUMIF('Trip Cancellations'!$B:$B,A466,'Trip Cancellations'!$E:$E)</f>
        <v>0</v>
      </c>
      <c r="AH466" s="14">
        <f>SUMIF('Trip Cancellations'!$B:$B,A466,'Trip Cancellations'!$F:$F)</f>
        <v>0</v>
      </c>
      <c r="AI466" s="14">
        <f t="shared" si="149"/>
        <v>1744.71</v>
      </c>
      <c r="AJ466" s="14" t="str">
        <f t="shared" si="150"/>
        <v>Yes</v>
      </c>
      <c r="AK466" s="14" t="str">
        <f>IF(Y466=0,"N/A",
IF(_xlfn.XLOOKUP(U466,Hotels!A:A,Hotels!C:C)=TRUE,"Yes","No"))</f>
        <v>Yes</v>
      </c>
      <c r="AL466" s="14" t="str">
        <f>IF(N466="Rail","N/A",IF(_xlfn.XLOOKUP(T466,Airlines!A:A,Airlines!C:C)=TRUE,"Yes","No"))</f>
        <v>No</v>
      </c>
      <c r="AM466" s="14" t="str">
        <f t="shared" si="151"/>
        <v>Yes</v>
      </c>
      <c r="AN466" s="14" t="str">
        <f t="shared" si="152"/>
        <v>Yes</v>
      </c>
      <c r="AO466" s="14" t="str">
        <f t="shared" si="153"/>
        <v>No</v>
      </c>
      <c r="AP466" s="16" t="s">
        <v>148</v>
      </c>
      <c r="AQ466" t="str">
        <f t="shared" si="154"/>
        <v>No</v>
      </c>
      <c r="AR466" s="21">
        <v>5</v>
      </c>
      <c r="AS466" s="5">
        <v>1548</v>
      </c>
      <c r="AT466" s="5" t="str">
        <f>IF(T466="","",_xlfn.XLOOKUP(T466,Airlines!A:A,Airlines!B:B,"Not Found"))</f>
        <v>United Airlines</v>
      </c>
      <c r="AU466" s="5" t="str">
        <f>IF(U466="","",_xlfn.XLOOKUP(U466,Hotels!A:A,Hotels!B:B,"Not found"))</f>
        <v>Hilton</v>
      </c>
      <c r="AV466" t="s">
        <v>147</v>
      </c>
      <c r="AW466" s="16" t="str">
        <f t="shared" si="155"/>
        <v>OK</v>
      </c>
      <c r="AX466" s="16" t="str">
        <f t="shared" si="156"/>
        <v>OK</v>
      </c>
      <c r="AY466" s="16" t="str">
        <f t="shared" si="157"/>
        <v>OK</v>
      </c>
      <c r="AZ466" s="16" t="str">
        <f t="shared" si="158"/>
        <v>OK</v>
      </c>
      <c r="BA466" s="16" t="str">
        <f t="shared" si="162"/>
        <v>OK</v>
      </c>
      <c r="BB466" s="21">
        <f>COUNTIF('Trip Changes'!B:B,A466)</f>
        <v>0</v>
      </c>
      <c r="BC466" s="16" t="str">
        <f>IF(OR(AND(AD466="Yes",COUNTIF('Trip Changes'!B:B,A466)&gt;0),AND(AD466="No",COUNTIF('Trip Changes'!B:B,A466)=0)),"OK","Check")</f>
        <v>OK</v>
      </c>
      <c r="BD466" t="str">
        <f t="shared" si="163"/>
        <v>OK</v>
      </c>
      <c r="BE466" t="str">
        <f t="shared" si="164"/>
        <v>OK</v>
      </c>
      <c r="BF466" t="str">
        <f t="shared" si="165"/>
        <v>OK</v>
      </c>
      <c r="BG466" t="str">
        <f t="shared" si="166"/>
        <v>OK</v>
      </c>
      <c r="BH466" t="str">
        <f t="shared" si="167"/>
        <v>OK</v>
      </c>
      <c r="BI466" t="str">
        <f t="shared" si="159"/>
        <v>OK</v>
      </c>
      <c r="BJ466" t="str">
        <f t="shared" si="160"/>
        <v>OK</v>
      </c>
      <c r="BK466" t="str">
        <f t="shared" si="161"/>
        <v>OK</v>
      </c>
    </row>
    <row r="467" spans="1:63">
      <c r="A467" s="16" t="s">
        <v>806</v>
      </c>
      <c r="B467" s="16" t="s">
        <v>803</v>
      </c>
      <c r="C467" s="16" t="s">
        <v>182</v>
      </c>
      <c r="D467" s="16" t="s">
        <v>248</v>
      </c>
      <c r="E467" s="16" t="s">
        <v>262</v>
      </c>
      <c r="F467" s="16" t="s">
        <v>157</v>
      </c>
      <c r="G467" s="15">
        <v>46152</v>
      </c>
      <c r="H467" s="15">
        <v>46162</v>
      </c>
      <c r="I467" s="15">
        <v>46166</v>
      </c>
      <c r="J467" s="15" t="s">
        <v>163</v>
      </c>
      <c r="K467" s="16" t="s">
        <v>182</v>
      </c>
      <c r="L467" t="s">
        <v>225</v>
      </c>
      <c r="M467" s="16" t="s">
        <v>152</v>
      </c>
      <c r="N467" s="16" t="s">
        <v>153</v>
      </c>
      <c r="O467" t="s">
        <v>1631</v>
      </c>
      <c r="P467" s="18">
        <v>3028</v>
      </c>
      <c r="Q467" s="21">
        <v>10</v>
      </c>
      <c r="R467" s="21" t="str">
        <f t="shared" si="147"/>
        <v>8-14 days</v>
      </c>
      <c r="S467" s="16" t="s">
        <v>159</v>
      </c>
      <c r="T467" s="16" t="s">
        <v>236</v>
      </c>
      <c r="U467" s="16" t="s">
        <v>173</v>
      </c>
      <c r="V467" t="str">
        <f>IF(U467="","",IFERROR(VLOOKUP(U467,Hotels!A:B,2,FALSE),"Not Found"))</f>
        <v>Accor</v>
      </c>
      <c r="W467" s="14">
        <v>218.15</v>
      </c>
      <c r="X467" s="14">
        <v>0</v>
      </c>
      <c r="Y467" s="21">
        <v>3</v>
      </c>
      <c r="Z467" s="29">
        <f t="shared" si="148"/>
        <v>217.82000000000002</v>
      </c>
      <c r="AA467" s="14">
        <v>653.46</v>
      </c>
      <c r="AB467" s="14">
        <v>87.07</v>
      </c>
      <c r="AC467" s="14">
        <v>958.68</v>
      </c>
      <c r="AD467" s="16" t="s">
        <v>147</v>
      </c>
      <c r="AE467" s="16" t="s">
        <v>147</v>
      </c>
      <c r="AF467" s="14">
        <f>SUMIF('Trip Changes'!$B:$B,A467,'Trip Changes'!$E:$E)</f>
        <v>0</v>
      </c>
      <c r="AG467" s="23">
        <f>SUMIF('Trip Cancellations'!$B:$B,A467,'Trip Cancellations'!$E:$E)</f>
        <v>0</v>
      </c>
      <c r="AH467" s="14">
        <f>SUMIF('Trip Cancellations'!$B:$B,A467,'Trip Cancellations'!$F:$F)</f>
        <v>0</v>
      </c>
      <c r="AI467" s="14">
        <f t="shared" si="149"/>
        <v>958.68</v>
      </c>
      <c r="AJ467" s="14" t="str">
        <f t="shared" si="150"/>
        <v>No</v>
      </c>
      <c r="AK467" s="14" t="str">
        <f>IF(Y467=0,"N/A",
IF(_xlfn.XLOOKUP(U467,Hotels!A:A,Hotels!C:C)=TRUE,"Yes","No"))</f>
        <v>Yes</v>
      </c>
      <c r="AL467" s="14" t="str">
        <f>IF(N467="Rail","N/A",IF(_xlfn.XLOOKUP(T467,Airlines!A:A,Airlines!C:C)=TRUE,"Yes","No"))</f>
        <v>Yes</v>
      </c>
      <c r="AM467" s="14" t="str">
        <f t="shared" si="151"/>
        <v>No</v>
      </c>
      <c r="AN467" s="14" t="str">
        <f t="shared" si="152"/>
        <v>Yes</v>
      </c>
      <c r="AO467" s="14" t="str">
        <f t="shared" si="153"/>
        <v>Yes</v>
      </c>
      <c r="AP467" s="16" t="s">
        <v>148</v>
      </c>
      <c r="AQ467" t="str">
        <f t="shared" si="154"/>
        <v>No</v>
      </c>
      <c r="AR467" s="21">
        <v>5</v>
      </c>
      <c r="AS467" s="5">
        <v>454.2</v>
      </c>
      <c r="AT467" s="5" t="str">
        <f>IF(T467="","",_xlfn.XLOOKUP(T467,Airlines!A:A,Airlines!B:B,"Not Found"))</f>
        <v>KLM</v>
      </c>
      <c r="AU467" s="5" t="str">
        <f>IF(U467="","",_xlfn.XLOOKUP(U467,Hotels!A:A,Hotels!B:B,"Not found"))</f>
        <v>Accor</v>
      </c>
      <c r="AV467" t="s">
        <v>148</v>
      </c>
      <c r="AW467" s="16" t="str">
        <f t="shared" si="155"/>
        <v>OK</v>
      </c>
      <c r="AX467" s="16" t="str">
        <f t="shared" si="156"/>
        <v>OK</v>
      </c>
      <c r="AY467" s="16" t="str">
        <f t="shared" si="157"/>
        <v>OK</v>
      </c>
      <c r="AZ467" s="16" t="str">
        <f t="shared" si="158"/>
        <v>OK</v>
      </c>
      <c r="BA467" s="16" t="str">
        <f t="shared" si="162"/>
        <v>OK</v>
      </c>
      <c r="BB467" s="21">
        <f>COUNTIF('Trip Changes'!B:B,A467)</f>
        <v>0</v>
      </c>
      <c r="BC467" s="16" t="str">
        <f>IF(OR(AND(AD467="Yes",COUNTIF('Trip Changes'!B:B,A467)&gt;0),AND(AD467="No",COUNTIF('Trip Changes'!B:B,A467)=0)),"OK","Check")</f>
        <v>OK</v>
      </c>
      <c r="BD467" t="str">
        <f t="shared" si="163"/>
        <v>OK</v>
      </c>
      <c r="BE467" t="str">
        <f t="shared" si="164"/>
        <v>OK</v>
      </c>
      <c r="BF467" t="str">
        <f t="shared" si="165"/>
        <v>OK</v>
      </c>
      <c r="BG467" t="str">
        <f t="shared" si="166"/>
        <v>OK</v>
      </c>
      <c r="BH467" t="str">
        <f t="shared" si="167"/>
        <v>OK</v>
      </c>
      <c r="BI467" t="str">
        <f t="shared" si="159"/>
        <v>OK</v>
      </c>
      <c r="BJ467" t="str">
        <f t="shared" si="160"/>
        <v>OK</v>
      </c>
      <c r="BK467" t="str">
        <f t="shared" si="161"/>
        <v>OK</v>
      </c>
    </row>
    <row r="468" spans="1:63">
      <c r="A468" s="16" t="s">
        <v>807</v>
      </c>
      <c r="B468" s="16" t="s">
        <v>808</v>
      </c>
      <c r="C468" s="16" t="s">
        <v>182</v>
      </c>
      <c r="D468" s="16" t="s">
        <v>168</v>
      </c>
      <c r="E468" s="16" t="s">
        <v>268</v>
      </c>
      <c r="F468" s="16" t="s">
        <v>157</v>
      </c>
      <c r="G468" s="15">
        <v>46159</v>
      </c>
      <c r="H468" s="15">
        <v>46177</v>
      </c>
      <c r="I468" s="15">
        <v>46180</v>
      </c>
      <c r="J468" s="15" t="s">
        <v>141</v>
      </c>
      <c r="K468" s="16" t="s">
        <v>182</v>
      </c>
      <c r="L468" t="s">
        <v>203</v>
      </c>
      <c r="M468" s="16" t="s">
        <v>143</v>
      </c>
      <c r="N468" s="16" t="s">
        <v>144</v>
      </c>
      <c r="O468" t="s">
        <v>1630</v>
      </c>
      <c r="P468" s="18">
        <v>476</v>
      </c>
      <c r="Q468" s="21">
        <v>18</v>
      </c>
      <c r="R468" s="21" t="str">
        <f t="shared" si="147"/>
        <v>15-30 days</v>
      </c>
      <c r="S468" s="16" t="s">
        <v>159</v>
      </c>
      <c r="U468" s="16" t="s">
        <v>146</v>
      </c>
      <c r="V468" t="str">
        <f>IF(U468="","",IFERROR(VLOOKUP(U468,Hotels!A:B,2,FALSE),"Not Found"))</f>
        <v>Premier Inn</v>
      </c>
      <c r="W468" s="14">
        <v>0</v>
      </c>
      <c r="X468" s="14">
        <v>147.72</v>
      </c>
      <c r="Y468" s="21">
        <v>2</v>
      </c>
      <c r="Z468" s="29">
        <f t="shared" si="148"/>
        <v>184.46</v>
      </c>
      <c r="AA468" s="14">
        <v>368.92</v>
      </c>
      <c r="AB468" s="14">
        <v>20</v>
      </c>
      <c r="AC468" s="14">
        <v>536.64</v>
      </c>
      <c r="AD468" s="16" t="s">
        <v>148</v>
      </c>
      <c r="AE468" s="16" t="s">
        <v>147</v>
      </c>
      <c r="AF468" s="14">
        <f>SUMIF('Trip Changes'!$B:$B,A468,'Trip Changes'!$E:$E)</f>
        <v>18.170000000000002</v>
      </c>
      <c r="AG468" s="23">
        <f>SUMIF('Trip Cancellations'!$B:$B,A468,'Trip Cancellations'!$E:$E)</f>
        <v>0</v>
      </c>
      <c r="AH468" s="14">
        <f>SUMIF('Trip Cancellations'!$B:$B,A468,'Trip Cancellations'!$F:$F)</f>
        <v>0</v>
      </c>
      <c r="AI468" s="14">
        <f t="shared" si="149"/>
        <v>554.80999999999995</v>
      </c>
      <c r="AJ468" s="14" t="str">
        <f t="shared" si="150"/>
        <v>Yes</v>
      </c>
      <c r="AK468" s="14" t="str">
        <f>IF(Y468=0,"N/A",
IF(_xlfn.XLOOKUP(U468,Hotels!A:A,Hotels!C:C)=TRUE,"Yes","No"))</f>
        <v>Yes</v>
      </c>
      <c r="AL468" s="14" t="str">
        <f>IF(N468="Rail","N/A",IF(_xlfn.XLOOKUP(T468,Airlines!A:A,Airlines!C:C)=TRUE,"Yes","No"))</f>
        <v>N/A</v>
      </c>
      <c r="AM468" s="14" t="str">
        <f t="shared" si="151"/>
        <v>Yes</v>
      </c>
      <c r="AN468" s="14" t="str">
        <f t="shared" si="152"/>
        <v>Yes</v>
      </c>
      <c r="AO468" s="14" t="str">
        <f t="shared" si="153"/>
        <v>Yes</v>
      </c>
      <c r="AP468" s="16" t="s">
        <v>148</v>
      </c>
      <c r="AQ468" t="str">
        <f t="shared" si="154"/>
        <v>Yes</v>
      </c>
      <c r="AR468" s="21">
        <v>3</v>
      </c>
      <c r="AS468" s="5">
        <v>19</v>
      </c>
      <c r="AT468" s="5" t="str">
        <f>IF(T468="","",_xlfn.XLOOKUP(T468,Airlines!A:A,Airlines!B:B,"Not Found"))</f>
        <v/>
      </c>
      <c r="AU468" s="5" t="str">
        <f>IF(U468="","",_xlfn.XLOOKUP(U468,Hotels!A:A,Hotels!B:B,"Not found"))</f>
        <v>Premier Inn</v>
      </c>
      <c r="AV468" t="s">
        <v>148</v>
      </c>
      <c r="AW468" s="16" t="str">
        <f t="shared" si="155"/>
        <v>OK</v>
      </c>
      <c r="AX468" s="16" t="str">
        <f t="shared" si="156"/>
        <v>OK</v>
      </c>
      <c r="AY468" s="16" t="str">
        <f t="shared" si="157"/>
        <v>OK</v>
      </c>
      <c r="AZ468" s="16" t="str">
        <f t="shared" si="158"/>
        <v>OK</v>
      </c>
      <c r="BA468" s="16" t="str">
        <f t="shared" si="162"/>
        <v>OK</v>
      </c>
      <c r="BB468" s="21">
        <f>COUNTIF('Trip Changes'!B:B,A468)</f>
        <v>1</v>
      </c>
      <c r="BC468" s="16" t="str">
        <f>IF(OR(AND(AD468="Yes",COUNTIF('Trip Changes'!B:B,A468)&gt;0),AND(AD468="No",COUNTIF('Trip Changes'!B:B,A468)=0)),"OK","Check")</f>
        <v>OK</v>
      </c>
      <c r="BD468" t="str">
        <f t="shared" si="163"/>
        <v>OK</v>
      </c>
      <c r="BE468" t="str">
        <f t="shared" si="164"/>
        <v>OK</v>
      </c>
      <c r="BF468" t="str">
        <f t="shared" si="165"/>
        <v>OK</v>
      </c>
      <c r="BG468" t="str">
        <f t="shared" si="166"/>
        <v>OK</v>
      </c>
      <c r="BH468" t="str">
        <f t="shared" si="167"/>
        <v>OK</v>
      </c>
      <c r="BI468" t="str">
        <f t="shared" si="159"/>
        <v>OK</v>
      </c>
      <c r="BJ468" t="str">
        <f t="shared" si="160"/>
        <v>OK</v>
      </c>
      <c r="BK468" t="str">
        <f t="shared" si="161"/>
        <v>OK</v>
      </c>
    </row>
    <row r="469" spans="1:63">
      <c r="A469" s="16" t="s">
        <v>809</v>
      </c>
      <c r="B469" s="16" t="s">
        <v>808</v>
      </c>
      <c r="C469" s="16" t="s">
        <v>182</v>
      </c>
      <c r="D469" s="16" t="s">
        <v>168</v>
      </c>
      <c r="E469" s="16" t="s">
        <v>268</v>
      </c>
      <c r="F469" s="16" t="s">
        <v>140</v>
      </c>
      <c r="G469" s="15">
        <v>46169</v>
      </c>
      <c r="H469" s="15">
        <v>46189</v>
      </c>
      <c r="I469" s="15">
        <v>46193</v>
      </c>
      <c r="J469" s="15" t="s">
        <v>141</v>
      </c>
      <c r="K469" s="16" t="s">
        <v>182</v>
      </c>
      <c r="L469" t="s">
        <v>264</v>
      </c>
      <c r="M469" s="16" t="s">
        <v>152</v>
      </c>
      <c r="N469" s="16" t="s">
        <v>153</v>
      </c>
      <c r="O469" t="s">
        <v>1614</v>
      </c>
      <c r="P469" s="18">
        <v>2368</v>
      </c>
      <c r="Q469" s="21">
        <v>20</v>
      </c>
      <c r="R469" s="21" t="str">
        <f t="shared" si="147"/>
        <v>15-30 days</v>
      </c>
      <c r="S469" s="16" t="s">
        <v>145</v>
      </c>
      <c r="T469" s="16" t="s">
        <v>236</v>
      </c>
      <c r="U469" s="16" t="s">
        <v>155</v>
      </c>
      <c r="V469" t="str">
        <f>IF(U469="","",IFERROR(VLOOKUP(U469,Hotels!A:B,2,FALSE),"Not Found"))</f>
        <v>Hilton</v>
      </c>
      <c r="W469" s="14">
        <v>505.73</v>
      </c>
      <c r="X469" s="14">
        <v>0</v>
      </c>
      <c r="Y469" s="21">
        <v>3</v>
      </c>
      <c r="Z469" s="29">
        <f t="shared" si="148"/>
        <v>222.17333333333332</v>
      </c>
      <c r="AA469" s="14">
        <v>666.52</v>
      </c>
      <c r="AB469" s="14">
        <v>71.23</v>
      </c>
      <c r="AC469" s="14">
        <v>1243.48</v>
      </c>
      <c r="AD469" s="16" t="s">
        <v>147</v>
      </c>
      <c r="AE469" s="16" t="s">
        <v>147</v>
      </c>
      <c r="AF469" s="14">
        <f>SUMIF('Trip Changes'!$B:$B,A469,'Trip Changes'!$E:$E)</f>
        <v>0</v>
      </c>
      <c r="AG469" s="23">
        <f>SUMIF('Trip Cancellations'!$B:$B,A469,'Trip Cancellations'!$E:$E)</f>
        <v>0</v>
      </c>
      <c r="AH469" s="14">
        <f>SUMIF('Trip Cancellations'!$B:$B,A469,'Trip Cancellations'!$F:$F)</f>
        <v>0</v>
      </c>
      <c r="AI469" s="14">
        <f t="shared" si="149"/>
        <v>1243.48</v>
      </c>
      <c r="AJ469" s="14" t="str">
        <f t="shared" si="150"/>
        <v>No</v>
      </c>
      <c r="AK469" s="14" t="str">
        <f>IF(Y469=0,"N/A",
IF(_xlfn.XLOOKUP(U469,Hotels!A:A,Hotels!C:C)=TRUE,"Yes","No"))</f>
        <v>Yes</v>
      </c>
      <c r="AL469" s="14" t="str">
        <f>IF(N469="Rail","N/A",IF(_xlfn.XLOOKUP(T469,Airlines!A:A,Airlines!C:C)=TRUE,"Yes","No"))</f>
        <v>Yes</v>
      </c>
      <c r="AM469" s="14" t="str">
        <f t="shared" si="151"/>
        <v>Yes</v>
      </c>
      <c r="AN469" s="14" t="str">
        <f t="shared" si="152"/>
        <v>Yes</v>
      </c>
      <c r="AO469" s="14" t="str">
        <f t="shared" si="153"/>
        <v>Yes</v>
      </c>
      <c r="AP469" s="16" t="s">
        <v>148</v>
      </c>
      <c r="AQ469" t="str">
        <f t="shared" si="154"/>
        <v>No</v>
      </c>
      <c r="AR469" s="21">
        <v>4</v>
      </c>
      <c r="AS469" s="5">
        <v>355.2</v>
      </c>
      <c r="AT469" s="5" t="str">
        <f>IF(T469="","",_xlfn.XLOOKUP(T469,Airlines!A:A,Airlines!B:B,"Not Found"))</f>
        <v>KLM</v>
      </c>
      <c r="AU469" s="5" t="str">
        <f>IF(U469="","",_xlfn.XLOOKUP(U469,Hotels!A:A,Hotels!B:B,"Not found"))</f>
        <v>Hilton</v>
      </c>
      <c r="AV469" t="s">
        <v>148</v>
      </c>
      <c r="AW469" s="16" t="str">
        <f t="shared" si="155"/>
        <v>OK</v>
      </c>
      <c r="AX469" s="16" t="str">
        <f t="shared" si="156"/>
        <v>OK</v>
      </c>
      <c r="AY469" s="16" t="str">
        <f t="shared" si="157"/>
        <v>OK</v>
      </c>
      <c r="AZ469" s="16" t="str">
        <f t="shared" si="158"/>
        <v>OK</v>
      </c>
      <c r="BA469" s="16" t="str">
        <f t="shared" si="162"/>
        <v>OK</v>
      </c>
      <c r="BB469" s="21">
        <f>COUNTIF('Trip Changes'!B:B,A469)</f>
        <v>0</v>
      </c>
      <c r="BC469" s="16" t="str">
        <f>IF(OR(AND(AD469="Yes",COUNTIF('Trip Changes'!B:B,A469)&gt;0),AND(AD469="No",COUNTIF('Trip Changes'!B:B,A469)=0)),"OK","Check")</f>
        <v>OK</v>
      </c>
      <c r="BD469" t="str">
        <f t="shared" si="163"/>
        <v>OK</v>
      </c>
      <c r="BE469" t="str">
        <f t="shared" si="164"/>
        <v>OK</v>
      </c>
      <c r="BF469" t="str">
        <f t="shared" si="165"/>
        <v>OK</v>
      </c>
      <c r="BG469" t="str">
        <f t="shared" si="166"/>
        <v>OK</v>
      </c>
      <c r="BH469" t="str">
        <f t="shared" si="167"/>
        <v>OK</v>
      </c>
      <c r="BI469" t="str">
        <f t="shared" si="159"/>
        <v>OK</v>
      </c>
      <c r="BJ469" t="str">
        <f t="shared" si="160"/>
        <v>OK</v>
      </c>
      <c r="BK469" t="str">
        <f t="shared" si="161"/>
        <v>OK</v>
      </c>
    </row>
    <row r="470" spans="1:63">
      <c r="A470" s="16" t="s">
        <v>810</v>
      </c>
      <c r="B470" s="16" t="s">
        <v>808</v>
      </c>
      <c r="C470" s="16" t="s">
        <v>182</v>
      </c>
      <c r="D470" s="16" t="s">
        <v>168</v>
      </c>
      <c r="E470" s="16" t="s">
        <v>268</v>
      </c>
      <c r="F470" s="16" t="s">
        <v>157</v>
      </c>
      <c r="G470" s="15">
        <v>46144</v>
      </c>
      <c r="H470" s="15">
        <v>46172</v>
      </c>
      <c r="I470" s="15">
        <v>46176</v>
      </c>
      <c r="J470" s="15" t="s">
        <v>163</v>
      </c>
      <c r="K470" s="16" t="s">
        <v>182</v>
      </c>
      <c r="L470" t="s">
        <v>199</v>
      </c>
      <c r="M470" s="16" t="s">
        <v>152</v>
      </c>
      <c r="N470" s="16" t="s">
        <v>153</v>
      </c>
      <c r="O470" t="s">
        <v>1614</v>
      </c>
      <c r="P470" s="18">
        <v>1256</v>
      </c>
      <c r="Q470" s="21">
        <v>28</v>
      </c>
      <c r="R470" s="21" t="str">
        <f t="shared" si="147"/>
        <v>15-30 days</v>
      </c>
      <c r="S470" s="16" t="s">
        <v>145</v>
      </c>
      <c r="T470" s="16" t="s">
        <v>291</v>
      </c>
      <c r="U470" s="16" t="s">
        <v>164</v>
      </c>
      <c r="V470" t="str">
        <f>IF(U470="","",IFERROR(VLOOKUP(U470,Hotels!A:B,2,FALSE),"Not Found"))</f>
        <v>Marriott</v>
      </c>
      <c r="W470" s="14">
        <v>150</v>
      </c>
      <c r="X470" s="14">
        <v>0</v>
      </c>
      <c r="Y470" s="21">
        <v>3</v>
      </c>
      <c r="Z470" s="29">
        <f t="shared" si="148"/>
        <v>194.35</v>
      </c>
      <c r="AA470" s="14">
        <v>583.04999999999995</v>
      </c>
      <c r="AB470" s="14">
        <v>48.17</v>
      </c>
      <c r="AC470" s="14">
        <v>781.22</v>
      </c>
      <c r="AD470" s="16" t="s">
        <v>147</v>
      </c>
      <c r="AE470" s="16" t="s">
        <v>147</v>
      </c>
      <c r="AF470" s="14">
        <f>SUMIF('Trip Changes'!$B:$B,A470,'Trip Changes'!$E:$E)</f>
        <v>0</v>
      </c>
      <c r="AG470" s="23">
        <f>SUMIF('Trip Cancellations'!$B:$B,A470,'Trip Cancellations'!$E:$E)</f>
        <v>0</v>
      </c>
      <c r="AH470" s="14">
        <f>SUMIF('Trip Cancellations'!$B:$B,A470,'Trip Cancellations'!$F:$F)</f>
        <v>0</v>
      </c>
      <c r="AI470" s="14">
        <f t="shared" si="149"/>
        <v>781.22</v>
      </c>
      <c r="AJ470" s="14" t="str">
        <f t="shared" si="150"/>
        <v>No</v>
      </c>
      <c r="AK470" s="14" t="str">
        <f>IF(Y470=0,"N/A",
IF(_xlfn.XLOOKUP(U470,Hotels!A:A,Hotels!C:C)=TRUE,"Yes","No"))</f>
        <v>Yes</v>
      </c>
      <c r="AL470" s="14" t="str">
        <f>IF(N470="Rail","N/A",IF(_xlfn.XLOOKUP(T470,Airlines!A:A,Airlines!C:C)=TRUE,"Yes","No"))</f>
        <v>No</v>
      </c>
      <c r="AM470" s="14" t="str">
        <f t="shared" si="151"/>
        <v>Yes</v>
      </c>
      <c r="AN470" s="14" t="str">
        <f t="shared" si="152"/>
        <v>Yes</v>
      </c>
      <c r="AO470" s="14" t="str">
        <f t="shared" si="153"/>
        <v>No</v>
      </c>
      <c r="AP470" s="16" t="s">
        <v>148</v>
      </c>
      <c r="AQ470" t="str">
        <f t="shared" si="154"/>
        <v>No</v>
      </c>
      <c r="AR470" s="21">
        <v>4</v>
      </c>
      <c r="AS470" s="5">
        <v>188.4</v>
      </c>
      <c r="AT470" s="5" t="str">
        <f>IF(T470="","",_xlfn.XLOOKUP(T470,Airlines!A:A,Airlines!B:B,"Not Found"))</f>
        <v>Ryanair</v>
      </c>
      <c r="AU470" s="5" t="str">
        <f>IF(U470="","",_xlfn.XLOOKUP(U470,Hotels!A:A,Hotels!B:B,"Not found"))</f>
        <v>Marriott</v>
      </c>
      <c r="AV470" t="s">
        <v>148</v>
      </c>
      <c r="AW470" s="16" t="str">
        <f t="shared" si="155"/>
        <v>OK</v>
      </c>
      <c r="AX470" s="16" t="str">
        <f t="shared" si="156"/>
        <v>OK</v>
      </c>
      <c r="AY470" s="16" t="str">
        <f t="shared" si="157"/>
        <v>OK</v>
      </c>
      <c r="AZ470" s="16" t="str">
        <f t="shared" si="158"/>
        <v>OK</v>
      </c>
      <c r="BA470" s="16" t="str">
        <f t="shared" si="162"/>
        <v>OK</v>
      </c>
      <c r="BB470" s="21">
        <f>COUNTIF('Trip Changes'!B:B,A470)</f>
        <v>0</v>
      </c>
      <c r="BC470" s="16" t="str">
        <f>IF(OR(AND(AD470="Yes",COUNTIF('Trip Changes'!B:B,A470)&gt;0),AND(AD470="No",COUNTIF('Trip Changes'!B:B,A470)=0)),"OK","Check")</f>
        <v>OK</v>
      </c>
      <c r="BD470" t="str">
        <f t="shared" si="163"/>
        <v>OK</v>
      </c>
      <c r="BE470" t="str">
        <f t="shared" si="164"/>
        <v>OK</v>
      </c>
      <c r="BF470" t="str">
        <f t="shared" si="165"/>
        <v>OK</v>
      </c>
      <c r="BG470" t="str">
        <f t="shared" si="166"/>
        <v>OK</v>
      </c>
      <c r="BH470" t="str">
        <f t="shared" si="167"/>
        <v>OK</v>
      </c>
      <c r="BI470" t="str">
        <f t="shared" si="159"/>
        <v>OK</v>
      </c>
      <c r="BJ470" t="str">
        <f t="shared" si="160"/>
        <v>OK</v>
      </c>
      <c r="BK470" t="str">
        <f t="shared" si="161"/>
        <v>OK</v>
      </c>
    </row>
    <row r="471" spans="1:63">
      <c r="A471" s="16" t="s">
        <v>811</v>
      </c>
      <c r="B471" s="16" t="s">
        <v>808</v>
      </c>
      <c r="C471" s="16" t="s">
        <v>182</v>
      </c>
      <c r="D471" s="16" t="s">
        <v>168</v>
      </c>
      <c r="E471" s="16" t="s">
        <v>268</v>
      </c>
      <c r="F471" s="16" t="s">
        <v>157</v>
      </c>
      <c r="G471" s="15">
        <v>46164</v>
      </c>
      <c r="H471" s="15">
        <v>46167</v>
      </c>
      <c r="I471" s="15">
        <v>46170</v>
      </c>
      <c r="J471" s="15" t="s">
        <v>163</v>
      </c>
      <c r="K471" s="16" t="s">
        <v>182</v>
      </c>
      <c r="L471" t="s">
        <v>203</v>
      </c>
      <c r="M471" s="16" t="s">
        <v>143</v>
      </c>
      <c r="N471" s="16" t="s">
        <v>144</v>
      </c>
      <c r="O471" t="s">
        <v>1630</v>
      </c>
      <c r="P471" s="18">
        <v>806</v>
      </c>
      <c r="Q471" s="21">
        <v>3</v>
      </c>
      <c r="R471" s="21" t="str">
        <f t="shared" si="147"/>
        <v>0-3 days</v>
      </c>
      <c r="S471" s="16" t="s">
        <v>145</v>
      </c>
      <c r="U471" s="16" t="s">
        <v>155</v>
      </c>
      <c r="V471" t="str">
        <f>IF(U471="","",IFERROR(VLOOKUP(U471,Hotels!A:B,2,FALSE),"Not Found"))</f>
        <v>Hilton</v>
      </c>
      <c r="W471" s="14">
        <v>0</v>
      </c>
      <c r="X471" s="14">
        <v>287.41000000000003</v>
      </c>
      <c r="Y471" s="21">
        <v>2</v>
      </c>
      <c r="Z471" s="29">
        <f t="shared" si="148"/>
        <v>238.04</v>
      </c>
      <c r="AA471" s="14">
        <v>476.08</v>
      </c>
      <c r="AB471" s="14">
        <v>49.49</v>
      </c>
      <c r="AC471" s="14">
        <v>812.98</v>
      </c>
      <c r="AD471" s="16" t="s">
        <v>147</v>
      </c>
      <c r="AE471" s="16" t="s">
        <v>147</v>
      </c>
      <c r="AF471" s="14">
        <f>SUMIF('Trip Changes'!$B:$B,A471,'Trip Changes'!$E:$E)</f>
        <v>0</v>
      </c>
      <c r="AG471" s="23">
        <f>SUMIF('Trip Cancellations'!$B:$B,A471,'Trip Cancellations'!$E:$E)</f>
        <v>0</v>
      </c>
      <c r="AH471" s="14">
        <f>SUMIF('Trip Cancellations'!$B:$B,A471,'Trip Cancellations'!$F:$F)</f>
        <v>0</v>
      </c>
      <c r="AI471" s="14">
        <f t="shared" si="149"/>
        <v>812.98</v>
      </c>
      <c r="AJ471" s="14" t="str">
        <f t="shared" si="150"/>
        <v>No</v>
      </c>
      <c r="AK471" s="14" t="str">
        <f>IF(Y471=0,"N/A",
IF(_xlfn.XLOOKUP(U471,Hotels!A:A,Hotels!C:C)=TRUE,"Yes","No"))</f>
        <v>Yes</v>
      </c>
      <c r="AL471" s="14" t="str">
        <f>IF(N471="Rail","N/A",IF(_xlfn.XLOOKUP(T471,Airlines!A:A,Airlines!C:C)=TRUE,"Yes","No"))</f>
        <v>N/A</v>
      </c>
      <c r="AM471" s="14" t="str">
        <f t="shared" si="151"/>
        <v>Yes</v>
      </c>
      <c r="AN471" s="14" t="str">
        <f t="shared" si="152"/>
        <v>Yes</v>
      </c>
      <c r="AO471" s="14" t="str">
        <f t="shared" si="153"/>
        <v>Yes</v>
      </c>
      <c r="AP471" s="16" t="s">
        <v>148</v>
      </c>
      <c r="AQ471" t="str">
        <f t="shared" si="154"/>
        <v>No</v>
      </c>
      <c r="AR471" s="21">
        <v>4</v>
      </c>
      <c r="AS471" s="5">
        <v>32.200000000000003</v>
      </c>
      <c r="AT471" s="5" t="str">
        <f>IF(T471="","",_xlfn.XLOOKUP(T471,Airlines!A:A,Airlines!B:B,"Not Found"))</f>
        <v/>
      </c>
      <c r="AU471" s="5" t="str">
        <f>IF(U471="","",_xlfn.XLOOKUP(U471,Hotels!A:A,Hotels!B:B,"Not found"))</f>
        <v>Hilton</v>
      </c>
      <c r="AV471" t="s">
        <v>147</v>
      </c>
      <c r="AW471" s="16" t="str">
        <f t="shared" si="155"/>
        <v>OK</v>
      </c>
      <c r="AX471" s="16" t="str">
        <f t="shared" si="156"/>
        <v>OK</v>
      </c>
      <c r="AY471" s="16" t="str">
        <f t="shared" si="157"/>
        <v>OK</v>
      </c>
      <c r="AZ471" s="16" t="str">
        <f t="shared" si="158"/>
        <v>OK</v>
      </c>
      <c r="BA471" s="16" t="str">
        <f t="shared" si="162"/>
        <v>OK</v>
      </c>
      <c r="BB471" s="21">
        <f>COUNTIF('Trip Changes'!B:B,A471)</f>
        <v>0</v>
      </c>
      <c r="BC471" s="16" t="str">
        <f>IF(OR(AND(AD471="Yes",COUNTIF('Trip Changes'!B:B,A471)&gt;0),AND(AD471="No",COUNTIF('Trip Changes'!B:B,A471)=0)),"OK","Check")</f>
        <v>OK</v>
      </c>
      <c r="BD471" t="str">
        <f t="shared" si="163"/>
        <v>OK</v>
      </c>
      <c r="BE471" t="str">
        <f t="shared" si="164"/>
        <v>OK</v>
      </c>
      <c r="BF471" t="str">
        <f t="shared" si="165"/>
        <v>OK</v>
      </c>
      <c r="BG471" t="str">
        <f t="shared" si="166"/>
        <v>OK</v>
      </c>
      <c r="BH471" t="str">
        <f t="shared" si="167"/>
        <v>OK</v>
      </c>
      <c r="BI471" t="str">
        <f t="shared" si="159"/>
        <v>OK</v>
      </c>
      <c r="BJ471" t="str">
        <f t="shared" si="160"/>
        <v>OK</v>
      </c>
      <c r="BK471" t="str">
        <f t="shared" si="161"/>
        <v>OK</v>
      </c>
    </row>
    <row r="472" spans="1:63">
      <c r="A472" s="16" t="s">
        <v>812</v>
      </c>
      <c r="B472" s="16" t="s">
        <v>808</v>
      </c>
      <c r="C472" s="16" t="s">
        <v>182</v>
      </c>
      <c r="D472" s="16" t="s">
        <v>168</v>
      </c>
      <c r="E472" s="16" t="s">
        <v>268</v>
      </c>
      <c r="F472" s="16" t="s">
        <v>181</v>
      </c>
      <c r="G472" s="15">
        <v>46155</v>
      </c>
      <c r="H472" s="15">
        <v>46174</v>
      </c>
      <c r="I472" s="15">
        <v>46179</v>
      </c>
      <c r="J472" s="15" t="s">
        <v>141</v>
      </c>
      <c r="K472" s="16" t="s">
        <v>182</v>
      </c>
      <c r="L472" t="s">
        <v>223</v>
      </c>
      <c r="M472" s="16" t="s">
        <v>152</v>
      </c>
      <c r="N472" s="16" t="s">
        <v>153</v>
      </c>
      <c r="O472" t="s">
        <v>1614</v>
      </c>
      <c r="P472" s="18">
        <v>13262</v>
      </c>
      <c r="Q472" s="21">
        <v>19</v>
      </c>
      <c r="R472" s="21" t="str">
        <f t="shared" si="147"/>
        <v>15-30 days</v>
      </c>
      <c r="S472" s="16" t="s">
        <v>159</v>
      </c>
      <c r="T472" s="16" t="s">
        <v>441</v>
      </c>
      <c r="U472" s="16" t="s">
        <v>187</v>
      </c>
      <c r="V472" t="str">
        <f>IF(U472="","",IFERROR(VLOOKUP(U472,Hotels!A:B,2,FALSE),"Not Found"))</f>
        <v>IHG Hotels &amp; Resorts</v>
      </c>
      <c r="W472" s="14">
        <v>1264.67</v>
      </c>
      <c r="X472" s="14">
        <v>0</v>
      </c>
      <c r="Y472" s="21">
        <v>4</v>
      </c>
      <c r="Z472" s="29">
        <f t="shared" si="148"/>
        <v>152.88749999999999</v>
      </c>
      <c r="AA472" s="14">
        <v>611.54999999999995</v>
      </c>
      <c r="AB472" s="14">
        <v>98.23</v>
      </c>
      <c r="AC472" s="14">
        <v>1974.45</v>
      </c>
      <c r="AD472" s="16" t="s">
        <v>147</v>
      </c>
      <c r="AE472" s="16" t="s">
        <v>147</v>
      </c>
      <c r="AF472" s="14">
        <f>SUMIF('Trip Changes'!$B:$B,A472,'Trip Changes'!$E:$E)</f>
        <v>0</v>
      </c>
      <c r="AG472" s="23">
        <f>SUMIF('Trip Cancellations'!$B:$B,A472,'Trip Cancellations'!$E:$E)</f>
        <v>0</v>
      </c>
      <c r="AH472" s="14">
        <f>SUMIF('Trip Cancellations'!$B:$B,A472,'Trip Cancellations'!$F:$F)</f>
        <v>0</v>
      </c>
      <c r="AI472" s="14">
        <f t="shared" si="149"/>
        <v>1974.45</v>
      </c>
      <c r="AJ472" s="14" t="str">
        <f t="shared" si="150"/>
        <v>Yes</v>
      </c>
      <c r="AK472" s="14" t="str">
        <f>IF(Y472=0,"N/A",
IF(_xlfn.XLOOKUP(U472,Hotels!A:A,Hotels!C:C)=TRUE,"Yes","No"))</f>
        <v>Yes</v>
      </c>
      <c r="AL472" s="14" t="str">
        <f>IF(N472="Rail","N/A",IF(_xlfn.XLOOKUP(T472,Airlines!A:A,Airlines!C:C)=TRUE,"Yes","No"))</f>
        <v>Yes</v>
      </c>
      <c r="AM472" s="14" t="str">
        <f t="shared" si="151"/>
        <v>Yes</v>
      </c>
      <c r="AN472" s="14" t="str">
        <f t="shared" si="152"/>
        <v>Yes</v>
      </c>
      <c r="AO472" s="14" t="str">
        <f t="shared" si="153"/>
        <v>Yes</v>
      </c>
      <c r="AP472" s="16" t="s">
        <v>148</v>
      </c>
      <c r="AQ472" t="str">
        <f t="shared" si="154"/>
        <v>Yes</v>
      </c>
      <c r="AR472" s="21">
        <v>4</v>
      </c>
      <c r="AS472" s="5">
        <v>1989.3</v>
      </c>
      <c r="AT472" s="5" t="str">
        <f>IF(T472="","",_xlfn.XLOOKUP(T472,Airlines!A:A,Airlines!B:B,"Not Found"))</f>
        <v>Emirates</v>
      </c>
      <c r="AU472" s="5" t="str">
        <f>IF(U472="","",_xlfn.XLOOKUP(U472,Hotels!A:A,Hotels!B:B,"Not found"))</f>
        <v>IHG Hotels &amp; Resorts</v>
      </c>
      <c r="AV472" t="s">
        <v>147</v>
      </c>
      <c r="AW472" s="16" t="str">
        <f t="shared" si="155"/>
        <v>OK</v>
      </c>
      <c r="AX472" s="16" t="str">
        <f t="shared" si="156"/>
        <v>OK</v>
      </c>
      <c r="AY472" s="16" t="str">
        <f t="shared" si="157"/>
        <v>OK</v>
      </c>
      <c r="AZ472" s="16" t="str">
        <f t="shared" si="158"/>
        <v>OK</v>
      </c>
      <c r="BA472" s="16" t="str">
        <f t="shared" si="162"/>
        <v>OK</v>
      </c>
      <c r="BB472" s="21">
        <f>COUNTIF('Trip Changes'!B:B,A472)</f>
        <v>0</v>
      </c>
      <c r="BC472" s="16" t="str">
        <f>IF(OR(AND(AD472="Yes",COUNTIF('Trip Changes'!B:B,A472)&gt;0),AND(AD472="No",COUNTIF('Trip Changes'!B:B,A472)=0)),"OK","Check")</f>
        <v>OK</v>
      </c>
      <c r="BD472" t="str">
        <f t="shared" si="163"/>
        <v>OK</v>
      </c>
      <c r="BE472" t="str">
        <f t="shared" si="164"/>
        <v>OK</v>
      </c>
      <c r="BF472" t="str">
        <f t="shared" si="165"/>
        <v>OK</v>
      </c>
      <c r="BG472" t="str">
        <f t="shared" si="166"/>
        <v>OK</v>
      </c>
      <c r="BH472" t="str">
        <f t="shared" si="167"/>
        <v>OK</v>
      </c>
      <c r="BI472" t="str">
        <f t="shared" si="159"/>
        <v>OK</v>
      </c>
      <c r="BJ472" t="str">
        <f t="shared" si="160"/>
        <v>OK</v>
      </c>
      <c r="BK472" t="str">
        <f t="shared" si="161"/>
        <v>OK</v>
      </c>
    </row>
    <row r="473" spans="1:63">
      <c r="A473" s="16" t="s">
        <v>813</v>
      </c>
      <c r="B473" s="16" t="s">
        <v>814</v>
      </c>
      <c r="C473" s="16" t="s">
        <v>220</v>
      </c>
      <c r="D473" s="16" t="s">
        <v>230</v>
      </c>
      <c r="E473" s="16" t="s">
        <v>262</v>
      </c>
      <c r="F473" s="16" t="s">
        <v>162</v>
      </c>
      <c r="G473" s="15">
        <v>46171</v>
      </c>
      <c r="H473" s="15">
        <v>46183</v>
      </c>
      <c r="I473" s="15">
        <v>46189</v>
      </c>
      <c r="J473" s="15" t="s">
        <v>141</v>
      </c>
      <c r="K473" s="16" t="s">
        <v>220</v>
      </c>
      <c r="L473" t="s">
        <v>197</v>
      </c>
      <c r="M473" s="16" t="s">
        <v>152</v>
      </c>
      <c r="N473" s="16" t="s">
        <v>153</v>
      </c>
      <c r="O473" t="s">
        <v>1614</v>
      </c>
      <c r="P473" s="18">
        <v>11448</v>
      </c>
      <c r="Q473" s="21">
        <v>12</v>
      </c>
      <c r="R473" s="21" t="str">
        <f t="shared" si="147"/>
        <v>8-14 days</v>
      </c>
      <c r="S473" s="16" t="s">
        <v>145</v>
      </c>
      <c r="T473" s="16" t="s">
        <v>186</v>
      </c>
      <c r="U473" s="16" t="s">
        <v>173</v>
      </c>
      <c r="V473" t="str">
        <f>IF(U473="","",IFERROR(VLOOKUP(U473,Hotels!A:B,2,FALSE),"Not Found"))</f>
        <v>Accor</v>
      </c>
      <c r="W473" s="14">
        <v>1092.9000000000001</v>
      </c>
      <c r="X473" s="14">
        <v>0</v>
      </c>
      <c r="Y473" s="21">
        <v>5</v>
      </c>
      <c r="Z473" s="29">
        <f t="shared" si="148"/>
        <v>160.518</v>
      </c>
      <c r="AA473" s="14">
        <v>802.59</v>
      </c>
      <c r="AB473" s="14">
        <v>92.73</v>
      </c>
      <c r="AC473" s="14">
        <v>1988.22</v>
      </c>
      <c r="AD473" s="16" t="s">
        <v>147</v>
      </c>
      <c r="AE473" s="16" t="s">
        <v>147</v>
      </c>
      <c r="AF473" s="14">
        <f>SUMIF('Trip Changes'!$B:$B,A473,'Trip Changes'!$E:$E)</f>
        <v>0</v>
      </c>
      <c r="AG473" s="23">
        <f>SUMIF('Trip Cancellations'!$B:$B,A473,'Trip Cancellations'!$E:$E)</f>
        <v>0</v>
      </c>
      <c r="AH473" s="14">
        <f>SUMIF('Trip Cancellations'!$B:$B,A473,'Trip Cancellations'!$F:$F)</f>
        <v>0</v>
      </c>
      <c r="AI473" s="14">
        <f t="shared" si="149"/>
        <v>1988.22</v>
      </c>
      <c r="AJ473" s="14" t="str">
        <f t="shared" si="150"/>
        <v>Yes</v>
      </c>
      <c r="AK473" s="14" t="str">
        <f>IF(Y473=0,"N/A",
IF(_xlfn.XLOOKUP(U473,Hotels!A:A,Hotels!C:C)=TRUE,"Yes","No"))</f>
        <v>Yes</v>
      </c>
      <c r="AL473" s="14" t="str">
        <f>IF(N473="Rail","N/A",IF(_xlfn.XLOOKUP(T473,Airlines!A:A,Airlines!C:C)=TRUE,"Yes","No"))</f>
        <v>Yes</v>
      </c>
      <c r="AM473" s="14" t="str">
        <f t="shared" si="151"/>
        <v>Yes</v>
      </c>
      <c r="AN473" s="14" t="str">
        <f t="shared" si="152"/>
        <v>Yes</v>
      </c>
      <c r="AO473" s="14" t="str">
        <f t="shared" si="153"/>
        <v>Yes</v>
      </c>
      <c r="AP473" s="16" t="s">
        <v>148</v>
      </c>
      <c r="AQ473" t="str">
        <f t="shared" si="154"/>
        <v>Yes</v>
      </c>
      <c r="AR473" s="21">
        <v>4</v>
      </c>
      <c r="AS473" s="5">
        <v>1717.2</v>
      </c>
      <c r="AT473" s="5" t="str">
        <f>IF(T473="","",_xlfn.XLOOKUP(T473,Airlines!A:A,Airlines!B:B,"Not Found"))</f>
        <v>Virgin Atlantic</v>
      </c>
      <c r="AU473" s="5" t="str">
        <f>IF(U473="","",_xlfn.XLOOKUP(U473,Hotels!A:A,Hotels!B:B,"Not found"))</f>
        <v>Accor</v>
      </c>
      <c r="AV473" t="s">
        <v>147</v>
      </c>
      <c r="AW473" s="16" t="str">
        <f t="shared" si="155"/>
        <v>OK</v>
      </c>
      <c r="AX473" s="16" t="str">
        <f t="shared" si="156"/>
        <v>OK</v>
      </c>
      <c r="AY473" s="16" t="str">
        <f t="shared" si="157"/>
        <v>OK</v>
      </c>
      <c r="AZ473" s="16" t="str">
        <f t="shared" si="158"/>
        <v>OK</v>
      </c>
      <c r="BA473" s="16" t="str">
        <f t="shared" si="162"/>
        <v>OK</v>
      </c>
      <c r="BB473" s="21">
        <f>COUNTIF('Trip Changes'!B:B,A473)</f>
        <v>0</v>
      </c>
      <c r="BC473" s="16" t="str">
        <f>IF(OR(AND(AD473="Yes",COUNTIF('Trip Changes'!B:B,A473)&gt;0),AND(AD473="No",COUNTIF('Trip Changes'!B:B,A473)=0)),"OK","Check")</f>
        <v>OK</v>
      </c>
      <c r="BD473" t="str">
        <f t="shared" si="163"/>
        <v>OK</v>
      </c>
      <c r="BE473" t="str">
        <f t="shared" si="164"/>
        <v>OK</v>
      </c>
      <c r="BF473" t="str">
        <f t="shared" si="165"/>
        <v>OK</v>
      </c>
      <c r="BG473" t="str">
        <f t="shared" si="166"/>
        <v>OK</v>
      </c>
      <c r="BH473" t="str">
        <f t="shared" si="167"/>
        <v>OK</v>
      </c>
      <c r="BI473" t="str">
        <f t="shared" si="159"/>
        <v>OK</v>
      </c>
      <c r="BJ473" t="str">
        <f t="shared" si="160"/>
        <v>OK</v>
      </c>
      <c r="BK473" t="str">
        <f t="shared" si="161"/>
        <v>OK</v>
      </c>
    </row>
    <row r="474" spans="1:63">
      <c r="A474" s="16" t="s">
        <v>815</v>
      </c>
      <c r="B474" s="16" t="s">
        <v>814</v>
      </c>
      <c r="C474" s="16" t="s">
        <v>220</v>
      </c>
      <c r="D474" s="16" t="s">
        <v>230</v>
      </c>
      <c r="E474" s="16" t="s">
        <v>262</v>
      </c>
      <c r="F474" s="16" t="s">
        <v>162</v>
      </c>
      <c r="G474" s="15">
        <v>46192</v>
      </c>
      <c r="H474" s="15">
        <v>46204</v>
      </c>
      <c r="I474" s="15">
        <v>46207</v>
      </c>
      <c r="J474" s="15" t="s">
        <v>150</v>
      </c>
      <c r="K474" s="16" t="s">
        <v>220</v>
      </c>
      <c r="L474" t="s">
        <v>185</v>
      </c>
      <c r="M474" s="16" t="s">
        <v>152</v>
      </c>
      <c r="N474" s="16" t="s">
        <v>153</v>
      </c>
      <c r="O474" t="s">
        <v>1614</v>
      </c>
      <c r="P474" s="18">
        <v>11908</v>
      </c>
      <c r="Q474" s="21">
        <v>12</v>
      </c>
      <c r="R474" s="21" t="str">
        <f t="shared" si="147"/>
        <v>8-14 days</v>
      </c>
      <c r="S474" s="16" t="s">
        <v>145</v>
      </c>
      <c r="T474" s="16" t="s">
        <v>154</v>
      </c>
      <c r="U474" s="16" t="s">
        <v>164</v>
      </c>
      <c r="V474" t="str">
        <f>IF(U474="","",IFERROR(VLOOKUP(U474,Hotels!A:B,2,FALSE),"Not Found"))</f>
        <v>Marriott</v>
      </c>
      <c r="W474" s="14">
        <v>1212.01</v>
      </c>
      <c r="X474" s="14">
        <v>0</v>
      </c>
      <c r="Y474" s="21">
        <v>2</v>
      </c>
      <c r="Z474" s="29">
        <f t="shared" si="148"/>
        <v>190.34</v>
      </c>
      <c r="AA474" s="14">
        <v>380.68</v>
      </c>
      <c r="AB474" s="14">
        <v>84.5</v>
      </c>
      <c r="AC474" s="14">
        <v>1677.19</v>
      </c>
      <c r="AD474" s="16" t="s">
        <v>148</v>
      </c>
      <c r="AE474" s="16" t="s">
        <v>147</v>
      </c>
      <c r="AF474" s="14">
        <f>SUMIF('Trip Changes'!$B:$B,A474,'Trip Changes'!$E:$E)</f>
        <v>15</v>
      </c>
      <c r="AG474" s="23">
        <f>SUMIF('Trip Cancellations'!$B:$B,A474,'Trip Cancellations'!$E:$E)</f>
        <v>0</v>
      </c>
      <c r="AH474" s="14">
        <f>SUMIF('Trip Cancellations'!$B:$B,A474,'Trip Cancellations'!$F:$F)</f>
        <v>0</v>
      </c>
      <c r="AI474" s="14">
        <f t="shared" si="149"/>
        <v>1692.19</v>
      </c>
      <c r="AJ474" s="14" t="str">
        <f t="shared" si="150"/>
        <v>Yes</v>
      </c>
      <c r="AK474" s="14" t="str">
        <f>IF(Y474=0,"N/A",
IF(_xlfn.XLOOKUP(U474,Hotels!A:A,Hotels!C:C)=TRUE,"Yes","No"))</f>
        <v>Yes</v>
      </c>
      <c r="AL474" s="14" t="str">
        <f>IF(N474="Rail","N/A",IF(_xlfn.XLOOKUP(T474,Airlines!A:A,Airlines!C:C)=TRUE,"Yes","No"))</f>
        <v>Yes</v>
      </c>
      <c r="AM474" s="14" t="str">
        <f t="shared" si="151"/>
        <v>Yes</v>
      </c>
      <c r="AN474" s="14" t="str">
        <f t="shared" si="152"/>
        <v>Yes</v>
      </c>
      <c r="AO474" s="14" t="str">
        <f t="shared" si="153"/>
        <v>Yes</v>
      </c>
      <c r="AP474" s="16" t="s">
        <v>148</v>
      </c>
      <c r="AQ474" t="str">
        <f t="shared" si="154"/>
        <v>Yes</v>
      </c>
      <c r="AR474" s="21">
        <v>5</v>
      </c>
      <c r="AS474" s="5">
        <v>1786.2</v>
      </c>
      <c r="AT474" s="5" t="str">
        <f>IF(T474="","",_xlfn.XLOOKUP(T474,Airlines!A:A,Airlines!B:B,"Not Found"))</f>
        <v>British Airways</v>
      </c>
      <c r="AU474" s="5" t="str">
        <f>IF(U474="","",_xlfn.XLOOKUP(U474,Hotels!A:A,Hotels!B:B,"Not found"))</f>
        <v>Marriott</v>
      </c>
      <c r="AV474" t="s">
        <v>148</v>
      </c>
      <c r="AW474" s="16" t="str">
        <f t="shared" si="155"/>
        <v>OK</v>
      </c>
      <c r="AX474" s="16" t="str">
        <f t="shared" si="156"/>
        <v>OK</v>
      </c>
      <c r="AY474" s="16" t="str">
        <f t="shared" si="157"/>
        <v>OK</v>
      </c>
      <c r="AZ474" s="16" t="str">
        <f t="shared" si="158"/>
        <v>OK</v>
      </c>
      <c r="BA474" s="16" t="str">
        <f t="shared" si="162"/>
        <v>OK</v>
      </c>
      <c r="BB474" s="21">
        <f>COUNTIF('Trip Changes'!B:B,A474)</f>
        <v>1</v>
      </c>
      <c r="BC474" s="16" t="str">
        <f>IF(OR(AND(AD474="Yes",COUNTIF('Trip Changes'!B:B,A474)&gt;0),AND(AD474="No",COUNTIF('Trip Changes'!B:B,A474)=0)),"OK","Check")</f>
        <v>OK</v>
      </c>
      <c r="BD474" t="str">
        <f t="shared" si="163"/>
        <v>OK</v>
      </c>
      <c r="BE474" t="str">
        <f t="shared" si="164"/>
        <v>OK</v>
      </c>
      <c r="BF474" t="str">
        <f t="shared" si="165"/>
        <v>OK</v>
      </c>
      <c r="BG474" t="str">
        <f t="shared" si="166"/>
        <v>OK</v>
      </c>
      <c r="BH474" t="str">
        <f t="shared" si="167"/>
        <v>OK</v>
      </c>
      <c r="BI474" t="str">
        <f t="shared" si="159"/>
        <v>OK</v>
      </c>
      <c r="BJ474" t="str">
        <f t="shared" si="160"/>
        <v>OK</v>
      </c>
      <c r="BK474" t="str">
        <f t="shared" si="161"/>
        <v>OK</v>
      </c>
    </row>
    <row r="475" spans="1:63">
      <c r="A475" s="16" t="s">
        <v>816</v>
      </c>
      <c r="B475" s="16" t="s">
        <v>814</v>
      </c>
      <c r="C475" s="16" t="s">
        <v>220</v>
      </c>
      <c r="D475" s="16" t="s">
        <v>230</v>
      </c>
      <c r="E475" s="16" t="s">
        <v>262</v>
      </c>
      <c r="F475" s="16" t="s">
        <v>170</v>
      </c>
      <c r="G475" s="15">
        <v>46166</v>
      </c>
      <c r="H475" s="15">
        <v>46184</v>
      </c>
      <c r="I475" s="15">
        <v>46186</v>
      </c>
      <c r="J475" s="15" t="s">
        <v>141</v>
      </c>
      <c r="K475" s="16" t="s">
        <v>220</v>
      </c>
      <c r="L475" t="s">
        <v>182</v>
      </c>
      <c r="M475" s="16" t="s">
        <v>143</v>
      </c>
      <c r="N475" s="16" t="s">
        <v>144</v>
      </c>
      <c r="O475" t="s">
        <v>1630</v>
      </c>
      <c r="P475" s="18">
        <v>1080</v>
      </c>
      <c r="Q475" s="21">
        <v>18</v>
      </c>
      <c r="R475" s="21" t="str">
        <f t="shared" si="147"/>
        <v>15-30 days</v>
      </c>
      <c r="S475" s="16" t="s">
        <v>145</v>
      </c>
      <c r="U475" s="16" t="s">
        <v>146</v>
      </c>
      <c r="V475" t="str">
        <f>IF(U475="","",IFERROR(VLOOKUP(U475,Hotels!A:B,2,FALSE),"Not Found"))</f>
        <v>Premier Inn</v>
      </c>
      <c r="W475" s="14">
        <v>0</v>
      </c>
      <c r="X475" s="14">
        <v>316.89999999999998</v>
      </c>
      <c r="Y475" s="21">
        <v>1</v>
      </c>
      <c r="Z475" s="29">
        <f t="shared" si="148"/>
        <v>94.88</v>
      </c>
      <c r="AA475" s="14">
        <v>94.88</v>
      </c>
      <c r="AB475" s="14">
        <v>31.77</v>
      </c>
      <c r="AC475" s="14">
        <v>443.55</v>
      </c>
      <c r="AD475" s="16" t="s">
        <v>148</v>
      </c>
      <c r="AE475" s="16" t="s">
        <v>147</v>
      </c>
      <c r="AF475" s="14">
        <f>SUMIF('Trip Changes'!$B:$B,A475,'Trip Changes'!$E:$E)</f>
        <v>38.17</v>
      </c>
      <c r="AG475" s="23">
        <f>SUMIF('Trip Cancellations'!$B:$B,A475,'Trip Cancellations'!$E:$E)</f>
        <v>0</v>
      </c>
      <c r="AH475" s="14">
        <f>SUMIF('Trip Cancellations'!$B:$B,A475,'Trip Cancellations'!$F:$F)</f>
        <v>0</v>
      </c>
      <c r="AI475" s="14">
        <f t="shared" si="149"/>
        <v>481.72</v>
      </c>
      <c r="AJ475" s="14" t="str">
        <f t="shared" si="150"/>
        <v>Yes</v>
      </c>
      <c r="AK475" s="14" t="str">
        <f>IF(Y475=0,"N/A",
IF(_xlfn.XLOOKUP(U475,Hotels!A:A,Hotels!C:C)=TRUE,"Yes","No"))</f>
        <v>Yes</v>
      </c>
      <c r="AL475" s="14" t="str">
        <f>IF(N475="Rail","N/A",IF(_xlfn.XLOOKUP(T475,Airlines!A:A,Airlines!C:C)=TRUE,"Yes","No"))</f>
        <v>N/A</v>
      </c>
      <c r="AM475" s="14" t="str">
        <f t="shared" si="151"/>
        <v>Yes</v>
      </c>
      <c r="AN475" s="14" t="str">
        <f t="shared" si="152"/>
        <v>Yes</v>
      </c>
      <c r="AO475" s="14" t="str">
        <f t="shared" si="153"/>
        <v>Yes</v>
      </c>
      <c r="AP475" s="16" t="s">
        <v>147</v>
      </c>
      <c r="AQ475" t="str">
        <f t="shared" si="154"/>
        <v>Yes</v>
      </c>
      <c r="AR475" s="21">
        <v>4</v>
      </c>
      <c r="AS475" s="5">
        <v>43.2</v>
      </c>
      <c r="AT475" s="5" t="str">
        <f>IF(T475="","",_xlfn.XLOOKUP(T475,Airlines!A:A,Airlines!B:B,"Not Found"))</f>
        <v/>
      </c>
      <c r="AU475" s="5" t="str">
        <f>IF(U475="","",_xlfn.XLOOKUP(U475,Hotels!A:A,Hotels!B:B,"Not found"))</f>
        <v>Premier Inn</v>
      </c>
      <c r="AV475" t="s">
        <v>147</v>
      </c>
      <c r="AW475" s="16" t="str">
        <f t="shared" si="155"/>
        <v>OK</v>
      </c>
      <c r="AX475" s="16" t="str">
        <f t="shared" si="156"/>
        <v>OK</v>
      </c>
      <c r="AY475" s="16" t="str">
        <f t="shared" si="157"/>
        <v>OK</v>
      </c>
      <c r="AZ475" s="16" t="str">
        <f t="shared" si="158"/>
        <v>OK</v>
      </c>
      <c r="BA475" s="16" t="str">
        <f t="shared" si="162"/>
        <v>OK</v>
      </c>
      <c r="BB475" s="21">
        <f>COUNTIF('Trip Changes'!B:B,A475)</f>
        <v>2</v>
      </c>
      <c r="BC475" s="16" t="str">
        <f>IF(OR(AND(AD475="Yes",COUNTIF('Trip Changes'!B:B,A475)&gt;0),AND(AD475="No",COUNTIF('Trip Changes'!B:B,A475)=0)),"OK","Check")</f>
        <v>OK</v>
      </c>
      <c r="BD475" t="str">
        <f t="shared" si="163"/>
        <v>OK</v>
      </c>
      <c r="BE475" t="str">
        <f t="shared" si="164"/>
        <v>OK</v>
      </c>
      <c r="BF475" t="str">
        <f t="shared" si="165"/>
        <v>OK</v>
      </c>
      <c r="BG475" t="str">
        <f t="shared" si="166"/>
        <v>OK</v>
      </c>
      <c r="BH475" t="str">
        <f t="shared" si="167"/>
        <v>OK</v>
      </c>
      <c r="BI475" t="str">
        <f t="shared" si="159"/>
        <v>OK</v>
      </c>
      <c r="BJ475" t="str">
        <f t="shared" si="160"/>
        <v>OK</v>
      </c>
      <c r="BK475" t="str">
        <f t="shared" si="161"/>
        <v>OK</v>
      </c>
    </row>
    <row r="476" spans="1:63">
      <c r="A476" s="16" t="s">
        <v>817</v>
      </c>
      <c r="B476" s="16" t="s">
        <v>818</v>
      </c>
      <c r="C476" s="16" t="s">
        <v>182</v>
      </c>
      <c r="D476" s="16" t="s">
        <v>168</v>
      </c>
      <c r="E476" s="16" t="s">
        <v>139</v>
      </c>
      <c r="F476" s="16" t="s">
        <v>157</v>
      </c>
      <c r="G476" s="15">
        <v>46191</v>
      </c>
      <c r="H476" s="15">
        <v>46204</v>
      </c>
      <c r="I476" s="15">
        <v>46207</v>
      </c>
      <c r="J476" s="15" t="s">
        <v>150</v>
      </c>
      <c r="K476" s="16" t="s">
        <v>182</v>
      </c>
      <c r="L476" t="s">
        <v>158</v>
      </c>
      <c r="M476" s="16" t="s">
        <v>152</v>
      </c>
      <c r="N476" s="16" t="s">
        <v>153</v>
      </c>
      <c r="O476" t="s">
        <v>1614</v>
      </c>
      <c r="P476" s="18">
        <v>2434</v>
      </c>
      <c r="Q476" s="21">
        <v>13</v>
      </c>
      <c r="R476" s="21" t="str">
        <f t="shared" si="147"/>
        <v>8-14 days</v>
      </c>
      <c r="S476" s="16" t="s">
        <v>145</v>
      </c>
      <c r="T476" s="16" t="s">
        <v>172</v>
      </c>
      <c r="U476" s="16" t="s">
        <v>155</v>
      </c>
      <c r="V476" t="str">
        <f>IF(U476="","",IFERROR(VLOOKUP(U476,Hotels!A:B,2,FALSE),"Not Found"))</f>
        <v>Hilton</v>
      </c>
      <c r="W476" s="14">
        <v>559.4</v>
      </c>
      <c r="X476" s="14">
        <v>0</v>
      </c>
      <c r="Y476" s="21">
        <v>2</v>
      </c>
      <c r="Z476" s="29">
        <f t="shared" si="148"/>
        <v>191.04</v>
      </c>
      <c r="AA476" s="14">
        <v>382.08</v>
      </c>
      <c r="AB476" s="14">
        <v>74.45</v>
      </c>
      <c r="AC476" s="14">
        <v>1015.93</v>
      </c>
      <c r="AD476" s="16" t="s">
        <v>147</v>
      </c>
      <c r="AE476" s="16" t="s">
        <v>147</v>
      </c>
      <c r="AF476" s="14">
        <f>SUMIF('Trip Changes'!$B:$B,A476,'Trip Changes'!$E:$E)</f>
        <v>0</v>
      </c>
      <c r="AG476" s="23">
        <f>SUMIF('Trip Cancellations'!$B:$B,A476,'Trip Cancellations'!$E:$E)</f>
        <v>0</v>
      </c>
      <c r="AH476" s="14">
        <f>SUMIF('Trip Cancellations'!$B:$B,A476,'Trip Cancellations'!$F:$F)</f>
        <v>0</v>
      </c>
      <c r="AI476" s="14">
        <f t="shared" si="149"/>
        <v>1015.93</v>
      </c>
      <c r="AJ476" s="14" t="str">
        <f t="shared" si="150"/>
        <v>No</v>
      </c>
      <c r="AK476" s="14" t="str">
        <f>IF(Y476=0,"N/A",
IF(_xlfn.XLOOKUP(U476,Hotels!A:A,Hotels!C:C)=TRUE,"Yes","No"))</f>
        <v>Yes</v>
      </c>
      <c r="AL476" s="14" t="str">
        <f>IF(N476="Rail","N/A",IF(_xlfn.XLOOKUP(T476,Airlines!A:A,Airlines!C:C)=TRUE,"Yes","No"))</f>
        <v>Yes</v>
      </c>
      <c r="AM476" s="14" t="str">
        <f t="shared" si="151"/>
        <v>Yes</v>
      </c>
      <c r="AN476" s="14" t="str">
        <f t="shared" si="152"/>
        <v>Yes</v>
      </c>
      <c r="AO476" s="14" t="str">
        <f t="shared" si="153"/>
        <v>Yes</v>
      </c>
      <c r="AP476" s="16" t="s">
        <v>148</v>
      </c>
      <c r="AQ476" t="str">
        <f t="shared" si="154"/>
        <v>No</v>
      </c>
      <c r="AR476" s="21">
        <v>3</v>
      </c>
      <c r="AS476" s="5">
        <v>365.1</v>
      </c>
      <c r="AT476" s="5" t="str">
        <f>IF(T476="","",_xlfn.XLOOKUP(T476,Airlines!A:A,Airlines!B:B,"Not Found"))</f>
        <v>Lufthansa</v>
      </c>
      <c r="AU476" s="5" t="str">
        <f>IF(U476="","",_xlfn.XLOOKUP(U476,Hotels!A:A,Hotels!B:B,"Not found"))</f>
        <v>Hilton</v>
      </c>
      <c r="AV476" t="s">
        <v>147</v>
      </c>
      <c r="AW476" s="16" t="str">
        <f t="shared" si="155"/>
        <v>OK</v>
      </c>
      <c r="AX476" s="16" t="str">
        <f t="shared" si="156"/>
        <v>OK</v>
      </c>
      <c r="AY476" s="16" t="str">
        <f t="shared" si="157"/>
        <v>OK</v>
      </c>
      <c r="AZ476" s="16" t="str">
        <f t="shared" si="158"/>
        <v>OK</v>
      </c>
      <c r="BA476" s="16" t="str">
        <f t="shared" si="162"/>
        <v>OK</v>
      </c>
      <c r="BB476" s="21">
        <f>COUNTIF('Trip Changes'!B:B,A476)</f>
        <v>0</v>
      </c>
      <c r="BC476" s="16" t="str">
        <f>IF(OR(AND(AD476="Yes",COUNTIF('Trip Changes'!B:B,A476)&gt;0),AND(AD476="No",COUNTIF('Trip Changes'!B:B,A476)=0)),"OK","Check")</f>
        <v>OK</v>
      </c>
      <c r="BD476" t="str">
        <f t="shared" si="163"/>
        <v>OK</v>
      </c>
      <c r="BE476" t="str">
        <f t="shared" si="164"/>
        <v>OK</v>
      </c>
      <c r="BF476" t="str">
        <f t="shared" si="165"/>
        <v>OK</v>
      </c>
      <c r="BG476" t="str">
        <f t="shared" si="166"/>
        <v>OK</v>
      </c>
      <c r="BH476" t="str">
        <f t="shared" si="167"/>
        <v>OK</v>
      </c>
      <c r="BI476" t="str">
        <f t="shared" si="159"/>
        <v>OK</v>
      </c>
      <c r="BJ476" t="str">
        <f t="shared" si="160"/>
        <v>OK</v>
      </c>
      <c r="BK476" t="str">
        <f t="shared" si="161"/>
        <v>OK</v>
      </c>
    </row>
    <row r="477" spans="1:63">
      <c r="A477" s="16" t="s">
        <v>819</v>
      </c>
      <c r="B477" s="16" t="s">
        <v>818</v>
      </c>
      <c r="C477" s="16" t="s">
        <v>182</v>
      </c>
      <c r="D477" s="16" t="s">
        <v>168</v>
      </c>
      <c r="E477" s="16" t="s">
        <v>139</v>
      </c>
      <c r="F477" s="16" t="s">
        <v>162</v>
      </c>
      <c r="G477" s="15">
        <v>46193</v>
      </c>
      <c r="H477" s="15">
        <v>46198</v>
      </c>
      <c r="I477" s="15">
        <v>46200</v>
      </c>
      <c r="J477" s="15" t="s">
        <v>141</v>
      </c>
      <c r="K477" s="16" t="s">
        <v>182</v>
      </c>
      <c r="L477" t="s">
        <v>199</v>
      </c>
      <c r="M477" s="16" t="s">
        <v>152</v>
      </c>
      <c r="N477" s="16" t="s">
        <v>153</v>
      </c>
      <c r="O477" t="s">
        <v>1614</v>
      </c>
      <c r="P477" s="18">
        <v>2204</v>
      </c>
      <c r="Q477" s="21">
        <v>5</v>
      </c>
      <c r="R477" s="21" t="str">
        <f t="shared" si="147"/>
        <v>4-7 days</v>
      </c>
      <c r="S477" s="16" t="s">
        <v>159</v>
      </c>
      <c r="T477" s="16" t="s">
        <v>291</v>
      </c>
      <c r="U477" s="16" t="s">
        <v>155</v>
      </c>
      <c r="V477" t="str">
        <f>IF(U477="","",IFERROR(VLOOKUP(U477,Hotels!A:B,2,FALSE),"Not Found"))</f>
        <v>Hilton</v>
      </c>
      <c r="W477" s="14">
        <v>604.74</v>
      </c>
      <c r="X477" s="14">
        <v>0</v>
      </c>
      <c r="Y477" s="21">
        <v>1</v>
      </c>
      <c r="Z477" s="29">
        <f t="shared" si="148"/>
        <v>179.34</v>
      </c>
      <c r="AA477" s="14">
        <v>179.34</v>
      </c>
      <c r="AB477" s="14">
        <v>132.69</v>
      </c>
      <c r="AC477" s="14">
        <v>916.77</v>
      </c>
      <c r="AD477" s="16" t="s">
        <v>147</v>
      </c>
      <c r="AE477" s="16" t="s">
        <v>147</v>
      </c>
      <c r="AF477" s="14">
        <f>SUMIF('Trip Changes'!$B:$B,A477,'Trip Changes'!$E:$E)</f>
        <v>0</v>
      </c>
      <c r="AG477" s="23">
        <f>SUMIF('Trip Cancellations'!$B:$B,A477,'Trip Cancellations'!$E:$E)</f>
        <v>0</v>
      </c>
      <c r="AH477" s="14">
        <f>SUMIF('Trip Cancellations'!$B:$B,A477,'Trip Cancellations'!$F:$F)</f>
        <v>0</v>
      </c>
      <c r="AI477" s="14">
        <f t="shared" si="149"/>
        <v>916.77</v>
      </c>
      <c r="AJ477" s="14" t="str">
        <f t="shared" si="150"/>
        <v>Yes</v>
      </c>
      <c r="AK477" s="14" t="str">
        <f>IF(Y477=0,"N/A",
IF(_xlfn.XLOOKUP(U477,Hotels!A:A,Hotels!C:C)=TRUE,"Yes","No"))</f>
        <v>Yes</v>
      </c>
      <c r="AL477" s="14" t="str">
        <f>IF(N477="Rail","N/A",IF(_xlfn.XLOOKUP(T477,Airlines!A:A,Airlines!C:C)=TRUE,"Yes","No"))</f>
        <v>No</v>
      </c>
      <c r="AM477" s="14" t="str">
        <f t="shared" si="151"/>
        <v>Yes</v>
      </c>
      <c r="AN477" s="14" t="str">
        <f t="shared" si="152"/>
        <v>Yes</v>
      </c>
      <c r="AO477" s="14" t="str">
        <f t="shared" si="153"/>
        <v>No</v>
      </c>
      <c r="AP477" s="16" t="s">
        <v>148</v>
      </c>
      <c r="AQ477" t="str">
        <f t="shared" si="154"/>
        <v>No</v>
      </c>
      <c r="AR477" s="21">
        <v>5</v>
      </c>
      <c r="AS477" s="5">
        <v>330.6</v>
      </c>
      <c r="AT477" s="5" t="str">
        <f>IF(T477="","",_xlfn.XLOOKUP(T477,Airlines!A:A,Airlines!B:B,"Not Found"))</f>
        <v>Ryanair</v>
      </c>
      <c r="AU477" s="5" t="str">
        <f>IF(U477="","",_xlfn.XLOOKUP(U477,Hotels!A:A,Hotels!B:B,"Not found"))</f>
        <v>Hilton</v>
      </c>
      <c r="AV477" t="s">
        <v>147</v>
      </c>
      <c r="AW477" s="16" t="str">
        <f t="shared" si="155"/>
        <v>OK</v>
      </c>
      <c r="AX477" s="16" t="str">
        <f t="shared" si="156"/>
        <v>OK</v>
      </c>
      <c r="AY477" s="16" t="str">
        <f t="shared" si="157"/>
        <v>OK</v>
      </c>
      <c r="AZ477" s="16" t="str">
        <f t="shared" si="158"/>
        <v>OK</v>
      </c>
      <c r="BA477" s="16" t="str">
        <f t="shared" si="162"/>
        <v>OK</v>
      </c>
      <c r="BB477" s="21">
        <f>COUNTIF('Trip Changes'!B:B,A477)</f>
        <v>0</v>
      </c>
      <c r="BC477" s="16" t="str">
        <f>IF(OR(AND(AD477="Yes",COUNTIF('Trip Changes'!B:B,A477)&gt;0),AND(AD477="No",COUNTIF('Trip Changes'!B:B,A477)=0)),"OK","Check")</f>
        <v>OK</v>
      </c>
      <c r="BD477" t="str">
        <f t="shared" si="163"/>
        <v>OK</v>
      </c>
      <c r="BE477" t="str">
        <f t="shared" si="164"/>
        <v>OK</v>
      </c>
      <c r="BF477" t="str">
        <f t="shared" si="165"/>
        <v>OK</v>
      </c>
      <c r="BG477" t="str">
        <f t="shared" si="166"/>
        <v>OK</v>
      </c>
      <c r="BH477" t="str">
        <f t="shared" si="167"/>
        <v>OK</v>
      </c>
      <c r="BI477" t="str">
        <f t="shared" si="159"/>
        <v>OK</v>
      </c>
      <c r="BJ477" t="str">
        <f t="shared" si="160"/>
        <v>OK</v>
      </c>
      <c r="BK477" t="str">
        <f t="shared" si="161"/>
        <v>OK</v>
      </c>
    </row>
    <row r="478" spans="1:63">
      <c r="A478" s="16" t="s">
        <v>820</v>
      </c>
      <c r="B478" s="16" t="s">
        <v>818</v>
      </c>
      <c r="C478" s="16" t="s">
        <v>182</v>
      </c>
      <c r="D478" s="16" t="s">
        <v>168</v>
      </c>
      <c r="E478" s="16" t="s">
        <v>139</v>
      </c>
      <c r="F478" s="16" t="s">
        <v>189</v>
      </c>
      <c r="G478" s="15">
        <v>46154</v>
      </c>
      <c r="H478" s="15">
        <v>46171</v>
      </c>
      <c r="I478" s="15">
        <v>46175</v>
      </c>
      <c r="J478" s="15" t="s">
        <v>163</v>
      </c>
      <c r="K478" s="16" t="s">
        <v>182</v>
      </c>
      <c r="L478" t="s">
        <v>225</v>
      </c>
      <c r="M478" s="16" t="s">
        <v>152</v>
      </c>
      <c r="N478" s="16" t="s">
        <v>153</v>
      </c>
      <c r="O478" t="s">
        <v>1614</v>
      </c>
      <c r="P478" s="18">
        <v>3228</v>
      </c>
      <c r="Q478" s="21">
        <v>17</v>
      </c>
      <c r="R478" s="21" t="str">
        <f t="shared" si="147"/>
        <v>15-30 days</v>
      </c>
      <c r="S478" s="16" t="s">
        <v>216</v>
      </c>
      <c r="T478" s="16" t="s">
        <v>236</v>
      </c>
      <c r="U478" s="16" t="s">
        <v>187</v>
      </c>
      <c r="V478" t="str">
        <f>IF(U478="","",IFERROR(VLOOKUP(U478,Hotels!A:B,2,FALSE),"Not Found"))</f>
        <v>IHG Hotels &amp; Resorts</v>
      </c>
      <c r="W478" s="14">
        <v>348.05</v>
      </c>
      <c r="X478" s="14">
        <v>0</v>
      </c>
      <c r="Y478" s="21">
        <v>3</v>
      </c>
      <c r="Z478" s="29">
        <f t="shared" si="148"/>
        <v>138.39666666666668</v>
      </c>
      <c r="AA478" s="14">
        <v>415.19</v>
      </c>
      <c r="AB478" s="14">
        <v>64.3</v>
      </c>
      <c r="AC478" s="14">
        <v>827.54</v>
      </c>
      <c r="AD478" s="16" t="s">
        <v>147</v>
      </c>
      <c r="AE478" s="16" t="s">
        <v>147</v>
      </c>
      <c r="AF478" s="14">
        <f>SUMIF('Trip Changes'!$B:$B,A478,'Trip Changes'!$E:$E)</f>
        <v>0</v>
      </c>
      <c r="AG478" s="23">
        <f>SUMIF('Trip Cancellations'!$B:$B,A478,'Trip Cancellations'!$E:$E)</f>
        <v>0</v>
      </c>
      <c r="AH478" s="14">
        <f>SUMIF('Trip Cancellations'!$B:$B,A478,'Trip Cancellations'!$F:$F)</f>
        <v>0</v>
      </c>
      <c r="AI478" s="14">
        <f t="shared" si="149"/>
        <v>827.54</v>
      </c>
      <c r="AJ478" s="14" t="str">
        <f t="shared" si="150"/>
        <v>Yes</v>
      </c>
      <c r="AK478" s="14" t="str">
        <f>IF(Y478=0,"N/A",
IF(_xlfn.XLOOKUP(U478,Hotels!A:A,Hotels!C:C)=TRUE,"Yes","No"))</f>
        <v>Yes</v>
      </c>
      <c r="AL478" s="14" t="str">
        <f>IF(N478="Rail","N/A",IF(_xlfn.XLOOKUP(T478,Airlines!A:A,Airlines!C:C)=TRUE,"Yes","No"))</f>
        <v>Yes</v>
      </c>
      <c r="AM478" s="14" t="str">
        <f t="shared" si="151"/>
        <v>Yes</v>
      </c>
      <c r="AN478" s="14" t="str">
        <f t="shared" si="152"/>
        <v>No</v>
      </c>
      <c r="AO478" s="14" t="str">
        <f t="shared" si="153"/>
        <v>Yes</v>
      </c>
      <c r="AP478" s="16" t="s">
        <v>147</v>
      </c>
      <c r="AQ478" t="str">
        <f t="shared" si="154"/>
        <v>No</v>
      </c>
      <c r="AR478" s="21">
        <v>4</v>
      </c>
      <c r="AS478" s="5">
        <v>484.2</v>
      </c>
      <c r="AT478" s="5" t="str">
        <f>IF(T478="","",_xlfn.XLOOKUP(T478,Airlines!A:A,Airlines!B:B,"Not Found"))</f>
        <v>KLM</v>
      </c>
      <c r="AU478" s="5" t="str">
        <f>IF(U478="","",_xlfn.XLOOKUP(U478,Hotels!A:A,Hotels!B:B,"Not found"))</f>
        <v>IHG Hotels &amp; Resorts</v>
      </c>
      <c r="AV478" t="s">
        <v>147</v>
      </c>
      <c r="AW478" s="16" t="str">
        <f t="shared" si="155"/>
        <v>OK</v>
      </c>
      <c r="AX478" s="16" t="str">
        <f t="shared" si="156"/>
        <v>OK</v>
      </c>
      <c r="AY478" s="16" t="str">
        <f t="shared" si="157"/>
        <v>OK</v>
      </c>
      <c r="AZ478" s="16" t="str">
        <f t="shared" si="158"/>
        <v>OK</v>
      </c>
      <c r="BA478" s="16" t="str">
        <f t="shared" si="162"/>
        <v>OK</v>
      </c>
      <c r="BB478" s="21">
        <f>COUNTIF('Trip Changes'!B:B,A478)</f>
        <v>0</v>
      </c>
      <c r="BC478" s="16" t="str">
        <f>IF(OR(AND(AD478="Yes",COUNTIF('Trip Changes'!B:B,A478)&gt;0),AND(AD478="No",COUNTIF('Trip Changes'!B:B,A478)=0)),"OK","Check")</f>
        <v>OK</v>
      </c>
      <c r="BD478" t="str">
        <f t="shared" si="163"/>
        <v>OK</v>
      </c>
      <c r="BE478" t="str">
        <f t="shared" si="164"/>
        <v>OK</v>
      </c>
      <c r="BF478" t="str">
        <f t="shared" si="165"/>
        <v>OK</v>
      </c>
      <c r="BG478" t="str">
        <f t="shared" si="166"/>
        <v>OK</v>
      </c>
      <c r="BH478" t="str">
        <f t="shared" si="167"/>
        <v>OK</v>
      </c>
      <c r="BI478" t="str">
        <f t="shared" si="159"/>
        <v>OK</v>
      </c>
      <c r="BJ478" t="str">
        <f t="shared" si="160"/>
        <v>OK</v>
      </c>
      <c r="BK478" t="str">
        <f t="shared" si="161"/>
        <v>OK</v>
      </c>
    </row>
    <row r="479" spans="1:63">
      <c r="A479" s="16" t="s">
        <v>821</v>
      </c>
      <c r="B479" s="16" t="s">
        <v>822</v>
      </c>
      <c r="C479" s="16" t="s">
        <v>203</v>
      </c>
      <c r="D479" s="16" t="s">
        <v>204</v>
      </c>
      <c r="E479" s="16" t="s">
        <v>139</v>
      </c>
      <c r="F479" s="16" t="s">
        <v>140</v>
      </c>
      <c r="G479" s="15">
        <v>46182</v>
      </c>
      <c r="H479" s="15">
        <v>46203</v>
      </c>
      <c r="I479" s="15">
        <v>46207</v>
      </c>
      <c r="J479" s="15" t="s">
        <v>141</v>
      </c>
      <c r="K479" s="16" t="s">
        <v>203</v>
      </c>
      <c r="L479" t="s">
        <v>305</v>
      </c>
      <c r="M479" s="16" t="s">
        <v>152</v>
      </c>
      <c r="N479" s="16" t="s">
        <v>153</v>
      </c>
      <c r="O479" t="s">
        <v>1631</v>
      </c>
      <c r="P479" s="18">
        <v>11964</v>
      </c>
      <c r="Q479" s="21">
        <v>21</v>
      </c>
      <c r="R479" s="21" t="str">
        <f t="shared" si="147"/>
        <v>15-30 days</v>
      </c>
      <c r="S479" s="16" t="s">
        <v>216</v>
      </c>
      <c r="T479" s="16" t="s">
        <v>154</v>
      </c>
      <c r="U479" s="16" t="s">
        <v>187</v>
      </c>
      <c r="V479" t="str">
        <f>IF(U479="","",IFERROR(VLOOKUP(U479,Hotels!A:B,2,FALSE),"Not Found"))</f>
        <v>IHG Hotels &amp; Resorts</v>
      </c>
      <c r="W479" s="14">
        <v>791.88</v>
      </c>
      <c r="X479" s="14">
        <v>0</v>
      </c>
      <c r="Y479" s="21">
        <v>3</v>
      </c>
      <c r="Z479" s="29">
        <f t="shared" si="148"/>
        <v>160.76</v>
      </c>
      <c r="AA479" s="14">
        <v>482.28</v>
      </c>
      <c r="AB479" s="14">
        <v>79.95</v>
      </c>
      <c r="AC479" s="14">
        <v>1354.11</v>
      </c>
      <c r="AD479" s="16" t="s">
        <v>148</v>
      </c>
      <c r="AE479" s="16" t="s">
        <v>147</v>
      </c>
      <c r="AF479" s="14">
        <f>SUMIF('Trip Changes'!$B:$B,A479,'Trip Changes'!$E:$E)</f>
        <v>15</v>
      </c>
      <c r="AG479" s="23">
        <f>SUMIF('Trip Cancellations'!$B:$B,A479,'Trip Cancellations'!$E:$E)</f>
        <v>0</v>
      </c>
      <c r="AH479" s="14">
        <f>SUMIF('Trip Cancellations'!$B:$B,A479,'Trip Cancellations'!$F:$F)</f>
        <v>0</v>
      </c>
      <c r="AI479" s="14">
        <f t="shared" si="149"/>
        <v>1369.11</v>
      </c>
      <c r="AJ479" s="14" t="str">
        <f t="shared" si="150"/>
        <v>Yes</v>
      </c>
      <c r="AK479" s="14" t="str">
        <f>IF(Y479=0,"N/A",
IF(_xlfn.XLOOKUP(U479,Hotels!A:A,Hotels!C:C)=TRUE,"Yes","No"))</f>
        <v>Yes</v>
      </c>
      <c r="AL479" s="14" t="str">
        <f>IF(N479="Rail","N/A",IF(_xlfn.XLOOKUP(T479,Airlines!A:A,Airlines!C:C)=TRUE,"Yes","No"))</f>
        <v>Yes</v>
      </c>
      <c r="AM479" s="14" t="str">
        <f t="shared" si="151"/>
        <v>No</v>
      </c>
      <c r="AN479" s="14" t="str">
        <f t="shared" si="152"/>
        <v>No</v>
      </c>
      <c r="AO479" s="14" t="str">
        <f t="shared" si="153"/>
        <v>Yes</v>
      </c>
      <c r="AP479" s="16" t="s">
        <v>148</v>
      </c>
      <c r="AQ479" t="str">
        <f t="shared" si="154"/>
        <v>No</v>
      </c>
      <c r="AR479" s="21">
        <v>4</v>
      </c>
      <c r="AS479" s="5">
        <v>1794.6</v>
      </c>
      <c r="AT479" s="5" t="str">
        <f>IF(T479="","",_xlfn.XLOOKUP(T479,Airlines!A:A,Airlines!B:B,"Not Found"))</f>
        <v>British Airways</v>
      </c>
      <c r="AU479" s="5" t="str">
        <f>IF(U479="","",_xlfn.XLOOKUP(U479,Hotels!A:A,Hotels!B:B,"Not found"))</f>
        <v>IHG Hotels &amp; Resorts</v>
      </c>
      <c r="AV479" t="s">
        <v>147</v>
      </c>
      <c r="AW479" s="16" t="str">
        <f t="shared" si="155"/>
        <v>OK</v>
      </c>
      <c r="AX479" s="16" t="str">
        <f t="shared" si="156"/>
        <v>OK</v>
      </c>
      <c r="AY479" s="16" t="str">
        <f t="shared" si="157"/>
        <v>OK</v>
      </c>
      <c r="AZ479" s="16" t="str">
        <f t="shared" si="158"/>
        <v>OK</v>
      </c>
      <c r="BA479" s="16" t="str">
        <f t="shared" si="162"/>
        <v>OK</v>
      </c>
      <c r="BB479" s="21">
        <f>COUNTIF('Trip Changes'!B:B,A479)</f>
        <v>1</v>
      </c>
      <c r="BC479" s="16" t="str">
        <f>IF(OR(AND(AD479="Yes",COUNTIF('Trip Changes'!B:B,A479)&gt;0),AND(AD479="No",COUNTIF('Trip Changes'!B:B,A479)=0)),"OK","Check")</f>
        <v>OK</v>
      </c>
      <c r="BD479" t="str">
        <f t="shared" si="163"/>
        <v>OK</v>
      </c>
      <c r="BE479" t="str">
        <f t="shared" si="164"/>
        <v>OK</v>
      </c>
      <c r="BF479" t="str">
        <f t="shared" si="165"/>
        <v>OK</v>
      </c>
      <c r="BG479" t="str">
        <f t="shared" si="166"/>
        <v>OK</v>
      </c>
      <c r="BH479" t="str">
        <f t="shared" si="167"/>
        <v>OK</v>
      </c>
      <c r="BI479" t="str">
        <f t="shared" si="159"/>
        <v>OK</v>
      </c>
      <c r="BJ479" t="str">
        <f t="shared" si="160"/>
        <v>OK</v>
      </c>
      <c r="BK479" t="str">
        <f t="shared" si="161"/>
        <v>OK</v>
      </c>
    </row>
    <row r="480" spans="1:63">
      <c r="A480" s="16" t="s">
        <v>823</v>
      </c>
      <c r="B480" s="16" t="s">
        <v>822</v>
      </c>
      <c r="C480" s="16" t="s">
        <v>203</v>
      </c>
      <c r="D480" s="16" t="s">
        <v>204</v>
      </c>
      <c r="E480" s="16" t="s">
        <v>139</v>
      </c>
      <c r="F480" s="16" t="s">
        <v>140</v>
      </c>
      <c r="G480" s="15">
        <v>46209</v>
      </c>
      <c r="H480" s="15">
        <v>46210</v>
      </c>
      <c r="I480" s="15">
        <v>46212</v>
      </c>
      <c r="J480" s="15" t="s">
        <v>150</v>
      </c>
      <c r="K480" s="16" t="s">
        <v>203</v>
      </c>
      <c r="L480" t="s">
        <v>233</v>
      </c>
      <c r="M480" s="16" t="s">
        <v>152</v>
      </c>
      <c r="N480" s="16" t="s">
        <v>153</v>
      </c>
      <c r="O480" t="s">
        <v>1614</v>
      </c>
      <c r="P480" s="18">
        <v>3524</v>
      </c>
      <c r="Q480" s="21">
        <v>1</v>
      </c>
      <c r="R480" s="21" t="str">
        <f t="shared" si="147"/>
        <v>0-3 days</v>
      </c>
      <c r="S480" s="16" t="s">
        <v>159</v>
      </c>
      <c r="T480" s="16" t="s">
        <v>154</v>
      </c>
      <c r="U480" s="16" t="s">
        <v>190</v>
      </c>
      <c r="V480" t="str">
        <f>IF(U480="","",IFERROR(VLOOKUP(U480,Hotels!A:B,2,FALSE),"Not Found"))</f>
        <v>Radisson Hotel Group</v>
      </c>
      <c r="W480" s="14">
        <v>556.66</v>
      </c>
      <c r="X480" s="14">
        <v>0</v>
      </c>
      <c r="Y480" s="21">
        <v>1</v>
      </c>
      <c r="Z480" s="29">
        <f t="shared" si="148"/>
        <v>150.9</v>
      </c>
      <c r="AA480" s="14">
        <v>150.9</v>
      </c>
      <c r="AB480" s="14">
        <v>98.98</v>
      </c>
      <c r="AC480" s="14">
        <v>806.54</v>
      </c>
      <c r="AD480" s="16" t="s">
        <v>147</v>
      </c>
      <c r="AE480" s="16" t="s">
        <v>147</v>
      </c>
      <c r="AF480" s="14">
        <f>SUMIF('Trip Changes'!$B:$B,A480,'Trip Changes'!$E:$E)</f>
        <v>0</v>
      </c>
      <c r="AG480" s="23">
        <f>SUMIF('Trip Cancellations'!$B:$B,A480,'Trip Cancellations'!$E:$E)</f>
        <v>0</v>
      </c>
      <c r="AH480" s="14">
        <f>SUMIF('Trip Cancellations'!$B:$B,A480,'Trip Cancellations'!$F:$F)</f>
        <v>0</v>
      </c>
      <c r="AI480" s="14">
        <f t="shared" si="149"/>
        <v>806.54</v>
      </c>
      <c r="AJ480" s="14" t="str">
        <f t="shared" si="150"/>
        <v>Yes</v>
      </c>
      <c r="AK480" s="14" t="str">
        <f>IF(Y480=0,"N/A",
IF(_xlfn.XLOOKUP(U480,Hotels!A:A,Hotels!C:C)=TRUE,"Yes","No"))</f>
        <v>No</v>
      </c>
      <c r="AL480" s="14" t="str">
        <f>IF(N480="Rail","N/A",IF(_xlfn.XLOOKUP(T480,Airlines!A:A,Airlines!C:C)=TRUE,"Yes","No"))</f>
        <v>Yes</v>
      </c>
      <c r="AM480" s="14" t="str">
        <f t="shared" si="151"/>
        <v>Yes</v>
      </c>
      <c r="AN480" s="14" t="str">
        <f t="shared" si="152"/>
        <v>Yes</v>
      </c>
      <c r="AO480" s="14" t="str">
        <f t="shared" si="153"/>
        <v>No</v>
      </c>
      <c r="AP480" s="16" t="s">
        <v>147</v>
      </c>
      <c r="AQ480" t="str">
        <f t="shared" si="154"/>
        <v>No</v>
      </c>
      <c r="AR480" s="21">
        <v>3</v>
      </c>
      <c r="AS480" s="5">
        <v>528.6</v>
      </c>
      <c r="AT480" s="5" t="str">
        <f>IF(T480="","",_xlfn.XLOOKUP(T480,Airlines!A:A,Airlines!B:B,"Not Found"))</f>
        <v>British Airways</v>
      </c>
      <c r="AU480" s="5" t="str">
        <f>IF(U480="","",_xlfn.XLOOKUP(U480,Hotels!A:A,Hotels!B:B,"Not found"))</f>
        <v>Radisson Hotel Group</v>
      </c>
      <c r="AV480" t="s">
        <v>147</v>
      </c>
      <c r="AW480" s="16" t="str">
        <f t="shared" si="155"/>
        <v>OK</v>
      </c>
      <c r="AX480" s="16" t="str">
        <f t="shared" si="156"/>
        <v>OK</v>
      </c>
      <c r="AY480" s="16" t="str">
        <f t="shared" si="157"/>
        <v>OK</v>
      </c>
      <c r="AZ480" s="16" t="str">
        <f t="shared" si="158"/>
        <v>OK</v>
      </c>
      <c r="BA480" s="16" t="str">
        <f t="shared" si="162"/>
        <v>OK</v>
      </c>
      <c r="BB480" s="21">
        <f>COUNTIF('Trip Changes'!B:B,A480)</f>
        <v>0</v>
      </c>
      <c r="BC480" s="16" t="str">
        <f>IF(OR(AND(AD480="Yes",COUNTIF('Trip Changes'!B:B,A480)&gt;0),AND(AD480="No",COUNTIF('Trip Changes'!B:B,A480)=0)),"OK","Check")</f>
        <v>OK</v>
      </c>
      <c r="BD480" t="str">
        <f t="shared" si="163"/>
        <v>OK</v>
      </c>
      <c r="BE480" t="str">
        <f t="shared" si="164"/>
        <v>OK</v>
      </c>
      <c r="BF480" t="str">
        <f t="shared" si="165"/>
        <v>OK</v>
      </c>
      <c r="BG480" t="str">
        <f t="shared" si="166"/>
        <v>OK</v>
      </c>
      <c r="BH480" t="str">
        <f t="shared" si="167"/>
        <v>OK</v>
      </c>
      <c r="BI480" t="str">
        <f t="shared" si="159"/>
        <v>OK</v>
      </c>
      <c r="BJ480" t="str">
        <f t="shared" si="160"/>
        <v>OK</v>
      </c>
      <c r="BK480" t="str">
        <f t="shared" si="161"/>
        <v>OK</v>
      </c>
    </row>
    <row r="481" spans="1:63">
      <c r="A481" s="16" t="s">
        <v>824</v>
      </c>
      <c r="B481" s="16" t="s">
        <v>822</v>
      </c>
      <c r="C481" s="16" t="s">
        <v>203</v>
      </c>
      <c r="D481" s="16" t="s">
        <v>204</v>
      </c>
      <c r="E481" s="16" t="s">
        <v>139</v>
      </c>
      <c r="F481" s="16" t="s">
        <v>157</v>
      </c>
      <c r="G481" s="15">
        <v>46185</v>
      </c>
      <c r="H481" s="15">
        <v>46202</v>
      </c>
      <c r="I481" s="15">
        <v>46204</v>
      </c>
      <c r="J481" s="15" t="s">
        <v>141</v>
      </c>
      <c r="K481" s="16" t="s">
        <v>203</v>
      </c>
      <c r="L481" t="s">
        <v>182</v>
      </c>
      <c r="M481" s="16" t="s">
        <v>143</v>
      </c>
      <c r="N481" s="16" t="s">
        <v>144</v>
      </c>
      <c r="O481" t="s">
        <v>1630</v>
      </c>
      <c r="P481" s="18">
        <v>1230</v>
      </c>
      <c r="Q481" s="21">
        <v>17</v>
      </c>
      <c r="R481" s="21" t="str">
        <f t="shared" si="147"/>
        <v>15-30 days</v>
      </c>
      <c r="S481" s="16" t="s">
        <v>145</v>
      </c>
      <c r="U481" s="16" t="s">
        <v>146</v>
      </c>
      <c r="V481" t="str">
        <f>IF(U481="","",IFERROR(VLOOKUP(U481,Hotels!A:B,2,FALSE),"Not Found"))</f>
        <v>Premier Inn</v>
      </c>
      <c r="W481" s="14">
        <v>0</v>
      </c>
      <c r="X481" s="14">
        <v>358.23</v>
      </c>
      <c r="Y481" s="21">
        <v>1</v>
      </c>
      <c r="Z481" s="29">
        <f t="shared" si="148"/>
        <v>138.69999999999999</v>
      </c>
      <c r="AA481" s="14">
        <v>138.69999999999999</v>
      </c>
      <c r="AB481" s="14">
        <v>20</v>
      </c>
      <c r="AC481" s="14">
        <v>516.92999999999995</v>
      </c>
      <c r="AD481" s="16" t="s">
        <v>147</v>
      </c>
      <c r="AE481" s="16" t="s">
        <v>147</v>
      </c>
      <c r="AF481" s="14">
        <f>SUMIF('Trip Changes'!$B:$B,A481,'Trip Changes'!$E:$E)</f>
        <v>0</v>
      </c>
      <c r="AG481" s="23">
        <f>SUMIF('Trip Cancellations'!$B:$B,A481,'Trip Cancellations'!$E:$E)</f>
        <v>0</v>
      </c>
      <c r="AH481" s="14">
        <f>SUMIF('Trip Cancellations'!$B:$B,A481,'Trip Cancellations'!$F:$F)</f>
        <v>0</v>
      </c>
      <c r="AI481" s="14">
        <f t="shared" si="149"/>
        <v>516.92999999999995</v>
      </c>
      <c r="AJ481" s="14" t="str">
        <f t="shared" si="150"/>
        <v>Yes</v>
      </c>
      <c r="AK481" s="14" t="str">
        <f>IF(Y481=0,"N/A",
IF(_xlfn.XLOOKUP(U481,Hotels!A:A,Hotels!C:C)=TRUE,"Yes","No"))</f>
        <v>Yes</v>
      </c>
      <c r="AL481" s="14" t="str">
        <f>IF(N481="Rail","N/A",IF(_xlfn.XLOOKUP(T481,Airlines!A:A,Airlines!C:C)=TRUE,"Yes","No"))</f>
        <v>N/A</v>
      </c>
      <c r="AM481" s="14" t="str">
        <f t="shared" si="151"/>
        <v>Yes</v>
      </c>
      <c r="AN481" s="14" t="str">
        <f t="shared" si="152"/>
        <v>Yes</v>
      </c>
      <c r="AO481" s="14" t="str">
        <f t="shared" si="153"/>
        <v>Yes</v>
      </c>
      <c r="AP481" s="16" t="s">
        <v>148</v>
      </c>
      <c r="AQ481" t="str">
        <f t="shared" si="154"/>
        <v>Yes</v>
      </c>
      <c r="AR481" s="21">
        <v>4</v>
      </c>
      <c r="AS481" s="5">
        <v>49.2</v>
      </c>
      <c r="AT481" s="5" t="str">
        <f>IF(T481="","",_xlfn.XLOOKUP(T481,Airlines!A:A,Airlines!B:B,"Not Found"))</f>
        <v/>
      </c>
      <c r="AU481" s="5" t="str">
        <f>IF(U481="","",_xlfn.XLOOKUP(U481,Hotels!A:A,Hotels!B:B,"Not found"))</f>
        <v>Premier Inn</v>
      </c>
      <c r="AV481" t="s">
        <v>147</v>
      </c>
      <c r="AW481" s="16" t="str">
        <f t="shared" si="155"/>
        <v>OK</v>
      </c>
      <c r="AX481" s="16" t="str">
        <f t="shared" si="156"/>
        <v>OK</v>
      </c>
      <c r="AY481" s="16" t="str">
        <f t="shared" si="157"/>
        <v>OK</v>
      </c>
      <c r="AZ481" s="16" t="str">
        <f t="shared" si="158"/>
        <v>OK</v>
      </c>
      <c r="BA481" s="16" t="str">
        <f t="shared" si="162"/>
        <v>OK</v>
      </c>
      <c r="BB481" s="21">
        <f>COUNTIF('Trip Changes'!B:B,A481)</f>
        <v>0</v>
      </c>
      <c r="BC481" s="16" t="str">
        <f>IF(OR(AND(AD481="Yes",COUNTIF('Trip Changes'!B:B,A481)&gt;0),AND(AD481="No",COUNTIF('Trip Changes'!B:B,A481)=0)),"OK","Check")</f>
        <v>OK</v>
      </c>
      <c r="BD481" t="str">
        <f t="shared" si="163"/>
        <v>OK</v>
      </c>
      <c r="BE481" t="str">
        <f t="shared" si="164"/>
        <v>OK</v>
      </c>
      <c r="BF481" t="str">
        <f t="shared" si="165"/>
        <v>OK</v>
      </c>
      <c r="BG481" t="str">
        <f t="shared" si="166"/>
        <v>OK</v>
      </c>
      <c r="BH481" t="str">
        <f t="shared" si="167"/>
        <v>OK</v>
      </c>
      <c r="BI481" t="str">
        <f t="shared" si="159"/>
        <v>OK</v>
      </c>
      <c r="BJ481" t="str">
        <f t="shared" si="160"/>
        <v>OK</v>
      </c>
      <c r="BK481" t="str">
        <f t="shared" si="161"/>
        <v>OK</v>
      </c>
    </row>
    <row r="482" spans="1:63">
      <c r="A482" s="16" t="s">
        <v>825</v>
      </c>
      <c r="B482" s="16" t="s">
        <v>822</v>
      </c>
      <c r="C482" s="16" t="s">
        <v>203</v>
      </c>
      <c r="D482" s="16" t="s">
        <v>204</v>
      </c>
      <c r="E482" s="16" t="s">
        <v>139</v>
      </c>
      <c r="F482" s="16" t="s">
        <v>140</v>
      </c>
      <c r="G482" s="15">
        <v>46183</v>
      </c>
      <c r="H482" s="15">
        <v>46185</v>
      </c>
      <c r="I482" s="15">
        <v>46188</v>
      </c>
      <c r="J482" s="15" t="s">
        <v>141</v>
      </c>
      <c r="K482" s="16" t="s">
        <v>203</v>
      </c>
      <c r="L482" t="s">
        <v>225</v>
      </c>
      <c r="M482" s="16" t="s">
        <v>152</v>
      </c>
      <c r="N482" s="16" t="s">
        <v>153</v>
      </c>
      <c r="O482" t="s">
        <v>1614</v>
      </c>
      <c r="P482" s="18">
        <v>2916</v>
      </c>
      <c r="Q482" s="21">
        <v>2</v>
      </c>
      <c r="R482" s="21" t="str">
        <f t="shared" si="147"/>
        <v>0-3 days</v>
      </c>
      <c r="S482" s="16" t="s">
        <v>145</v>
      </c>
      <c r="T482" s="16" t="s">
        <v>154</v>
      </c>
      <c r="U482" s="16" t="s">
        <v>155</v>
      </c>
      <c r="V482" t="str">
        <f>IF(U482="","",IFERROR(VLOOKUP(U482,Hotels!A:B,2,FALSE),"Not Found"))</f>
        <v>Hilton</v>
      </c>
      <c r="W482" s="14">
        <v>563.79999999999995</v>
      </c>
      <c r="X482" s="14">
        <v>0</v>
      </c>
      <c r="Y482" s="21">
        <v>2</v>
      </c>
      <c r="Z482" s="29">
        <f t="shared" si="148"/>
        <v>260.91000000000003</v>
      </c>
      <c r="AA482" s="14">
        <v>521.82000000000005</v>
      </c>
      <c r="AB482" s="14">
        <v>117.8</v>
      </c>
      <c r="AC482" s="14">
        <v>1203.42</v>
      </c>
      <c r="AD482" s="16" t="s">
        <v>148</v>
      </c>
      <c r="AE482" s="16" t="s">
        <v>147</v>
      </c>
      <c r="AF482" s="14">
        <f>SUMIF('Trip Changes'!$B:$B,A482,'Trip Changes'!$E:$E)</f>
        <v>81.96</v>
      </c>
      <c r="AG482" s="23">
        <f>SUMIF('Trip Cancellations'!$B:$B,A482,'Trip Cancellations'!$E:$E)</f>
        <v>0</v>
      </c>
      <c r="AH482" s="14">
        <f>SUMIF('Trip Cancellations'!$B:$B,A482,'Trip Cancellations'!$F:$F)</f>
        <v>0</v>
      </c>
      <c r="AI482" s="14">
        <f t="shared" si="149"/>
        <v>1285.3800000000001</v>
      </c>
      <c r="AJ482" s="14" t="str">
        <f t="shared" si="150"/>
        <v>No</v>
      </c>
      <c r="AK482" s="14" t="str">
        <f>IF(Y482=0,"N/A",
IF(_xlfn.XLOOKUP(U482,Hotels!A:A,Hotels!C:C)=TRUE,"Yes","No"))</f>
        <v>Yes</v>
      </c>
      <c r="AL482" s="14" t="str">
        <f>IF(N482="Rail","N/A",IF(_xlfn.XLOOKUP(T482,Airlines!A:A,Airlines!C:C)=TRUE,"Yes","No"))</f>
        <v>Yes</v>
      </c>
      <c r="AM482" s="14" t="str">
        <f t="shared" si="151"/>
        <v>Yes</v>
      </c>
      <c r="AN482" s="14" t="str">
        <f t="shared" si="152"/>
        <v>Yes</v>
      </c>
      <c r="AO482" s="14" t="str">
        <f t="shared" si="153"/>
        <v>Yes</v>
      </c>
      <c r="AP482" s="16" t="s">
        <v>147</v>
      </c>
      <c r="AQ482" t="str">
        <f t="shared" si="154"/>
        <v>No</v>
      </c>
      <c r="AR482" s="21">
        <v>4</v>
      </c>
      <c r="AS482" s="5">
        <v>437.4</v>
      </c>
      <c r="AT482" s="5" t="str">
        <f>IF(T482="","",_xlfn.XLOOKUP(T482,Airlines!A:A,Airlines!B:B,"Not Found"))</f>
        <v>British Airways</v>
      </c>
      <c r="AU482" s="5" t="str">
        <f>IF(U482="","",_xlfn.XLOOKUP(U482,Hotels!A:A,Hotels!B:B,"Not found"))</f>
        <v>Hilton</v>
      </c>
      <c r="AV482" t="s">
        <v>148</v>
      </c>
      <c r="AW482" s="16" t="str">
        <f t="shared" si="155"/>
        <v>OK</v>
      </c>
      <c r="AX482" s="16" t="str">
        <f t="shared" si="156"/>
        <v>OK</v>
      </c>
      <c r="AY482" s="16" t="str">
        <f t="shared" si="157"/>
        <v>OK</v>
      </c>
      <c r="AZ482" s="16" t="str">
        <f t="shared" si="158"/>
        <v>OK</v>
      </c>
      <c r="BA482" s="16" t="str">
        <f t="shared" si="162"/>
        <v>OK</v>
      </c>
      <c r="BB482" s="21">
        <f>COUNTIF('Trip Changes'!B:B,A482)</f>
        <v>1</v>
      </c>
      <c r="BC482" s="16" t="str">
        <f>IF(OR(AND(AD482="Yes",COUNTIF('Trip Changes'!B:B,A482)&gt;0),AND(AD482="No",COUNTIF('Trip Changes'!B:B,A482)=0)),"OK","Check")</f>
        <v>OK</v>
      </c>
      <c r="BD482" t="str">
        <f t="shared" si="163"/>
        <v>OK</v>
      </c>
      <c r="BE482" t="str">
        <f t="shared" si="164"/>
        <v>OK</v>
      </c>
      <c r="BF482" t="str">
        <f t="shared" si="165"/>
        <v>OK</v>
      </c>
      <c r="BG482" t="str">
        <f t="shared" si="166"/>
        <v>OK</v>
      </c>
      <c r="BH482" t="str">
        <f t="shared" si="167"/>
        <v>OK</v>
      </c>
      <c r="BI482" t="str">
        <f t="shared" si="159"/>
        <v>OK</v>
      </c>
      <c r="BJ482" t="str">
        <f t="shared" si="160"/>
        <v>OK</v>
      </c>
      <c r="BK482" t="str">
        <f t="shared" si="161"/>
        <v>OK</v>
      </c>
    </row>
    <row r="483" spans="1:63">
      <c r="A483" s="16" t="s">
        <v>826</v>
      </c>
      <c r="B483" s="16" t="s">
        <v>822</v>
      </c>
      <c r="C483" s="16" t="s">
        <v>203</v>
      </c>
      <c r="D483" s="16" t="s">
        <v>204</v>
      </c>
      <c r="E483" s="16" t="s">
        <v>139</v>
      </c>
      <c r="F483" s="16" t="s">
        <v>140</v>
      </c>
      <c r="G483" s="15">
        <v>46132</v>
      </c>
      <c r="H483" s="15">
        <v>46153</v>
      </c>
      <c r="I483" s="15">
        <v>46159</v>
      </c>
      <c r="J483" s="15" t="s">
        <v>163</v>
      </c>
      <c r="K483" s="16" t="s">
        <v>203</v>
      </c>
      <c r="L483" t="s">
        <v>223</v>
      </c>
      <c r="M483" s="16" t="s">
        <v>152</v>
      </c>
      <c r="N483" s="16" t="s">
        <v>153</v>
      </c>
      <c r="O483" t="s">
        <v>1614</v>
      </c>
      <c r="P483" s="18">
        <v>12548</v>
      </c>
      <c r="Q483" s="21">
        <v>21</v>
      </c>
      <c r="R483" s="21" t="str">
        <f t="shared" si="147"/>
        <v>15-30 days</v>
      </c>
      <c r="S483" s="16" t="s">
        <v>159</v>
      </c>
      <c r="T483" s="16" t="s">
        <v>441</v>
      </c>
      <c r="U483" s="16" t="s">
        <v>187</v>
      </c>
      <c r="V483" t="str">
        <f>IF(U483="","",IFERROR(VLOOKUP(U483,Hotels!A:B,2,FALSE),"Not Found"))</f>
        <v>IHG Hotels &amp; Resorts</v>
      </c>
      <c r="W483" s="14">
        <v>1075.92</v>
      </c>
      <c r="X483" s="14">
        <v>0</v>
      </c>
      <c r="Y483" s="21">
        <v>5</v>
      </c>
      <c r="Z483" s="29">
        <f t="shared" si="148"/>
        <v>170.596</v>
      </c>
      <c r="AA483" s="14">
        <v>852.98</v>
      </c>
      <c r="AB483" s="14">
        <v>71.08</v>
      </c>
      <c r="AC483" s="14">
        <v>1999.98</v>
      </c>
      <c r="AD483" s="16" t="s">
        <v>147</v>
      </c>
      <c r="AE483" s="16" t="s">
        <v>147</v>
      </c>
      <c r="AF483" s="14">
        <f>SUMIF('Trip Changes'!$B:$B,A483,'Trip Changes'!$E:$E)</f>
        <v>0</v>
      </c>
      <c r="AG483" s="23">
        <f>SUMIF('Trip Cancellations'!$B:$B,A483,'Trip Cancellations'!$E:$E)</f>
        <v>0</v>
      </c>
      <c r="AH483" s="14">
        <f>SUMIF('Trip Cancellations'!$B:$B,A483,'Trip Cancellations'!$F:$F)</f>
        <v>0</v>
      </c>
      <c r="AI483" s="14">
        <f t="shared" si="149"/>
        <v>1999.98</v>
      </c>
      <c r="AJ483" s="14" t="str">
        <f t="shared" si="150"/>
        <v>Yes</v>
      </c>
      <c r="AK483" s="14" t="str">
        <f>IF(Y483=0,"N/A",
IF(_xlfn.XLOOKUP(U483,Hotels!A:A,Hotels!C:C)=TRUE,"Yes","No"))</f>
        <v>Yes</v>
      </c>
      <c r="AL483" s="14" t="str">
        <f>IF(N483="Rail","N/A",IF(_xlfn.XLOOKUP(T483,Airlines!A:A,Airlines!C:C)=TRUE,"Yes","No"))</f>
        <v>Yes</v>
      </c>
      <c r="AM483" s="14" t="str">
        <f t="shared" si="151"/>
        <v>Yes</v>
      </c>
      <c r="AN483" s="14" t="str">
        <f t="shared" si="152"/>
        <v>Yes</v>
      </c>
      <c r="AO483" s="14" t="str">
        <f t="shared" si="153"/>
        <v>Yes</v>
      </c>
      <c r="AP483" s="16" t="s">
        <v>148</v>
      </c>
      <c r="AQ483" t="str">
        <f t="shared" si="154"/>
        <v>Yes</v>
      </c>
      <c r="AR483" s="21">
        <v>5</v>
      </c>
      <c r="AS483" s="5">
        <v>1882.2</v>
      </c>
      <c r="AT483" s="5" t="str">
        <f>IF(T483="","",_xlfn.XLOOKUP(T483,Airlines!A:A,Airlines!B:B,"Not Found"))</f>
        <v>Emirates</v>
      </c>
      <c r="AU483" s="5" t="str">
        <f>IF(U483="","",_xlfn.XLOOKUP(U483,Hotels!A:A,Hotels!B:B,"Not found"))</f>
        <v>IHG Hotels &amp; Resorts</v>
      </c>
      <c r="AV483" t="s">
        <v>148</v>
      </c>
      <c r="AW483" s="16" t="str">
        <f t="shared" si="155"/>
        <v>OK</v>
      </c>
      <c r="AX483" s="16" t="str">
        <f t="shared" si="156"/>
        <v>OK</v>
      </c>
      <c r="AY483" s="16" t="str">
        <f t="shared" si="157"/>
        <v>OK</v>
      </c>
      <c r="AZ483" s="16" t="str">
        <f t="shared" si="158"/>
        <v>OK</v>
      </c>
      <c r="BA483" s="16" t="str">
        <f t="shared" si="162"/>
        <v>OK</v>
      </c>
      <c r="BB483" s="21">
        <f>COUNTIF('Trip Changes'!B:B,A483)</f>
        <v>0</v>
      </c>
      <c r="BC483" s="16" t="str">
        <f>IF(OR(AND(AD483="Yes",COUNTIF('Trip Changes'!B:B,A483)&gt;0),AND(AD483="No",COUNTIF('Trip Changes'!B:B,A483)=0)),"OK","Check")</f>
        <v>OK</v>
      </c>
      <c r="BD483" t="str">
        <f t="shared" si="163"/>
        <v>OK</v>
      </c>
      <c r="BE483" t="str">
        <f t="shared" si="164"/>
        <v>OK</v>
      </c>
      <c r="BF483" t="str">
        <f t="shared" si="165"/>
        <v>OK</v>
      </c>
      <c r="BG483" t="str">
        <f t="shared" si="166"/>
        <v>OK</v>
      </c>
      <c r="BH483" t="str">
        <f t="shared" si="167"/>
        <v>OK</v>
      </c>
      <c r="BI483" t="str">
        <f t="shared" si="159"/>
        <v>OK</v>
      </c>
      <c r="BJ483" t="str">
        <f t="shared" si="160"/>
        <v>OK</v>
      </c>
      <c r="BK483" t="str">
        <f t="shared" si="161"/>
        <v>OK</v>
      </c>
    </row>
    <row r="484" spans="1:63">
      <c r="A484" s="16" t="s">
        <v>827</v>
      </c>
      <c r="B484" s="16" t="s">
        <v>828</v>
      </c>
      <c r="C484" s="16" t="s">
        <v>182</v>
      </c>
      <c r="D484" s="16" t="s">
        <v>138</v>
      </c>
      <c r="E484" s="16" t="s">
        <v>205</v>
      </c>
      <c r="F484" s="16" t="s">
        <v>178</v>
      </c>
      <c r="G484" s="15">
        <v>46163</v>
      </c>
      <c r="H484" s="15">
        <v>46181</v>
      </c>
      <c r="I484" s="15">
        <v>46184</v>
      </c>
      <c r="J484" s="15" t="s">
        <v>141</v>
      </c>
      <c r="K484" s="16" t="s">
        <v>182</v>
      </c>
      <c r="L484" t="s">
        <v>227</v>
      </c>
      <c r="M484" s="16" t="s">
        <v>152</v>
      </c>
      <c r="N484" s="16" t="s">
        <v>153</v>
      </c>
      <c r="O484" t="s">
        <v>1614</v>
      </c>
      <c r="P484" s="18">
        <v>2896</v>
      </c>
      <c r="Q484" s="21">
        <v>18</v>
      </c>
      <c r="R484" s="21" t="str">
        <f t="shared" si="147"/>
        <v>15-30 days</v>
      </c>
      <c r="S484" s="16" t="s">
        <v>145</v>
      </c>
      <c r="T484" s="16" t="s">
        <v>172</v>
      </c>
      <c r="U484" s="16" t="s">
        <v>190</v>
      </c>
      <c r="V484" t="str">
        <f>IF(U484="","",IFERROR(VLOOKUP(U484,Hotels!A:B,2,FALSE),"Not Found"))</f>
        <v>Radisson Hotel Group</v>
      </c>
      <c r="W484" s="14">
        <v>282.48</v>
      </c>
      <c r="X484" s="14">
        <v>0</v>
      </c>
      <c r="Y484" s="21">
        <v>2</v>
      </c>
      <c r="Z484" s="29">
        <f t="shared" si="148"/>
        <v>167.13</v>
      </c>
      <c r="AA484" s="14">
        <v>334.26</v>
      </c>
      <c r="AB484" s="14">
        <v>88.05</v>
      </c>
      <c r="AC484" s="14">
        <v>704.79</v>
      </c>
      <c r="AD484" s="16" t="s">
        <v>147</v>
      </c>
      <c r="AE484" s="16" t="s">
        <v>147</v>
      </c>
      <c r="AF484" s="14">
        <f>SUMIF('Trip Changes'!$B:$B,A484,'Trip Changes'!$E:$E)</f>
        <v>0</v>
      </c>
      <c r="AG484" s="23">
        <f>SUMIF('Trip Cancellations'!$B:$B,A484,'Trip Cancellations'!$E:$E)</f>
        <v>0</v>
      </c>
      <c r="AH484" s="14">
        <f>SUMIF('Trip Cancellations'!$B:$B,A484,'Trip Cancellations'!$F:$F)</f>
        <v>0</v>
      </c>
      <c r="AI484" s="14">
        <f t="shared" si="149"/>
        <v>704.79</v>
      </c>
      <c r="AJ484" s="14" t="str">
        <f t="shared" si="150"/>
        <v>Yes</v>
      </c>
      <c r="AK484" s="14" t="str">
        <f>IF(Y484=0,"N/A",
IF(_xlfn.XLOOKUP(U484,Hotels!A:A,Hotels!C:C)=TRUE,"Yes","No"))</f>
        <v>No</v>
      </c>
      <c r="AL484" s="14" t="str">
        <f>IF(N484="Rail","N/A",IF(_xlfn.XLOOKUP(T484,Airlines!A:A,Airlines!C:C)=TRUE,"Yes","No"))</f>
        <v>Yes</v>
      </c>
      <c r="AM484" s="14" t="str">
        <f t="shared" si="151"/>
        <v>Yes</v>
      </c>
      <c r="AN484" s="14" t="str">
        <f t="shared" si="152"/>
        <v>Yes</v>
      </c>
      <c r="AO484" s="14" t="str">
        <f t="shared" si="153"/>
        <v>No</v>
      </c>
      <c r="AP484" s="16" t="s">
        <v>148</v>
      </c>
      <c r="AQ484" t="str">
        <f t="shared" si="154"/>
        <v>No</v>
      </c>
      <c r="AR484" s="21">
        <v>4</v>
      </c>
      <c r="AS484" s="5">
        <v>434.4</v>
      </c>
      <c r="AT484" s="5" t="str">
        <f>IF(T484="","",_xlfn.XLOOKUP(T484,Airlines!A:A,Airlines!B:B,"Not Found"))</f>
        <v>Lufthansa</v>
      </c>
      <c r="AU484" s="5" t="str">
        <f>IF(U484="","",_xlfn.XLOOKUP(U484,Hotels!A:A,Hotels!B:B,"Not found"))</f>
        <v>Radisson Hotel Group</v>
      </c>
      <c r="AV484" t="s">
        <v>147</v>
      </c>
      <c r="AW484" s="16" t="str">
        <f t="shared" si="155"/>
        <v>OK</v>
      </c>
      <c r="AX484" s="16" t="str">
        <f t="shared" si="156"/>
        <v>OK</v>
      </c>
      <c r="AY484" s="16" t="str">
        <f t="shared" si="157"/>
        <v>OK</v>
      </c>
      <c r="AZ484" s="16" t="str">
        <f t="shared" si="158"/>
        <v>OK</v>
      </c>
      <c r="BA484" s="16" t="str">
        <f t="shared" si="162"/>
        <v>OK</v>
      </c>
      <c r="BB484" s="21">
        <f>COUNTIF('Trip Changes'!B:B,A484)</f>
        <v>0</v>
      </c>
      <c r="BC484" s="16" t="str">
        <f>IF(OR(AND(AD484="Yes",COUNTIF('Trip Changes'!B:B,A484)&gt;0),AND(AD484="No",COUNTIF('Trip Changes'!B:B,A484)=0)),"OK","Check")</f>
        <v>OK</v>
      </c>
      <c r="BD484" t="str">
        <f t="shared" si="163"/>
        <v>OK</v>
      </c>
      <c r="BE484" t="str">
        <f t="shared" si="164"/>
        <v>OK</v>
      </c>
      <c r="BF484" t="str">
        <f t="shared" si="165"/>
        <v>OK</v>
      </c>
      <c r="BG484" t="str">
        <f t="shared" si="166"/>
        <v>OK</v>
      </c>
      <c r="BH484" t="str">
        <f t="shared" si="167"/>
        <v>OK</v>
      </c>
      <c r="BI484" t="str">
        <f t="shared" si="159"/>
        <v>OK</v>
      </c>
      <c r="BJ484" t="str">
        <f t="shared" si="160"/>
        <v>OK</v>
      </c>
      <c r="BK484" t="str">
        <f t="shared" si="161"/>
        <v>OK</v>
      </c>
    </row>
    <row r="485" spans="1:63">
      <c r="A485" s="16" t="s">
        <v>829</v>
      </c>
      <c r="B485" s="16" t="s">
        <v>828</v>
      </c>
      <c r="C485" s="16" t="s">
        <v>182</v>
      </c>
      <c r="D485" s="16" t="s">
        <v>138</v>
      </c>
      <c r="E485" s="16" t="s">
        <v>205</v>
      </c>
      <c r="F485" s="16" t="s">
        <v>140</v>
      </c>
      <c r="G485" s="15">
        <v>46202</v>
      </c>
      <c r="H485" s="15">
        <v>46222</v>
      </c>
      <c r="I485" s="15">
        <v>46224</v>
      </c>
      <c r="J485" s="15" t="s">
        <v>150</v>
      </c>
      <c r="K485" s="16" t="s">
        <v>182</v>
      </c>
      <c r="L485" t="s">
        <v>185</v>
      </c>
      <c r="M485" s="16" t="s">
        <v>152</v>
      </c>
      <c r="N485" s="16" t="s">
        <v>153</v>
      </c>
      <c r="O485" t="s">
        <v>1614</v>
      </c>
      <c r="P485" s="18">
        <v>10496</v>
      </c>
      <c r="Q485" s="21">
        <v>20</v>
      </c>
      <c r="R485" s="21" t="str">
        <f t="shared" si="147"/>
        <v>15-30 days</v>
      </c>
      <c r="S485" s="16" t="s">
        <v>159</v>
      </c>
      <c r="T485" s="16" t="s">
        <v>186</v>
      </c>
      <c r="U485" s="16" t="s">
        <v>164</v>
      </c>
      <c r="V485" t="str">
        <f>IF(U485="","",IFERROR(VLOOKUP(U485,Hotels!A:B,2,FALSE),"Not Found"))</f>
        <v>Marriott</v>
      </c>
      <c r="W485" s="14">
        <v>815.12</v>
      </c>
      <c r="X485" s="14">
        <v>0</v>
      </c>
      <c r="Y485" s="21">
        <v>1</v>
      </c>
      <c r="Z485" s="29">
        <f t="shared" si="148"/>
        <v>170.92</v>
      </c>
      <c r="AA485" s="14">
        <v>170.92</v>
      </c>
      <c r="AB485" s="14">
        <v>104.47</v>
      </c>
      <c r="AC485" s="14">
        <v>1090.51</v>
      </c>
      <c r="AD485" s="16" t="s">
        <v>147</v>
      </c>
      <c r="AE485" s="16" t="s">
        <v>147</v>
      </c>
      <c r="AF485" s="14">
        <f>SUMIF('Trip Changes'!$B:$B,A485,'Trip Changes'!$E:$E)</f>
        <v>0</v>
      </c>
      <c r="AG485" s="23">
        <f>SUMIF('Trip Cancellations'!$B:$B,A485,'Trip Cancellations'!$E:$E)</f>
        <v>0</v>
      </c>
      <c r="AH485" s="14">
        <f>SUMIF('Trip Cancellations'!$B:$B,A485,'Trip Cancellations'!$F:$F)</f>
        <v>0</v>
      </c>
      <c r="AI485" s="14">
        <f t="shared" si="149"/>
        <v>1090.51</v>
      </c>
      <c r="AJ485" s="14" t="str">
        <f t="shared" si="150"/>
        <v>Yes</v>
      </c>
      <c r="AK485" s="14" t="str">
        <f>IF(Y485=0,"N/A",
IF(_xlfn.XLOOKUP(U485,Hotels!A:A,Hotels!C:C)=TRUE,"Yes","No"))</f>
        <v>Yes</v>
      </c>
      <c r="AL485" s="14" t="str">
        <f>IF(N485="Rail","N/A",IF(_xlfn.XLOOKUP(T485,Airlines!A:A,Airlines!C:C)=TRUE,"Yes","No"))</f>
        <v>Yes</v>
      </c>
      <c r="AM485" s="14" t="str">
        <f t="shared" si="151"/>
        <v>Yes</v>
      </c>
      <c r="AN485" s="14" t="str">
        <f t="shared" si="152"/>
        <v>Yes</v>
      </c>
      <c r="AO485" s="14" t="str">
        <f t="shared" si="153"/>
        <v>Yes</v>
      </c>
      <c r="AP485" s="16" t="s">
        <v>148</v>
      </c>
      <c r="AQ485" t="str">
        <f t="shared" si="154"/>
        <v>Yes</v>
      </c>
      <c r="AR485" s="21">
        <v>4</v>
      </c>
      <c r="AS485" s="5">
        <v>1574.4</v>
      </c>
      <c r="AT485" s="5" t="str">
        <f>IF(T485="","",_xlfn.XLOOKUP(T485,Airlines!A:A,Airlines!B:B,"Not Found"))</f>
        <v>Virgin Atlantic</v>
      </c>
      <c r="AU485" s="5" t="str">
        <f>IF(U485="","",_xlfn.XLOOKUP(U485,Hotels!A:A,Hotels!B:B,"Not found"))</f>
        <v>Marriott</v>
      </c>
      <c r="AV485" t="s">
        <v>147</v>
      </c>
      <c r="AW485" s="16" t="str">
        <f t="shared" si="155"/>
        <v>OK</v>
      </c>
      <c r="AX485" s="16" t="str">
        <f t="shared" si="156"/>
        <v>OK</v>
      </c>
      <c r="AY485" s="16" t="str">
        <f t="shared" si="157"/>
        <v>OK</v>
      </c>
      <c r="AZ485" s="16" t="str">
        <f t="shared" si="158"/>
        <v>OK</v>
      </c>
      <c r="BA485" s="16" t="str">
        <f t="shared" si="162"/>
        <v>OK</v>
      </c>
      <c r="BB485" s="21">
        <f>COUNTIF('Trip Changes'!B:B,A485)</f>
        <v>0</v>
      </c>
      <c r="BC485" s="16" t="str">
        <f>IF(OR(AND(AD485="Yes",COUNTIF('Trip Changes'!B:B,A485)&gt;0),AND(AD485="No",COUNTIF('Trip Changes'!B:B,A485)=0)),"OK","Check")</f>
        <v>OK</v>
      </c>
      <c r="BD485" t="str">
        <f t="shared" si="163"/>
        <v>OK</v>
      </c>
      <c r="BE485" t="str">
        <f t="shared" si="164"/>
        <v>OK</v>
      </c>
      <c r="BF485" t="str">
        <f t="shared" si="165"/>
        <v>OK</v>
      </c>
      <c r="BG485" t="str">
        <f t="shared" si="166"/>
        <v>OK</v>
      </c>
      <c r="BH485" t="str">
        <f t="shared" si="167"/>
        <v>OK</v>
      </c>
      <c r="BI485" t="str">
        <f t="shared" si="159"/>
        <v>OK</v>
      </c>
      <c r="BJ485" t="str">
        <f t="shared" si="160"/>
        <v>OK</v>
      </c>
      <c r="BK485" t="str">
        <f t="shared" si="161"/>
        <v>OK</v>
      </c>
    </row>
    <row r="486" spans="1:63">
      <c r="A486" s="16" t="s">
        <v>830</v>
      </c>
      <c r="B486" s="16" t="s">
        <v>828</v>
      </c>
      <c r="C486" s="16" t="s">
        <v>182</v>
      </c>
      <c r="D486" s="16" t="s">
        <v>138</v>
      </c>
      <c r="E486" s="16" t="s">
        <v>205</v>
      </c>
      <c r="F486" s="16" t="s">
        <v>170</v>
      </c>
      <c r="G486" s="15">
        <v>46195</v>
      </c>
      <c r="H486" s="15">
        <v>46214</v>
      </c>
      <c r="I486" s="15">
        <v>46217</v>
      </c>
      <c r="J486" s="15" t="s">
        <v>150</v>
      </c>
      <c r="K486" s="16" t="s">
        <v>182</v>
      </c>
      <c r="L486" t="s">
        <v>193</v>
      </c>
      <c r="M486" s="16" t="s">
        <v>143</v>
      </c>
      <c r="N486" s="16" t="s">
        <v>153</v>
      </c>
      <c r="O486" t="s">
        <v>1614</v>
      </c>
      <c r="P486" s="18">
        <v>1214</v>
      </c>
      <c r="Q486" s="21">
        <v>19</v>
      </c>
      <c r="R486" s="21" t="str">
        <f t="shared" si="147"/>
        <v>15-30 days</v>
      </c>
      <c r="S486" s="16" t="s">
        <v>145</v>
      </c>
      <c r="T486" s="16" t="s">
        <v>154</v>
      </c>
      <c r="U486" s="16" t="s">
        <v>146</v>
      </c>
      <c r="V486" t="str">
        <f>IF(U486="","",IFERROR(VLOOKUP(U486,Hotels!A:B,2,FALSE),"Not Found"))</f>
        <v>Premier Inn</v>
      </c>
      <c r="W486" s="14">
        <v>311.04000000000002</v>
      </c>
      <c r="X486" s="14">
        <v>0</v>
      </c>
      <c r="Y486" s="21">
        <v>2</v>
      </c>
      <c r="Z486" s="29">
        <f t="shared" si="148"/>
        <v>127.625</v>
      </c>
      <c r="AA486" s="14">
        <v>255.25</v>
      </c>
      <c r="AB486" s="14">
        <v>64.94</v>
      </c>
      <c r="AC486" s="14">
        <v>631.23</v>
      </c>
      <c r="AD486" s="16" t="s">
        <v>148</v>
      </c>
      <c r="AE486" s="16" t="s">
        <v>147</v>
      </c>
      <c r="AF486" s="14">
        <f>SUMIF('Trip Changes'!$B:$B,A486,'Trip Changes'!$E:$E)</f>
        <v>100.62</v>
      </c>
      <c r="AG486" s="23">
        <f>SUMIF('Trip Cancellations'!$B:$B,A486,'Trip Cancellations'!$E:$E)</f>
        <v>0</v>
      </c>
      <c r="AH486" s="14">
        <f>SUMIF('Trip Cancellations'!$B:$B,A486,'Trip Cancellations'!$F:$F)</f>
        <v>0</v>
      </c>
      <c r="AI486" s="14">
        <f t="shared" si="149"/>
        <v>731.85</v>
      </c>
      <c r="AJ486" s="14" t="str">
        <f t="shared" si="150"/>
        <v>Yes</v>
      </c>
      <c r="AK486" s="14" t="str">
        <f>IF(Y486=0,"N/A",
IF(_xlfn.XLOOKUP(U486,Hotels!A:A,Hotels!C:C)=TRUE,"Yes","No"))</f>
        <v>Yes</v>
      </c>
      <c r="AL486" s="14" t="str">
        <f>IF(N486="Rail","N/A",IF(_xlfn.XLOOKUP(T486,Airlines!A:A,Airlines!C:C)=TRUE,"Yes","No"))</f>
        <v>Yes</v>
      </c>
      <c r="AM486" s="14" t="str">
        <f t="shared" si="151"/>
        <v>Yes</v>
      </c>
      <c r="AN486" s="14" t="str">
        <f t="shared" si="152"/>
        <v>Yes</v>
      </c>
      <c r="AO486" s="14" t="str">
        <f t="shared" si="153"/>
        <v>Yes</v>
      </c>
      <c r="AP486" s="16" t="s">
        <v>148</v>
      </c>
      <c r="AQ486" t="str">
        <f t="shared" si="154"/>
        <v>Yes</v>
      </c>
      <c r="AR486" s="21">
        <v>4</v>
      </c>
      <c r="AS486" s="5">
        <v>182.1</v>
      </c>
      <c r="AT486" s="5" t="str">
        <f>IF(T486="","",_xlfn.XLOOKUP(T486,Airlines!A:A,Airlines!B:B,"Not Found"))</f>
        <v>British Airways</v>
      </c>
      <c r="AU486" s="5" t="str">
        <f>IF(U486="","",_xlfn.XLOOKUP(U486,Hotels!A:A,Hotels!B:B,"Not found"))</f>
        <v>Premier Inn</v>
      </c>
      <c r="AV486" t="s">
        <v>147</v>
      </c>
      <c r="AW486" s="16" t="str">
        <f t="shared" si="155"/>
        <v>OK</v>
      </c>
      <c r="AX486" s="16" t="str">
        <f t="shared" si="156"/>
        <v>OK</v>
      </c>
      <c r="AY486" s="16" t="str">
        <f t="shared" si="157"/>
        <v>OK</v>
      </c>
      <c r="AZ486" s="16" t="str">
        <f t="shared" si="158"/>
        <v>OK</v>
      </c>
      <c r="BA486" s="16" t="str">
        <f t="shared" si="162"/>
        <v>OK</v>
      </c>
      <c r="BB486" s="21">
        <f>COUNTIF('Trip Changes'!B:B,A486)</f>
        <v>1</v>
      </c>
      <c r="BC486" s="16" t="str">
        <f>IF(OR(AND(AD486="Yes",COUNTIF('Trip Changes'!B:B,A486)&gt;0),AND(AD486="No",COUNTIF('Trip Changes'!B:B,A486)=0)),"OK","Check")</f>
        <v>OK</v>
      </c>
      <c r="BD486" t="str">
        <f t="shared" si="163"/>
        <v>OK</v>
      </c>
      <c r="BE486" t="str">
        <f t="shared" si="164"/>
        <v>OK</v>
      </c>
      <c r="BF486" t="str">
        <f t="shared" si="165"/>
        <v>OK</v>
      </c>
      <c r="BG486" t="str">
        <f t="shared" si="166"/>
        <v>OK</v>
      </c>
      <c r="BH486" t="str">
        <f t="shared" si="167"/>
        <v>OK</v>
      </c>
      <c r="BI486" t="str">
        <f t="shared" si="159"/>
        <v>OK</v>
      </c>
      <c r="BJ486" t="str">
        <f t="shared" si="160"/>
        <v>OK</v>
      </c>
      <c r="BK486" t="str">
        <f t="shared" si="161"/>
        <v>OK</v>
      </c>
    </row>
    <row r="487" spans="1:63">
      <c r="A487" s="16" t="s">
        <v>831</v>
      </c>
      <c r="B487" s="16" t="s">
        <v>832</v>
      </c>
      <c r="C487" s="16" t="s">
        <v>282</v>
      </c>
      <c r="D487" s="16" t="s">
        <v>138</v>
      </c>
      <c r="E487" s="16" t="s">
        <v>169</v>
      </c>
      <c r="F487" s="16" t="s">
        <v>140</v>
      </c>
      <c r="G487" s="15">
        <v>46183</v>
      </c>
      <c r="H487" s="15">
        <v>46198</v>
      </c>
      <c r="I487" s="15">
        <v>46201</v>
      </c>
      <c r="J487" s="15" t="s">
        <v>141</v>
      </c>
      <c r="K487" s="16" t="s">
        <v>282</v>
      </c>
      <c r="L487" t="s">
        <v>225</v>
      </c>
      <c r="M487" s="16" t="s">
        <v>152</v>
      </c>
      <c r="N487" s="16" t="s">
        <v>153</v>
      </c>
      <c r="O487" t="s">
        <v>1614</v>
      </c>
      <c r="P487" s="18">
        <v>2384</v>
      </c>
      <c r="Q487" s="21">
        <v>15</v>
      </c>
      <c r="R487" s="21" t="str">
        <f t="shared" si="147"/>
        <v>15-30 days</v>
      </c>
      <c r="S487" s="16" t="s">
        <v>159</v>
      </c>
      <c r="T487" s="16" t="s">
        <v>154</v>
      </c>
      <c r="U487" s="16" t="s">
        <v>173</v>
      </c>
      <c r="V487" t="str">
        <f>IF(U487="","",IFERROR(VLOOKUP(U487,Hotels!A:B,2,FALSE),"Not Found"))</f>
        <v>Accor</v>
      </c>
      <c r="W487" s="14">
        <v>464.93</v>
      </c>
      <c r="X487" s="14">
        <v>0</v>
      </c>
      <c r="Y487" s="21">
        <v>2</v>
      </c>
      <c r="Z487" s="29">
        <f t="shared" si="148"/>
        <v>218.75</v>
      </c>
      <c r="AA487" s="14">
        <v>437.5</v>
      </c>
      <c r="AB487" s="14">
        <v>61.51</v>
      </c>
      <c r="AC487" s="14">
        <v>963.94</v>
      </c>
      <c r="AD487" s="16" t="s">
        <v>147</v>
      </c>
      <c r="AE487" s="16" t="s">
        <v>147</v>
      </c>
      <c r="AF487" s="14">
        <f>SUMIF('Trip Changes'!$B:$B,A487,'Trip Changes'!$E:$E)</f>
        <v>0</v>
      </c>
      <c r="AG487" s="23">
        <f>SUMIF('Trip Cancellations'!$B:$B,A487,'Trip Cancellations'!$E:$E)</f>
        <v>0</v>
      </c>
      <c r="AH487" s="14">
        <f>SUMIF('Trip Cancellations'!$B:$B,A487,'Trip Cancellations'!$F:$F)</f>
        <v>0</v>
      </c>
      <c r="AI487" s="14">
        <f t="shared" si="149"/>
        <v>963.94</v>
      </c>
      <c r="AJ487" s="14" t="str">
        <f t="shared" si="150"/>
        <v>No</v>
      </c>
      <c r="AK487" s="14" t="str">
        <f>IF(Y487=0,"N/A",
IF(_xlfn.XLOOKUP(U487,Hotels!A:A,Hotels!C:C)=TRUE,"Yes","No"))</f>
        <v>Yes</v>
      </c>
      <c r="AL487" s="14" t="str">
        <f>IF(N487="Rail","N/A",IF(_xlfn.XLOOKUP(T487,Airlines!A:A,Airlines!C:C)=TRUE,"Yes","No"))</f>
        <v>Yes</v>
      </c>
      <c r="AM487" s="14" t="str">
        <f t="shared" si="151"/>
        <v>Yes</v>
      </c>
      <c r="AN487" s="14" t="str">
        <f t="shared" si="152"/>
        <v>Yes</v>
      </c>
      <c r="AO487" s="14" t="str">
        <f t="shared" si="153"/>
        <v>Yes</v>
      </c>
      <c r="AP487" s="16" t="s">
        <v>148</v>
      </c>
      <c r="AQ487" t="str">
        <f t="shared" si="154"/>
        <v>No</v>
      </c>
      <c r="AR487" s="21">
        <v>4</v>
      </c>
      <c r="AS487" s="5">
        <v>357.6</v>
      </c>
      <c r="AT487" s="5" t="str">
        <f>IF(T487="","",_xlfn.XLOOKUP(T487,Airlines!A:A,Airlines!B:B,"Not Found"))</f>
        <v>British Airways</v>
      </c>
      <c r="AU487" s="5" t="str">
        <f>IF(U487="","",_xlfn.XLOOKUP(U487,Hotels!A:A,Hotels!B:B,"Not found"))</f>
        <v>Accor</v>
      </c>
      <c r="AV487" t="s">
        <v>147</v>
      </c>
      <c r="AW487" s="16" t="str">
        <f t="shared" si="155"/>
        <v>OK</v>
      </c>
      <c r="AX487" s="16" t="str">
        <f t="shared" si="156"/>
        <v>OK</v>
      </c>
      <c r="AY487" s="16" t="str">
        <f t="shared" si="157"/>
        <v>OK</v>
      </c>
      <c r="AZ487" s="16" t="str">
        <f t="shared" si="158"/>
        <v>OK</v>
      </c>
      <c r="BA487" s="16" t="str">
        <f t="shared" si="162"/>
        <v>OK</v>
      </c>
      <c r="BB487" s="21">
        <f>COUNTIF('Trip Changes'!B:B,A487)</f>
        <v>0</v>
      </c>
      <c r="BC487" s="16" t="str">
        <f>IF(OR(AND(AD487="Yes",COUNTIF('Trip Changes'!B:B,A487)&gt;0),AND(AD487="No",COUNTIF('Trip Changes'!B:B,A487)=0)),"OK","Check")</f>
        <v>OK</v>
      </c>
      <c r="BD487" t="str">
        <f t="shared" si="163"/>
        <v>OK</v>
      </c>
      <c r="BE487" t="str">
        <f t="shared" si="164"/>
        <v>OK</v>
      </c>
      <c r="BF487" t="str">
        <f t="shared" si="165"/>
        <v>OK</v>
      </c>
      <c r="BG487" t="str">
        <f t="shared" si="166"/>
        <v>OK</v>
      </c>
      <c r="BH487" t="str">
        <f t="shared" si="167"/>
        <v>OK</v>
      </c>
      <c r="BI487" t="str">
        <f t="shared" si="159"/>
        <v>OK</v>
      </c>
      <c r="BJ487" t="str">
        <f t="shared" si="160"/>
        <v>OK</v>
      </c>
      <c r="BK487" t="str">
        <f t="shared" si="161"/>
        <v>OK</v>
      </c>
    </row>
    <row r="488" spans="1:63">
      <c r="A488" s="16" t="s">
        <v>833</v>
      </c>
      <c r="B488" s="16" t="s">
        <v>832</v>
      </c>
      <c r="C488" s="16" t="s">
        <v>282</v>
      </c>
      <c r="D488" s="16" t="s">
        <v>138</v>
      </c>
      <c r="E488" s="16" t="s">
        <v>169</v>
      </c>
      <c r="F488" s="16" t="s">
        <v>140</v>
      </c>
      <c r="G488" s="15">
        <v>46203</v>
      </c>
      <c r="H488" s="15">
        <v>46215</v>
      </c>
      <c r="I488" s="15">
        <v>46221</v>
      </c>
      <c r="J488" s="15" t="s">
        <v>150</v>
      </c>
      <c r="K488" s="16" t="s">
        <v>282</v>
      </c>
      <c r="L488" t="s">
        <v>197</v>
      </c>
      <c r="M488" s="16" t="s">
        <v>152</v>
      </c>
      <c r="N488" s="16" t="s">
        <v>153</v>
      </c>
      <c r="O488" t="s">
        <v>1614</v>
      </c>
      <c r="P488" s="18">
        <v>10096</v>
      </c>
      <c r="Q488" s="21">
        <v>12</v>
      </c>
      <c r="R488" s="21" t="str">
        <f t="shared" si="147"/>
        <v>8-14 days</v>
      </c>
      <c r="S488" s="16" t="s">
        <v>216</v>
      </c>
      <c r="T488" s="16" t="s">
        <v>154</v>
      </c>
      <c r="U488" s="16" t="s">
        <v>173</v>
      </c>
      <c r="V488" t="str">
        <f>IF(U488="","",IFERROR(VLOOKUP(U488,Hotels!A:B,2,FALSE),"Not Found"))</f>
        <v>Accor</v>
      </c>
      <c r="W488" s="14">
        <v>1317.48</v>
      </c>
      <c r="X488" s="14">
        <v>0</v>
      </c>
      <c r="Y488" s="21">
        <v>5</v>
      </c>
      <c r="Z488" s="29">
        <f t="shared" si="148"/>
        <v>250.96599999999998</v>
      </c>
      <c r="AA488" s="14">
        <v>1254.83</v>
      </c>
      <c r="AB488" s="14">
        <v>76.930000000000007</v>
      </c>
      <c r="AC488" s="14">
        <v>2649.24</v>
      </c>
      <c r="AD488" s="16" t="s">
        <v>148</v>
      </c>
      <c r="AE488" s="16" t="s">
        <v>147</v>
      </c>
      <c r="AF488" s="14">
        <f>SUMIF('Trip Changes'!$B:$B,A488,'Trip Changes'!$E:$E)</f>
        <v>174.95999999999998</v>
      </c>
      <c r="AG488" s="23">
        <f>SUMIF('Trip Cancellations'!$B:$B,A488,'Trip Cancellations'!$E:$E)</f>
        <v>0</v>
      </c>
      <c r="AH488" s="14">
        <f>SUMIF('Trip Cancellations'!$B:$B,A488,'Trip Cancellations'!$F:$F)</f>
        <v>0</v>
      </c>
      <c r="AI488" s="14">
        <f t="shared" si="149"/>
        <v>2824.2</v>
      </c>
      <c r="AJ488" s="14" t="str">
        <f t="shared" si="150"/>
        <v>No</v>
      </c>
      <c r="AK488" s="14" t="str">
        <f>IF(Y488=0,"N/A",
IF(_xlfn.XLOOKUP(U488,Hotels!A:A,Hotels!C:C)=TRUE,"Yes","No"))</f>
        <v>Yes</v>
      </c>
      <c r="AL488" s="14" t="str">
        <f>IF(N488="Rail","N/A",IF(_xlfn.XLOOKUP(T488,Airlines!A:A,Airlines!C:C)=TRUE,"Yes","No"))</f>
        <v>Yes</v>
      </c>
      <c r="AM488" s="14" t="str">
        <f t="shared" si="151"/>
        <v>Yes</v>
      </c>
      <c r="AN488" s="14" t="str">
        <f t="shared" si="152"/>
        <v>No</v>
      </c>
      <c r="AO488" s="14" t="str">
        <f t="shared" si="153"/>
        <v>Yes</v>
      </c>
      <c r="AP488" s="16" t="s">
        <v>148</v>
      </c>
      <c r="AQ488" t="str">
        <f t="shared" si="154"/>
        <v>No</v>
      </c>
      <c r="AR488" s="21">
        <v>4</v>
      </c>
      <c r="AS488" s="5">
        <v>1514.4</v>
      </c>
      <c r="AT488" s="5" t="str">
        <f>IF(T488="","",_xlfn.XLOOKUP(T488,Airlines!A:A,Airlines!B:B,"Not Found"))</f>
        <v>British Airways</v>
      </c>
      <c r="AU488" s="5" t="str">
        <f>IF(U488="","",_xlfn.XLOOKUP(U488,Hotels!A:A,Hotels!B:B,"Not found"))</f>
        <v>Accor</v>
      </c>
      <c r="AV488" t="s">
        <v>147</v>
      </c>
      <c r="AW488" s="16" t="str">
        <f t="shared" si="155"/>
        <v>OK</v>
      </c>
      <c r="AX488" s="16" t="str">
        <f t="shared" si="156"/>
        <v>OK</v>
      </c>
      <c r="AY488" s="16" t="str">
        <f t="shared" si="157"/>
        <v>OK</v>
      </c>
      <c r="AZ488" s="16" t="str">
        <f t="shared" si="158"/>
        <v>OK</v>
      </c>
      <c r="BA488" s="16" t="str">
        <f t="shared" si="162"/>
        <v>OK</v>
      </c>
      <c r="BB488" s="21">
        <f>COUNTIF('Trip Changes'!B:B,A488)</f>
        <v>2</v>
      </c>
      <c r="BC488" s="16" t="str">
        <f>IF(OR(AND(AD488="Yes",COUNTIF('Trip Changes'!B:B,A488)&gt;0),AND(AD488="No",COUNTIF('Trip Changes'!B:B,A488)=0)),"OK","Check")</f>
        <v>OK</v>
      </c>
      <c r="BD488" t="str">
        <f t="shared" si="163"/>
        <v>OK</v>
      </c>
      <c r="BE488" t="str">
        <f t="shared" si="164"/>
        <v>OK</v>
      </c>
      <c r="BF488" t="str">
        <f t="shared" si="165"/>
        <v>OK</v>
      </c>
      <c r="BG488" t="str">
        <f t="shared" si="166"/>
        <v>OK</v>
      </c>
      <c r="BH488" t="str">
        <f t="shared" si="167"/>
        <v>OK</v>
      </c>
      <c r="BI488" t="str">
        <f t="shared" si="159"/>
        <v>OK</v>
      </c>
      <c r="BJ488" t="str">
        <f t="shared" si="160"/>
        <v>OK</v>
      </c>
      <c r="BK488" t="str">
        <f t="shared" si="161"/>
        <v>OK</v>
      </c>
    </row>
    <row r="489" spans="1:63">
      <c r="A489" s="16" t="s">
        <v>834</v>
      </c>
      <c r="B489" s="16" t="s">
        <v>835</v>
      </c>
      <c r="C489" s="16" t="s">
        <v>257</v>
      </c>
      <c r="D489" s="16" t="s">
        <v>138</v>
      </c>
      <c r="E489" s="16" t="s">
        <v>262</v>
      </c>
      <c r="F489" s="16" t="s">
        <v>157</v>
      </c>
      <c r="G489" s="15">
        <v>46201</v>
      </c>
      <c r="H489" s="15">
        <v>46210</v>
      </c>
      <c r="I489" s="15">
        <v>46215</v>
      </c>
      <c r="J489" s="15" t="s">
        <v>150</v>
      </c>
      <c r="K489" s="16" t="s">
        <v>257</v>
      </c>
      <c r="L489" t="s">
        <v>179</v>
      </c>
      <c r="M489" s="16" t="s">
        <v>152</v>
      </c>
      <c r="N489" s="16" t="s">
        <v>153</v>
      </c>
      <c r="O489" t="s">
        <v>1614</v>
      </c>
      <c r="P489" s="18">
        <v>18858</v>
      </c>
      <c r="Q489" s="21">
        <v>9</v>
      </c>
      <c r="R489" s="21" t="str">
        <f t="shared" si="147"/>
        <v>8-14 days</v>
      </c>
      <c r="S489" s="16" t="s">
        <v>159</v>
      </c>
      <c r="T489" s="16" t="s">
        <v>154</v>
      </c>
      <c r="U489" s="16" t="s">
        <v>155</v>
      </c>
      <c r="V489" t="str">
        <f>IF(U489="","",IFERROR(VLOOKUP(U489,Hotels!A:B,2,FALSE),"Not Found"))</f>
        <v>Hilton</v>
      </c>
      <c r="W489" s="14">
        <v>1518.98</v>
      </c>
      <c r="X489" s="14">
        <v>0</v>
      </c>
      <c r="Y489" s="21">
        <v>4</v>
      </c>
      <c r="Z489" s="29">
        <f t="shared" si="148"/>
        <v>224.39</v>
      </c>
      <c r="AA489" s="14">
        <v>897.56</v>
      </c>
      <c r="AB489" s="14">
        <v>61</v>
      </c>
      <c r="AC489" s="14">
        <v>2477.54</v>
      </c>
      <c r="AD489" s="16" t="s">
        <v>147</v>
      </c>
      <c r="AE489" s="16" t="s">
        <v>147</v>
      </c>
      <c r="AF489" s="14">
        <f>SUMIF('Trip Changes'!$B:$B,A489,'Trip Changes'!$E:$E)</f>
        <v>0</v>
      </c>
      <c r="AG489" s="23">
        <f>SUMIF('Trip Cancellations'!$B:$B,A489,'Trip Cancellations'!$E:$E)</f>
        <v>0</v>
      </c>
      <c r="AH489" s="14">
        <f>SUMIF('Trip Cancellations'!$B:$B,A489,'Trip Cancellations'!$F:$F)</f>
        <v>0</v>
      </c>
      <c r="AI489" s="14">
        <f t="shared" si="149"/>
        <v>2477.54</v>
      </c>
      <c r="AJ489" s="14" t="str">
        <f t="shared" si="150"/>
        <v>No</v>
      </c>
      <c r="AK489" s="14" t="str">
        <f>IF(Y489=0,"N/A",
IF(_xlfn.XLOOKUP(U489,Hotels!A:A,Hotels!C:C)=TRUE,"Yes","No"))</f>
        <v>Yes</v>
      </c>
      <c r="AL489" s="14" t="str">
        <f>IF(N489="Rail","N/A",IF(_xlfn.XLOOKUP(T489,Airlines!A:A,Airlines!C:C)=TRUE,"Yes","No"))</f>
        <v>Yes</v>
      </c>
      <c r="AM489" s="14" t="str">
        <f t="shared" si="151"/>
        <v>Yes</v>
      </c>
      <c r="AN489" s="14" t="str">
        <f t="shared" si="152"/>
        <v>Yes</v>
      </c>
      <c r="AO489" s="14" t="str">
        <f t="shared" si="153"/>
        <v>Yes</v>
      </c>
      <c r="AP489" s="16" t="s">
        <v>148</v>
      </c>
      <c r="AQ489" t="str">
        <f t="shared" si="154"/>
        <v>No</v>
      </c>
      <c r="AR489" s="21">
        <v>4</v>
      </c>
      <c r="AS489" s="5">
        <v>2828.7</v>
      </c>
      <c r="AT489" s="5" t="str">
        <f>IF(T489="","",_xlfn.XLOOKUP(T489,Airlines!A:A,Airlines!B:B,"Not Found"))</f>
        <v>British Airways</v>
      </c>
      <c r="AU489" s="5" t="str">
        <f>IF(U489="","",_xlfn.XLOOKUP(U489,Hotels!A:A,Hotels!B:B,"Not found"))</f>
        <v>Hilton</v>
      </c>
      <c r="AV489" t="s">
        <v>147</v>
      </c>
      <c r="AW489" s="16" t="str">
        <f t="shared" si="155"/>
        <v>OK</v>
      </c>
      <c r="AX489" s="16" t="str">
        <f t="shared" si="156"/>
        <v>OK</v>
      </c>
      <c r="AY489" s="16" t="str">
        <f t="shared" si="157"/>
        <v>OK</v>
      </c>
      <c r="AZ489" s="16" t="str">
        <f t="shared" si="158"/>
        <v>OK</v>
      </c>
      <c r="BA489" s="16" t="str">
        <f t="shared" si="162"/>
        <v>OK</v>
      </c>
      <c r="BB489" s="21">
        <f>COUNTIF('Trip Changes'!B:B,A489)</f>
        <v>0</v>
      </c>
      <c r="BC489" s="16" t="str">
        <f>IF(OR(AND(AD489="Yes",COUNTIF('Trip Changes'!B:B,A489)&gt;0),AND(AD489="No",COUNTIF('Trip Changes'!B:B,A489)=0)),"OK","Check")</f>
        <v>OK</v>
      </c>
      <c r="BD489" t="str">
        <f t="shared" si="163"/>
        <v>OK</v>
      </c>
      <c r="BE489" t="str">
        <f t="shared" si="164"/>
        <v>OK</v>
      </c>
      <c r="BF489" t="str">
        <f t="shared" si="165"/>
        <v>OK</v>
      </c>
      <c r="BG489" t="str">
        <f t="shared" si="166"/>
        <v>OK</v>
      </c>
      <c r="BH489" t="str">
        <f t="shared" si="167"/>
        <v>OK</v>
      </c>
      <c r="BI489" t="str">
        <f t="shared" si="159"/>
        <v>OK</v>
      </c>
      <c r="BJ489" t="str">
        <f t="shared" si="160"/>
        <v>OK</v>
      </c>
      <c r="BK489" t="str">
        <f t="shared" si="161"/>
        <v>OK</v>
      </c>
    </row>
    <row r="490" spans="1:63">
      <c r="A490" s="16" t="s">
        <v>836</v>
      </c>
      <c r="B490" s="16" t="s">
        <v>835</v>
      </c>
      <c r="C490" s="16" t="s">
        <v>257</v>
      </c>
      <c r="D490" s="16" t="s">
        <v>138</v>
      </c>
      <c r="E490" s="16" t="s">
        <v>262</v>
      </c>
      <c r="F490" s="16" t="s">
        <v>178</v>
      </c>
      <c r="G490" s="15">
        <v>46187</v>
      </c>
      <c r="H490" s="15">
        <v>46191</v>
      </c>
      <c r="I490" s="15">
        <v>46195</v>
      </c>
      <c r="J490" s="15" t="s">
        <v>141</v>
      </c>
      <c r="K490" s="16" t="s">
        <v>257</v>
      </c>
      <c r="L490" t="s">
        <v>175</v>
      </c>
      <c r="M490" s="16" t="s">
        <v>152</v>
      </c>
      <c r="N490" s="16" t="s">
        <v>153</v>
      </c>
      <c r="O490" t="s">
        <v>1614</v>
      </c>
      <c r="P490" s="18">
        <v>3050</v>
      </c>
      <c r="Q490" s="21">
        <v>4</v>
      </c>
      <c r="R490" s="21" t="str">
        <f t="shared" si="147"/>
        <v>4-7 days</v>
      </c>
      <c r="S490" s="16" t="s">
        <v>145</v>
      </c>
      <c r="T490" s="16" t="s">
        <v>176</v>
      </c>
      <c r="U490" s="16" t="s">
        <v>155</v>
      </c>
      <c r="V490" t="str">
        <f>IF(U490="","",IFERROR(VLOOKUP(U490,Hotels!A:B,2,FALSE),"Not Found"))</f>
        <v>Hilton</v>
      </c>
      <c r="W490" s="14">
        <v>788.95</v>
      </c>
      <c r="X490" s="14">
        <v>0</v>
      </c>
      <c r="Y490" s="21">
        <v>3</v>
      </c>
      <c r="Z490" s="29">
        <f t="shared" si="148"/>
        <v>151.80666666666667</v>
      </c>
      <c r="AA490" s="14">
        <v>455.42</v>
      </c>
      <c r="AB490" s="14">
        <v>92.6</v>
      </c>
      <c r="AC490" s="14">
        <v>1336.97</v>
      </c>
      <c r="AD490" s="16" t="s">
        <v>147</v>
      </c>
      <c r="AE490" s="16" t="s">
        <v>147</v>
      </c>
      <c r="AF490" s="14">
        <f>SUMIF('Trip Changes'!$B:$B,A490,'Trip Changes'!$E:$E)</f>
        <v>0</v>
      </c>
      <c r="AG490" s="23">
        <f>SUMIF('Trip Cancellations'!$B:$B,A490,'Trip Cancellations'!$E:$E)</f>
        <v>0</v>
      </c>
      <c r="AH490" s="14">
        <f>SUMIF('Trip Cancellations'!$B:$B,A490,'Trip Cancellations'!$F:$F)</f>
        <v>0</v>
      </c>
      <c r="AI490" s="14">
        <f t="shared" si="149"/>
        <v>1336.97</v>
      </c>
      <c r="AJ490" s="14" t="str">
        <f t="shared" si="150"/>
        <v>Yes</v>
      </c>
      <c r="AK490" s="14" t="str">
        <f>IF(Y490=0,"N/A",
IF(_xlfn.XLOOKUP(U490,Hotels!A:A,Hotels!C:C)=TRUE,"Yes","No"))</f>
        <v>Yes</v>
      </c>
      <c r="AL490" s="14" t="str">
        <f>IF(N490="Rail","N/A",IF(_xlfn.XLOOKUP(T490,Airlines!A:A,Airlines!C:C)=TRUE,"Yes","No"))</f>
        <v>Yes</v>
      </c>
      <c r="AM490" s="14" t="str">
        <f t="shared" si="151"/>
        <v>Yes</v>
      </c>
      <c r="AN490" s="14" t="str">
        <f t="shared" si="152"/>
        <v>Yes</v>
      </c>
      <c r="AO490" s="14" t="str">
        <f t="shared" si="153"/>
        <v>Yes</v>
      </c>
      <c r="AP490" s="16" t="s">
        <v>148</v>
      </c>
      <c r="AQ490" t="str">
        <f t="shared" si="154"/>
        <v>Yes</v>
      </c>
      <c r="AR490" s="21">
        <v>4</v>
      </c>
      <c r="AS490" s="5">
        <v>457.5</v>
      </c>
      <c r="AT490" s="5" t="str">
        <f>IF(T490="","",_xlfn.XLOOKUP(T490,Airlines!A:A,Airlines!B:B,"Not Found"))</f>
        <v>easyJet</v>
      </c>
      <c r="AU490" s="5" t="str">
        <f>IF(U490="","",_xlfn.XLOOKUP(U490,Hotels!A:A,Hotels!B:B,"Not found"))</f>
        <v>Hilton</v>
      </c>
      <c r="AV490" t="s">
        <v>147</v>
      </c>
      <c r="AW490" s="16" t="str">
        <f t="shared" si="155"/>
        <v>OK</v>
      </c>
      <c r="AX490" s="16" t="str">
        <f t="shared" si="156"/>
        <v>OK</v>
      </c>
      <c r="AY490" s="16" t="str">
        <f t="shared" si="157"/>
        <v>OK</v>
      </c>
      <c r="AZ490" s="16" t="str">
        <f t="shared" si="158"/>
        <v>OK</v>
      </c>
      <c r="BA490" s="16" t="str">
        <f t="shared" si="162"/>
        <v>OK</v>
      </c>
      <c r="BB490" s="21">
        <f>COUNTIF('Trip Changes'!B:B,A490)</f>
        <v>0</v>
      </c>
      <c r="BC490" s="16" t="str">
        <f>IF(OR(AND(AD490="Yes",COUNTIF('Trip Changes'!B:B,A490)&gt;0),AND(AD490="No",COUNTIF('Trip Changes'!B:B,A490)=0)),"OK","Check")</f>
        <v>OK</v>
      </c>
      <c r="BD490" t="str">
        <f t="shared" si="163"/>
        <v>OK</v>
      </c>
      <c r="BE490" t="str">
        <f t="shared" si="164"/>
        <v>OK</v>
      </c>
      <c r="BF490" t="str">
        <f t="shared" si="165"/>
        <v>OK</v>
      </c>
      <c r="BG490" t="str">
        <f t="shared" si="166"/>
        <v>OK</v>
      </c>
      <c r="BH490" t="str">
        <f t="shared" si="167"/>
        <v>OK</v>
      </c>
      <c r="BI490" t="str">
        <f t="shared" si="159"/>
        <v>OK</v>
      </c>
      <c r="BJ490" t="str">
        <f t="shared" si="160"/>
        <v>OK</v>
      </c>
      <c r="BK490" t="str">
        <f t="shared" si="161"/>
        <v>OK</v>
      </c>
    </row>
    <row r="491" spans="1:63">
      <c r="A491" s="16" t="s">
        <v>837</v>
      </c>
      <c r="B491" s="16" t="s">
        <v>835</v>
      </c>
      <c r="C491" s="16" t="s">
        <v>257</v>
      </c>
      <c r="D491" s="16" t="s">
        <v>138</v>
      </c>
      <c r="E491" s="16" t="s">
        <v>262</v>
      </c>
      <c r="F491" s="16" t="s">
        <v>140</v>
      </c>
      <c r="G491" s="15">
        <v>46205</v>
      </c>
      <c r="H491" s="15">
        <v>46214</v>
      </c>
      <c r="I491" s="15">
        <v>46221</v>
      </c>
      <c r="J491" s="15" t="s">
        <v>150</v>
      </c>
      <c r="K491" s="16" t="s">
        <v>257</v>
      </c>
      <c r="L491" t="s">
        <v>223</v>
      </c>
      <c r="M491" s="16" t="s">
        <v>152</v>
      </c>
      <c r="N491" s="16" t="s">
        <v>153</v>
      </c>
      <c r="O491" t="s">
        <v>1614</v>
      </c>
      <c r="P491" s="18">
        <v>11972</v>
      </c>
      <c r="Q491" s="21">
        <v>9</v>
      </c>
      <c r="R491" s="21" t="str">
        <f t="shared" si="147"/>
        <v>8-14 days</v>
      </c>
      <c r="S491" s="16" t="s">
        <v>145</v>
      </c>
      <c r="T491" s="16" t="s">
        <v>154</v>
      </c>
      <c r="U491" s="16" t="s">
        <v>164</v>
      </c>
      <c r="V491" t="str">
        <f>IF(U491="","",IFERROR(VLOOKUP(U491,Hotels!A:B,2,FALSE),"Not Found"))</f>
        <v>Marriott</v>
      </c>
      <c r="W491" s="14">
        <v>1109.56</v>
      </c>
      <c r="X491" s="14">
        <v>0</v>
      </c>
      <c r="Y491" s="21">
        <v>6</v>
      </c>
      <c r="Z491" s="29">
        <f t="shared" si="148"/>
        <v>146.42499999999998</v>
      </c>
      <c r="AA491" s="14">
        <v>878.55</v>
      </c>
      <c r="AB491" s="14">
        <v>63.46</v>
      </c>
      <c r="AC491" s="14">
        <v>2051.5700000000002</v>
      </c>
      <c r="AD491" s="16" t="s">
        <v>147</v>
      </c>
      <c r="AE491" s="16" t="s">
        <v>147</v>
      </c>
      <c r="AF491" s="14">
        <f>SUMIF('Trip Changes'!$B:$B,A491,'Trip Changes'!$E:$E)</f>
        <v>0</v>
      </c>
      <c r="AG491" s="23">
        <f>SUMIF('Trip Cancellations'!$B:$B,A491,'Trip Cancellations'!$E:$E)</f>
        <v>0</v>
      </c>
      <c r="AH491" s="14">
        <f>SUMIF('Trip Cancellations'!$B:$B,A491,'Trip Cancellations'!$F:$F)</f>
        <v>0</v>
      </c>
      <c r="AI491" s="14">
        <f t="shared" si="149"/>
        <v>2051.5700000000002</v>
      </c>
      <c r="AJ491" s="14" t="str">
        <f t="shared" si="150"/>
        <v>Yes</v>
      </c>
      <c r="AK491" s="14" t="str">
        <f>IF(Y491=0,"N/A",
IF(_xlfn.XLOOKUP(U491,Hotels!A:A,Hotels!C:C)=TRUE,"Yes","No"))</f>
        <v>Yes</v>
      </c>
      <c r="AL491" s="14" t="str">
        <f>IF(N491="Rail","N/A",IF(_xlfn.XLOOKUP(T491,Airlines!A:A,Airlines!C:C)=TRUE,"Yes","No"))</f>
        <v>Yes</v>
      </c>
      <c r="AM491" s="14" t="str">
        <f t="shared" si="151"/>
        <v>Yes</v>
      </c>
      <c r="AN491" s="14" t="str">
        <f t="shared" si="152"/>
        <v>Yes</v>
      </c>
      <c r="AO491" s="14" t="str">
        <f t="shared" si="153"/>
        <v>Yes</v>
      </c>
      <c r="AP491" s="16" t="s">
        <v>148</v>
      </c>
      <c r="AQ491" t="str">
        <f t="shared" si="154"/>
        <v>Yes</v>
      </c>
      <c r="AR491" s="21">
        <v>5</v>
      </c>
      <c r="AS491" s="5">
        <v>1795.8</v>
      </c>
      <c r="AT491" s="5" t="str">
        <f>IF(T491="","",_xlfn.XLOOKUP(T491,Airlines!A:A,Airlines!B:B,"Not Found"))</f>
        <v>British Airways</v>
      </c>
      <c r="AU491" s="5" t="str">
        <f>IF(U491="","",_xlfn.XLOOKUP(U491,Hotels!A:A,Hotels!B:B,"Not found"))</f>
        <v>Marriott</v>
      </c>
      <c r="AV491" t="s">
        <v>148</v>
      </c>
      <c r="AW491" s="16" t="str">
        <f t="shared" si="155"/>
        <v>OK</v>
      </c>
      <c r="AX491" s="16" t="str">
        <f t="shared" si="156"/>
        <v>OK</v>
      </c>
      <c r="AY491" s="16" t="str">
        <f t="shared" si="157"/>
        <v>OK</v>
      </c>
      <c r="AZ491" s="16" t="str">
        <f t="shared" si="158"/>
        <v>OK</v>
      </c>
      <c r="BA491" s="16" t="str">
        <f t="shared" si="162"/>
        <v>OK</v>
      </c>
      <c r="BB491" s="21">
        <f>COUNTIF('Trip Changes'!B:B,A491)</f>
        <v>0</v>
      </c>
      <c r="BC491" s="16" t="str">
        <f>IF(OR(AND(AD491="Yes",COUNTIF('Trip Changes'!B:B,A491)&gt;0),AND(AD491="No",COUNTIF('Trip Changes'!B:B,A491)=0)),"OK","Check")</f>
        <v>OK</v>
      </c>
      <c r="BD491" t="str">
        <f t="shared" si="163"/>
        <v>OK</v>
      </c>
      <c r="BE491" t="str">
        <f t="shared" si="164"/>
        <v>OK</v>
      </c>
      <c r="BF491" t="str">
        <f t="shared" si="165"/>
        <v>OK</v>
      </c>
      <c r="BG491" t="str">
        <f t="shared" si="166"/>
        <v>OK</v>
      </c>
      <c r="BH491" t="str">
        <f t="shared" si="167"/>
        <v>OK</v>
      </c>
      <c r="BI491" t="str">
        <f t="shared" si="159"/>
        <v>OK</v>
      </c>
      <c r="BJ491" t="str">
        <f t="shared" si="160"/>
        <v>OK</v>
      </c>
      <c r="BK491" t="str">
        <f t="shared" si="161"/>
        <v>OK</v>
      </c>
    </row>
    <row r="492" spans="1:63">
      <c r="A492" s="16" t="s">
        <v>838</v>
      </c>
      <c r="B492" s="16" t="s">
        <v>835</v>
      </c>
      <c r="C492" s="16" t="s">
        <v>257</v>
      </c>
      <c r="D492" s="16" t="s">
        <v>138</v>
      </c>
      <c r="E492" s="16" t="s">
        <v>262</v>
      </c>
      <c r="F492" s="16" t="s">
        <v>162</v>
      </c>
      <c r="G492" s="15">
        <v>46140</v>
      </c>
      <c r="H492" s="15">
        <v>46155</v>
      </c>
      <c r="I492" s="15">
        <v>46159</v>
      </c>
      <c r="J492" s="15" t="s">
        <v>163</v>
      </c>
      <c r="K492" s="16" t="s">
        <v>257</v>
      </c>
      <c r="L492" t="s">
        <v>264</v>
      </c>
      <c r="M492" s="16" t="s">
        <v>152</v>
      </c>
      <c r="N492" s="16" t="s">
        <v>153</v>
      </c>
      <c r="O492" t="s">
        <v>1614</v>
      </c>
      <c r="P492" s="18">
        <v>3200</v>
      </c>
      <c r="Q492" s="21">
        <v>15</v>
      </c>
      <c r="R492" s="21" t="str">
        <f t="shared" si="147"/>
        <v>15-30 days</v>
      </c>
      <c r="S492" s="16" t="s">
        <v>145</v>
      </c>
      <c r="T492" s="16" t="s">
        <v>160</v>
      </c>
      <c r="U492" s="16" t="s">
        <v>164</v>
      </c>
      <c r="V492" t="str">
        <f>IF(U492="","",IFERROR(VLOOKUP(U492,Hotels!A:B,2,FALSE),"Not Found"))</f>
        <v>Marriott</v>
      </c>
      <c r="W492" s="14">
        <v>297.92</v>
      </c>
      <c r="X492" s="14">
        <v>0</v>
      </c>
      <c r="Y492" s="21">
        <v>3</v>
      </c>
      <c r="Z492" s="29">
        <f t="shared" si="148"/>
        <v>126.43</v>
      </c>
      <c r="AA492" s="14">
        <v>379.29</v>
      </c>
      <c r="AB492" s="14">
        <v>134.22999999999999</v>
      </c>
      <c r="AC492" s="14">
        <v>811.44</v>
      </c>
      <c r="AD492" s="16" t="s">
        <v>148</v>
      </c>
      <c r="AE492" s="16" t="s">
        <v>147</v>
      </c>
      <c r="AF492" s="14">
        <f>SUMIF('Trip Changes'!$B:$B,A492,'Trip Changes'!$E:$E)</f>
        <v>166.52</v>
      </c>
      <c r="AG492" s="23">
        <f>SUMIF('Trip Cancellations'!$B:$B,A492,'Trip Cancellations'!$E:$E)</f>
        <v>0</v>
      </c>
      <c r="AH492" s="14">
        <f>SUMIF('Trip Cancellations'!$B:$B,A492,'Trip Cancellations'!$F:$F)</f>
        <v>0</v>
      </c>
      <c r="AI492" s="14">
        <f t="shared" si="149"/>
        <v>977.96</v>
      </c>
      <c r="AJ492" s="14" t="str">
        <f t="shared" si="150"/>
        <v>Yes</v>
      </c>
      <c r="AK492" s="14" t="str">
        <f>IF(Y492=0,"N/A",
IF(_xlfn.XLOOKUP(U492,Hotels!A:A,Hotels!C:C)=TRUE,"Yes","No"))</f>
        <v>Yes</v>
      </c>
      <c r="AL492" s="14" t="str">
        <f>IF(N492="Rail","N/A",IF(_xlfn.XLOOKUP(T492,Airlines!A:A,Airlines!C:C)=TRUE,"Yes","No"))</f>
        <v>Yes</v>
      </c>
      <c r="AM492" s="14" t="str">
        <f t="shared" si="151"/>
        <v>Yes</v>
      </c>
      <c r="AN492" s="14" t="str">
        <f t="shared" si="152"/>
        <v>Yes</v>
      </c>
      <c r="AO492" s="14" t="str">
        <f t="shared" si="153"/>
        <v>Yes</v>
      </c>
      <c r="AP492" s="16" t="s">
        <v>148</v>
      </c>
      <c r="AQ492" t="str">
        <f t="shared" si="154"/>
        <v>Yes</v>
      </c>
      <c r="AR492" s="21">
        <v>4</v>
      </c>
      <c r="AS492" s="5">
        <v>480</v>
      </c>
      <c r="AT492" s="5" t="str">
        <f>IF(T492="","",_xlfn.XLOOKUP(T492,Airlines!A:A,Airlines!B:B,"Not Found"))</f>
        <v>Air France</v>
      </c>
      <c r="AU492" s="5" t="str">
        <f>IF(U492="","",_xlfn.XLOOKUP(U492,Hotels!A:A,Hotels!B:B,"Not found"))</f>
        <v>Marriott</v>
      </c>
      <c r="AV492" t="s">
        <v>147</v>
      </c>
      <c r="AW492" s="16" t="str">
        <f t="shared" si="155"/>
        <v>OK</v>
      </c>
      <c r="AX492" s="16" t="str">
        <f t="shared" si="156"/>
        <v>OK</v>
      </c>
      <c r="AY492" s="16" t="str">
        <f t="shared" si="157"/>
        <v>OK</v>
      </c>
      <c r="AZ492" s="16" t="str">
        <f t="shared" si="158"/>
        <v>OK</v>
      </c>
      <c r="BA492" s="16" t="str">
        <f t="shared" si="162"/>
        <v>OK</v>
      </c>
      <c r="BB492" s="21">
        <f>COUNTIF('Trip Changes'!B:B,A492)</f>
        <v>1</v>
      </c>
      <c r="BC492" s="16" t="str">
        <f>IF(OR(AND(AD492="Yes",COUNTIF('Trip Changes'!B:B,A492)&gt;0),AND(AD492="No",COUNTIF('Trip Changes'!B:B,A492)=0)),"OK","Check")</f>
        <v>OK</v>
      </c>
      <c r="BD492" t="str">
        <f t="shared" si="163"/>
        <v>OK</v>
      </c>
      <c r="BE492" t="str">
        <f t="shared" si="164"/>
        <v>OK</v>
      </c>
      <c r="BF492" t="str">
        <f t="shared" si="165"/>
        <v>OK</v>
      </c>
      <c r="BG492" t="str">
        <f t="shared" si="166"/>
        <v>OK</v>
      </c>
      <c r="BH492" t="str">
        <f t="shared" si="167"/>
        <v>OK</v>
      </c>
      <c r="BI492" t="str">
        <f t="shared" si="159"/>
        <v>OK</v>
      </c>
      <c r="BJ492" t="str">
        <f t="shared" si="160"/>
        <v>OK</v>
      </c>
      <c r="BK492" t="str">
        <f t="shared" si="161"/>
        <v>OK</v>
      </c>
    </row>
    <row r="493" spans="1:63">
      <c r="A493" s="16" t="s">
        <v>839</v>
      </c>
      <c r="B493" s="16" t="s">
        <v>835</v>
      </c>
      <c r="C493" s="16" t="s">
        <v>257</v>
      </c>
      <c r="D493" s="16" t="s">
        <v>138</v>
      </c>
      <c r="E493" s="16" t="s">
        <v>262</v>
      </c>
      <c r="F493" s="16" t="s">
        <v>140</v>
      </c>
      <c r="G493" s="15">
        <v>46209</v>
      </c>
      <c r="H493" s="15">
        <v>46229</v>
      </c>
      <c r="I493" s="15">
        <v>46231</v>
      </c>
      <c r="J493" s="15" t="s">
        <v>150</v>
      </c>
      <c r="K493" s="16" t="s">
        <v>257</v>
      </c>
      <c r="L493" t="s">
        <v>193</v>
      </c>
      <c r="M493" s="16" t="s">
        <v>143</v>
      </c>
      <c r="N493" s="16" t="s">
        <v>144</v>
      </c>
      <c r="O493" t="s">
        <v>1630</v>
      </c>
      <c r="P493" s="18">
        <v>382</v>
      </c>
      <c r="Q493" s="21">
        <v>20</v>
      </c>
      <c r="R493" s="21" t="str">
        <f t="shared" si="147"/>
        <v>15-30 days</v>
      </c>
      <c r="S493" s="16" t="s">
        <v>216</v>
      </c>
      <c r="U493" s="16" t="s">
        <v>164</v>
      </c>
      <c r="V493" t="str">
        <f>IF(U493="","",IFERROR(VLOOKUP(U493,Hotels!A:B,2,FALSE),"Not Found"))</f>
        <v>Marriott</v>
      </c>
      <c r="W493" s="14">
        <v>0</v>
      </c>
      <c r="X493" s="14">
        <v>234.26</v>
      </c>
      <c r="Y493" s="21">
        <v>1</v>
      </c>
      <c r="Z493" s="29">
        <f t="shared" si="148"/>
        <v>160.01</v>
      </c>
      <c r="AA493" s="14">
        <v>160.01</v>
      </c>
      <c r="AB493" s="14">
        <v>43.37</v>
      </c>
      <c r="AC493" s="14">
        <v>437.64</v>
      </c>
      <c r="AD493" s="16" t="s">
        <v>147</v>
      </c>
      <c r="AE493" s="16" t="s">
        <v>147</v>
      </c>
      <c r="AF493" s="14">
        <f>SUMIF('Trip Changes'!$B:$B,A493,'Trip Changes'!$E:$E)</f>
        <v>0</v>
      </c>
      <c r="AG493" s="23">
        <f>SUMIF('Trip Cancellations'!$B:$B,A493,'Trip Cancellations'!$E:$E)</f>
        <v>0</v>
      </c>
      <c r="AH493" s="14">
        <f>SUMIF('Trip Cancellations'!$B:$B,A493,'Trip Cancellations'!$F:$F)</f>
        <v>0</v>
      </c>
      <c r="AI493" s="14">
        <f t="shared" si="149"/>
        <v>437.64</v>
      </c>
      <c r="AJ493" s="14" t="str">
        <f t="shared" si="150"/>
        <v>Yes</v>
      </c>
      <c r="AK493" s="14" t="str">
        <f>IF(Y493=0,"N/A",
IF(_xlfn.XLOOKUP(U493,Hotels!A:A,Hotels!C:C)=TRUE,"Yes","No"))</f>
        <v>Yes</v>
      </c>
      <c r="AL493" s="14" t="str">
        <f>IF(N493="Rail","N/A",IF(_xlfn.XLOOKUP(T493,Airlines!A:A,Airlines!C:C)=TRUE,"Yes","No"))</f>
        <v>N/A</v>
      </c>
      <c r="AM493" s="14" t="str">
        <f t="shared" si="151"/>
        <v>Yes</v>
      </c>
      <c r="AN493" s="14" t="str">
        <f t="shared" si="152"/>
        <v>No</v>
      </c>
      <c r="AO493" s="14" t="str">
        <f t="shared" si="153"/>
        <v>Yes</v>
      </c>
      <c r="AP493" s="16" t="s">
        <v>148</v>
      </c>
      <c r="AQ493" t="str">
        <f t="shared" si="154"/>
        <v>No</v>
      </c>
      <c r="AR493" s="21">
        <v>4</v>
      </c>
      <c r="AS493" s="5">
        <v>15.3</v>
      </c>
      <c r="AT493" s="5" t="str">
        <f>IF(T493="","",_xlfn.XLOOKUP(T493,Airlines!A:A,Airlines!B:B,"Not Found"))</f>
        <v/>
      </c>
      <c r="AU493" s="5" t="str">
        <f>IF(U493="","",_xlfn.XLOOKUP(U493,Hotels!A:A,Hotels!B:B,"Not found"))</f>
        <v>Marriott</v>
      </c>
      <c r="AV493" t="s">
        <v>147</v>
      </c>
      <c r="AW493" s="16" t="str">
        <f t="shared" si="155"/>
        <v>OK</v>
      </c>
      <c r="AX493" s="16" t="str">
        <f t="shared" si="156"/>
        <v>OK</v>
      </c>
      <c r="AY493" s="16" t="str">
        <f t="shared" si="157"/>
        <v>OK</v>
      </c>
      <c r="AZ493" s="16" t="str">
        <f t="shared" si="158"/>
        <v>OK</v>
      </c>
      <c r="BA493" s="16" t="str">
        <f t="shared" si="162"/>
        <v>OK</v>
      </c>
      <c r="BB493" s="21">
        <f>COUNTIF('Trip Changes'!B:B,A493)</f>
        <v>0</v>
      </c>
      <c r="BC493" s="16" t="str">
        <f>IF(OR(AND(AD493="Yes",COUNTIF('Trip Changes'!B:B,A493)&gt;0),AND(AD493="No",COUNTIF('Trip Changes'!B:B,A493)=0)),"OK","Check")</f>
        <v>OK</v>
      </c>
      <c r="BD493" t="str">
        <f t="shared" si="163"/>
        <v>OK</v>
      </c>
      <c r="BE493" t="str">
        <f t="shared" si="164"/>
        <v>OK</v>
      </c>
      <c r="BF493" t="str">
        <f t="shared" si="165"/>
        <v>OK</v>
      </c>
      <c r="BG493" t="str">
        <f t="shared" si="166"/>
        <v>OK</v>
      </c>
      <c r="BH493" t="str">
        <f t="shared" si="167"/>
        <v>OK</v>
      </c>
      <c r="BI493" t="str">
        <f t="shared" si="159"/>
        <v>OK</v>
      </c>
      <c r="BJ493" t="str">
        <f t="shared" si="160"/>
        <v>OK</v>
      </c>
      <c r="BK493" t="str">
        <f t="shared" si="161"/>
        <v>OK</v>
      </c>
    </row>
    <row r="494" spans="1:63">
      <c r="A494" s="16" t="s">
        <v>840</v>
      </c>
      <c r="B494" s="16" t="s">
        <v>841</v>
      </c>
      <c r="C494" s="16" t="s">
        <v>193</v>
      </c>
      <c r="D494" s="16" t="s">
        <v>230</v>
      </c>
      <c r="E494" s="16" t="s">
        <v>262</v>
      </c>
      <c r="F494" s="16" t="s">
        <v>140</v>
      </c>
      <c r="G494" s="15">
        <v>46185</v>
      </c>
      <c r="H494" s="15">
        <v>46195</v>
      </c>
      <c r="I494" s="15">
        <v>46199</v>
      </c>
      <c r="J494" s="15" t="s">
        <v>141</v>
      </c>
      <c r="K494" s="16" t="s">
        <v>193</v>
      </c>
      <c r="L494" t="s">
        <v>175</v>
      </c>
      <c r="M494" s="16" t="s">
        <v>152</v>
      </c>
      <c r="N494" s="16" t="s">
        <v>153</v>
      </c>
      <c r="O494" t="s">
        <v>1614</v>
      </c>
      <c r="P494" s="18">
        <v>3076</v>
      </c>
      <c r="Q494" s="21">
        <v>10</v>
      </c>
      <c r="R494" s="21" t="str">
        <f t="shared" si="147"/>
        <v>8-14 days</v>
      </c>
      <c r="S494" s="16" t="s">
        <v>159</v>
      </c>
      <c r="T494" s="16" t="s">
        <v>154</v>
      </c>
      <c r="U494" s="16" t="s">
        <v>164</v>
      </c>
      <c r="V494" t="str">
        <f>IF(U494="","",IFERROR(VLOOKUP(U494,Hotels!A:B,2,FALSE),"Not Found"))</f>
        <v>Marriott</v>
      </c>
      <c r="W494" s="14">
        <v>366.89</v>
      </c>
      <c r="X494" s="14">
        <v>0</v>
      </c>
      <c r="Y494" s="21">
        <v>3</v>
      </c>
      <c r="Z494" s="29">
        <f t="shared" si="148"/>
        <v>137.60666666666665</v>
      </c>
      <c r="AA494" s="14">
        <v>412.82</v>
      </c>
      <c r="AB494" s="14">
        <v>31.55</v>
      </c>
      <c r="AC494" s="14">
        <v>811.26</v>
      </c>
      <c r="AD494" s="16" t="s">
        <v>147</v>
      </c>
      <c r="AE494" s="16" t="s">
        <v>147</v>
      </c>
      <c r="AF494" s="14">
        <f>SUMIF('Trip Changes'!$B:$B,A494,'Trip Changes'!$E:$E)</f>
        <v>0</v>
      </c>
      <c r="AG494" s="23">
        <f>SUMIF('Trip Cancellations'!$B:$B,A494,'Trip Cancellations'!$E:$E)</f>
        <v>0</v>
      </c>
      <c r="AH494" s="14">
        <f>SUMIF('Trip Cancellations'!$B:$B,A494,'Trip Cancellations'!$F:$F)</f>
        <v>0</v>
      </c>
      <c r="AI494" s="14">
        <f t="shared" si="149"/>
        <v>811.26</v>
      </c>
      <c r="AJ494" s="14" t="str">
        <f t="shared" si="150"/>
        <v>Yes</v>
      </c>
      <c r="AK494" s="14" t="str">
        <f>IF(Y494=0,"N/A",
IF(_xlfn.XLOOKUP(U494,Hotels!A:A,Hotels!C:C)=TRUE,"Yes","No"))</f>
        <v>Yes</v>
      </c>
      <c r="AL494" s="14" t="str">
        <f>IF(N494="Rail","N/A",IF(_xlfn.XLOOKUP(T494,Airlines!A:A,Airlines!C:C)=TRUE,"Yes","No"))</f>
        <v>Yes</v>
      </c>
      <c r="AM494" s="14" t="str">
        <f t="shared" si="151"/>
        <v>Yes</v>
      </c>
      <c r="AN494" s="14" t="str">
        <f t="shared" si="152"/>
        <v>Yes</v>
      </c>
      <c r="AO494" s="14" t="str">
        <f t="shared" si="153"/>
        <v>Yes</v>
      </c>
      <c r="AP494" s="16" t="s">
        <v>148</v>
      </c>
      <c r="AQ494" t="str">
        <f t="shared" si="154"/>
        <v>Yes</v>
      </c>
      <c r="AR494" s="21">
        <v>5</v>
      </c>
      <c r="AS494" s="5">
        <v>461.4</v>
      </c>
      <c r="AT494" s="5" t="str">
        <f>IF(T494="","",_xlfn.XLOOKUP(T494,Airlines!A:A,Airlines!B:B,"Not Found"))</f>
        <v>British Airways</v>
      </c>
      <c r="AU494" s="5" t="str">
        <f>IF(U494="","",_xlfn.XLOOKUP(U494,Hotels!A:A,Hotels!B:B,"Not found"))</f>
        <v>Marriott</v>
      </c>
      <c r="AV494" t="s">
        <v>147</v>
      </c>
      <c r="AW494" s="16" t="str">
        <f t="shared" si="155"/>
        <v>OK</v>
      </c>
      <c r="AX494" s="16" t="str">
        <f t="shared" si="156"/>
        <v>OK</v>
      </c>
      <c r="AY494" s="16" t="str">
        <f t="shared" si="157"/>
        <v>OK</v>
      </c>
      <c r="AZ494" s="16" t="str">
        <f t="shared" si="158"/>
        <v>OK</v>
      </c>
      <c r="BA494" s="16" t="str">
        <f t="shared" si="162"/>
        <v>OK</v>
      </c>
      <c r="BB494" s="21">
        <f>COUNTIF('Trip Changes'!B:B,A494)</f>
        <v>0</v>
      </c>
      <c r="BC494" s="16" t="str">
        <f>IF(OR(AND(AD494="Yes",COUNTIF('Trip Changes'!B:B,A494)&gt;0),AND(AD494="No",COUNTIF('Trip Changes'!B:B,A494)=0)),"OK","Check")</f>
        <v>OK</v>
      </c>
      <c r="BD494" t="str">
        <f t="shared" si="163"/>
        <v>OK</v>
      </c>
      <c r="BE494" t="str">
        <f t="shared" si="164"/>
        <v>OK</v>
      </c>
      <c r="BF494" t="str">
        <f t="shared" si="165"/>
        <v>OK</v>
      </c>
      <c r="BG494" t="str">
        <f t="shared" si="166"/>
        <v>OK</v>
      </c>
      <c r="BH494" t="str">
        <f t="shared" si="167"/>
        <v>OK</v>
      </c>
      <c r="BI494" t="str">
        <f t="shared" si="159"/>
        <v>OK</v>
      </c>
      <c r="BJ494" t="str">
        <f t="shared" si="160"/>
        <v>OK</v>
      </c>
      <c r="BK494" t="str">
        <f t="shared" si="161"/>
        <v>OK</v>
      </c>
    </row>
    <row r="495" spans="1:63">
      <c r="A495" s="16" t="s">
        <v>842</v>
      </c>
      <c r="B495" s="16" t="s">
        <v>841</v>
      </c>
      <c r="C495" s="16" t="s">
        <v>193</v>
      </c>
      <c r="D495" s="16" t="s">
        <v>230</v>
      </c>
      <c r="E495" s="16" t="s">
        <v>262</v>
      </c>
      <c r="F495" s="16" t="s">
        <v>140</v>
      </c>
      <c r="G495" s="15">
        <v>46193</v>
      </c>
      <c r="H495" s="15">
        <v>46194</v>
      </c>
      <c r="I495" s="15">
        <v>46196</v>
      </c>
      <c r="J495" s="15" t="s">
        <v>141</v>
      </c>
      <c r="K495" s="16" t="s">
        <v>193</v>
      </c>
      <c r="L495" t="s">
        <v>225</v>
      </c>
      <c r="M495" s="16" t="s">
        <v>152</v>
      </c>
      <c r="N495" s="16" t="s">
        <v>153</v>
      </c>
      <c r="O495" t="s">
        <v>1614</v>
      </c>
      <c r="P495" s="18">
        <v>2504</v>
      </c>
      <c r="Q495" s="21">
        <v>1</v>
      </c>
      <c r="R495" s="21" t="str">
        <f t="shared" si="147"/>
        <v>0-3 days</v>
      </c>
      <c r="S495" s="16" t="s">
        <v>159</v>
      </c>
      <c r="T495" s="16" t="s">
        <v>176</v>
      </c>
      <c r="U495" s="16" t="s">
        <v>173</v>
      </c>
      <c r="V495" t="str">
        <f>IF(U495="","",IFERROR(VLOOKUP(U495,Hotels!A:B,2,FALSE),"Not Found"))</f>
        <v>Accor</v>
      </c>
      <c r="W495" s="14">
        <v>502.76</v>
      </c>
      <c r="X495" s="14">
        <v>0</v>
      </c>
      <c r="Y495" s="21">
        <v>1</v>
      </c>
      <c r="Z495" s="29">
        <f t="shared" si="148"/>
        <v>227.55</v>
      </c>
      <c r="AA495" s="14">
        <v>227.55</v>
      </c>
      <c r="AB495" s="14">
        <v>134.72999999999999</v>
      </c>
      <c r="AC495" s="14">
        <v>865.04</v>
      </c>
      <c r="AD495" s="16" t="s">
        <v>147</v>
      </c>
      <c r="AE495" s="16" t="s">
        <v>147</v>
      </c>
      <c r="AF495" s="14">
        <f>SUMIF('Trip Changes'!$B:$B,A495,'Trip Changes'!$E:$E)</f>
        <v>0</v>
      </c>
      <c r="AG495" s="23">
        <f>SUMIF('Trip Cancellations'!$B:$B,A495,'Trip Cancellations'!$E:$E)</f>
        <v>0</v>
      </c>
      <c r="AH495" s="14">
        <f>SUMIF('Trip Cancellations'!$B:$B,A495,'Trip Cancellations'!$F:$F)</f>
        <v>0</v>
      </c>
      <c r="AI495" s="14">
        <f t="shared" si="149"/>
        <v>865.04</v>
      </c>
      <c r="AJ495" s="14" t="str">
        <f t="shared" si="150"/>
        <v>No</v>
      </c>
      <c r="AK495" s="14" t="str">
        <f>IF(Y495=0,"N/A",
IF(_xlfn.XLOOKUP(U495,Hotels!A:A,Hotels!C:C)=TRUE,"Yes","No"))</f>
        <v>Yes</v>
      </c>
      <c r="AL495" s="14" t="str">
        <f>IF(N495="Rail","N/A",IF(_xlfn.XLOOKUP(T495,Airlines!A:A,Airlines!C:C)=TRUE,"Yes","No"))</f>
        <v>Yes</v>
      </c>
      <c r="AM495" s="14" t="str">
        <f t="shared" si="151"/>
        <v>Yes</v>
      </c>
      <c r="AN495" s="14" t="str">
        <f t="shared" si="152"/>
        <v>Yes</v>
      </c>
      <c r="AO495" s="14" t="str">
        <f t="shared" si="153"/>
        <v>Yes</v>
      </c>
      <c r="AP495" s="16" t="s">
        <v>148</v>
      </c>
      <c r="AQ495" t="str">
        <f t="shared" si="154"/>
        <v>No</v>
      </c>
      <c r="AR495" s="21">
        <v>5</v>
      </c>
      <c r="AS495" s="5">
        <v>375.6</v>
      </c>
      <c r="AT495" s="5" t="str">
        <f>IF(T495="","",_xlfn.XLOOKUP(T495,Airlines!A:A,Airlines!B:B,"Not Found"))</f>
        <v>easyJet</v>
      </c>
      <c r="AU495" s="5" t="str">
        <f>IF(U495="","",_xlfn.XLOOKUP(U495,Hotels!A:A,Hotels!B:B,"Not found"))</f>
        <v>Accor</v>
      </c>
      <c r="AV495" t="s">
        <v>147</v>
      </c>
      <c r="AW495" s="16" t="str">
        <f t="shared" si="155"/>
        <v>OK</v>
      </c>
      <c r="AX495" s="16" t="str">
        <f t="shared" si="156"/>
        <v>OK</v>
      </c>
      <c r="AY495" s="16" t="str">
        <f t="shared" si="157"/>
        <v>OK</v>
      </c>
      <c r="AZ495" s="16" t="str">
        <f t="shared" si="158"/>
        <v>OK</v>
      </c>
      <c r="BA495" s="16" t="str">
        <f t="shared" si="162"/>
        <v>OK</v>
      </c>
      <c r="BB495" s="21">
        <f>COUNTIF('Trip Changes'!B:B,A495)</f>
        <v>0</v>
      </c>
      <c r="BC495" s="16" t="str">
        <f>IF(OR(AND(AD495="Yes",COUNTIF('Trip Changes'!B:B,A495)&gt;0),AND(AD495="No",COUNTIF('Trip Changes'!B:B,A495)=0)),"OK","Check")</f>
        <v>OK</v>
      </c>
      <c r="BD495" t="str">
        <f t="shared" si="163"/>
        <v>OK</v>
      </c>
      <c r="BE495" t="str">
        <f t="shared" si="164"/>
        <v>OK</v>
      </c>
      <c r="BF495" t="str">
        <f t="shared" si="165"/>
        <v>OK</v>
      </c>
      <c r="BG495" t="str">
        <f t="shared" si="166"/>
        <v>OK</v>
      </c>
      <c r="BH495" t="str">
        <f t="shared" si="167"/>
        <v>OK</v>
      </c>
      <c r="BI495" t="str">
        <f t="shared" si="159"/>
        <v>OK</v>
      </c>
      <c r="BJ495" t="str">
        <f t="shared" si="160"/>
        <v>OK</v>
      </c>
      <c r="BK495" t="str">
        <f t="shared" si="161"/>
        <v>OK</v>
      </c>
    </row>
    <row r="496" spans="1:63">
      <c r="A496" s="16" t="s">
        <v>843</v>
      </c>
      <c r="B496" s="16" t="s">
        <v>844</v>
      </c>
      <c r="C496" s="16" t="s">
        <v>167</v>
      </c>
      <c r="D496" s="16" t="s">
        <v>248</v>
      </c>
      <c r="E496" s="16" t="s">
        <v>139</v>
      </c>
      <c r="F496" s="16" t="s">
        <v>189</v>
      </c>
      <c r="G496" s="15">
        <v>46154</v>
      </c>
      <c r="H496" s="15">
        <v>46157</v>
      </c>
      <c r="I496" s="15">
        <v>46161</v>
      </c>
      <c r="J496" s="15" t="s">
        <v>163</v>
      </c>
      <c r="K496" s="16" t="s">
        <v>167</v>
      </c>
      <c r="L496" t="s">
        <v>199</v>
      </c>
      <c r="M496" s="16" t="s">
        <v>152</v>
      </c>
      <c r="N496" s="16" t="s">
        <v>153</v>
      </c>
      <c r="O496" t="s">
        <v>1631</v>
      </c>
      <c r="P496" s="18">
        <v>1252</v>
      </c>
      <c r="Q496" s="21">
        <v>3</v>
      </c>
      <c r="R496" s="21" t="str">
        <f t="shared" si="147"/>
        <v>0-3 days</v>
      </c>
      <c r="S496" s="16" t="s">
        <v>159</v>
      </c>
      <c r="T496" s="16" t="s">
        <v>200</v>
      </c>
      <c r="U496" s="16" t="s">
        <v>164</v>
      </c>
      <c r="V496" t="str">
        <f>IF(U496="","",IFERROR(VLOOKUP(U496,Hotels!A:B,2,FALSE),"Not Found"))</f>
        <v>Marriott</v>
      </c>
      <c r="W496" s="14">
        <v>190.88</v>
      </c>
      <c r="X496" s="14">
        <v>0</v>
      </c>
      <c r="Y496" s="21">
        <v>3</v>
      </c>
      <c r="Z496" s="29">
        <f t="shared" si="148"/>
        <v>196.59</v>
      </c>
      <c r="AA496" s="14">
        <v>589.77</v>
      </c>
      <c r="AB496" s="14">
        <v>60.12</v>
      </c>
      <c r="AC496" s="14">
        <v>840.77</v>
      </c>
      <c r="AD496" s="16" t="s">
        <v>147</v>
      </c>
      <c r="AE496" s="16" t="s">
        <v>147</v>
      </c>
      <c r="AF496" s="14">
        <f>SUMIF('Trip Changes'!$B:$B,A496,'Trip Changes'!$E:$E)</f>
        <v>0</v>
      </c>
      <c r="AG496" s="23">
        <f>SUMIF('Trip Cancellations'!$B:$B,A496,'Trip Cancellations'!$E:$E)</f>
        <v>0</v>
      </c>
      <c r="AH496" s="14">
        <f>SUMIF('Trip Cancellations'!$B:$B,A496,'Trip Cancellations'!$F:$F)</f>
        <v>0</v>
      </c>
      <c r="AI496" s="14">
        <f t="shared" si="149"/>
        <v>840.77</v>
      </c>
      <c r="AJ496" s="14" t="str">
        <f t="shared" si="150"/>
        <v>No</v>
      </c>
      <c r="AK496" s="14" t="str">
        <f>IF(Y496=0,"N/A",
IF(_xlfn.XLOOKUP(U496,Hotels!A:A,Hotels!C:C)=TRUE,"Yes","No"))</f>
        <v>Yes</v>
      </c>
      <c r="AL496" s="14" t="str">
        <f>IF(N496="Rail","N/A",IF(_xlfn.XLOOKUP(T496,Airlines!A:A,Airlines!C:C)=TRUE,"Yes","No"))</f>
        <v>Yes</v>
      </c>
      <c r="AM496" s="14" t="str">
        <f t="shared" si="151"/>
        <v>No</v>
      </c>
      <c r="AN496" s="14" t="str">
        <f t="shared" si="152"/>
        <v>Yes</v>
      </c>
      <c r="AO496" s="14" t="str">
        <f t="shared" si="153"/>
        <v>Yes</v>
      </c>
      <c r="AP496" s="16" t="s">
        <v>148</v>
      </c>
      <c r="AQ496" t="str">
        <f t="shared" si="154"/>
        <v>No</v>
      </c>
      <c r="AR496" s="21">
        <v>4</v>
      </c>
      <c r="AS496" s="5">
        <v>187.8</v>
      </c>
      <c r="AT496" s="5" t="str">
        <f>IF(T496="","",_xlfn.XLOOKUP(T496,Airlines!A:A,Airlines!B:B,"Not Found"))</f>
        <v>Aer Lingus</v>
      </c>
      <c r="AU496" s="5" t="str">
        <f>IF(U496="","",_xlfn.XLOOKUP(U496,Hotels!A:A,Hotels!B:B,"Not found"))</f>
        <v>Marriott</v>
      </c>
      <c r="AV496" t="s">
        <v>147</v>
      </c>
      <c r="AW496" s="16" t="str">
        <f t="shared" si="155"/>
        <v>OK</v>
      </c>
      <c r="AX496" s="16" t="str">
        <f t="shared" si="156"/>
        <v>OK</v>
      </c>
      <c r="AY496" s="16" t="str">
        <f t="shared" si="157"/>
        <v>OK</v>
      </c>
      <c r="AZ496" s="16" t="str">
        <f t="shared" si="158"/>
        <v>OK</v>
      </c>
      <c r="BA496" s="16" t="str">
        <f t="shared" si="162"/>
        <v>OK</v>
      </c>
      <c r="BB496" s="21">
        <f>COUNTIF('Trip Changes'!B:B,A496)</f>
        <v>0</v>
      </c>
      <c r="BC496" s="16" t="str">
        <f>IF(OR(AND(AD496="Yes",COUNTIF('Trip Changes'!B:B,A496)&gt;0),AND(AD496="No",COUNTIF('Trip Changes'!B:B,A496)=0)),"OK","Check")</f>
        <v>OK</v>
      </c>
      <c r="BD496" t="str">
        <f t="shared" si="163"/>
        <v>OK</v>
      </c>
      <c r="BE496" t="str">
        <f t="shared" si="164"/>
        <v>OK</v>
      </c>
      <c r="BF496" t="str">
        <f t="shared" si="165"/>
        <v>OK</v>
      </c>
      <c r="BG496" t="str">
        <f t="shared" si="166"/>
        <v>OK</v>
      </c>
      <c r="BH496" t="str">
        <f t="shared" si="167"/>
        <v>OK</v>
      </c>
      <c r="BI496" t="str">
        <f t="shared" si="159"/>
        <v>OK</v>
      </c>
      <c r="BJ496" t="str">
        <f t="shared" si="160"/>
        <v>OK</v>
      </c>
      <c r="BK496" t="str">
        <f t="shared" si="161"/>
        <v>OK</v>
      </c>
    </row>
    <row r="497" spans="1:63">
      <c r="A497" s="16" t="s">
        <v>845</v>
      </c>
      <c r="B497" s="16" t="s">
        <v>844</v>
      </c>
      <c r="C497" s="16" t="s">
        <v>167</v>
      </c>
      <c r="D497" s="16" t="s">
        <v>248</v>
      </c>
      <c r="E497" s="16" t="s">
        <v>139</v>
      </c>
      <c r="F497" s="16" t="s">
        <v>162</v>
      </c>
      <c r="G497" s="15">
        <v>46160</v>
      </c>
      <c r="H497" s="15">
        <v>46175</v>
      </c>
      <c r="I497" s="15">
        <v>46180</v>
      </c>
      <c r="J497" s="15" t="s">
        <v>141</v>
      </c>
      <c r="K497" s="16" t="s">
        <v>167</v>
      </c>
      <c r="L497" t="s">
        <v>199</v>
      </c>
      <c r="M497" s="16" t="s">
        <v>152</v>
      </c>
      <c r="N497" s="16" t="s">
        <v>153</v>
      </c>
      <c r="O497" t="s">
        <v>1614</v>
      </c>
      <c r="P497" s="18">
        <v>3052</v>
      </c>
      <c r="Q497" s="21">
        <v>15</v>
      </c>
      <c r="R497" s="21" t="str">
        <f t="shared" si="147"/>
        <v>15-30 days</v>
      </c>
      <c r="S497" s="16" t="s">
        <v>216</v>
      </c>
      <c r="T497" s="16" t="s">
        <v>200</v>
      </c>
      <c r="U497" s="16" t="s">
        <v>155</v>
      </c>
      <c r="V497" t="str">
        <f>IF(U497="","",IFERROR(VLOOKUP(U497,Hotels!A:B,2,FALSE),"Not Found"))</f>
        <v>Hilton</v>
      </c>
      <c r="W497" s="14">
        <v>575.1</v>
      </c>
      <c r="X497" s="14">
        <v>0</v>
      </c>
      <c r="Y497" s="21">
        <v>4</v>
      </c>
      <c r="Z497" s="29">
        <f t="shared" si="148"/>
        <v>174.51499999999999</v>
      </c>
      <c r="AA497" s="14">
        <v>698.06</v>
      </c>
      <c r="AB497" s="14">
        <v>61.17</v>
      </c>
      <c r="AC497" s="14">
        <v>1334.33</v>
      </c>
      <c r="AD497" s="16" t="s">
        <v>148</v>
      </c>
      <c r="AE497" s="16" t="s">
        <v>147</v>
      </c>
      <c r="AF497" s="14">
        <f>SUMIF('Trip Changes'!$B:$B,A497,'Trip Changes'!$E:$E)</f>
        <v>92.66</v>
      </c>
      <c r="AG497" s="23">
        <f>SUMIF('Trip Cancellations'!$B:$B,A497,'Trip Cancellations'!$E:$E)</f>
        <v>0</v>
      </c>
      <c r="AH497" s="14">
        <f>SUMIF('Trip Cancellations'!$B:$B,A497,'Trip Cancellations'!$F:$F)</f>
        <v>0</v>
      </c>
      <c r="AI497" s="14">
        <f t="shared" si="149"/>
        <v>1426.99</v>
      </c>
      <c r="AJ497" s="14" t="str">
        <f t="shared" si="150"/>
        <v>Yes</v>
      </c>
      <c r="AK497" s="14" t="str">
        <f>IF(Y497=0,"N/A",
IF(_xlfn.XLOOKUP(U497,Hotels!A:A,Hotels!C:C)=TRUE,"Yes","No"))</f>
        <v>Yes</v>
      </c>
      <c r="AL497" s="14" t="str">
        <f>IF(N497="Rail","N/A",IF(_xlfn.XLOOKUP(T497,Airlines!A:A,Airlines!C:C)=TRUE,"Yes","No"))</f>
        <v>Yes</v>
      </c>
      <c r="AM497" s="14" t="str">
        <f t="shared" si="151"/>
        <v>Yes</v>
      </c>
      <c r="AN497" s="14" t="str">
        <f t="shared" si="152"/>
        <v>No</v>
      </c>
      <c r="AO497" s="14" t="str">
        <f t="shared" si="153"/>
        <v>Yes</v>
      </c>
      <c r="AP497" s="16" t="s">
        <v>148</v>
      </c>
      <c r="AQ497" t="str">
        <f t="shared" si="154"/>
        <v>No</v>
      </c>
      <c r="AR497" s="21">
        <v>3</v>
      </c>
      <c r="AS497" s="5">
        <v>457.8</v>
      </c>
      <c r="AT497" s="5" t="str">
        <f>IF(T497="","",_xlfn.XLOOKUP(T497,Airlines!A:A,Airlines!B:B,"Not Found"))</f>
        <v>Aer Lingus</v>
      </c>
      <c r="AU497" s="5" t="str">
        <f>IF(U497="","",_xlfn.XLOOKUP(U497,Hotels!A:A,Hotels!B:B,"Not found"))</f>
        <v>Hilton</v>
      </c>
      <c r="AV497" t="s">
        <v>147</v>
      </c>
      <c r="AW497" s="16" t="str">
        <f t="shared" si="155"/>
        <v>OK</v>
      </c>
      <c r="AX497" s="16" t="str">
        <f t="shared" si="156"/>
        <v>OK</v>
      </c>
      <c r="AY497" s="16" t="str">
        <f t="shared" si="157"/>
        <v>OK</v>
      </c>
      <c r="AZ497" s="16" t="str">
        <f t="shared" si="158"/>
        <v>OK</v>
      </c>
      <c r="BA497" s="16" t="str">
        <f t="shared" si="162"/>
        <v>OK</v>
      </c>
      <c r="BB497" s="21">
        <f>COUNTIF('Trip Changes'!B:B,A497)</f>
        <v>1</v>
      </c>
      <c r="BC497" s="16" t="str">
        <f>IF(OR(AND(AD497="Yes",COUNTIF('Trip Changes'!B:B,A497)&gt;0),AND(AD497="No",COUNTIF('Trip Changes'!B:B,A497)=0)),"OK","Check")</f>
        <v>OK</v>
      </c>
      <c r="BD497" t="str">
        <f t="shared" si="163"/>
        <v>OK</v>
      </c>
      <c r="BE497" t="str">
        <f t="shared" si="164"/>
        <v>OK</v>
      </c>
      <c r="BF497" t="str">
        <f t="shared" si="165"/>
        <v>OK</v>
      </c>
      <c r="BG497" t="str">
        <f t="shared" si="166"/>
        <v>OK</v>
      </c>
      <c r="BH497" t="str">
        <f t="shared" si="167"/>
        <v>OK</v>
      </c>
      <c r="BI497" t="str">
        <f t="shared" si="159"/>
        <v>OK</v>
      </c>
      <c r="BJ497" t="str">
        <f t="shared" si="160"/>
        <v>OK</v>
      </c>
      <c r="BK497" t="str">
        <f t="shared" si="161"/>
        <v>OK</v>
      </c>
    </row>
    <row r="498" spans="1:63">
      <c r="A498" s="16" t="s">
        <v>846</v>
      </c>
      <c r="B498" s="16" t="s">
        <v>844</v>
      </c>
      <c r="C498" s="16" t="s">
        <v>167</v>
      </c>
      <c r="D498" s="16" t="s">
        <v>248</v>
      </c>
      <c r="E498" s="16" t="s">
        <v>139</v>
      </c>
      <c r="F498" s="16" t="s">
        <v>157</v>
      </c>
      <c r="G498" s="15">
        <v>46134</v>
      </c>
      <c r="H498" s="15">
        <v>46146</v>
      </c>
      <c r="I498" s="15">
        <v>46148</v>
      </c>
      <c r="J498" s="15" t="s">
        <v>163</v>
      </c>
      <c r="K498" s="16" t="s">
        <v>167</v>
      </c>
      <c r="L498" t="s">
        <v>185</v>
      </c>
      <c r="M498" s="16" t="s">
        <v>152</v>
      </c>
      <c r="N498" s="16" t="s">
        <v>153</v>
      </c>
      <c r="O498" t="s">
        <v>1631</v>
      </c>
      <c r="P498" s="18">
        <v>12654</v>
      </c>
      <c r="Q498" s="21">
        <v>12</v>
      </c>
      <c r="R498" s="21" t="str">
        <f t="shared" si="147"/>
        <v>8-14 days</v>
      </c>
      <c r="S498" s="16" t="s">
        <v>145</v>
      </c>
      <c r="T498" s="16" t="s">
        <v>186</v>
      </c>
      <c r="U498" s="16" t="s">
        <v>173</v>
      </c>
      <c r="V498" t="str">
        <f>IF(U498="","",IFERROR(VLOOKUP(U498,Hotels!A:B,2,FALSE),"Not Found"))</f>
        <v>Accor</v>
      </c>
      <c r="W498" s="14">
        <v>720.85</v>
      </c>
      <c r="X498" s="14">
        <v>0</v>
      </c>
      <c r="Y498" s="21">
        <v>1</v>
      </c>
      <c r="Z498" s="29">
        <f t="shared" si="148"/>
        <v>223.5</v>
      </c>
      <c r="AA498" s="14">
        <v>223.5</v>
      </c>
      <c r="AB498" s="14">
        <v>128.44</v>
      </c>
      <c r="AC498" s="14">
        <v>1072.79</v>
      </c>
      <c r="AD498" s="16" t="s">
        <v>147</v>
      </c>
      <c r="AE498" s="16" t="s">
        <v>147</v>
      </c>
      <c r="AF498" s="14">
        <f>SUMIF('Trip Changes'!$B:$B,A498,'Trip Changes'!$E:$E)</f>
        <v>0</v>
      </c>
      <c r="AG498" s="23">
        <f>SUMIF('Trip Cancellations'!$B:$B,A498,'Trip Cancellations'!$E:$E)</f>
        <v>0</v>
      </c>
      <c r="AH498" s="14">
        <f>SUMIF('Trip Cancellations'!$B:$B,A498,'Trip Cancellations'!$F:$F)</f>
        <v>0</v>
      </c>
      <c r="AI498" s="14">
        <f t="shared" si="149"/>
        <v>1072.79</v>
      </c>
      <c r="AJ498" s="14" t="str">
        <f t="shared" si="150"/>
        <v>No</v>
      </c>
      <c r="AK498" s="14" t="str">
        <f>IF(Y498=0,"N/A",
IF(_xlfn.XLOOKUP(U498,Hotels!A:A,Hotels!C:C)=TRUE,"Yes","No"))</f>
        <v>Yes</v>
      </c>
      <c r="AL498" s="14" t="str">
        <f>IF(N498="Rail","N/A",IF(_xlfn.XLOOKUP(T498,Airlines!A:A,Airlines!C:C)=TRUE,"Yes","No"))</f>
        <v>Yes</v>
      </c>
      <c r="AM498" s="14" t="str">
        <f t="shared" si="151"/>
        <v>No</v>
      </c>
      <c r="AN498" s="14" t="str">
        <f t="shared" si="152"/>
        <v>Yes</v>
      </c>
      <c r="AO498" s="14" t="str">
        <f t="shared" si="153"/>
        <v>Yes</v>
      </c>
      <c r="AP498" s="16" t="s">
        <v>148</v>
      </c>
      <c r="AQ498" t="str">
        <f t="shared" si="154"/>
        <v>No</v>
      </c>
      <c r="AR498" s="21">
        <v>5</v>
      </c>
      <c r="AS498" s="5">
        <v>1898.1</v>
      </c>
      <c r="AT498" s="5" t="str">
        <f>IF(T498="","",_xlfn.XLOOKUP(T498,Airlines!A:A,Airlines!B:B,"Not Found"))</f>
        <v>Virgin Atlantic</v>
      </c>
      <c r="AU498" s="5" t="str">
        <f>IF(U498="","",_xlfn.XLOOKUP(U498,Hotels!A:A,Hotels!B:B,"Not found"))</f>
        <v>Accor</v>
      </c>
      <c r="AV498" t="s">
        <v>148</v>
      </c>
      <c r="AW498" s="16" t="str">
        <f t="shared" si="155"/>
        <v>OK</v>
      </c>
      <c r="AX498" s="16" t="str">
        <f t="shared" si="156"/>
        <v>OK</v>
      </c>
      <c r="AY498" s="16" t="str">
        <f t="shared" si="157"/>
        <v>OK</v>
      </c>
      <c r="AZ498" s="16" t="str">
        <f t="shared" si="158"/>
        <v>OK</v>
      </c>
      <c r="BA498" s="16" t="str">
        <f t="shared" si="162"/>
        <v>OK</v>
      </c>
      <c r="BB498" s="21">
        <f>COUNTIF('Trip Changes'!B:B,A498)</f>
        <v>0</v>
      </c>
      <c r="BC498" s="16" t="str">
        <f>IF(OR(AND(AD498="Yes",COUNTIF('Trip Changes'!B:B,A498)&gt;0),AND(AD498="No",COUNTIF('Trip Changes'!B:B,A498)=0)),"OK","Check")</f>
        <v>OK</v>
      </c>
      <c r="BD498" t="str">
        <f t="shared" si="163"/>
        <v>OK</v>
      </c>
      <c r="BE498" t="str">
        <f t="shared" si="164"/>
        <v>OK</v>
      </c>
      <c r="BF498" t="str">
        <f t="shared" si="165"/>
        <v>OK</v>
      </c>
      <c r="BG498" t="str">
        <f t="shared" si="166"/>
        <v>OK</v>
      </c>
      <c r="BH498" t="str">
        <f t="shared" si="167"/>
        <v>OK</v>
      </c>
      <c r="BI498" t="str">
        <f t="shared" si="159"/>
        <v>OK</v>
      </c>
      <c r="BJ498" t="str">
        <f t="shared" si="160"/>
        <v>OK</v>
      </c>
      <c r="BK498" t="str">
        <f t="shared" si="161"/>
        <v>OK</v>
      </c>
    </row>
    <row r="499" spans="1:63">
      <c r="A499" s="16" t="s">
        <v>847</v>
      </c>
      <c r="B499" s="16" t="s">
        <v>848</v>
      </c>
      <c r="C499" s="16" t="s">
        <v>182</v>
      </c>
      <c r="D499" s="16" t="s">
        <v>194</v>
      </c>
      <c r="E499" s="16" t="s">
        <v>139</v>
      </c>
      <c r="F499" s="16" t="s">
        <v>162</v>
      </c>
      <c r="G499" s="15">
        <v>46157</v>
      </c>
      <c r="H499" s="15">
        <v>46175</v>
      </c>
      <c r="I499" s="15">
        <v>46181</v>
      </c>
      <c r="J499" s="15" t="s">
        <v>141</v>
      </c>
      <c r="K499" s="16" t="s">
        <v>182</v>
      </c>
      <c r="L499" t="s">
        <v>283</v>
      </c>
      <c r="M499" s="16" t="s">
        <v>152</v>
      </c>
      <c r="N499" s="16" t="s">
        <v>153</v>
      </c>
      <c r="O499" t="s">
        <v>1614</v>
      </c>
      <c r="P499" s="18">
        <v>12606</v>
      </c>
      <c r="Q499" s="21">
        <v>18</v>
      </c>
      <c r="R499" s="21" t="str">
        <f t="shared" si="147"/>
        <v>15-30 days</v>
      </c>
      <c r="S499" s="16" t="s">
        <v>145</v>
      </c>
      <c r="T499" s="16" t="s">
        <v>278</v>
      </c>
      <c r="U499" s="16" t="s">
        <v>187</v>
      </c>
      <c r="V499" t="str">
        <f>IF(U499="","",IFERROR(VLOOKUP(U499,Hotels!A:B,2,FALSE),"Not Found"))</f>
        <v>IHG Hotels &amp; Resorts</v>
      </c>
      <c r="W499" s="14">
        <v>889.83</v>
      </c>
      <c r="X499" s="14">
        <v>0</v>
      </c>
      <c r="Y499" s="21">
        <v>5</v>
      </c>
      <c r="Z499" s="29">
        <f t="shared" si="148"/>
        <v>164.01</v>
      </c>
      <c r="AA499" s="14">
        <v>820.05</v>
      </c>
      <c r="AB499" s="14">
        <v>101.62</v>
      </c>
      <c r="AC499" s="14">
        <v>1811.5</v>
      </c>
      <c r="AD499" s="16" t="s">
        <v>147</v>
      </c>
      <c r="AE499" s="16" t="s">
        <v>147</v>
      </c>
      <c r="AF499" s="14">
        <f>SUMIF('Trip Changes'!$B:$B,A499,'Trip Changes'!$E:$E)</f>
        <v>0</v>
      </c>
      <c r="AG499" s="23">
        <f>SUMIF('Trip Cancellations'!$B:$B,A499,'Trip Cancellations'!$E:$E)</f>
        <v>0</v>
      </c>
      <c r="AH499" s="14">
        <f>SUMIF('Trip Cancellations'!$B:$B,A499,'Trip Cancellations'!$F:$F)</f>
        <v>0</v>
      </c>
      <c r="AI499" s="14">
        <f t="shared" si="149"/>
        <v>1811.5</v>
      </c>
      <c r="AJ499" s="14" t="str">
        <f t="shared" si="150"/>
        <v>Yes</v>
      </c>
      <c r="AK499" s="14" t="str">
        <f>IF(Y499=0,"N/A",
IF(_xlfn.XLOOKUP(U499,Hotels!A:A,Hotels!C:C)=TRUE,"Yes","No"))</f>
        <v>Yes</v>
      </c>
      <c r="AL499" s="14" t="str">
        <f>IF(N499="Rail","N/A",IF(_xlfn.XLOOKUP(T499,Airlines!A:A,Airlines!C:C)=TRUE,"Yes","No"))</f>
        <v>No</v>
      </c>
      <c r="AM499" s="14" t="str">
        <f t="shared" si="151"/>
        <v>Yes</v>
      </c>
      <c r="AN499" s="14" t="str">
        <f t="shared" si="152"/>
        <v>Yes</v>
      </c>
      <c r="AO499" s="14" t="str">
        <f t="shared" si="153"/>
        <v>No</v>
      </c>
      <c r="AP499" s="16" t="s">
        <v>148</v>
      </c>
      <c r="AQ499" t="str">
        <f t="shared" si="154"/>
        <v>No</v>
      </c>
      <c r="AR499" s="21">
        <v>4</v>
      </c>
      <c r="AS499" s="5">
        <v>1890.9</v>
      </c>
      <c r="AT499" s="5" t="str">
        <f>IF(T499="","",_xlfn.XLOOKUP(T499,Airlines!A:A,Airlines!B:B,"Not Found"))</f>
        <v>United Airlines</v>
      </c>
      <c r="AU499" s="5" t="str">
        <f>IF(U499="","",_xlfn.XLOOKUP(U499,Hotels!A:A,Hotels!B:B,"Not found"))</f>
        <v>IHG Hotels &amp; Resorts</v>
      </c>
      <c r="AV499" t="s">
        <v>147</v>
      </c>
      <c r="AW499" s="16" t="str">
        <f t="shared" si="155"/>
        <v>OK</v>
      </c>
      <c r="AX499" s="16" t="str">
        <f t="shared" si="156"/>
        <v>OK</v>
      </c>
      <c r="AY499" s="16" t="str">
        <f t="shared" si="157"/>
        <v>OK</v>
      </c>
      <c r="AZ499" s="16" t="str">
        <f t="shared" si="158"/>
        <v>OK</v>
      </c>
      <c r="BA499" s="16" t="str">
        <f t="shared" si="162"/>
        <v>OK</v>
      </c>
      <c r="BB499" s="21">
        <f>COUNTIF('Trip Changes'!B:B,A499)</f>
        <v>0</v>
      </c>
      <c r="BC499" s="16" t="str">
        <f>IF(OR(AND(AD499="Yes",COUNTIF('Trip Changes'!B:B,A499)&gt;0),AND(AD499="No",COUNTIF('Trip Changes'!B:B,A499)=0)),"OK","Check")</f>
        <v>OK</v>
      </c>
      <c r="BD499" t="str">
        <f t="shared" si="163"/>
        <v>OK</v>
      </c>
      <c r="BE499" t="str">
        <f t="shared" si="164"/>
        <v>OK</v>
      </c>
      <c r="BF499" t="str">
        <f t="shared" si="165"/>
        <v>OK</v>
      </c>
      <c r="BG499" t="str">
        <f t="shared" si="166"/>
        <v>OK</v>
      </c>
      <c r="BH499" t="str">
        <f t="shared" si="167"/>
        <v>OK</v>
      </c>
      <c r="BI499" t="str">
        <f t="shared" si="159"/>
        <v>OK</v>
      </c>
      <c r="BJ499" t="str">
        <f t="shared" si="160"/>
        <v>OK</v>
      </c>
      <c r="BK499" t="str">
        <f t="shared" si="161"/>
        <v>OK</v>
      </c>
    </row>
    <row r="500" spans="1:63">
      <c r="A500" s="16" t="s">
        <v>849</v>
      </c>
      <c r="B500" s="16" t="s">
        <v>848</v>
      </c>
      <c r="C500" s="16" t="s">
        <v>182</v>
      </c>
      <c r="D500" s="16" t="s">
        <v>194</v>
      </c>
      <c r="E500" s="16" t="s">
        <v>139</v>
      </c>
      <c r="F500" s="16" t="s">
        <v>140</v>
      </c>
      <c r="G500" s="15">
        <v>46152</v>
      </c>
      <c r="H500" s="15">
        <v>46175</v>
      </c>
      <c r="I500" s="15">
        <v>46179</v>
      </c>
      <c r="J500" s="15" t="s">
        <v>141</v>
      </c>
      <c r="K500" s="16" t="s">
        <v>182</v>
      </c>
      <c r="L500" t="s">
        <v>233</v>
      </c>
      <c r="M500" s="16" t="s">
        <v>152</v>
      </c>
      <c r="N500" s="16" t="s">
        <v>153</v>
      </c>
      <c r="O500" t="s">
        <v>1614</v>
      </c>
      <c r="P500" s="18">
        <v>2482</v>
      </c>
      <c r="Q500" s="21">
        <v>23</v>
      </c>
      <c r="R500" s="21" t="str">
        <f t="shared" si="147"/>
        <v>15-30 days</v>
      </c>
      <c r="S500" s="16" t="s">
        <v>145</v>
      </c>
      <c r="T500" s="16" t="s">
        <v>160</v>
      </c>
      <c r="U500" s="16" t="s">
        <v>187</v>
      </c>
      <c r="V500" t="str">
        <f>IF(U500="","",IFERROR(VLOOKUP(U500,Hotels!A:B,2,FALSE),"Not Found"))</f>
        <v>IHG Hotels &amp; Resorts</v>
      </c>
      <c r="W500" s="14">
        <v>466.36</v>
      </c>
      <c r="X500" s="14">
        <v>0</v>
      </c>
      <c r="Y500" s="21">
        <v>3</v>
      </c>
      <c r="Z500" s="29">
        <f t="shared" si="148"/>
        <v>168.40666666666667</v>
      </c>
      <c r="AA500" s="14">
        <v>505.22</v>
      </c>
      <c r="AB500" s="14">
        <v>48.18</v>
      </c>
      <c r="AC500" s="14">
        <v>1019.76</v>
      </c>
      <c r="AD500" s="16" t="s">
        <v>147</v>
      </c>
      <c r="AE500" s="16" t="s">
        <v>147</v>
      </c>
      <c r="AF500" s="14">
        <f>SUMIF('Trip Changes'!$B:$B,A500,'Trip Changes'!$E:$E)</f>
        <v>0</v>
      </c>
      <c r="AG500" s="23">
        <f>SUMIF('Trip Cancellations'!$B:$B,A500,'Trip Cancellations'!$E:$E)</f>
        <v>0</v>
      </c>
      <c r="AH500" s="14">
        <f>SUMIF('Trip Cancellations'!$B:$B,A500,'Trip Cancellations'!$F:$F)</f>
        <v>0</v>
      </c>
      <c r="AI500" s="14">
        <f t="shared" si="149"/>
        <v>1019.76</v>
      </c>
      <c r="AJ500" s="14" t="str">
        <f t="shared" si="150"/>
        <v>Yes</v>
      </c>
      <c r="AK500" s="14" t="str">
        <f>IF(Y500=0,"N/A",
IF(_xlfn.XLOOKUP(U500,Hotels!A:A,Hotels!C:C)=TRUE,"Yes","No"))</f>
        <v>Yes</v>
      </c>
      <c r="AL500" s="14" t="str">
        <f>IF(N500="Rail","N/A",IF(_xlfn.XLOOKUP(T500,Airlines!A:A,Airlines!C:C)=TRUE,"Yes","No"))</f>
        <v>Yes</v>
      </c>
      <c r="AM500" s="14" t="str">
        <f t="shared" si="151"/>
        <v>Yes</v>
      </c>
      <c r="AN500" s="14" t="str">
        <f t="shared" si="152"/>
        <v>Yes</v>
      </c>
      <c r="AO500" s="14" t="str">
        <f t="shared" si="153"/>
        <v>Yes</v>
      </c>
      <c r="AP500" s="16" t="s">
        <v>148</v>
      </c>
      <c r="AQ500" t="str">
        <f t="shared" si="154"/>
        <v>Yes</v>
      </c>
      <c r="AR500" s="21">
        <v>4</v>
      </c>
      <c r="AS500" s="5">
        <v>372.3</v>
      </c>
      <c r="AT500" s="5" t="str">
        <f>IF(T500="","",_xlfn.XLOOKUP(T500,Airlines!A:A,Airlines!B:B,"Not Found"))</f>
        <v>Air France</v>
      </c>
      <c r="AU500" s="5" t="str">
        <f>IF(U500="","",_xlfn.XLOOKUP(U500,Hotels!A:A,Hotels!B:B,"Not found"))</f>
        <v>IHG Hotels &amp; Resorts</v>
      </c>
      <c r="AV500" t="s">
        <v>147</v>
      </c>
      <c r="AW500" s="16" t="str">
        <f t="shared" si="155"/>
        <v>OK</v>
      </c>
      <c r="AX500" s="16" t="str">
        <f t="shared" si="156"/>
        <v>OK</v>
      </c>
      <c r="AY500" s="16" t="str">
        <f t="shared" si="157"/>
        <v>OK</v>
      </c>
      <c r="AZ500" s="16" t="str">
        <f t="shared" si="158"/>
        <v>OK</v>
      </c>
      <c r="BA500" s="16" t="str">
        <f t="shared" si="162"/>
        <v>OK</v>
      </c>
      <c r="BB500" s="21">
        <f>COUNTIF('Trip Changes'!B:B,A500)</f>
        <v>0</v>
      </c>
      <c r="BC500" s="16" t="str">
        <f>IF(OR(AND(AD500="Yes",COUNTIF('Trip Changes'!B:B,A500)&gt;0),AND(AD500="No",COUNTIF('Trip Changes'!B:B,A500)=0)),"OK","Check")</f>
        <v>OK</v>
      </c>
      <c r="BD500" t="str">
        <f t="shared" si="163"/>
        <v>OK</v>
      </c>
      <c r="BE500" t="str">
        <f t="shared" si="164"/>
        <v>OK</v>
      </c>
      <c r="BF500" t="str">
        <f t="shared" si="165"/>
        <v>OK</v>
      </c>
      <c r="BG500" t="str">
        <f t="shared" si="166"/>
        <v>OK</v>
      </c>
      <c r="BH500" t="str">
        <f t="shared" si="167"/>
        <v>OK</v>
      </c>
      <c r="BI500" t="str">
        <f t="shared" si="159"/>
        <v>OK</v>
      </c>
      <c r="BJ500" t="str">
        <f t="shared" si="160"/>
        <v>OK</v>
      </c>
      <c r="BK500" t="str">
        <f t="shared" si="161"/>
        <v>OK</v>
      </c>
    </row>
    <row r="501" spans="1:63">
      <c r="A501" s="16" t="s">
        <v>850</v>
      </c>
      <c r="B501" s="16" t="s">
        <v>848</v>
      </c>
      <c r="C501" s="16" t="s">
        <v>182</v>
      </c>
      <c r="D501" s="16" t="s">
        <v>194</v>
      </c>
      <c r="E501" s="16" t="s">
        <v>139</v>
      </c>
      <c r="F501" s="16" t="s">
        <v>157</v>
      </c>
      <c r="G501" s="15">
        <v>46147</v>
      </c>
      <c r="H501" s="15">
        <v>46152</v>
      </c>
      <c r="I501" s="15">
        <v>46156</v>
      </c>
      <c r="J501" s="15" t="s">
        <v>163</v>
      </c>
      <c r="K501" s="16" t="s">
        <v>182</v>
      </c>
      <c r="L501" t="s">
        <v>240</v>
      </c>
      <c r="M501" s="16" t="s">
        <v>152</v>
      </c>
      <c r="N501" s="16" t="s">
        <v>153</v>
      </c>
      <c r="O501" t="s">
        <v>1614</v>
      </c>
      <c r="P501" s="18">
        <v>16310</v>
      </c>
      <c r="Q501" s="21">
        <v>5</v>
      </c>
      <c r="R501" s="21" t="str">
        <f t="shared" si="147"/>
        <v>4-7 days</v>
      </c>
      <c r="S501" s="16" t="s">
        <v>159</v>
      </c>
      <c r="T501" s="16" t="s">
        <v>441</v>
      </c>
      <c r="U501" s="16" t="s">
        <v>173</v>
      </c>
      <c r="V501" t="str">
        <f>IF(U501="","",IFERROR(VLOOKUP(U501,Hotels!A:B,2,FALSE),"Not Found"))</f>
        <v>Accor</v>
      </c>
      <c r="W501" s="14">
        <v>1545.92</v>
      </c>
      <c r="X501" s="14">
        <v>0</v>
      </c>
      <c r="Y501" s="21">
        <v>3</v>
      </c>
      <c r="Z501" s="29">
        <f t="shared" si="148"/>
        <v>99.509999999999991</v>
      </c>
      <c r="AA501" s="14">
        <v>298.52999999999997</v>
      </c>
      <c r="AB501" s="14">
        <v>127.53</v>
      </c>
      <c r="AC501" s="14">
        <v>1971.98</v>
      </c>
      <c r="AD501" s="16" t="s">
        <v>147</v>
      </c>
      <c r="AE501" s="16" t="s">
        <v>147</v>
      </c>
      <c r="AF501" s="14">
        <f>SUMIF('Trip Changes'!$B:$B,A501,'Trip Changes'!$E:$E)</f>
        <v>0</v>
      </c>
      <c r="AG501" s="23">
        <f>SUMIF('Trip Cancellations'!$B:$B,A501,'Trip Cancellations'!$E:$E)</f>
        <v>0</v>
      </c>
      <c r="AH501" s="14">
        <f>SUMIF('Trip Cancellations'!$B:$B,A501,'Trip Cancellations'!$F:$F)</f>
        <v>0</v>
      </c>
      <c r="AI501" s="14">
        <f t="shared" si="149"/>
        <v>1971.98</v>
      </c>
      <c r="AJ501" s="14" t="str">
        <f t="shared" si="150"/>
        <v>Yes</v>
      </c>
      <c r="AK501" s="14" t="str">
        <f>IF(Y501=0,"N/A",
IF(_xlfn.XLOOKUP(U501,Hotels!A:A,Hotels!C:C)=TRUE,"Yes","No"))</f>
        <v>Yes</v>
      </c>
      <c r="AL501" s="14" t="str">
        <f>IF(N501="Rail","N/A",IF(_xlfn.XLOOKUP(T501,Airlines!A:A,Airlines!C:C)=TRUE,"Yes","No"))</f>
        <v>Yes</v>
      </c>
      <c r="AM501" s="14" t="str">
        <f t="shared" si="151"/>
        <v>Yes</v>
      </c>
      <c r="AN501" s="14" t="str">
        <f t="shared" si="152"/>
        <v>Yes</v>
      </c>
      <c r="AO501" s="14" t="str">
        <f t="shared" si="153"/>
        <v>Yes</v>
      </c>
      <c r="AP501" s="16" t="s">
        <v>148</v>
      </c>
      <c r="AQ501" t="str">
        <f t="shared" si="154"/>
        <v>Yes</v>
      </c>
      <c r="AR501" s="21">
        <v>4</v>
      </c>
      <c r="AS501" s="5">
        <v>2446.5</v>
      </c>
      <c r="AT501" s="5" t="str">
        <f>IF(T501="","",_xlfn.XLOOKUP(T501,Airlines!A:A,Airlines!B:B,"Not Found"))</f>
        <v>Emirates</v>
      </c>
      <c r="AU501" s="5" t="str">
        <f>IF(U501="","",_xlfn.XLOOKUP(U501,Hotels!A:A,Hotels!B:B,"Not found"))</f>
        <v>Accor</v>
      </c>
      <c r="AV501" t="s">
        <v>148</v>
      </c>
      <c r="AW501" s="16" t="str">
        <f t="shared" si="155"/>
        <v>OK</v>
      </c>
      <c r="AX501" s="16" t="str">
        <f t="shared" si="156"/>
        <v>OK</v>
      </c>
      <c r="AY501" s="16" t="str">
        <f t="shared" si="157"/>
        <v>OK</v>
      </c>
      <c r="AZ501" s="16" t="str">
        <f t="shared" si="158"/>
        <v>OK</v>
      </c>
      <c r="BA501" s="16" t="str">
        <f t="shared" si="162"/>
        <v>OK</v>
      </c>
      <c r="BB501" s="21">
        <f>COUNTIF('Trip Changes'!B:B,A501)</f>
        <v>0</v>
      </c>
      <c r="BC501" s="16" t="str">
        <f>IF(OR(AND(AD501="Yes",COUNTIF('Trip Changes'!B:B,A501)&gt;0),AND(AD501="No",COUNTIF('Trip Changes'!B:B,A501)=0)),"OK","Check")</f>
        <v>OK</v>
      </c>
      <c r="BD501" t="str">
        <f t="shared" si="163"/>
        <v>OK</v>
      </c>
      <c r="BE501" t="str">
        <f t="shared" si="164"/>
        <v>OK</v>
      </c>
      <c r="BF501" t="str">
        <f t="shared" si="165"/>
        <v>OK</v>
      </c>
      <c r="BG501" t="str">
        <f t="shared" si="166"/>
        <v>OK</v>
      </c>
      <c r="BH501" t="str">
        <f t="shared" si="167"/>
        <v>OK</v>
      </c>
      <c r="BI501" t="str">
        <f t="shared" si="159"/>
        <v>OK</v>
      </c>
      <c r="BJ501" t="str">
        <f t="shared" si="160"/>
        <v>OK</v>
      </c>
      <c r="BK501" t="str">
        <f t="shared" si="161"/>
        <v>OK</v>
      </c>
    </row>
    <row r="502" spans="1:63">
      <c r="A502" s="16" t="s">
        <v>851</v>
      </c>
      <c r="B502" s="16" t="s">
        <v>848</v>
      </c>
      <c r="C502" s="16" t="s">
        <v>182</v>
      </c>
      <c r="D502" s="16" t="s">
        <v>194</v>
      </c>
      <c r="E502" s="16" t="s">
        <v>139</v>
      </c>
      <c r="F502" s="16" t="s">
        <v>162</v>
      </c>
      <c r="G502" s="15">
        <v>46185</v>
      </c>
      <c r="H502" s="15">
        <v>46192</v>
      </c>
      <c r="I502" s="15">
        <v>46195</v>
      </c>
      <c r="J502" s="15" t="s">
        <v>141</v>
      </c>
      <c r="K502" s="16" t="s">
        <v>182</v>
      </c>
      <c r="L502" t="s">
        <v>199</v>
      </c>
      <c r="M502" s="16" t="s">
        <v>152</v>
      </c>
      <c r="N502" s="16" t="s">
        <v>153</v>
      </c>
      <c r="O502" t="s">
        <v>1614</v>
      </c>
      <c r="P502" s="18">
        <v>3226</v>
      </c>
      <c r="Q502" s="21">
        <v>7</v>
      </c>
      <c r="R502" s="21" t="str">
        <f t="shared" si="147"/>
        <v>4-7 days</v>
      </c>
      <c r="S502" s="16" t="s">
        <v>216</v>
      </c>
      <c r="T502" s="16" t="s">
        <v>154</v>
      </c>
      <c r="U502" s="16" t="s">
        <v>155</v>
      </c>
      <c r="V502" t="str">
        <f>IF(U502="","",IFERROR(VLOOKUP(U502,Hotels!A:B,2,FALSE),"Not Found"))</f>
        <v>Hilton</v>
      </c>
      <c r="W502" s="14">
        <v>526.15</v>
      </c>
      <c r="X502" s="14">
        <v>0</v>
      </c>
      <c r="Y502" s="21">
        <v>2</v>
      </c>
      <c r="Z502" s="29">
        <f t="shared" si="148"/>
        <v>148.46</v>
      </c>
      <c r="AA502" s="14">
        <v>296.92</v>
      </c>
      <c r="AB502" s="14">
        <v>88</v>
      </c>
      <c r="AC502" s="14">
        <v>911.07</v>
      </c>
      <c r="AD502" s="16" t="s">
        <v>147</v>
      </c>
      <c r="AE502" s="16" t="s">
        <v>147</v>
      </c>
      <c r="AF502" s="14">
        <f>SUMIF('Trip Changes'!$B:$B,A502,'Trip Changes'!$E:$E)</f>
        <v>0</v>
      </c>
      <c r="AG502" s="23">
        <f>SUMIF('Trip Cancellations'!$B:$B,A502,'Trip Cancellations'!$E:$E)</f>
        <v>0</v>
      </c>
      <c r="AH502" s="14">
        <f>SUMIF('Trip Cancellations'!$B:$B,A502,'Trip Cancellations'!$F:$F)</f>
        <v>0</v>
      </c>
      <c r="AI502" s="14">
        <f t="shared" si="149"/>
        <v>911.07</v>
      </c>
      <c r="AJ502" s="14" t="str">
        <f t="shared" si="150"/>
        <v>Yes</v>
      </c>
      <c r="AK502" s="14" t="str">
        <f>IF(Y502=0,"N/A",
IF(_xlfn.XLOOKUP(U502,Hotels!A:A,Hotels!C:C)=TRUE,"Yes","No"))</f>
        <v>Yes</v>
      </c>
      <c r="AL502" s="14" t="str">
        <f>IF(N502="Rail","N/A",IF(_xlfn.XLOOKUP(T502,Airlines!A:A,Airlines!C:C)=TRUE,"Yes","No"))</f>
        <v>Yes</v>
      </c>
      <c r="AM502" s="14" t="str">
        <f t="shared" si="151"/>
        <v>Yes</v>
      </c>
      <c r="AN502" s="14" t="str">
        <f t="shared" si="152"/>
        <v>No</v>
      </c>
      <c r="AO502" s="14" t="str">
        <f t="shared" si="153"/>
        <v>Yes</v>
      </c>
      <c r="AP502" s="16" t="s">
        <v>148</v>
      </c>
      <c r="AQ502" t="str">
        <f t="shared" si="154"/>
        <v>No</v>
      </c>
      <c r="AR502" s="21">
        <v>5</v>
      </c>
      <c r="AS502" s="5">
        <v>483.9</v>
      </c>
      <c r="AT502" s="5" t="str">
        <f>IF(T502="","",_xlfn.XLOOKUP(T502,Airlines!A:A,Airlines!B:B,"Not Found"))</f>
        <v>British Airways</v>
      </c>
      <c r="AU502" s="5" t="str">
        <f>IF(U502="","",_xlfn.XLOOKUP(U502,Hotels!A:A,Hotels!B:B,"Not found"))</f>
        <v>Hilton</v>
      </c>
      <c r="AV502" t="s">
        <v>148</v>
      </c>
      <c r="AW502" s="16" t="str">
        <f t="shared" si="155"/>
        <v>OK</v>
      </c>
      <c r="AX502" s="16" t="str">
        <f t="shared" si="156"/>
        <v>OK</v>
      </c>
      <c r="AY502" s="16" t="str">
        <f t="shared" si="157"/>
        <v>OK</v>
      </c>
      <c r="AZ502" s="16" t="str">
        <f t="shared" si="158"/>
        <v>OK</v>
      </c>
      <c r="BA502" s="16" t="str">
        <f t="shared" si="162"/>
        <v>OK</v>
      </c>
      <c r="BB502" s="21">
        <f>COUNTIF('Trip Changes'!B:B,A502)</f>
        <v>0</v>
      </c>
      <c r="BC502" s="16" t="str">
        <f>IF(OR(AND(AD502="Yes",COUNTIF('Trip Changes'!B:B,A502)&gt;0),AND(AD502="No",COUNTIF('Trip Changes'!B:B,A502)=0)),"OK","Check")</f>
        <v>OK</v>
      </c>
      <c r="BD502" t="str">
        <f t="shared" si="163"/>
        <v>OK</v>
      </c>
      <c r="BE502" t="str">
        <f t="shared" si="164"/>
        <v>OK</v>
      </c>
      <c r="BF502" t="str">
        <f t="shared" si="165"/>
        <v>OK</v>
      </c>
      <c r="BG502" t="str">
        <f t="shared" si="166"/>
        <v>OK</v>
      </c>
      <c r="BH502" t="str">
        <f t="shared" si="167"/>
        <v>OK</v>
      </c>
      <c r="BI502" t="str">
        <f t="shared" si="159"/>
        <v>OK</v>
      </c>
      <c r="BJ502" t="str">
        <f t="shared" si="160"/>
        <v>OK</v>
      </c>
      <c r="BK502" t="str">
        <f t="shared" si="161"/>
        <v>OK</v>
      </c>
    </row>
    <row r="503" spans="1:63">
      <c r="A503" s="16" t="s">
        <v>852</v>
      </c>
      <c r="B503" s="16" t="s">
        <v>848</v>
      </c>
      <c r="C503" s="16" t="s">
        <v>182</v>
      </c>
      <c r="D503" s="16" t="s">
        <v>194</v>
      </c>
      <c r="E503" s="16" t="s">
        <v>139</v>
      </c>
      <c r="F503" s="16" t="s">
        <v>162</v>
      </c>
      <c r="G503" s="15">
        <v>46193</v>
      </c>
      <c r="H503" s="15">
        <v>46225</v>
      </c>
      <c r="I503" s="15">
        <v>46227</v>
      </c>
      <c r="J503" s="15" t="s">
        <v>150</v>
      </c>
      <c r="K503" s="16" t="s">
        <v>182</v>
      </c>
      <c r="L503" t="s">
        <v>307</v>
      </c>
      <c r="M503" s="16" t="s">
        <v>143</v>
      </c>
      <c r="N503" s="16" t="s">
        <v>153</v>
      </c>
      <c r="O503" t="s">
        <v>1614</v>
      </c>
      <c r="P503" s="18">
        <v>444</v>
      </c>
      <c r="Q503" s="21">
        <v>32</v>
      </c>
      <c r="R503" s="21" t="str">
        <f t="shared" si="147"/>
        <v>31+ days</v>
      </c>
      <c r="S503" s="16" t="s">
        <v>216</v>
      </c>
      <c r="T503" s="16" t="s">
        <v>154</v>
      </c>
      <c r="U503" s="16" t="s">
        <v>146</v>
      </c>
      <c r="V503" t="str">
        <f>IF(U503="","",IFERROR(VLOOKUP(U503,Hotels!A:B,2,FALSE),"Not Found"))</f>
        <v>Premier Inn</v>
      </c>
      <c r="W503" s="14">
        <v>321.07</v>
      </c>
      <c r="X503" s="14">
        <v>0</v>
      </c>
      <c r="Y503" s="21">
        <v>1</v>
      </c>
      <c r="Z503" s="29">
        <f t="shared" si="148"/>
        <v>107.96</v>
      </c>
      <c r="AA503" s="14">
        <v>107.96</v>
      </c>
      <c r="AB503" s="14">
        <v>85.76</v>
      </c>
      <c r="AC503" s="14">
        <v>514.79</v>
      </c>
      <c r="AD503" s="16" t="s">
        <v>147</v>
      </c>
      <c r="AE503" s="16" t="s">
        <v>147</v>
      </c>
      <c r="AF503" s="14">
        <f>SUMIF('Trip Changes'!$B:$B,A503,'Trip Changes'!$E:$E)</f>
        <v>0</v>
      </c>
      <c r="AG503" s="23">
        <f>SUMIF('Trip Cancellations'!$B:$B,A503,'Trip Cancellations'!$E:$E)</f>
        <v>0</v>
      </c>
      <c r="AH503" s="14">
        <f>SUMIF('Trip Cancellations'!$B:$B,A503,'Trip Cancellations'!$F:$F)</f>
        <v>0</v>
      </c>
      <c r="AI503" s="14">
        <f t="shared" si="149"/>
        <v>514.79</v>
      </c>
      <c r="AJ503" s="14" t="str">
        <f t="shared" si="150"/>
        <v>Yes</v>
      </c>
      <c r="AK503" s="14" t="str">
        <f>IF(Y503=0,"N/A",
IF(_xlfn.XLOOKUP(U503,Hotels!A:A,Hotels!C:C)=TRUE,"Yes","No"))</f>
        <v>Yes</v>
      </c>
      <c r="AL503" s="14" t="str">
        <f>IF(N503="Rail","N/A",IF(_xlfn.XLOOKUP(T503,Airlines!A:A,Airlines!C:C)=TRUE,"Yes","No"))</f>
        <v>Yes</v>
      </c>
      <c r="AM503" s="14" t="str">
        <f t="shared" si="151"/>
        <v>Yes</v>
      </c>
      <c r="AN503" s="14" t="str">
        <f t="shared" si="152"/>
        <v>No</v>
      </c>
      <c r="AO503" s="14" t="str">
        <f t="shared" si="153"/>
        <v>Yes</v>
      </c>
      <c r="AP503" s="16" t="s">
        <v>148</v>
      </c>
      <c r="AQ503" t="str">
        <f t="shared" si="154"/>
        <v>No</v>
      </c>
      <c r="AR503" s="21">
        <v>3</v>
      </c>
      <c r="AS503" s="5">
        <v>66.599999999999994</v>
      </c>
      <c r="AT503" s="5" t="str">
        <f>IF(T503="","",_xlfn.XLOOKUP(T503,Airlines!A:A,Airlines!B:B,"Not Found"))</f>
        <v>British Airways</v>
      </c>
      <c r="AU503" s="5" t="str">
        <f>IF(U503="","",_xlfn.XLOOKUP(U503,Hotels!A:A,Hotels!B:B,"Not found"))</f>
        <v>Premier Inn</v>
      </c>
      <c r="AV503" t="s">
        <v>147</v>
      </c>
      <c r="AW503" s="16" t="str">
        <f t="shared" si="155"/>
        <v>OK</v>
      </c>
      <c r="AX503" s="16" t="str">
        <f t="shared" si="156"/>
        <v>OK</v>
      </c>
      <c r="AY503" s="16" t="str">
        <f t="shared" si="157"/>
        <v>OK</v>
      </c>
      <c r="AZ503" s="16" t="str">
        <f t="shared" si="158"/>
        <v>OK</v>
      </c>
      <c r="BA503" s="16" t="str">
        <f t="shared" si="162"/>
        <v>OK</v>
      </c>
      <c r="BB503" s="21">
        <f>COUNTIF('Trip Changes'!B:B,A503)</f>
        <v>0</v>
      </c>
      <c r="BC503" s="16" t="str">
        <f>IF(OR(AND(AD503="Yes",COUNTIF('Trip Changes'!B:B,A503)&gt;0),AND(AD503="No",COUNTIF('Trip Changes'!B:B,A503)=0)),"OK","Check")</f>
        <v>OK</v>
      </c>
      <c r="BD503" t="str">
        <f t="shared" si="163"/>
        <v>OK</v>
      </c>
      <c r="BE503" t="str">
        <f t="shared" si="164"/>
        <v>OK</v>
      </c>
      <c r="BF503" t="str">
        <f t="shared" si="165"/>
        <v>OK</v>
      </c>
      <c r="BG503" t="str">
        <f t="shared" si="166"/>
        <v>OK</v>
      </c>
      <c r="BH503" t="str">
        <f t="shared" si="167"/>
        <v>OK</v>
      </c>
      <c r="BI503" t="str">
        <f t="shared" si="159"/>
        <v>OK</v>
      </c>
      <c r="BJ503" t="str">
        <f t="shared" si="160"/>
        <v>OK</v>
      </c>
      <c r="BK503" t="str">
        <f t="shared" si="161"/>
        <v>OK</v>
      </c>
    </row>
    <row r="504" spans="1:63">
      <c r="A504" s="16" t="s">
        <v>853</v>
      </c>
      <c r="B504" s="16" t="s">
        <v>848</v>
      </c>
      <c r="C504" s="16" t="s">
        <v>182</v>
      </c>
      <c r="D504" s="16" t="s">
        <v>194</v>
      </c>
      <c r="E504" s="16" t="s">
        <v>139</v>
      </c>
      <c r="F504" s="16" t="s">
        <v>140</v>
      </c>
      <c r="G504" s="15">
        <v>46122</v>
      </c>
      <c r="H504" s="15">
        <v>46148</v>
      </c>
      <c r="I504" s="15">
        <v>46151</v>
      </c>
      <c r="J504" s="15" t="s">
        <v>163</v>
      </c>
      <c r="K504" s="16" t="s">
        <v>182</v>
      </c>
      <c r="L504" t="s">
        <v>215</v>
      </c>
      <c r="M504" s="16" t="s">
        <v>152</v>
      </c>
      <c r="N504" s="16" t="s">
        <v>153</v>
      </c>
      <c r="O504" t="s">
        <v>1631</v>
      </c>
      <c r="P504" s="18">
        <v>2400</v>
      </c>
      <c r="Q504" s="21">
        <v>26</v>
      </c>
      <c r="R504" s="21" t="str">
        <f t="shared" si="147"/>
        <v>15-30 days</v>
      </c>
      <c r="S504" s="16" t="s">
        <v>145</v>
      </c>
      <c r="T504" s="16" t="s">
        <v>154</v>
      </c>
      <c r="U504" s="16" t="s">
        <v>164</v>
      </c>
      <c r="V504" t="str">
        <f>IF(U504="","",IFERROR(VLOOKUP(U504,Hotels!A:B,2,FALSE),"Not Found"))</f>
        <v>Marriott</v>
      </c>
      <c r="W504" s="14">
        <v>525.22</v>
      </c>
      <c r="X504" s="14">
        <v>0</v>
      </c>
      <c r="Y504" s="21">
        <v>2</v>
      </c>
      <c r="Z504" s="29">
        <f t="shared" si="148"/>
        <v>182.82</v>
      </c>
      <c r="AA504" s="14">
        <v>365.64</v>
      </c>
      <c r="AB504" s="14">
        <v>56.42</v>
      </c>
      <c r="AC504" s="14">
        <v>947.28</v>
      </c>
      <c r="AD504" s="16" t="s">
        <v>147</v>
      </c>
      <c r="AE504" s="16" t="s">
        <v>147</v>
      </c>
      <c r="AF504" s="14">
        <f>SUMIF('Trip Changes'!$B:$B,A504,'Trip Changes'!$E:$E)</f>
        <v>0</v>
      </c>
      <c r="AG504" s="23">
        <f>SUMIF('Trip Cancellations'!$B:$B,A504,'Trip Cancellations'!$E:$E)</f>
        <v>0</v>
      </c>
      <c r="AH504" s="14">
        <f>SUMIF('Trip Cancellations'!$B:$B,A504,'Trip Cancellations'!$F:$F)</f>
        <v>0</v>
      </c>
      <c r="AI504" s="14">
        <f t="shared" si="149"/>
        <v>947.28</v>
      </c>
      <c r="AJ504" s="14" t="str">
        <f t="shared" si="150"/>
        <v>No</v>
      </c>
      <c r="AK504" s="14" t="str">
        <f>IF(Y504=0,"N/A",
IF(_xlfn.XLOOKUP(U504,Hotels!A:A,Hotels!C:C)=TRUE,"Yes","No"))</f>
        <v>Yes</v>
      </c>
      <c r="AL504" s="14" t="str">
        <f>IF(N504="Rail","N/A",IF(_xlfn.XLOOKUP(T504,Airlines!A:A,Airlines!C:C)=TRUE,"Yes","No"))</f>
        <v>Yes</v>
      </c>
      <c r="AM504" s="14" t="str">
        <f t="shared" si="151"/>
        <v>No</v>
      </c>
      <c r="AN504" s="14" t="str">
        <f t="shared" si="152"/>
        <v>Yes</v>
      </c>
      <c r="AO504" s="14" t="str">
        <f t="shared" si="153"/>
        <v>Yes</v>
      </c>
      <c r="AP504" s="16" t="s">
        <v>148</v>
      </c>
      <c r="AQ504" t="str">
        <f t="shared" si="154"/>
        <v>No</v>
      </c>
      <c r="AR504" s="21">
        <v>4</v>
      </c>
      <c r="AS504" s="5">
        <v>360</v>
      </c>
      <c r="AT504" s="5" t="str">
        <f>IF(T504="","",_xlfn.XLOOKUP(T504,Airlines!A:A,Airlines!B:B,"Not Found"))</f>
        <v>British Airways</v>
      </c>
      <c r="AU504" s="5" t="str">
        <f>IF(U504="","",_xlfn.XLOOKUP(U504,Hotels!A:A,Hotels!B:B,"Not found"))</f>
        <v>Marriott</v>
      </c>
      <c r="AV504" t="s">
        <v>147</v>
      </c>
      <c r="AW504" s="16" t="str">
        <f t="shared" si="155"/>
        <v>OK</v>
      </c>
      <c r="AX504" s="16" t="str">
        <f t="shared" si="156"/>
        <v>OK</v>
      </c>
      <c r="AY504" s="16" t="str">
        <f t="shared" si="157"/>
        <v>OK</v>
      </c>
      <c r="AZ504" s="16" t="str">
        <f t="shared" si="158"/>
        <v>OK</v>
      </c>
      <c r="BA504" s="16" t="str">
        <f t="shared" si="162"/>
        <v>OK</v>
      </c>
      <c r="BB504" s="21">
        <f>COUNTIF('Trip Changes'!B:B,A504)</f>
        <v>0</v>
      </c>
      <c r="BC504" s="16" t="str">
        <f>IF(OR(AND(AD504="Yes",COUNTIF('Trip Changes'!B:B,A504)&gt;0),AND(AD504="No",COUNTIF('Trip Changes'!B:B,A504)=0)),"OK","Check")</f>
        <v>OK</v>
      </c>
      <c r="BD504" t="str">
        <f t="shared" si="163"/>
        <v>OK</v>
      </c>
      <c r="BE504" t="str">
        <f t="shared" si="164"/>
        <v>OK</v>
      </c>
      <c r="BF504" t="str">
        <f t="shared" si="165"/>
        <v>OK</v>
      </c>
      <c r="BG504" t="str">
        <f t="shared" si="166"/>
        <v>OK</v>
      </c>
      <c r="BH504" t="str">
        <f t="shared" si="167"/>
        <v>OK</v>
      </c>
      <c r="BI504" t="str">
        <f t="shared" si="159"/>
        <v>OK</v>
      </c>
      <c r="BJ504" t="str">
        <f t="shared" si="160"/>
        <v>OK</v>
      </c>
      <c r="BK504" t="str">
        <f t="shared" si="161"/>
        <v>OK</v>
      </c>
    </row>
    <row r="505" spans="1:63">
      <c r="A505" s="16" t="s">
        <v>854</v>
      </c>
      <c r="B505" s="16" t="s">
        <v>855</v>
      </c>
      <c r="C505" s="16" t="s">
        <v>182</v>
      </c>
      <c r="D505" s="16" t="s">
        <v>194</v>
      </c>
      <c r="E505" s="16" t="s">
        <v>262</v>
      </c>
      <c r="F505" s="16" t="s">
        <v>140</v>
      </c>
      <c r="G505" s="15">
        <v>46125</v>
      </c>
      <c r="H505" s="15">
        <v>46151</v>
      </c>
      <c r="I505" s="15">
        <v>46153</v>
      </c>
      <c r="J505" s="15" t="s">
        <v>163</v>
      </c>
      <c r="K505" s="16" t="s">
        <v>182</v>
      </c>
      <c r="L505" t="s">
        <v>185</v>
      </c>
      <c r="M505" s="16" t="s">
        <v>152</v>
      </c>
      <c r="N505" s="16" t="s">
        <v>153</v>
      </c>
      <c r="O505" t="s">
        <v>1614</v>
      </c>
      <c r="P505" s="18">
        <v>10310</v>
      </c>
      <c r="Q505" s="21">
        <v>26</v>
      </c>
      <c r="R505" s="21" t="str">
        <f t="shared" si="147"/>
        <v>15-30 days</v>
      </c>
      <c r="S505" s="16" t="s">
        <v>145</v>
      </c>
      <c r="T505" s="16" t="s">
        <v>186</v>
      </c>
      <c r="U505" s="16" t="s">
        <v>173</v>
      </c>
      <c r="V505" t="str">
        <f>IF(U505="","",IFERROR(VLOOKUP(U505,Hotels!A:B,2,FALSE),"Not Found"))</f>
        <v>Accor</v>
      </c>
      <c r="W505" s="14">
        <v>1213.1099999999999</v>
      </c>
      <c r="X505" s="14">
        <v>0</v>
      </c>
      <c r="Y505" s="21">
        <v>1</v>
      </c>
      <c r="Z505" s="29">
        <f t="shared" si="148"/>
        <v>225.08</v>
      </c>
      <c r="AA505" s="14">
        <v>225.08</v>
      </c>
      <c r="AB505" s="14">
        <v>156.94</v>
      </c>
      <c r="AC505" s="14">
        <v>1595.13</v>
      </c>
      <c r="AD505" s="16" t="s">
        <v>147</v>
      </c>
      <c r="AE505" s="16" t="s">
        <v>147</v>
      </c>
      <c r="AF505" s="14">
        <f>SUMIF('Trip Changes'!$B:$B,A505,'Trip Changes'!$E:$E)</f>
        <v>0</v>
      </c>
      <c r="AG505" s="23">
        <f>SUMIF('Trip Cancellations'!$B:$B,A505,'Trip Cancellations'!$E:$E)</f>
        <v>0</v>
      </c>
      <c r="AH505" s="14">
        <f>SUMIF('Trip Cancellations'!$B:$B,A505,'Trip Cancellations'!$F:$F)</f>
        <v>0</v>
      </c>
      <c r="AI505" s="14">
        <f t="shared" si="149"/>
        <v>1595.13</v>
      </c>
      <c r="AJ505" s="14" t="str">
        <f t="shared" si="150"/>
        <v>No</v>
      </c>
      <c r="AK505" s="14" t="str">
        <f>IF(Y505=0,"N/A",
IF(_xlfn.XLOOKUP(U505,Hotels!A:A,Hotels!C:C)=TRUE,"Yes","No"))</f>
        <v>Yes</v>
      </c>
      <c r="AL505" s="14" t="str">
        <f>IF(N505="Rail","N/A",IF(_xlfn.XLOOKUP(T505,Airlines!A:A,Airlines!C:C)=TRUE,"Yes","No"))</f>
        <v>Yes</v>
      </c>
      <c r="AM505" s="14" t="str">
        <f t="shared" si="151"/>
        <v>Yes</v>
      </c>
      <c r="AN505" s="14" t="str">
        <f t="shared" si="152"/>
        <v>Yes</v>
      </c>
      <c r="AO505" s="14" t="str">
        <f t="shared" si="153"/>
        <v>Yes</v>
      </c>
      <c r="AP505" s="16" t="s">
        <v>148</v>
      </c>
      <c r="AQ505" t="str">
        <f t="shared" si="154"/>
        <v>No</v>
      </c>
      <c r="AR505" s="21">
        <v>4</v>
      </c>
      <c r="AS505" s="5">
        <v>1546.5</v>
      </c>
      <c r="AT505" s="5" t="str">
        <f>IF(T505="","",_xlfn.XLOOKUP(T505,Airlines!A:A,Airlines!B:B,"Not Found"))</f>
        <v>Virgin Atlantic</v>
      </c>
      <c r="AU505" s="5" t="str">
        <f>IF(U505="","",_xlfn.XLOOKUP(U505,Hotels!A:A,Hotels!B:B,"Not found"))</f>
        <v>Accor</v>
      </c>
      <c r="AV505" t="s">
        <v>148</v>
      </c>
      <c r="AW505" s="16" t="str">
        <f t="shared" si="155"/>
        <v>OK</v>
      </c>
      <c r="AX505" s="16" t="str">
        <f t="shared" si="156"/>
        <v>OK</v>
      </c>
      <c r="AY505" s="16" t="str">
        <f t="shared" si="157"/>
        <v>OK</v>
      </c>
      <c r="AZ505" s="16" t="str">
        <f t="shared" si="158"/>
        <v>OK</v>
      </c>
      <c r="BA505" s="16" t="str">
        <f t="shared" si="162"/>
        <v>OK</v>
      </c>
      <c r="BB505" s="21">
        <f>COUNTIF('Trip Changes'!B:B,A505)</f>
        <v>0</v>
      </c>
      <c r="BC505" s="16" t="str">
        <f>IF(OR(AND(AD505="Yes",COUNTIF('Trip Changes'!B:B,A505)&gt;0),AND(AD505="No",COUNTIF('Trip Changes'!B:B,A505)=0)),"OK","Check")</f>
        <v>OK</v>
      </c>
      <c r="BD505" t="str">
        <f t="shared" si="163"/>
        <v>OK</v>
      </c>
      <c r="BE505" t="str">
        <f t="shared" si="164"/>
        <v>OK</v>
      </c>
      <c r="BF505" t="str">
        <f t="shared" si="165"/>
        <v>OK</v>
      </c>
      <c r="BG505" t="str">
        <f t="shared" si="166"/>
        <v>OK</v>
      </c>
      <c r="BH505" t="str">
        <f t="shared" si="167"/>
        <v>OK</v>
      </c>
      <c r="BI505" t="str">
        <f t="shared" si="159"/>
        <v>OK</v>
      </c>
      <c r="BJ505" t="str">
        <f t="shared" si="160"/>
        <v>OK</v>
      </c>
      <c r="BK505" t="str">
        <f t="shared" si="161"/>
        <v>OK</v>
      </c>
    </row>
    <row r="506" spans="1:63">
      <c r="A506" s="16" t="s">
        <v>856</v>
      </c>
      <c r="B506" s="16" t="s">
        <v>855</v>
      </c>
      <c r="C506" s="16" t="s">
        <v>182</v>
      </c>
      <c r="D506" s="16" t="s">
        <v>194</v>
      </c>
      <c r="E506" s="16" t="s">
        <v>262</v>
      </c>
      <c r="F506" s="16" t="s">
        <v>170</v>
      </c>
      <c r="G506" s="15">
        <v>46135</v>
      </c>
      <c r="H506" s="15">
        <v>46158</v>
      </c>
      <c r="I506" s="15">
        <v>46163</v>
      </c>
      <c r="J506" s="15" t="s">
        <v>163</v>
      </c>
      <c r="K506" s="16" t="s">
        <v>182</v>
      </c>
      <c r="L506" t="s">
        <v>171</v>
      </c>
      <c r="M506" s="16" t="s">
        <v>152</v>
      </c>
      <c r="N506" s="16" t="s">
        <v>153</v>
      </c>
      <c r="O506" t="s">
        <v>1614</v>
      </c>
      <c r="P506" s="18">
        <v>3514</v>
      </c>
      <c r="Q506" s="21">
        <v>23</v>
      </c>
      <c r="R506" s="21" t="str">
        <f t="shared" si="147"/>
        <v>15-30 days</v>
      </c>
      <c r="S506" s="16" t="s">
        <v>159</v>
      </c>
      <c r="T506" s="16" t="s">
        <v>172</v>
      </c>
      <c r="U506" s="16" t="s">
        <v>173</v>
      </c>
      <c r="V506" t="str">
        <f>IF(U506="","",IFERROR(VLOOKUP(U506,Hotels!A:B,2,FALSE),"Not Found"))</f>
        <v>Accor</v>
      </c>
      <c r="W506" s="14">
        <v>342.97</v>
      </c>
      <c r="X506" s="14">
        <v>0</v>
      </c>
      <c r="Y506" s="21">
        <v>4</v>
      </c>
      <c r="Z506" s="29">
        <f t="shared" si="148"/>
        <v>213.92250000000001</v>
      </c>
      <c r="AA506" s="14">
        <v>855.69</v>
      </c>
      <c r="AB506" s="14">
        <v>49.73</v>
      </c>
      <c r="AC506" s="14">
        <v>1248.3900000000001</v>
      </c>
      <c r="AD506" s="16" t="s">
        <v>147</v>
      </c>
      <c r="AE506" s="16" t="s">
        <v>147</v>
      </c>
      <c r="AF506" s="14">
        <f>SUMIF('Trip Changes'!$B:$B,A506,'Trip Changes'!$E:$E)</f>
        <v>0</v>
      </c>
      <c r="AG506" s="23">
        <f>SUMIF('Trip Cancellations'!$B:$B,A506,'Trip Cancellations'!$E:$E)</f>
        <v>0</v>
      </c>
      <c r="AH506" s="14">
        <f>SUMIF('Trip Cancellations'!$B:$B,A506,'Trip Cancellations'!$F:$F)</f>
        <v>0</v>
      </c>
      <c r="AI506" s="14">
        <f t="shared" si="149"/>
        <v>1248.3900000000001</v>
      </c>
      <c r="AJ506" s="14" t="str">
        <f t="shared" si="150"/>
        <v>No</v>
      </c>
      <c r="AK506" s="14" t="str">
        <f>IF(Y506=0,"N/A",
IF(_xlfn.XLOOKUP(U506,Hotels!A:A,Hotels!C:C)=TRUE,"Yes","No"))</f>
        <v>Yes</v>
      </c>
      <c r="AL506" s="14" t="str">
        <f>IF(N506="Rail","N/A",IF(_xlfn.XLOOKUP(T506,Airlines!A:A,Airlines!C:C)=TRUE,"Yes","No"))</f>
        <v>Yes</v>
      </c>
      <c r="AM506" s="14" t="str">
        <f t="shared" si="151"/>
        <v>Yes</v>
      </c>
      <c r="AN506" s="14" t="str">
        <f t="shared" si="152"/>
        <v>Yes</v>
      </c>
      <c r="AO506" s="14" t="str">
        <f t="shared" si="153"/>
        <v>Yes</v>
      </c>
      <c r="AP506" s="16" t="s">
        <v>148</v>
      </c>
      <c r="AQ506" t="str">
        <f t="shared" si="154"/>
        <v>No</v>
      </c>
      <c r="AR506" s="21">
        <v>5</v>
      </c>
      <c r="AS506" s="5">
        <v>527.1</v>
      </c>
      <c r="AT506" s="5" t="str">
        <f>IF(T506="","",_xlfn.XLOOKUP(T506,Airlines!A:A,Airlines!B:B,"Not Found"))</f>
        <v>Lufthansa</v>
      </c>
      <c r="AU506" s="5" t="str">
        <f>IF(U506="","",_xlfn.XLOOKUP(U506,Hotels!A:A,Hotels!B:B,"Not found"))</f>
        <v>Accor</v>
      </c>
      <c r="AV506" t="s">
        <v>148</v>
      </c>
      <c r="AW506" s="16" t="str">
        <f t="shared" si="155"/>
        <v>OK</v>
      </c>
      <c r="AX506" s="16" t="str">
        <f t="shared" si="156"/>
        <v>OK</v>
      </c>
      <c r="AY506" s="16" t="str">
        <f t="shared" si="157"/>
        <v>OK</v>
      </c>
      <c r="AZ506" s="16" t="str">
        <f t="shared" si="158"/>
        <v>OK</v>
      </c>
      <c r="BA506" s="16" t="str">
        <f t="shared" si="162"/>
        <v>OK</v>
      </c>
      <c r="BB506" s="21">
        <f>COUNTIF('Trip Changes'!B:B,A506)</f>
        <v>0</v>
      </c>
      <c r="BC506" s="16" t="str">
        <f>IF(OR(AND(AD506="Yes",COUNTIF('Trip Changes'!B:B,A506)&gt;0),AND(AD506="No",COUNTIF('Trip Changes'!B:B,A506)=0)),"OK","Check")</f>
        <v>OK</v>
      </c>
      <c r="BD506" t="str">
        <f t="shared" si="163"/>
        <v>OK</v>
      </c>
      <c r="BE506" t="str">
        <f t="shared" si="164"/>
        <v>OK</v>
      </c>
      <c r="BF506" t="str">
        <f t="shared" si="165"/>
        <v>OK</v>
      </c>
      <c r="BG506" t="str">
        <f t="shared" si="166"/>
        <v>OK</v>
      </c>
      <c r="BH506" t="str">
        <f t="shared" si="167"/>
        <v>OK</v>
      </c>
      <c r="BI506" t="str">
        <f t="shared" si="159"/>
        <v>OK</v>
      </c>
      <c r="BJ506" t="str">
        <f t="shared" si="160"/>
        <v>OK</v>
      </c>
      <c r="BK506" t="str">
        <f t="shared" si="161"/>
        <v>OK</v>
      </c>
    </row>
    <row r="507" spans="1:63">
      <c r="A507" s="16" t="s">
        <v>857</v>
      </c>
      <c r="B507" s="16" t="s">
        <v>855</v>
      </c>
      <c r="C507" s="16" t="s">
        <v>182</v>
      </c>
      <c r="D507" s="16" t="s">
        <v>194</v>
      </c>
      <c r="E507" s="16" t="s">
        <v>262</v>
      </c>
      <c r="F507" s="16" t="s">
        <v>140</v>
      </c>
      <c r="G507" s="15">
        <v>46172</v>
      </c>
      <c r="H507" s="15">
        <v>46173</v>
      </c>
      <c r="I507" s="15">
        <v>46177</v>
      </c>
      <c r="J507" s="15" t="s">
        <v>163</v>
      </c>
      <c r="K507" s="16" t="s">
        <v>182</v>
      </c>
      <c r="L507" t="s">
        <v>197</v>
      </c>
      <c r="M507" s="16" t="s">
        <v>152</v>
      </c>
      <c r="N507" s="16" t="s">
        <v>153</v>
      </c>
      <c r="O507" t="s">
        <v>1614</v>
      </c>
      <c r="P507" s="18">
        <v>11094</v>
      </c>
      <c r="Q507" s="21">
        <v>1</v>
      </c>
      <c r="R507" s="21" t="str">
        <f t="shared" si="147"/>
        <v>0-3 days</v>
      </c>
      <c r="S507" s="16" t="s">
        <v>145</v>
      </c>
      <c r="T507" s="16" t="s">
        <v>278</v>
      </c>
      <c r="U507" s="16" t="s">
        <v>187</v>
      </c>
      <c r="V507" t="str">
        <f>IF(U507="","",IFERROR(VLOOKUP(U507,Hotels!A:B,2,FALSE),"Not Found"))</f>
        <v>IHG Hotels &amp; Resorts</v>
      </c>
      <c r="W507" s="14">
        <v>687.27</v>
      </c>
      <c r="X507" s="14">
        <v>0</v>
      </c>
      <c r="Y507" s="21">
        <v>3</v>
      </c>
      <c r="Z507" s="29">
        <f t="shared" si="148"/>
        <v>155.9</v>
      </c>
      <c r="AA507" s="14">
        <v>467.7</v>
      </c>
      <c r="AB507" s="14">
        <v>106.8</v>
      </c>
      <c r="AC507" s="14">
        <v>1261.77</v>
      </c>
      <c r="AD507" s="16" t="s">
        <v>148</v>
      </c>
      <c r="AE507" s="16" t="s">
        <v>147</v>
      </c>
      <c r="AF507" s="14">
        <f>SUMIF('Trip Changes'!$B:$B,A507,'Trip Changes'!$E:$E)</f>
        <v>67.33</v>
      </c>
      <c r="AG507" s="23">
        <f>SUMIF('Trip Cancellations'!$B:$B,A507,'Trip Cancellations'!$E:$E)</f>
        <v>0</v>
      </c>
      <c r="AH507" s="14">
        <f>SUMIF('Trip Cancellations'!$B:$B,A507,'Trip Cancellations'!$F:$F)</f>
        <v>0</v>
      </c>
      <c r="AI507" s="14">
        <f t="shared" si="149"/>
        <v>1329.1</v>
      </c>
      <c r="AJ507" s="14" t="str">
        <f t="shared" si="150"/>
        <v>Yes</v>
      </c>
      <c r="AK507" s="14" t="str">
        <f>IF(Y507=0,"N/A",
IF(_xlfn.XLOOKUP(U507,Hotels!A:A,Hotels!C:C)=TRUE,"Yes","No"))</f>
        <v>Yes</v>
      </c>
      <c r="AL507" s="14" t="str">
        <f>IF(N507="Rail","N/A",IF(_xlfn.XLOOKUP(T507,Airlines!A:A,Airlines!C:C)=TRUE,"Yes","No"))</f>
        <v>No</v>
      </c>
      <c r="AM507" s="14" t="str">
        <f t="shared" si="151"/>
        <v>Yes</v>
      </c>
      <c r="AN507" s="14" t="str">
        <f t="shared" si="152"/>
        <v>Yes</v>
      </c>
      <c r="AO507" s="14" t="str">
        <f t="shared" si="153"/>
        <v>No</v>
      </c>
      <c r="AP507" s="16" t="s">
        <v>148</v>
      </c>
      <c r="AQ507" t="str">
        <f t="shared" si="154"/>
        <v>No</v>
      </c>
      <c r="AR507" s="21">
        <v>4</v>
      </c>
      <c r="AS507" s="5">
        <v>1664.1</v>
      </c>
      <c r="AT507" s="5" t="str">
        <f>IF(T507="","",_xlfn.XLOOKUP(T507,Airlines!A:A,Airlines!B:B,"Not Found"))</f>
        <v>United Airlines</v>
      </c>
      <c r="AU507" s="5" t="str">
        <f>IF(U507="","",_xlfn.XLOOKUP(U507,Hotels!A:A,Hotels!B:B,"Not found"))</f>
        <v>IHG Hotels &amp; Resorts</v>
      </c>
      <c r="AV507" t="s">
        <v>147</v>
      </c>
      <c r="AW507" s="16" t="str">
        <f t="shared" si="155"/>
        <v>OK</v>
      </c>
      <c r="AX507" s="16" t="str">
        <f t="shared" si="156"/>
        <v>OK</v>
      </c>
      <c r="AY507" s="16" t="str">
        <f t="shared" si="157"/>
        <v>OK</v>
      </c>
      <c r="AZ507" s="16" t="str">
        <f t="shared" si="158"/>
        <v>OK</v>
      </c>
      <c r="BA507" s="16" t="str">
        <f t="shared" si="162"/>
        <v>OK</v>
      </c>
      <c r="BB507" s="21">
        <f>COUNTIF('Trip Changes'!B:B,A507)</f>
        <v>1</v>
      </c>
      <c r="BC507" s="16" t="str">
        <f>IF(OR(AND(AD507="Yes",COUNTIF('Trip Changes'!B:B,A507)&gt;0),AND(AD507="No",COUNTIF('Trip Changes'!B:B,A507)=0)),"OK","Check")</f>
        <v>OK</v>
      </c>
      <c r="BD507" t="str">
        <f t="shared" si="163"/>
        <v>OK</v>
      </c>
      <c r="BE507" t="str">
        <f t="shared" si="164"/>
        <v>OK</v>
      </c>
      <c r="BF507" t="str">
        <f t="shared" si="165"/>
        <v>OK</v>
      </c>
      <c r="BG507" t="str">
        <f t="shared" si="166"/>
        <v>OK</v>
      </c>
      <c r="BH507" t="str">
        <f t="shared" si="167"/>
        <v>OK</v>
      </c>
      <c r="BI507" t="str">
        <f t="shared" si="159"/>
        <v>OK</v>
      </c>
      <c r="BJ507" t="str">
        <f t="shared" si="160"/>
        <v>OK</v>
      </c>
      <c r="BK507" t="str">
        <f t="shared" si="161"/>
        <v>OK</v>
      </c>
    </row>
    <row r="508" spans="1:63">
      <c r="A508" s="16" t="s">
        <v>858</v>
      </c>
      <c r="B508" s="16" t="s">
        <v>855</v>
      </c>
      <c r="C508" s="16" t="s">
        <v>182</v>
      </c>
      <c r="D508" s="16" t="s">
        <v>194</v>
      </c>
      <c r="E508" s="16" t="s">
        <v>262</v>
      </c>
      <c r="F508" s="16" t="s">
        <v>157</v>
      </c>
      <c r="G508" s="15">
        <v>46140</v>
      </c>
      <c r="H508" s="15">
        <v>46157</v>
      </c>
      <c r="I508" s="15">
        <v>46162</v>
      </c>
      <c r="J508" s="15" t="s">
        <v>163</v>
      </c>
      <c r="K508" s="16" t="s">
        <v>182</v>
      </c>
      <c r="L508" t="s">
        <v>185</v>
      </c>
      <c r="M508" s="16" t="s">
        <v>152</v>
      </c>
      <c r="N508" s="16" t="s">
        <v>153</v>
      </c>
      <c r="O508" t="s">
        <v>1631</v>
      </c>
      <c r="P508" s="18">
        <v>11662</v>
      </c>
      <c r="Q508" s="21">
        <v>17</v>
      </c>
      <c r="R508" s="21" t="str">
        <f t="shared" si="147"/>
        <v>15-30 days</v>
      </c>
      <c r="S508" s="16" t="s">
        <v>216</v>
      </c>
      <c r="T508" s="16" t="s">
        <v>154</v>
      </c>
      <c r="U508" s="16" t="s">
        <v>155</v>
      </c>
      <c r="V508" t="str">
        <f>IF(U508="","",IFERROR(VLOOKUP(U508,Hotels!A:B,2,FALSE),"Not Found"))</f>
        <v>Hilton</v>
      </c>
      <c r="W508" s="14">
        <v>1412.07</v>
      </c>
      <c r="X508" s="14">
        <v>0</v>
      </c>
      <c r="Y508" s="21">
        <v>4</v>
      </c>
      <c r="Z508" s="29">
        <f t="shared" si="148"/>
        <v>118.9725</v>
      </c>
      <c r="AA508" s="14">
        <v>475.89</v>
      </c>
      <c r="AB508" s="14">
        <v>94.82</v>
      </c>
      <c r="AC508" s="14">
        <v>1982.78</v>
      </c>
      <c r="AD508" s="16" t="s">
        <v>147</v>
      </c>
      <c r="AE508" s="16" t="s">
        <v>147</v>
      </c>
      <c r="AF508" s="14">
        <f>SUMIF('Trip Changes'!$B:$B,A508,'Trip Changes'!$E:$E)</f>
        <v>0</v>
      </c>
      <c r="AG508" s="23">
        <f>SUMIF('Trip Cancellations'!$B:$B,A508,'Trip Cancellations'!$E:$E)</f>
        <v>0</v>
      </c>
      <c r="AH508" s="14">
        <f>SUMIF('Trip Cancellations'!$B:$B,A508,'Trip Cancellations'!$F:$F)</f>
        <v>0</v>
      </c>
      <c r="AI508" s="14">
        <f t="shared" si="149"/>
        <v>1982.78</v>
      </c>
      <c r="AJ508" s="14" t="str">
        <f t="shared" si="150"/>
        <v>Yes</v>
      </c>
      <c r="AK508" s="14" t="str">
        <f>IF(Y508=0,"N/A",
IF(_xlfn.XLOOKUP(U508,Hotels!A:A,Hotels!C:C)=TRUE,"Yes","No"))</f>
        <v>Yes</v>
      </c>
      <c r="AL508" s="14" t="str">
        <f>IF(N508="Rail","N/A",IF(_xlfn.XLOOKUP(T508,Airlines!A:A,Airlines!C:C)=TRUE,"Yes","No"))</f>
        <v>Yes</v>
      </c>
      <c r="AM508" s="14" t="str">
        <f t="shared" si="151"/>
        <v>No</v>
      </c>
      <c r="AN508" s="14" t="str">
        <f t="shared" si="152"/>
        <v>No</v>
      </c>
      <c r="AO508" s="14" t="str">
        <f t="shared" si="153"/>
        <v>Yes</v>
      </c>
      <c r="AP508" s="16" t="s">
        <v>148</v>
      </c>
      <c r="AQ508" t="str">
        <f t="shared" si="154"/>
        <v>No</v>
      </c>
      <c r="AR508" s="21">
        <v>4</v>
      </c>
      <c r="AS508" s="5">
        <v>1749.3</v>
      </c>
      <c r="AT508" s="5" t="str">
        <f>IF(T508="","",_xlfn.XLOOKUP(T508,Airlines!A:A,Airlines!B:B,"Not Found"))</f>
        <v>British Airways</v>
      </c>
      <c r="AU508" s="5" t="str">
        <f>IF(U508="","",_xlfn.XLOOKUP(U508,Hotels!A:A,Hotels!B:B,"Not found"))</f>
        <v>Hilton</v>
      </c>
      <c r="AV508" t="s">
        <v>147</v>
      </c>
      <c r="AW508" s="16" t="str">
        <f t="shared" si="155"/>
        <v>OK</v>
      </c>
      <c r="AX508" s="16" t="str">
        <f t="shared" si="156"/>
        <v>OK</v>
      </c>
      <c r="AY508" s="16" t="str">
        <f t="shared" si="157"/>
        <v>OK</v>
      </c>
      <c r="AZ508" s="16" t="str">
        <f t="shared" si="158"/>
        <v>OK</v>
      </c>
      <c r="BA508" s="16" t="str">
        <f t="shared" si="162"/>
        <v>OK</v>
      </c>
      <c r="BB508" s="21">
        <f>COUNTIF('Trip Changes'!B:B,A508)</f>
        <v>0</v>
      </c>
      <c r="BC508" s="16" t="str">
        <f>IF(OR(AND(AD508="Yes",COUNTIF('Trip Changes'!B:B,A508)&gt;0),AND(AD508="No",COUNTIF('Trip Changes'!B:B,A508)=0)),"OK","Check")</f>
        <v>OK</v>
      </c>
      <c r="BD508" t="str">
        <f t="shared" si="163"/>
        <v>OK</v>
      </c>
      <c r="BE508" t="str">
        <f t="shared" si="164"/>
        <v>OK</v>
      </c>
      <c r="BF508" t="str">
        <f t="shared" si="165"/>
        <v>OK</v>
      </c>
      <c r="BG508" t="str">
        <f t="shared" si="166"/>
        <v>OK</v>
      </c>
      <c r="BH508" t="str">
        <f t="shared" si="167"/>
        <v>OK</v>
      </c>
      <c r="BI508" t="str">
        <f t="shared" si="159"/>
        <v>OK</v>
      </c>
      <c r="BJ508" t="str">
        <f t="shared" si="160"/>
        <v>OK</v>
      </c>
      <c r="BK508" t="str">
        <f t="shared" si="161"/>
        <v>OK</v>
      </c>
    </row>
    <row r="509" spans="1:63">
      <c r="A509" s="16" t="s">
        <v>859</v>
      </c>
      <c r="B509" s="16" t="s">
        <v>860</v>
      </c>
      <c r="C509" s="16" t="s">
        <v>142</v>
      </c>
      <c r="D509" s="16" t="s">
        <v>230</v>
      </c>
      <c r="E509" s="16" t="s">
        <v>169</v>
      </c>
      <c r="F509" s="16" t="s">
        <v>157</v>
      </c>
      <c r="G509" s="15">
        <v>46163</v>
      </c>
      <c r="H509" s="15">
        <v>46164</v>
      </c>
      <c r="I509" s="15">
        <v>46166</v>
      </c>
      <c r="J509" s="15" t="s">
        <v>163</v>
      </c>
      <c r="K509" s="16" t="s">
        <v>142</v>
      </c>
      <c r="L509" t="s">
        <v>215</v>
      </c>
      <c r="M509" s="16" t="s">
        <v>152</v>
      </c>
      <c r="N509" s="16" t="s">
        <v>153</v>
      </c>
      <c r="O509" t="s">
        <v>1614</v>
      </c>
      <c r="P509" s="18">
        <v>2980</v>
      </c>
      <c r="Q509" s="21">
        <v>1</v>
      </c>
      <c r="R509" s="21" t="str">
        <f t="shared" si="147"/>
        <v>0-3 days</v>
      </c>
      <c r="S509" s="16" t="s">
        <v>216</v>
      </c>
      <c r="T509" s="16" t="s">
        <v>154</v>
      </c>
      <c r="U509" s="16" t="s">
        <v>164</v>
      </c>
      <c r="V509" t="str">
        <f>IF(U509="","",IFERROR(VLOOKUP(U509,Hotels!A:B,2,FALSE),"Not Found"))</f>
        <v>Marriott</v>
      </c>
      <c r="W509" s="14">
        <v>510.54</v>
      </c>
      <c r="X509" s="14">
        <v>0</v>
      </c>
      <c r="Y509" s="21">
        <v>1</v>
      </c>
      <c r="Z509" s="29">
        <f t="shared" si="148"/>
        <v>124.2</v>
      </c>
      <c r="AA509" s="14">
        <v>124.2</v>
      </c>
      <c r="AB509" s="14">
        <v>66.92</v>
      </c>
      <c r="AC509" s="14">
        <v>701.66</v>
      </c>
      <c r="AD509" s="16" t="s">
        <v>147</v>
      </c>
      <c r="AE509" s="16" t="s">
        <v>147</v>
      </c>
      <c r="AF509" s="14">
        <f>SUMIF('Trip Changes'!$B:$B,A509,'Trip Changes'!$E:$E)</f>
        <v>0</v>
      </c>
      <c r="AG509" s="23">
        <f>SUMIF('Trip Cancellations'!$B:$B,A509,'Trip Cancellations'!$E:$E)</f>
        <v>0</v>
      </c>
      <c r="AH509" s="14">
        <f>SUMIF('Trip Cancellations'!$B:$B,A509,'Trip Cancellations'!$F:$F)</f>
        <v>0</v>
      </c>
      <c r="AI509" s="14">
        <f t="shared" si="149"/>
        <v>701.66</v>
      </c>
      <c r="AJ509" s="14" t="str">
        <f t="shared" si="150"/>
        <v>Yes</v>
      </c>
      <c r="AK509" s="14" t="str">
        <f>IF(Y509=0,"N/A",
IF(_xlfn.XLOOKUP(U509,Hotels!A:A,Hotels!C:C)=TRUE,"Yes","No"))</f>
        <v>Yes</v>
      </c>
      <c r="AL509" s="14" t="str">
        <f>IF(N509="Rail","N/A",IF(_xlfn.XLOOKUP(T509,Airlines!A:A,Airlines!C:C)=TRUE,"Yes","No"))</f>
        <v>Yes</v>
      </c>
      <c r="AM509" s="14" t="str">
        <f t="shared" si="151"/>
        <v>Yes</v>
      </c>
      <c r="AN509" s="14" t="str">
        <f t="shared" si="152"/>
        <v>No</v>
      </c>
      <c r="AO509" s="14" t="str">
        <f t="shared" si="153"/>
        <v>Yes</v>
      </c>
      <c r="AP509" s="16" t="s">
        <v>148</v>
      </c>
      <c r="AQ509" t="str">
        <f t="shared" si="154"/>
        <v>No</v>
      </c>
      <c r="AR509" s="21">
        <v>4</v>
      </c>
      <c r="AS509" s="5">
        <v>447</v>
      </c>
      <c r="AT509" s="5" t="str">
        <f>IF(T509="","",_xlfn.XLOOKUP(T509,Airlines!A:A,Airlines!B:B,"Not Found"))</f>
        <v>British Airways</v>
      </c>
      <c r="AU509" s="5" t="str">
        <f>IF(U509="","",_xlfn.XLOOKUP(U509,Hotels!A:A,Hotels!B:B,"Not found"))</f>
        <v>Marriott</v>
      </c>
      <c r="AV509" t="s">
        <v>147</v>
      </c>
      <c r="AW509" s="16" t="str">
        <f t="shared" si="155"/>
        <v>OK</v>
      </c>
      <c r="AX509" s="16" t="str">
        <f t="shared" si="156"/>
        <v>OK</v>
      </c>
      <c r="AY509" s="16" t="str">
        <f t="shared" si="157"/>
        <v>OK</v>
      </c>
      <c r="AZ509" s="16" t="str">
        <f t="shared" si="158"/>
        <v>OK</v>
      </c>
      <c r="BA509" s="16" t="str">
        <f t="shared" si="162"/>
        <v>OK</v>
      </c>
      <c r="BB509" s="21">
        <f>COUNTIF('Trip Changes'!B:B,A509)</f>
        <v>0</v>
      </c>
      <c r="BC509" s="16" t="str">
        <f>IF(OR(AND(AD509="Yes",COUNTIF('Trip Changes'!B:B,A509)&gt;0),AND(AD509="No",COUNTIF('Trip Changes'!B:B,A509)=0)),"OK","Check")</f>
        <v>OK</v>
      </c>
      <c r="BD509" t="str">
        <f t="shared" si="163"/>
        <v>OK</v>
      </c>
      <c r="BE509" t="str">
        <f t="shared" si="164"/>
        <v>OK</v>
      </c>
      <c r="BF509" t="str">
        <f t="shared" si="165"/>
        <v>OK</v>
      </c>
      <c r="BG509" t="str">
        <f t="shared" si="166"/>
        <v>OK</v>
      </c>
      <c r="BH509" t="str">
        <f t="shared" si="167"/>
        <v>OK</v>
      </c>
      <c r="BI509" t="str">
        <f t="shared" si="159"/>
        <v>OK</v>
      </c>
      <c r="BJ509" t="str">
        <f t="shared" si="160"/>
        <v>OK</v>
      </c>
      <c r="BK509" t="str">
        <f t="shared" si="161"/>
        <v>OK</v>
      </c>
    </row>
    <row r="510" spans="1:63">
      <c r="A510" s="16" t="s">
        <v>861</v>
      </c>
      <c r="B510" s="16" t="s">
        <v>860</v>
      </c>
      <c r="C510" s="16" t="s">
        <v>142</v>
      </c>
      <c r="D510" s="16" t="s">
        <v>230</v>
      </c>
      <c r="E510" s="16" t="s">
        <v>169</v>
      </c>
      <c r="F510" s="16" t="s">
        <v>140</v>
      </c>
      <c r="G510" s="15">
        <v>46127</v>
      </c>
      <c r="H510" s="15">
        <v>46152</v>
      </c>
      <c r="I510" s="15">
        <v>46154</v>
      </c>
      <c r="J510" s="15" t="s">
        <v>163</v>
      </c>
      <c r="K510" s="16" t="s">
        <v>142</v>
      </c>
      <c r="L510" t="s">
        <v>264</v>
      </c>
      <c r="M510" s="16" t="s">
        <v>152</v>
      </c>
      <c r="N510" s="16" t="s">
        <v>153</v>
      </c>
      <c r="O510" t="s">
        <v>1614</v>
      </c>
      <c r="P510" s="18">
        <v>1620</v>
      </c>
      <c r="Q510" s="21">
        <v>25</v>
      </c>
      <c r="R510" s="21" t="str">
        <f t="shared" si="147"/>
        <v>15-30 days</v>
      </c>
      <c r="S510" s="16" t="s">
        <v>207</v>
      </c>
      <c r="T510" s="16" t="s">
        <v>176</v>
      </c>
      <c r="U510" s="16" t="s">
        <v>155</v>
      </c>
      <c r="V510" t="str">
        <f>IF(U510="","",IFERROR(VLOOKUP(U510,Hotels!A:B,2,FALSE),"Not Found"))</f>
        <v>Hilton</v>
      </c>
      <c r="W510" s="14">
        <v>467.78</v>
      </c>
      <c r="X510" s="14">
        <v>0</v>
      </c>
      <c r="Y510" s="21">
        <v>1</v>
      </c>
      <c r="Z510" s="29">
        <f t="shared" si="148"/>
        <v>154.02000000000001</v>
      </c>
      <c r="AA510" s="14">
        <v>154.02000000000001</v>
      </c>
      <c r="AB510" s="14">
        <v>20</v>
      </c>
      <c r="AC510" s="14">
        <v>641.79999999999995</v>
      </c>
      <c r="AD510" s="16" t="s">
        <v>147</v>
      </c>
      <c r="AE510" s="16" t="s">
        <v>147</v>
      </c>
      <c r="AF510" s="14">
        <f>SUMIF('Trip Changes'!$B:$B,A510,'Trip Changes'!$E:$E)</f>
        <v>0</v>
      </c>
      <c r="AG510" s="23">
        <f>SUMIF('Trip Cancellations'!$B:$B,A510,'Trip Cancellations'!$E:$E)</f>
        <v>0</v>
      </c>
      <c r="AH510" s="14">
        <f>SUMIF('Trip Cancellations'!$B:$B,A510,'Trip Cancellations'!$F:$F)</f>
        <v>0</v>
      </c>
      <c r="AI510" s="14">
        <f t="shared" si="149"/>
        <v>641.79999999999995</v>
      </c>
      <c r="AJ510" s="14" t="str">
        <f t="shared" si="150"/>
        <v>Yes</v>
      </c>
      <c r="AK510" s="14" t="str">
        <f>IF(Y510=0,"N/A",
IF(_xlfn.XLOOKUP(U510,Hotels!A:A,Hotels!C:C)=TRUE,"Yes","No"))</f>
        <v>Yes</v>
      </c>
      <c r="AL510" s="14" t="str">
        <f>IF(N510="Rail","N/A",IF(_xlfn.XLOOKUP(T510,Airlines!A:A,Airlines!C:C)=TRUE,"Yes","No"))</f>
        <v>Yes</v>
      </c>
      <c r="AM510" s="14" t="str">
        <f t="shared" si="151"/>
        <v>Yes</v>
      </c>
      <c r="AN510" s="14" t="str">
        <f t="shared" si="152"/>
        <v>No</v>
      </c>
      <c r="AO510" s="14" t="str">
        <f t="shared" si="153"/>
        <v>Yes</v>
      </c>
      <c r="AP510" s="16" t="s">
        <v>148</v>
      </c>
      <c r="AQ510" t="str">
        <f t="shared" si="154"/>
        <v>No</v>
      </c>
      <c r="AR510" s="21">
        <v>4</v>
      </c>
      <c r="AS510" s="5">
        <v>243</v>
      </c>
      <c r="AT510" s="5" t="str">
        <f>IF(T510="","",_xlfn.XLOOKUP(T510,Airlines!A:A,Airlines!B:B,"Not Found"))</f>
        <v>easyJet</v>
      </c>
      <c r="AU510" s="5" t="str">
        <f>IF(U510="","",_xlfn.XLOOKUP(U510,Hotels!A:A,Hotels!B:B,"Not found"))</f>
        <v>Hilton</v>
      </c>
      <c r="AV510" t="s">
        <v>147</v>
      </c>
      <c r="AW510" s="16" t="str">
        <f t="shared" si="155"/>
        <v>OK</v>
      </c>
      <c r="AX510" s="16" t="str">
        <f t="shared" si="156"/>
        <v>OK</v>
      </c>
      <c r="AY510" s="16" t="str">
        <f t="shared" si="157"/>
        <v>OK</v>
      </c>
      <c r="AZ510" s="16" t="str">
        <f t="shared" si="158"/>
        <v>OK</v>
      </c>
      <c r="BA510" s="16" t="str">
        <f t="shared" si="162"/>
        <v>OK</v>
      </c>
      <c r="BB510" s="21">
        <f>COUNTIF('Trip Changes'!B:B,A510)</f>
        <v>0</v>
      </c>
      <c r="BC510" s="16" t="str">
        <f>IF(OR(AND(AD510="Yes",COUNTIF('Trip Changes'!B:B,A510)&gt;0),AND(AD510="No",COUNTIF('Trip Changes'!B:B,A510)=0)),"OK","Check")</f>
        <v>OK</v>
      </c>
      <c r="BD510" t="str">
        <f t="shared" si="163"/>
        <v>OK</v>
      </c>
      <c r="BE510" t="str">
        <f t="shared" si="164"/>
        <v>OK</v>
      </c>
      <c r="BF510" t="str">
        <f t="shared" si="165"/>
        <v>OK</v>
      </c>
      <c r="BG510" t="str">
        <f t="shared" si="166"/>
        <v>OK</v>
      </c>
      <c r="BH510" t="str">
        <f t="shared" si="167"/>
        <v>OK</v>
      </c>
      <c r="BI510" t="str">
        <f t="shared" si="159"/>
        <v>OK</v>
      </c>
      <c r="BJ510" t="str">
        <f t="shared" si="160"/>
        <v>OK</v>
      </c>
      <c r="BK510" t="str">
        <f t="shared" si="161"/>
        <v>OK</v>
      </c>
    </row>
    <row r="511" spans="1:63">
      <c r="A511" s="16" t="s">
        <v>862</v>
      </c>
      <c r="B511" s="16" t="s">
        <v>860</v>
      </c>
      <c r="C511" s="16" t="s">
        <v>142</v>
      </c>
      <c r="D511" s="16" t="s">
        <v>230</v>
      </c>
      <c r="E511" s="16" t="s">
        <v>169</v>
      </c>
      <c r="F511" s="16" t="s">
        <v>157</v>
      </c>
      <c r="G511" s="15">
        <v>46185</v>
      </c>
      <c r="H511" s="15">
        <v>46194</v>
      </c>
      <c r="I511" s="15">
        <v>46196</v>
      </c>
      <c r="J511" s="15" t="s">
        <v>141</v>
      </c>
      <c r="K511" s="16" t="s">
        <v>142</v>
      </c>
      <c r="L511" t="s">
        <v>227</v>
      </c>
      <c r="M511" s="16" t="s">
        <v>152</v>
      </c>
      <c r="N511" s="16" t="s">
        <v>153</v>
      </c>
      <c r="O511" t="s">
        <v>1614</v>
      </c>
      <c r="P511" s="18">
        <v>2240</v>
      </c>
      <c r="Q511" s="21">
        <v>9</v>
      </c>
      <c r="R511" s="21" t="str">
        <f t="shared" si="147"/>
        <v>8-14 days</v>
      </c>
      <c r="S511" s="16" t="s">
        <v>159</v>
      </c>
      <c r="T511" s="16" t="s">
        <v>236</v>
      </c>
      <c r="U511" s="16" t="s">
        <v>187</v>
      </c>
      <c r="V511" t="str">
        <f>IF(U511="","",IFERROR(VLOOKUP(U511,Hotels!A:B,2,FALSE),"Not Found"))</f>
        <v>IHG Hotels &amp; Resorts</v>
      </c>
      <c r="W511" s="14">
        <v>323.01</v>
      </c>
      <c r="X511" s="14">
        <v>0</v>
      </c>
      <c r="Y511" s="21">
        <v>1</v>
      </c>
      <c r="Z511" s="29">
        <f t="shared" si="148"/>
        <v>217.21</v>
      </c>
      <c r="AA511" s="14">
        <v>217.21</v>
      </c>
      <c r="AB511" s="14">
        <v>120.42</v>
      </c>
      <c r="AC511" s="14">
        <v>660.64</v>
      </c>
      <c r="AD511" s="16" t="s">
        <v>147</v>
      </c>
      <c r="AE511" s="16" t="s">
        <v>147</v>
      </c>
      <c r="AF511" s="14">
        <f>SUMIF('Trip Changes'!$B:$B,A511,'Trip Changes'!$E:$E)</f>
        <v>0</v>
      </c>
      <c r="AG511" s="23">
        <f>SUMIF('Trip Cancellations'!$B:$B,A511,'Trip Cancellations'!$E:$E)</f>
        <v>0</v>
      </c>
      <c r="AH511" s="14">
        <f>SUMIF('Trip Cancellations'!$B:$B,A511,'Trip Cancellations'!$F:$F)</f>
        <v>0</v>
      </c>
      <c r="AI511" s="14">
        <f t="shared" si="149"/>
        <v>660.64</v>
      </c>
      <c r="AJ511" s="14" t="str">
        <f t="shared" si="150"/>
        <v>No</v>
      </c>
      <c r="AK511" s="14" t="str">
        <f>IF(Y511=0,"N/A",
IF(_xlfn.XLOOKUP(U511,Hotels!A:A,Hotels!C:C)=TRUE,"Yes","No"))</f>
        <v>Yes</v>
      </c>
      <c r="AL511" s="14" t="str">
        <f>IF(N511="Rail","N/A",IF(_xlfn.XLOOKUP(T511,Airlines!A:A,Airlines!C:C)=TRUE,"Yes","No"))</f>
        <v>Yes</v>
      </c>
      <c r="AM511" s="14" t="str">
        <f t="shared" si="151"/>
        <v>Yes</v>
      </c>
      <c r="AN511" s="14" t="str">
        <f t="shared" si="152"/>
        <v>Yes</v>
      </c>
      <c r="AO511" s="14" t="str">
        <f t="shared" si="153"/>
        <v>Yes</v>
      </c>
      <c r="AP511" s="16" t="s">
        <v>148</v>
      </c>
      <c r="AQ511" t="str">
        <f t="shared" si="154"/>
        <v>No</v>
      </c>
      <c r="AR511" s="21">
        <v>5</v>
      </c>
      <c r="AS511" s="5">
        <v>336</v>
      </c>
      <c r="AT511" s="5" t="str">
        <f>IF(T511="","",_xlfn.XLOOKUP(T511,Airlines!A:A,Airlines!B:B,"Not Found"))</f>
        <v>KLM</v>
      </c>
      <c r="AU511" s="5" t="str">
        <f>IF(U511="","",_xlfn.XLOOKUP(U511,Hotels!A:A,Hotels!B:B,"Not found"))</f>
        <v>IHG Hotels &amp; Resorts</v>
      </c>
      <c r="AV511" t="s">
        <v>148</v>
      </c>
      <c r="AW511" s="16" t="str">
        <f t="shared" si="155"/>
        <v>OK</v>
      </c>
      <c r="AX511" s="16" t="str">
        <f t="shared" si="156"/>
        <v>OK</v>
      </c>
      <c r="AY511" s="16" t="str">
        <f t="shared" si="157"/>
        <v>OK</v>
      </c>
      <c r="AZ511" s="16" t="str">
        <f t="shared" si="158"/>
        <v>OK</v>
      </c>
      <c r="BA511" s="16" t="str">
        <f t="shared" si="162"/>
        <v>OK</v>
      </c>
      <c r="BB511" s="21">
        <f>COUNTIF('Trip Changes'!B:B,A511)</f>
        <v>0</v>
      </c>
      <c r="BC511" s="16" t="str">
        <f>IF(OR(AND(AD511="Yes",COUNTIF('Trip Changes'!B:B,A511)&gt;0),AND(AD511="No",COUNTIF('Trip Changes'!B:B,A511)=0)),"OK","Check")</f>
        <v>OK</v>
      </c>
      <c r="BD511" t="str">
        <f t="shared" si="163"/>
        <v>OK</v>
      </c>
      <c r="BE511" t="str">
        <f t="shared" si="164"/>
        <v>OK</v>
      </c>
      <c r="BF511" t="str">
        <f t="shared" si="165"/>
        <v>OK</v>
      </c>
      <c r="BG511" t="str">
        <f t="shared" si="166"/>
        <v>OK</v>
      </c>
      <c r="BH511" t="str">
        <f t="shared" si="167"/>
        <v>OK</v>
      </c>
      <c r="BI511" t="str">
        <f t="shared" si="159"/>
        <v>OK</v>
      </c>
      <c r="BJ511" t="str">
        <f t="shared" si="160"/>
        <v>OK</v>
      </c>
      <c r="BK511" t="str">
        <f t="shared" si="161"/>
        <v>OK</v>
      </c>
    </row>
    <row r="512" spans="1:63">
      <c r="A512" s="16" t="s">
        <v>863</v>
      </c>
      <c r="B512" s="16" t="s">
        <v>860</v>
      </c>
      <c r="C512" s="16" t="s">
        <v>142</v>
      </c>
      <c r="D512" s="16" t="s">
        <v>230</v>
      </c>
      <c r="E512" s="16" t="s">
        <v>169</v>
      </c>
      <c r="F512" s="16" t="s">
        <v>189</v>
      </c>
      <c r="G512" s="15">
        <v>46147</v>
      </c>
      <c r="H512" s="15">
        <v>46168</v>
      </c>
      <c r="I512" s="15">
        <v>46170</v>
      </c>
      <c r="J512" s="15" t="s">
        <v>163</v>
      </c>
      <c r="K512" s="16" t="s">
        <v>142</v>
      </c>
      <c r="L512" t="s">
        <v>225</v>
      </c>
      <c r="M512" s="16" t="s">
        <v>152</v>
      </c>
      <c r="N512" s="16" t="s">
        <v>153</v>
      </c>
      <c r="O512" t="s">
        <v>1614</v>
      </c>
      <c r="P512" s="18">
        <v>2648</v>
      </c>
      <c r="Q512" s="21">
        <v>21</v>
      </c>
      <c r="R512" s="21" t="str">
        <f t="shared" si="147"/>
        <v>15-30 days</v>
      </c>
      <c r="S512" s="16" t="s">
        <v>159</v>
      </c>
      <c r="T512" s="16" t="s">
        <v>236</v>
      </c>
      <c r="U512" s="16" t="s">
        <v>187</v>
      </c>
      <c r="V512" t="str">
        <f>IF(U512="","",IFERROR(VLOOKUP(U512,Hotels!A:B,2,FALSE),"Not Found"))</f>
        <v>IHG Hotels &amp; Resorts</v>
      </c>
      <c r="W512" s="14">
        <v>175.96</v>
      </c>
      <c r="X512" s="14">
        <v>0</v>
      </c>
      <c r="Y512" s="21">
        <v>1</v>
      </c>
      <c r="Z512" s="29">
        <f t="shared" si="148"/>
        <v>137.28</v>
      </c>
      <c r="AA512" s="14">
        <v>137.28</v>
      </c>
      <c r="AB512" s="14">
        <v>86.76</v>
      </c>
      <c r="AC512" s="14">
        <v>400</v>
      </c>
      <c r="AD512" s="16" t="s">
        <v>147</v>
      </c>
      <c r="AE512" s="16" t="s">
        <v>147</v>
      </c>
      <c r="AF512" s="14">
        <f>SUMIF('Trip Changes'!$B:$B,A512,'Trip Changes'!$E:$E)</f>
        <v>0</v>
      </c>
      <c r="AG512" s="23">
        <f>SUMIF('Trip Cancellations'!$B:$B,A512,'Trip Cancellations'!$E:$E)</f>
        <v>0</v>
      </c>
      <c r="AH512" s="14">
        <f>SUMIF('Trip Cancellations'!$B:$B,A512,'Trip Cancellations'!$F:$F)</f>
        <v>0</v>
      </c>
      <c r="AI512" s="14">
        <f t="shared" si="149"/>
        <v>400</v>
      </c>
      <c r="AJ512" s="14" t="str">
        <f t="shared" si="150"/>
        <v>Yes</v>
      </c>
      <c r="AK512" s="14" t="str">
        <f>IF(Y512=0,"N/A",
IF(_xlfn.XLOOKUP(U512,Hotels!A:A,Hotels!C:C)=TRUE,"Yes","No"))</f>
        <v>Yes</v>
      </c>
      <c r="AL512" s="14" t="str">
        <f>IF(N512="Rail","N/A",IF(_xlfn.XLOOKUP(T512,Airlines!A:A,Airlines!C:C)=TRUE,"Yes","No"))</f>
        <v>Yes</v>
      </c>
      <c r="AM512" s="14" t="str">
        <f t="shared" si="151"/>
        <v>Yes</v>
      </c>
      <c r="AN512" s="14" t="str">
        <f t="shared" si="152"/>
        <v>Yes</v>
      </c>
      <c r="AO512" s="14" t="str">
        <f t="shared" si="153"/>
        <v>Yes</v>
      </c>
      <c r="AP512" s="16" t="s">
        <v>148</v>
      </c>
      <c r="AQ512" t="str">
        <f t="shared" si="154"/>
        <v>Yes</v>
      </c>
      <c r="AR512" s="21">
        <v>4</v>
      </c>
      <c r="AS512" s="5">
        <v>397.2</v>
      </c>
      <c r="AT512" s="5" t="str">
        <f>IF(T512="","",_xlfn.XLOOKUP(T512,Airlines!A:A,Airlines!B:B,"Not Found"))</f>
        <v>KLM</v>
      </c>
      <c r="AU512" s="5" t="str">
        <f>IF(U512="","",_xlfn.XLOOKUP(U512,Hotels!A:A,Hotels!B:B,"Not found"))</f>
        <v>IHG Hotels &amp; Resorts</v>
      </c>
      <c r="AV512" t="s">
        <v>147</v>
      </c>
      <c r="AW512" s="16" t="str">
        <f t="shared" si="155"/>
        <v>OK</v>
      </c>
      <c r="AX512" s="16" t="str">
        <f t="shared" si="156"/>
        <v>OK</v>
      </c>
      <c r="AY512" s="16" t="str">
        <f t="shared" si="157"/>
        <v>OK</v>
      </c>
      <c r="AZ512" s="16" t="str">
        <f t="shared" si="158"/>
        <v>OK</v>
      </c>
      <c r="BA512" s="16" t="str">
        <f t="shared" si="162"/>
        <v>OK</v>
      </c>
      <c r="BB512" s="21">
        <f>COUNTIF('Trip Changes'!B:B,A512)</f>
        <v>0</v>
      </c>
      <c r="BC512" s="16" t="str">
        <f>IF(OR(AND(AD512="Yes",COUNTIF('Trip Changes'!B:B,A512)&gt;0),AND(AD512="No",COUNTIF('Trip Changes'!B:B,A512)=0)),"OK","Check")</f>
        <v>OK</v>
      </c>
      <c r="BD512" t="str">
        <f t="shared" si="163"/>
        <v>OK</v>
      </c>
      <c r="BE512" t="str">
        <f t="shared" si="164"/>
        <v>OK</v>
      </c>
      <c r="BF512" t="str">
        <f t="shared" si="165"/>
        <v>OK</v>
      </c>
      <c r="BG512" t="str">
        <f t="shared" si="166"/>
        <v>OK</v>
      </c>
      <c r="BH512" t="str">
        <f t="shared" si="167"/>
        <v>OK</v>
      </c>
      <c r="BI512" t="str">
        <f t="shared" si="159"/>
        <v>OK</v>
      </c>
      <c r="BJ512" t="str">
        <f t="shared" si="160"/>
        <v>OK</v>
      </c>
      <c r="BK512" t="str">
        <f t="shared" si="161"/>
        <v>OK</v>
      </c>
    </row>
    <row r="513" spans="1:63">
      <c r="A513" s="16" t="s">
        <v>864</v>
      </c>
      <c r="B513" s="16" t="s">
        <v>865</v>
      </c>
      <c r="C513" s="16" t="s">
        <v>182</v>
      </c>
      <c r="D513" s="16" t="s">
        <v>248</v>
      </c>
      <c r="E513" s="16" t="s">
        <v>249</v>
      </c>
      <c r="F513" s="16" t="s">
        <v>178</v>
      </c>
      <c r="G513" s="15">
        <v>46222</v>
      </c>
      <c r="H513" s="15">
        <v>46225</v>
      </c>
      <c r="I513" s="15">
        <v>46228</v>
      </c>
      <c r="J513" s="15" t="s">
        <v>150</v>
      </c>
      <c r="K513" s="16" t="s">
        <v>182</v>
      </c>
      <c r="L513" t="s">
        <v>151</v>
      </c>
      <c r="M513" s="16" t="s">
        <v>152</v>
      </c>
      <c r="N513" s="16" t="s">
        <v>153</v>
      </c>
      <c r="O513" t="s">
        <v>1614</v>
      </c>
      <c r="P513" s="18">
        <v>2026</v>
      </c>
      <c r="Q513" s="21">
        <v>3</v>
      </c>
      <c r="R513" s="21" t="str">
        <f t="shared" si="147"/>
        <v>0-3 days</v>
      </c>
      <c r="S513" s="16" t="s">
        <v>145</v>
      </c>
      <c r="T513" s="16" t="s">
        <v>172</v>
      </c>
      <c r="U513" s="16" t="s">
        <v>164</v>
      </c>
      <c r="V513" t="str">
        <f>IF(U513="","",IFERROR(VLOOKUP(U513,Hotels!A:B,2,FALSE),"Not Found"))</f>
        <v>Marriott</v>
      </c>
      <c r="W513" s="14">
        <v>673.41</v>
      </c>
      <c r="X513" s="14">
        <v>0</v>
      </c>
      <c r="Y513" s="21">
        <v>2</v>
      </c>
      <c r="Z513" s="29">
        <f t="shared" si="148"/>
        <v>172.14500000000001</v>
      </c>
      <c r="AA513" s="14">
        <v>344.29</v>
      </c>
      <c r="AB513" s="14">
        <v>100.01</v>
      </c>
      <c r="AC513" s="14">
        <v>1117.71</v>
      </c>
      <c r="AD513" s="16" t="s">
        <v>147</v>
      </c>
      <c r="AE513" s="16" t="s">
        <v>147</v>
      </c>
      <c r="AF513" s="14">
        <f>SUMIF('Trip Changes'!$B:$B,A513,'Trip Changes'!$E:$E)</f>
        <v>0</v>
      </c>
      <c r="AG513" s="23">
        <f>SUMIF('Trip Cancellations'!$B:$B,A513,'Trip Cancellations'!$E:$E)</f>
        <v>0</v>
      </c>
      <c r="AH513" s="14">
        <f>SUMIF('Trip Cancellations'!$B:$B,A513,'Trip Cancellations'!$F:$F)</f>
        <v>0</v>
      </c>
      <c r="AI513" s="14">
        <f t="shared" si="149"/>
        <v>1117.71</v>
      </c>
      <c r="AJ513" s="14" t="str">
        <f t="shared" si="150"/>
        <v>Yes</v>
      </c>
      <c r="AK513" s="14" t="str">
        <f>IF(Y513=0,"N/A",
IF(_xlfn.XLOOKUP(U513,Hotels!A:A,Hotels!C:C)=TRUE,"Yes","No"))</f>
        <v>Yes</v>
      </c>
      <c r="AL513" s="14" t="str">
        <f>IF(N513="Rail","N/A",IF(_xlfn.XLOOKUP(T513,Airlines!A:A,Airlines!C:C)=TRUE,"Yes","No"))</f>
        <v>Yes</v>
      </c>
      <c r="AM513" s="14" t="str">
        <f t="shared" si="151"/>
        <v>Yes</v>
      </c>
      <c r="AN513" s="14" t="str">
        <f t="shared" si="152"/>
        <v>Yes</v>
      </c>
      <c r="AO513" s="14" t="str">
        <f t="shared" si="153"/>
        <v>Yes</v>
      </c>
      <c r="AP513" s="16" t="s">
        <v>148</v>
      </c>
      <c r="AQ513" t="str">
        <f t="shared" si="154"/>
        <v>Yes</v>
      </c>
      <c r="AR513" s="21">
        <v>4</v>
      </c>
      <c r="AS513" s="5">
        <v>303.89999999999998</v>
      </c>
      <c r="AT513" s="5" t="str">
        <f>IF(T513="","",_xlfn.XLOOKUP(T513,Airlines!A:A,Airlines!B:B,"Not Found"))</f>
        <v>Lufthansa</v>
      </c>
      <c r="AU513" s="5" t="str">
        <f>IF(U513="","",_xlfn.XLOOKUP(U513,Hotels!A:A,Hotels!B:B,"Not found"))</f>
        <v>Marriott</v>
      </c>
      <c r="AV513" t="s">
        <v>148</v>
      </c>
      <c r="AW513" s="16" t="str">
        <f t="shared" si="155"/>
        <v>OK</v>
      </c>
      <c r="AX513" s="16" t="str">
        <f t="shared" si="156"/>
        <v>OK</v>
      </c>
      <c r="AY513" s="16" t="str">
        <f t="shared" si="157"/>
        <v>OK</v>
      </c>
      <c r="AZ513" s="16" t="str">
        <f t="shared" si="158"/>
        <v>OK</v>
      </c>
      <c r="BA513" s="16" t="str">
        <f t="shared" si="162"/>
        <v>OK</v>
      </c>
      <c r="BB513" s="21">
        <f>COUNTIF('Trip Changes'!B:B,A513)</f>
        <v>0</v>
      </c>
      <c r="BC513" s="16" t="str">
        <f>IF(OR(AND(AD513="Yes",COUNTIF('Trip Changes'!B:B,A513)&gt;0),AND(AD513="No",COUNTIF('Trip Changes'!B:B,A513)=0)),"OK","Check")</f>
        <v>OK</v>
      </c>
      <c r="BD513" t="str">
        <f t="shared" si="163"/>
        <v>OK</v>
      </c>
      <c r="BE513" t="str">
        <f t="shared" si="164"/>
        <v>OK</v>
      </c>
      <c r="BF513" t="str">
        <f t="shared" si="165"/>
        <v>OK</v>
      </c>
      <c r="BG513" t="str">
        <f t="shared" si="166"/>
        <v>OK</v>
      </c>
      <c r="BH513" t="str">
        <f t="shared" si="167"/>
        <v>OK</v>
      </c>
      <c r="BI513" t="str">
        <f t="shared" si="159"/>
        <v>OK</v>
      </c>
      <c r="BJ513" t="str">
        <f t="shared" si="160"/>
        <v>OK</v>
      </c>
      <c r="BK513" t="str">
        <f t="shared" si="161"/>
        <v>OK</v>
      </c>
    </row>
    <row r="514" spans="1:63">
      <c r="A514" s="16" t="s">
        <v>866</v>
      </c>
      <c r="B514" s="16" t="s">
        <v>865</v>
      </c>
      <c r="C514" s="16" t="s">
        <v>182</v>
      </c>
      <c r="D514" s="16" t="s">
        <v>248</v>
      </c>
      <c r="E514" s="16" t="s">
        <v>249</v>
      </c>
      <c r="F514" s="16" t="s">
        <v>140</v>
      </c>
      <c r="G514" s="15">
        <v>46116</v>
      </c>
      <c r="H514" s="15">
        <v>46149</v>
      </c>
      <c r="I514" s="15">
        <v>46152</v>
      </c>
      <c r="J514" s="15" t="s">
        <v>163</v>
      </c>
      <c r="K514" s="16" t="s">
        <v>182</v>
      </c>
      <c r="L514" t="s">
        <v>283</v>
      </c>
      <c r="M514" s="16" t="s">
        <v>152</v>
      </c>
      <c r="N514" s="16" t="s">
        <v>153</v>
      </c>
      <c r="O514" t="s">
        <v>1614</v>
      </c>
      <c r="P514" s="18">
        <v>12936</v>
      </c>
      <c r="Q514" s="21">
        <v>33</v>
      </c>
      <c r="R514" s="21" t="str">
        <f t="shared" ref="R514:R577" si="168">IF(Q514&lt;=3,"0-3 days",IF(Q514&lt;=7,"4-7 days",IF(Q514&lt;=14,"8-14 days",IF(Q514&lt;=30,"15-30 days","31+ days"))))</f>
        <v>31+ days</v>
      </c>
      <c r="S514" s="16" t="s">
        <v>145</v>
      </c>
      <c r="T514" s="16" t="s">
        <v>154</v>
      </c>
      <c r="U514" s="16" t="s">
        <v>155</v>
      </c>
      <c r="V514" t="str">
        <f>IF(U514="","",IFERROR(VLOOKUP(U514,Hotels!A:B,2,FALSE),"Not Found"))</f>
        <v>Hilton</v>
      </c>
      <c r="W514" s="14">
        <v>1142.9100000000001</v>
      </c>
      <c r="X514" s="14">
        <v>0</v>
      </c>
      <c r="Y514" s="21">
        <v>2</v>
      </c>
      <c r="Z514" s="29">
        <f t="shared" ref="Z514:Z577" si="169">IF(Y514&gt;0,AA514/Y514,0)</f>
        <v>113.08</v>
      </c>
      <c r="AA514" s="14">
        <v>226.16</v>
      </c>
      <c r="AB514" s="14">
        <v>154.83000000000001</v>
      </c>
      <c r="AC514" s="14">
        <v>1523.9</v>
      </c>
      <c r="AD514" s="16" t="s">
        <v>147</v>
      </c>
      <c r="AE514" s="16" t="s">
        <v>147</v>
      </c>
      <c r="AF514" s="14">
        <f>SUMIF('Trip Changes'!$B:$B,A514,'Trip Changes'!$E:$E)</f>
        <v>0</v>
      </c>
      <c r="AG514" s="23">
        <f>SUMIF('Trip Cancellations'!$B:$B,A514,'Trip Cancellations'!$E:$E)</f>
        <v>0</v>
      </c>
      <c r="AH514" s="14">
        <f>SUMIF('Trip Cancellations'!$B:$B,A514,'Trip Cancellations'!$F:$F)</f>
        <v>0</v>
      </c>
      <c r="AI514" s="14">
        <f t="shared" ref="AI514:AI577" si="170">AC514+AF514+AG514-AH514</f>
        <v>1523.9</v>
      </c>
      <c r="AJ514" s="14" t="str">
        <f t="shared" ref="AJ514:AJ577" si="171">IF(Y514=0,"N/A",
IF(OR(L514="London",L514="Manchester",L514="Birmingham",L514="Edinburgh",L514="Glasgow",
L514="New York",L514="Boston",L514="Chicago",L514="Zurich",L514="Singapore",L514="Hong Kong",L514="Dubai"),
IF(Z514&lt;=220,"Yes","No"),
IF(Z514&lt;=180,"Yes","No")))</f>
        <v>Yes</v>
      </c>
      <c r="AK514" s="14" t="str">
        <f>IF(Y514=0,"N/A",
IF(_xlfn.XLOOKUP(U514,Hotels!A:A,Hotels!C:C)=TRUE,"Yes","No"))</f>
        <v>Yes</v>
      </c>
      <c r="AL514" s="14" t="str">
        <f>IF(N514="Rail","N/A",IF(_xlfn.XLOOKUP(T514,Airlines!A:A,Airlines!C:C)=TRUE,"Yes","No"))</f>
        <v>Yes</v>
      </c>
      <c r="AM514" s="14" t="str">
        <f t="shared" ref="AM514:AM577" si="172">IF(OR(
AND(N514="Air",O514="Economy"),
AND(N514="Rail",O514="Standard / 2nd Class")
),"Yes","No")</f>
        <v>Yes</v>
      </c>
      <c r="AN514" s="14" t="str">
        <f t="shared" ref="AN514:AN577" si="173">IF(OR(S514="Online Booking Tool",S514="TMC Assisted"),"Yes","No")</f>
        <v>Yes</v>
      </c>
      <c r="AO514" s="14" t="str">
        <f t="shared" ref="AO514:AO577" si="174">IF(AND(OR(AK514="Yes",AK514="N/A"),OR(AL514="Yes",AL514="N/A")),"Yes","No")</f>
        <v>Yes</v>
      </c>
      <c r="AP514" s="16" t="s">
        <v>148</v>
      </c>
      <c r="AQ514" t="str">
        <f t="shared" ref="AQ514:AQ577" si="175">IF(AND(OR(AJ514="Yes",AJ514="N/A"),OR(AK514="Yes",AK514="N/A"),OR(AL514="Yes",AL514="N/A"),AM514="Yes",AN514="Yes"),"Yes","No")</f>
        <v>Yes</v>
      </c>
      <c r="AR514" s="21">
        <v>4</v>
      </c>
      <c r="AS514" s="5">
        <v>1940.4</v>
      </c>
      <c r="AT514" s="5" t="str">
        <f>IF(T514="","",_xlfn.XLOOKUP(T514,Airlines!A:A,Airlines!B:B,"Not Found"))</f>
        <v>British Airways</v>
      </c>
      <c r="AU514" s="5" t="str">
        <f>IF(U514="","",_xlfn.XLOOKUP(U514,Hotels!A:A,Hotels!B:B,"Not found"))</f>
        <v>Hilton</v>
      </c>
      <c r="AV514" t="s">
        <v>147</v>
      </c>
      <c r="AW514" s="16" t="str">
        <f t="shared" ref="AW514:AW577" si="176">IF(OR(A514="",B514="",G514="",H514="",I514="",K514="",L514="",M514="",N514="",S514="",AC514="",AI514=""),"Check","OK")</f>
        <v>OK</v>
      </c>
      <c r="AX514" s="16" t="str">
        <f t="shared" ref="AX514:AX577" si="177">IF(AND(G514&lt;=H514, H514&lt;=I514),"OK","CHECK")</f>
        <v>OK</v>
      </c>
      <c r="AY514" s="16" t="str">
        <f t="shared" ref="AY514:AY577" si="178">IF(Q514=H514-G514,"OK","Check")</f>
        <v>OK</v>
      </c>
      <c r="AZ514" s="16" t="str">
        <f t="shared" ref="AZ514:AZ577" si="179">IF(ROUND(W514+X514+AA514+AB514,2)=ROUND(AC514,2),"OK","Check")</f>
        <v>OK</v>
      </c>
      <c r="BA514" s="16" t="str">
        <f t="shared" si="162"/>
        <v>OK</v>
      </c>
      <c r="BB514" s="21">
        <f>COUNTIF('Trip Changes'!B:B,A514)</f>
        <v>0</v>
      </c>
      <c r="BC514" s="16" t="str">
        <f>IF(OR(AND(AD514="Yes",COUNTIF('Trip Changes'!B:B,A514)&gt;0),AND(AD514="No",COUNTIF('Trip Changes'!B:B,A514)=0)),"OK","Check")</f>
        <v>OK</v>
      </c>
      <c r="BD514" t="str">
        <f t="shared" si="163"/>
        <v>OK</v>
      </c>
      <c r="BE514" t="str">
        <f t="shared" si="164"/>
        <v>OK</v>
      </c>
      <c r="BF514" t="str">
        <f t="shared" si="165"/>
        <v>OK</v>
      </c>
      <c r="BG514" t="str">
        <f t="shared" si="166"/>
        <v>OK</v>
      </c>
      <c r="BH514" t="str">
        <f t="shared" si="167"/>
        <v>OK</v>
      </c>
      <c r="BI514" t="str">
        <f t="shared" ref="BI514:BI577" si="180">IF(OR(N514="Air",N514="Rail"),"OK","Check")</f>
        <v>OK</v>
      </c>
      <c r="BJ514" t="str">
        <f t="shared" ref="BJ514:BJ577" si="181">IF(OR(M514="Domestic",M514="International"),"OK","Check")</f>
        <v>OK</v>
      </c>
      <c r="BK514" t="str">
        <f t="shared" ref="BK514:BK577" si="182">IF(OR(S514="Online Booking Tool",S514="TMC Assisted",S514="Direct Supplier",S514="Other"),"OK","Check")</f>
        <v>OK</v>
      </c>
    </row>
    <row r="515" spans="1:63">
      <c r="A515" s="16" t="s">
        <v>867</v>
      </c>
      <c r="B515" s="16" t="s">
        <v>865</v>
      </c>
      <c r="C515" s="16" t="s">
        <v>182</v>
      </c>
      <c r="D515" s="16" t="s">
        <v>248</v>
      </c>
      <c r="E515" s="16" t="s">
        <v>249</v>
      </c>
      <c r="F515" s="16" t="s">
        <v>162</v>
      </c>
      <c r="G515" s="15">
        <v>46162</v>
      </c>
      <c r="H515" s="15">
        <v>46183</v>
      </c>
      <c r="I515" s="15">
        <v>46187</v>
      </c>
      <c r="J515" s="15" t="s">
        <v>141</v>
      </c>
      <c r="K515" s="16" t="s">
        <v>182</v>
      </c>
      <c r="L515" t="s">
        <v>225</v>
      </c>
      <c r="M515" s="16" t="s">
        <v>152</v>
      </c>
      <c r="N515" s="16" t="s">
        <v>153</v>
      </c>
      <c r="O515" t="s">
        <v>1614</v>
      </c>
      <c r="P515" s="18">
        <v>1746</v>
      </c>
      <c r="Q515" s="21">
        <v>21</v>
      </c>
      <c r="R515" s="21" t="str">
        <f t="shared" si="168"/>
        <v>15-30 days</v>
      </c>
      <c r="S515" s="16" t="s">
        <v>207</v>
      </c>
      <c r="T515" s="16" t="s">
        <v>154</v>
      </c>
      <c r="U515" s="16" t="s">
        <v>187</v>
      </c>
      <c r="V515" t="str">
        <f>IF(U515="","",IFERROR(VLOOKUP(U515,Hotels!A:B,2,FALSE),"Not Found"))</f>
        <v>IHG Hotels &amp; Resorts</v>
      </c>
      <c r="W515" s="14">
        <v>481.17</v>
      </c>
      <c r="X515" s="14">
        <v>0</v>
      </c>
      <c r="Y515" s="21">
        <v>3</v>
      </c>
      <c r="Z515" s="29">
        <f t="shared" si="169"/>
        <v>201.76999999999998</v>
      </c>
      <c r="AA515" s="14">
        <v>605.30999999999995</v>
      </c>
      <c r="AB515" s="14">
        <v>76.23</v>
      </c>
      <c r="AC515" s="14">
        <v>1162.71</v>
      </c>
      <c r="AD515" s="16" t="s">
        <v>147</v>
      </c>
      <c r="AE515" s="16" t="s">
        <v>147</v>
      </c>
      <c r="AF515" s="14">
        <f>SUMIF('Trip Changes'!$B:$B,A515,'Trip Changes'!$E:$E)</f>
        <v>0</v>
      </c>
      <c r="AG515" s="23">
        <f>SUMIF('Trip Cancellations'!$B:$B,A515,'Trip Cancellations'!$E:$E)</f>
        <v>0</v>
      </c>
      <c r="AH515" s="14">
        <f>SUMIF('Trip Cancellations'!$B:$B,A515,'Trip Cancellations'!$F:$F)</f>
        <v>0</v>
      </c>
      <c r="AI515" s="14">
        <f t="shared" si="170"/>
        <v>1162.71</v>
      </c>
      <c r="AJ515" s="14" t="str">
        <f t="shared" si="171"/>
        <v>No</v>
      </c>
      <c r="AK515" s="14" t="str">
        <f>IF(Y515=0,"N/A",
IF(_xlfn.XLOOKUP(U515,Hotels!A:A,Hotels!C:C)=TRUE,"Yes","No"))</f>
        <v>Yes</v>
      </c>
      <c r="AL515" s="14" t="str">
        <f>IF(N515="Rail","N/A",IF(_xlfn.XLOOKUP(T515,Airlines!A:A,Airlines!C:C)=TRUE,"Yes","No"))</f>
        <v>Yes</v>
      </c>
      <c r="AM515" s="14" t="str">
        <f t="shared" si="172"/>
        <v>Yes</v>
      </c>
      <c r="AN515" s="14" t="str">
        <f t="shared" si="173"/>
        <v>No</v>
      </c>
      <c r="AO515" s="14" t="str">
        <f t="shared" si="174"/>
        <v>Yes</v>
      </c>
      <c r="AP515" s="16" t="s">
        <v>148</v>
      </c>
      <c r="AQ515" t="str">
        <f t="shared" si="175"/>
        <v>No</v>
      </c>
      <c r="AR515" s="21">
        <v>5</v>
      </c>
      <c r="AS515" s="5">
        <v>261.89999999999998</v>
      </c>
      <c r="AT515" s="5" t="str">
        <f>IF(T515="","",_xlfn.XLOOKUP(T515,Airlines!A:A,Airlines!B:B,"Not Found"))</f>
        <v>British Airways</v>
      </c>
      <c r="AU515" s="5" t="str">
        <f>IF(U515="","",_xlfn.XLOOKUP(U515,Hotels!A:A,Hotels!B:B,"Not found"))</f>
        <v>IHG Hotels &amp; Resorts</v>
      </c>
      <c r="AV515" t="s">
        <v>148</v>
      </c>
      <c r="AW515" s="16" t="str">
        <f t="shared" si="176"/>
        <v>OK</v>
      </c>
      <c r="AX515" s="16" t="str">
        <f t="shared" si="177"/>
        <v>OK</v>
      </c>
      <c r="AY515" s="16" t="str">
        <f t="shared" si="178"/>
        <v>OK</v>
      </c>
      <c r="AZ515" s="16" t="str">
        <f t="shared" si="179"/>
        <v>OK</v>
      </c>
      <c r="BA515" s="16" t="str">
        <f t="shared" ref="BA515:BA578" si="183">IF(ROUND(AC515+AF515+AG515-AH515,2)=ROUND(AI515,2),"OK","Check")</f>
        <v>OK</v>
      </c>
      <c r="BB515" s="21">
        <f>COUNTIF('Trip Changes'!B:B,A515)</f>
        <v>0</v>
      </c>
      <c r="BC515" s="16" t="str">
        <f>IF(OR(AND(AD515="Yes",COUNTIF('Trip Changes'!B:B,A515)&gt;0),AND(AD515="No",COUNTIF('Trip Changes'!B:B,A515)=0)),"OK","Check")</f>
        <v>OK</v>
      </c>
      <c r="BD515" t="str">
        <f t="shared" ref="BD515:BD578" si="184">IF(OR(AD515="Yes",AD515="No"),"OK","Check")</f>
        <v>OK</v>
      </c>
      <c r="BE515" t="str">
        <f t="shared" ref="BE515:BE578" si="185">IF(OR(AE515="Yes",AE515="No"),"OK","Check")</f>
        <v>OK</v>
      </c>
      <c r="BF515" t="str">
        <f t="shared" ref="BF515:BF578" si="186">IF(OR(AP515="Yes",AP515="No"),"OK","Check")</f>
        <v>OK</v>
      </c>
      <c r="BG515" t="str">
        <f t="shared" ref="BG515:BG578" si="187">IF(OR(AV515="Yes",AV515="No"),"OK","Check")</f>
        <v>OK</v>
      </c>
      <c r="BH515" t="str">
        <f t="shared" ref="BH515:BH578" si="188">IF(AND(ISNUMBER(AR515),AR515&gt;=1,AR515&lt;=5),"OK","Check")</f>
        <v>OK</v>
      </c>
      <c r="BI515" t="str">
        <f t="shared" si="180"/>
        <v>OK</v>
      </c>
      <c r="BJ515" t="str">
        <f t="shared" si="181"/>
        <v>OK</v>
      </c>
      <c r="BK515" t="str">
        <f t="shared" si="182"/>
        <v>OK</v>
      </c>
    </row>
    <row r="516" spans="1:63">
      <c r="A516" s="16" t="s">
        <v>868</v>
      </c>
      <c r="B516" s="16" t="s">
        <v>865</v>
      </c>
      <c r="C516" s="16" t="s">
        <v>182</v>
      </c>
      <c r="D516" s="16" t="s">
        <v>248</v>
      </c>
      <c r="E516" s="16" t="s">
        <v>249</v>
      </c>
      <c r="F516" s="16" t="s">
        <v>162</v>
      </c>
      <c r="G516" s="15">
        <v>46150</v>
      </c>
      <c r="H516" s="15">
        <v>46164</v>
      </c>
      <c r="I516" s="15">
        <v>46166</v>
      </c>
      <c r="J516" s="15" t="s">
        <v>163</v>
      </c>
      <c r="K516" s="16" t="s">
        <v>182</v>
      </c>
      <c r="L516" t="s">
        <v>175</v>
      </c>
      <c r="M516" s="16" t="s">
        <v>152</v>
      </c>
      <c r="N516" s="16" t="s">
        <v>153</v>
      </c>
      <c r="O516" t="s">
        <v>1614</v>
      </c>
      <c r="P516" s="18">
        <v>3392</v>
      </c>
      <c r="Q516" s="21">
        <v>14</v>
      </c>
      <c r="R516" s="21" t="str">
        <f t="shared" si="168"/>
        <v>8-14 days</v>
      </c>
      <c r="S516" s="16" t="s">
        <v>145</v>
      </c>
      <c r="T516" s="16" t="s">
        <v>236</v>
      </c>
      <c r="U516" s="16" t="s">
        <v>164</v>
      </c>
      <c r="V516" t="str">
        <f>IF(U516="","",IFERROR(VLOOKUP(U516,Hotels!A:B,2,FALSE),"Not Found"))</f>
        <v>Marriott</v>
      </c>
      <c r="W516" s="14">
        <v>520.83000000000004</v>
      </c>
      <c r="X516" s="14">
        <v>0</v>
      </c>
      <c r="Y516" s="21">
        <v>1</v>
      </c>
      <c r="Z516" s="29">
        <f t="shared" si="169"/>
        <v>194.08</v>
      </c>
      <c r="AA516" s="14">
        <v>194.08</v>
      </c>
      <c r="AB516" s="14">
        <v>20</v>
      </c>
      <c r="AC516" s="14">
        <v>734.91</v>
      </c>
      <c r="AD516" s="16" t="s">
        <v>148</v>
      </c>
      <c r="AE516" s="16" t="s">
        <v>147</v>
      </c>
      <c r="AF516" s="14">
        <f>SUMIF('Trip Changes'!$B:$B,A516,'Trip Changes'!$E:$E)</f>
        <v>286.22000000000003</v>
      </c>
      <c r="AG516" s="23">
        <f>SUMIF('Trip Cancellations'!$B:$B,A516,'Trip Cancellations'!$E:$E)</f>
        <v>0</v>
      </c>
      <c r="AH516" s="14">
        <f>SUMIF('Trip Cancellations'!$B:$B,A516,'Trip Cancellations'!$F:$F)</f>
        <v>0</v>
      </c>
      <c r="AI516" s="14">
        <f t="shared" si="170"/>
        <v>1021.13</v>
      </c>
      <c r="AJ516" s="14" t="str">
        <f t="shared" si="171"/>
        <v>Yes</v>
      </c>
      <c r="AK516" s="14" t="str">
        <f>IF(Y516=0,"N/A",
IF(_xlfn.XLOOKUP(U516,Hotels!A:A,Hotels!C:C)=TRUE,"Yes","No"))</f>
        <v>Yes</v>
      </c>
      <c r="AL516" s="14" t="str">
        <f>IF(N516="Rail","N/A",IF(_xlfn.XLOOKUP(T516,Airlines!A:A,Airlines!C:C)=TRUE,"Yes","No"))</f>
        <v>Yes</v>
      </c>
      <c r="AM516" s="14" t="str">
        <f t="shared" si="172"/>
        <v>Yes</v>
      </c>
      <c r="AN516" s="14" t="str">
        <f t="shared" si="173"/>
        <v>Yes</v>
      </c>
      <c r="AO516" s="14" t="str">
        <f t="shared" si="174"/>
        <v>Yes</v>
      </c>
      <c r="AP516" s="16" t="s">
        <v>148</v>
      </c>
      <c r="AQ516" t="str">
        <f t="shared" si="175"/>
        <v>Yes</v>
      </c>
      <c r="AR516" s="21">
        <v>4</v>
      </c>
      <c r="AS516" s="5">
        <v>508.8</v>
      </c>
      <c r="AT516" s="5" t="str">
        <f>IF(T516="","",_xlfn.XLOOKUP(T516,Airlines!A:A,Airlines!B:B,"Not Found"))</f>
        <v>KLM</v>
      </c>
      <c r="AU516" s="5" t="str">
        <f>IF(U516="","",_xlfn.XLOOKUP(U516,Hotels!A:A,Hotels!B:B,"Not found"))</f>
        <v>Marriott</v>
      </c>
      <c r="AV516" t="s">
        <v>148</v>
      </c>
      <c r="AW516" s="16" t="str">
        <f t="shared" si="176"/>
        <v>OK</v>
      </c>
      <c r="AX516" s="16" t="str">
        <f t="shared" si="177"/>
        <v>OK</v>
      </c>
      <c r="AY516" s="16" t="str">
        <f t="shared" si="178"/>
        <v>OK</v>
      </c>
      <c r="AZ516" s="16" t="str">
        <f t="shared" si="179"/>
        <v>OK</v>
      </c>
      <c r="BA516" s="16" t="str">
        <f t="shared" si="183"/>
        <v>OK</v>
      </c>
      <c r="BB516" s="21">
        <f>COUNTIF('Trip Changes'!B:B,A516)</f>
        <v>2</v>
      </c>
      <c r="BC516" s="16" t="str">
        <f>IF(OR(AND(AD516="Yes",COUNTIF('Trip Changes'!B:B,A516)&gt;0),AND(AD516="No",COUNTIF('Trip Changes'!B:B,A516)=0)),"OK","Check")</f>
        <v>OK</v>
      </c>
      <c r="BD516" t="str">
        <f t="shared" si="184"/>
        <v>OK</v>
      </c>
      <c r="BE516" t="str">
        <f t="shared" si="185"/>
        <v>OK</v>
      </c>
      <c r="BF516" t="str">
        <f t="shared" si="186"/>
        <v>OK</v>
      </c>
      <c r="BG516" t="str">
        <f t="shared" si="187"/>
        <v>OK</v>
      </c>
      <c r="BH516" t="str">
        <f t="shared" si="188"/>
        <v>OK</v>
      </c>
      <c r="BI516" t="str">
        <f t="shared" si="180"/>
        <v>OK</v>
      </c>
      <c r="BJ516" t="str">
        <f t="shared" si="181"/>
        <v>OK</v>
      </c>
      <c r="BK516" t="str">
        <f t="shared" si="182"/>
        <v>OK</v>
      </c>
    </row>
    <row r="517" spans="1:63">
      <c r="A517" s="16" t="s">
        <v>869</v>
      </c>
      <c r="B517" s="16" t="s">
        <v>865</v>
      </c>
      <c r="C517" s="16" t="s">
        <v>182</v>
      </c>
      <c r="D517" s="16" t="s">
        <v>248</v>
      </c>
      <c r="E517" s="16" t="s">
        <v>249</v>
      </c>
      <c r="F517" s="16" t="s">
        <v>181</v>
      </c>
      <c r="G517" s="15">
        <v>46196</v>
      </c>
      <c r="H517" s="15">
        <v>46228</v>
      </c>
      <c r="I517" s="15">
        <v>46232</v>
      </c>
      <c r="J517" s="15" t="s">
        <v>150</v>
      </c>
      <c r="K517" s="16" t="s">
        <v>182</v>
      </c>
      <c r="L517" t="s">
        <v>225</v>
      </c>
      <c r="M517" s="16" t="s">
        <v>152</v>
      </c>
      <c r="N517" s="16" t="s">
        <v>153</v>
      </c>
      <c r="O517" t="s">
        <v>1614</v>
      </c>
      <c r="P517" s="18">
        <v>3516</v>
      </c>
      <c r="Q517" s="21">
        <v>32</v>
      </c>
      <c r="R517" s="21" t="str">
        <f t="shared" si="168"/>
        <v>31+ days</v>
      </c>
      <c r="S517" s="16" t="s">
        <v>145</v>
      </c>
      <c r="T517" s="16" t="s">
        <v>154</v>
      </c>
      <c r="U517" s="16" t="s">
        <v>164</v>
      </c>
      <c r="V517" t="str">
        <f>IF(U517="","",IFERROR(VLOOKUP(U517,Hotels!A:B,2,FALSE),"Not Found"))</f>
        <v>Marriott</v>
      </c>
      <c r="W517" s="14">
        <v>449.12</v>
      </c>
      <c r="X517" s="14">
        <v>0</v>
      </c>
      <c r="Y517" s="21">
        <v>3</v>
      </c>
      <c r="Z517" s="29">
        <f t="shared" si="169"/>
        <v>130.9</v>
      </c>
      <c r="AA517" s="14">
        <v>392.7</v>
      </c>
      <c r="AB517" s="14">
        <v>105.19</v>
      </c>
      <c r="AC517" s="14">
        <v>947.01</v>
      </c>
      <c r="AD517" s="16" t="s">
        <v>147</v>
      </c>
      <c r="AE517" s="16" t="s">
        <v>147</v>
      </c>
      <c r="AF517" s="14">
        <f>SUMIF('Trip Changes'!$B:$B,A517,'Trip Changes'!$E:$E)</f>
        <v>0</v>
      </c>
      <c r="AG517" s="23">
        <f>SUMIF('Trip Cancellations'!$B:$B,A517,'Trip Cancellations'!$E:$E)</f>
        <v>0</v>
      </c>
      <c r="AH517" s="14">
        <f>SUMIF('Trip Cancellations'!$B:$B,A517,'Trip Cancellations'!$F:$F)</f>
        <v>0</v>
      </c>
      <c r="AI517" s="14">
        <f t="shared" si="170"/>
        <v>947.01</v>
      </c>
      <c r="AJ517" s="14" t="str">
        <f t="shared" si="171"/>
        <v>Yes</v>
      </c>
      <c r="AK517" s="14" t="str">
        <f>IF(Y517=0,"N/A",
IF(_xlfn.XLOOKUP(U517,Hotels!A:A,Hotels!C:C)=TRUE,"Yes","No"))</f>
        <v>Yes</v>
      </c>
      <c r="AL517" s="14" t="str">
        <f>IF(N517="Rail","N/A",IF(_xlfn.XLOOKUP(T517,Airlines!A:A,Airlines!C:C)=TRUE,"Yes","No"))</f>
        <v>Yes</v>
      </c>
      <c r="AM517" s="14" t="str">
        <f t="shared" si="172"/>
        <v>Yes</v>
      </c>
      <c r="AN517" s="14" t="str">
        <f t="shared" si="173"/>
        <v>Yes</v>
      </c>
      <c r="AO517" s="14" t="str">
        <f t="shared" si="174"/>
        <v>Yes</v>
      </c>
      <c r="AP517" s="16" t="s">
        <v>148</v>
      </c>
      <c r="AQ517" t="str">
        <f t="shared" si="175"/>
        <v>Yes</v>
      </c>
      <c r="AR517" s="21">
        <v>3</v>
      </c>
      <c r="AS517" s="5">
        <v>527.4</v>
      </c>
      <c r="AT517" s="5" t="str">
        <f>IF(T517="","",_xlfn.XLOOKUP(T517,Airlines!A:A,Airlines!B:B,"Not Found"))</f>
        <v>British Airways</v>
      </c>
      <c r="AU517" s="5" t="str">
        <f>IF(U517="","",_xlfn.XLOOKUP(U517,Hotels!A:A,Hotels!B:B,"Not found"))</f>
        <v>Marriott</v>
      </c>
      <c r="AV517" t="s">
        <v>148</v>
      </c>
      <c r="AW517" s="16" t="str">
        <f t="shared" si="176"/>
        <v>OK</v>
      </c>
      <c r="AX517" s="16" t="str">
        <f t="shared" si="177"/>
        <v>OK</v>
      </c>
      <c r="AY517" s="16" t="str">
        <f t="shared" si="178"/>
        <v>OK</v>
      </c>
      <c r="AZ517" s="16" t="str">
        <f t="shared" si="179"/>
        <v>OK</v>
      </c>
      <c r="BA517" s="16" t="str">
        <f t="shared" si="183"/>
        <v>OK</v>
      </c>
      <c r="BB517" s="21">
        <f>COUNTIF('Trip Changes'!B:B,A517)</f>
        <v>0</v>
      </c>
      <c r="BC517" s="16" t="str">
        <f>IF(OR(AND(AD517="Yes",COUNTIF('Trip Changes'!B:B,A517)&gt;0),AND(AD517="No",COUNTIF('Trip Changes'!B:B,A517)=0)),"OK","Check")</f>
        <v>OK</v>
      </c>
      <c r="BD517" t="str">
        <f t="shared" si="184"/>
        <v>OK</v>
      </c>
      <c r="BE517" t="str">
        <f t="shared" si="185"/>
        <v>OK</v>
      </c>
      <c r="BF517" t="str">
        <f t="shared" si="186"/>
        <v>OK</v>
      </c>
      <c r="BG517" t="str">
        <f t="shared" si="187"/>
        <v>OK</v>
      </c>
      <c r="BH517" t="str">
        <f t="shared" si="188"/>
        <v>OK</v>
      </c>
      <c r="BI517" t="str">
        <f t="shared" si="180"/>
        <v>OK</v>
      </c>
      <c r="BJ517" t="str">
        <f t="shared" si="181"/>
        <v>OK</v>
      </c>
      <c r="BK517" t="str">
        <f t="shared" si="182"/>
        <v>OK</v>
      </c>
    </row>
    <row r="518" spans="1:63">
      <c r="A518" s="16" t="s">
        <v>870</v>
      </c>
      <c r="B518" s="16" t="s">
        <v>865</v>
      </c>
      <c r="C518" s="16" t="s">
        <v>182</v>
      </c>
      <c r="D518" s="16" t="s">
        <v>248</v>
      </c>
      <c r="E518" s="16" t="s">
        <v>249</v>
      </c>
      <c r="F518" s="16" t="s">
        <v>140</v>
      </c>
      <c r="G518" s="15">
        <v>46227</v>
      </c>
      <c r="H518" s="15">
        <v>46232</v>
      </c>
      <c r="I518" s="15">
        <v>46234</v>
      </c>
      <c r="J518" s="15" t="s">
        <v>150</v>
      </c>
      <c r="K518" s="16" t="s">
        <v>182</v>
      </c>
      <c r="L518" t="s">
        <v>171</v>
      </c>
      <c r="M518" s="16" t="s">
        <v>152</v>
      </c>
      <c r="N518" s="16" t="s">
        <v>153</v>
      </c>
      <c r="O518" t="s">
        <v>1614</v>
      </c>
      <c r="P518" s="18">
        <v>2364</v>
      </c>
      <c r="Q518" s="21">
        <v>5</v>
      </c>
      <c r="R518" s="21" t="str">
        <f t="shared" si="168"/>
        <v>4-7 days</v>
      </c>
      <c r="S518" s="16" t="s">
        <v>145</v>
      </c>
      <c r="T518" s="16" t="s">
        <v>154</v>
      </c>
      <c r="U518" s="16" t="s">
        <v>187</v>
      </c>
      <c r="V518" t="str">
        <f>IF(U518="","",IFERROR(VLOOKUP(U518,Hotels!A:B,2,FALSE),"Not Found"))</f>
        <v>IHG Hotels &amp; Resorts</v>
      </c>
      <c r="W518" s="14">
        <v>643.70000000000005</v>
      </c>
      <c r="X518" s="14">
        <v>0</v>
      </c>
      <c r="Y518" s="21">
        <v>1</v>
      </c>
      <c r="Z518" s="29">
        <f t="shared" si="169"/>
        <v>124.59</v>
      </c>
      <c r="AA518" s="14">
        <v>124.59</v>
      </c>
      <c r="AB518" s="14">
        <v>49.56</v>
      </c>
      <c r="AC518" s="14">
        <v>817.85</v>
      </c>
      <c r="AD518" s="16" t="s">
        <v>147</v>
      </c>
      <c r="AE518" s="16" t="s">
        <v>147</v>
      </c>
      <c r="AF518" s="14">
        <f>SUMIF('Trip Changes'!$B:$B,A518,'Trip Changes'!$E:$E)</f>
        <v>0</v>
      </c>
      <c r="AG518" s="23">
        <f>SUMIF('Trip Cancellations'!$B:$B,A518,'Trip Cancellations'!$E:$E)</f>
        <v>0</v>
      </c>
      <c r="AH518" s="14">
        <f>SUMIF('Trip Cancellations'!$B:$B,A518,'Trip Cancellations'!$F:$F)</f>
        <v>0</v>
      </c>
      <c r="AI518" s="14">
        <f t="shared" si="170"/>
        <v>817.85</v>
      </c>
      <c r="AJ518" s="14" t="str">
        <f t="shared" si="171"/>
        <v>Yes</v>
      </c>
      <c r="AK518" s="14" t="str">
        <f>IF(Y518=0,"N/A",
IF(_xlfn.XLOOKUP(U518,Hotels!A:A,Hotels!C:C)=TRUE,"Yes","No"))</f>
        <v>Yes</v>
      </c>
      <c r="AL518" s="14" t="str">
        <f>IF(N518="Rail","N/A",IF(_xlfn.XLOOKUP(T518,Airlines!A:A,Airlines!C:C)=TRUE,"Yes","No"))</f>
        <v>Yes</v>
      </c>
      <c r="AM518" s="14" t="str">
        <f t="shared" si="172"/>
        <v>Yes</v>
      </c>
      <c r="AN518" s="14" t="str">
        <f t="shared" si="173"/>
        <v>Yes</v>
      </c>
      <c r="AO518" s="14" t="str">
        <f t="shared" si="174"/>
        <v>Yes</v>
      </c>
      <c r="AP518" s="16" t="s">
        <v>148</v>
      </c>
      <c r="AQ518" t="str">
        <f t="shared" si="175"/>
        <v>Yes</v>
      </c>
      <c r="AR518" s="21">
        <v>4</v>
      </c>
      <c r="AS518" s="5">
        <v>354.6</v>
      </c>
      <c r="AT518" s="5" t="str">
        <f>IF(T518="","",_xlfn.XLOOKUP(T518,Airlines!A:A,Airlines!B:B,"Not Found"))</f>
        <v>British Airways</v>
      </c>
      <c r="AU518" s="5" t="str">
        <f>IF(U518="","",_xlfn.XLOOKUP(U518,Hotels!A:A,Hotels!B:B,"Not found"))</f>
        <v>IHG Hotels &amp; Resorts</v>
      </c>
      <c r="AV518" t="s">
        <v>147</v>
      </c>
      <c r="AW518" s="16" t="str">
        <f t="shared" si="176"/>
        <v>OK</v>
      </c>
      <c r="AX518" s="16" t="str">
        <f t="shared" si="177"/>
        <v>OK</v>
      </c>
      <c r="AY518" s="16" t="str">
        <f t="shared" si="178"/>
        <v>OK</v>
      </c>
      <c r="AZ518" s="16" t="str">
        <f t="shared" si="179"/>
        <v>OK</v>
      </c>
      <c r="BA518" s="16" t="str">
        <f t="shared" si="183"/>
        <v>OK</v>
      </c>
      <c r="BB518" s="21">
        <f>COUNTIF('Trip Changes'!B:B,A518)</f>
        <v>0</v>
      </c>
      <c r="BC518" s="16" t="str">
        <f>IF(OR(AND(AD518="Yes",COUNTIF('Trip Changes'!B:B,A518)&gt;0),AND(AD518="No",COUNTIF('Trip Changes'!B:B,A518)=0)),"OK","Check")</f>
        <v>OK</v>
      </c>
      <c r="BD518" t="str">
        <f t="shared" si="184"/>
        <v>OK</v>
      </c>
      <c r="BE518" t="str">
        <f t="shared" si="185"/>
        <v>OK</v>
      </c>
      <c r="BF518" t="str">
        <f t="shared" si="186"/>
        <v>OK</v>
      </c>
      <c r="BG518" t="str">
        <f t="shared" si="187"/>
        <v>OK</v>
      </c>
      <c r="BH518" t="str">
        <f t="shared" si="188"/>
        <v>OK</v>
      </c>
      <c r="BI518" t="str">
        <f t="shared" si="180"/>
        <v>OK</v>
      </c>
      <c r="BJ518" t="str">
        <f t="shared" si="181"/>
        <v>OK</v>
      </c>
      <c r="BK518" t="str">
        <f t="shared" si="182"/>
        <v>OK</v>
      </c>
    </row>
    <row r="519" spans="1:63">
      <c r="A519" s="16" t="s">
        <v>871</v>
      </c>
      <c r="B519" s="16" t="s">
        <v>872</v>
      </c>
      <c r="C519" s="16" t="s">
        <v>257</v>
      </c>
      <c r="D519" s="16" t="s">
        <v>168</v>
      </c>
      <c r="E519" s="16" t="s">
        <v>262</v>
      </c>
      <c r="F519" s="16" t="s">
        <v>140</v>
      </c>
      <c r="G519" s="15">
        <v>46147</v>
      </c>
      <c r="H519" s="15">
        <v>46169</v>
      </c>
      <c r="I519" s="15">
        <v>46170</v>
      </c>
      <c r="J519" s="15" t="s">
        <v>163</v>
      </c>
      <c r="K519" s="16" t="s">
        <v>257</v>
      </c>
      <c r="L519" t="s">
        <v>193</v>
      </c>
      <c r="M519" s="16" t="s">
        <v>143</v>
      </c>
      <c r="N519" s="16" t="s">
        <v>144</v>
      </c>
      <c r="O519" t="s">
        <v>1630</v>
      </c>
      <c r="P519" s="18">
        <v>428</v>
      </c>
      <c r="Q519" s="21">
        <v>22</v>
      </c>
      <c r="R519" s="21" t="str">
        <f t="shared" si="168"/>
        <v>15-30 days</v>
      </c>
      <c r="S519" s="16" t="s">
        <v>159</v>
      </c>
      <c r="V519" t="str">
        <f>IF(U519="","",IFERROR(VLOOKUP(U519,Hotels!A:B,2,FALSE),"Not Found"))</f>
        <v/>
      </c>
      <c r="W519" s="14">
        <v>0</v>
      </c>
      <c r="X519" s="14">
        <v>314.79000000000002</v>
      </c>
      <c r="Y519" s="21">
        <v>0</v>
      </c>
      <c r="Z519" s="29">
        <f t="shared" si="169"/>
        <v>0</v>
      </c>
      <c r="AA519" s="14">
        <v>0</v>
      </c>
      <c r="AB519" s="14">
        <v>98.01</v>
      </c>
      <c r="AC519" s="14">
        <v>412.8</v>
      </c>
      <c r="AD519" s="16" t="s">
        <v>147</v>
      </c>
      <c r="AE519" s="16" t="s">
        <v>148</v>
      </c>
      <c r="AF519" s="14">
        <f>SUMIF('Trip Changes'!$B:$B,A519,'Trip Changes'!$E:$E)</f>
        <v>0</v>
      </c>
      <c r="AG519" s="23">
        <f>SUMIF('Trip Cancellations'!$B:$B,A519,'Trip Cancellations'!$E:$E)</f>
        <v>32.36</v>
      </c>
      <c r="AH519" s="14">
        <f>SUMIF('Trip Cancellations'!$B:$B,A519,'Trip Cancellations'!$F:$F)</f>
        <v>236.09</v>
      </c>
      <c r="AI519" s="14">
        <f t="shared" si="170"/>
        <v>209.07000000000002</v>
      </c>
      <c r="AJ519" s="14" t="str">
        <f t="shared" si="171"/>
        <v>N/A</v>
      </c>
      <c r="AK519" s="14" t="str">
        <f>IF(Y519=0,"N/A",
IF(_xlfn.XLOOKUP(U519,Hotels!A:A,Hotels!C:C)=TRUE,"Yes","No"))</f>
        <v>N/A</v>
      </c>
      <c r="AL519" s="14" t="str">
        <f>IF(N519="Rail","N/A",IF(_xlfn.XLOOKUP(T519,Airlines!A:A,Airlines!C:C)=TRUE,"Yes","No"))</f>
        <v>N/A</v>
      </c>
      <c r="AM519" s="14" t="str">
        <f t="shared" si="172"/>
        <v>Yes</v>
      </c>
      <c r="AN519" s="14" t="str">
        <f t="shared" si="173"/>
        <v>Yes</v>
      </c>
      <c r="AO519" s="14" t="str">
        <f t="shared" si="174"/>
        <v>Yes</v>
      </c>
      <c r="AP519" s="16" t="s">
        <v>148</v>
      </c>
      <c r="AQ519" t="str">
        <f t="shared" si="175"/>
        <v>Yes</v>
      </c>
      <c r="AR519" s="21">
        <v>4</v>
      </c>
      <c r="AS519" s="5">
        <v>17.100000000000001</v>
      </c>
      <c r="AT519" s="5" t="str">
        <f>IF(T519="","",_xlfn.XLOOKUP(T519,Airlines!A:A,Airlines!B:B,"Not Found"))</f>
        <v/>
      </c>
      <c r="AU519" s="5" t="str">
        <f>IF(U519="","",_xlfn.XLOOKUP(U519,Hotels!A:A,Hotels!B:B,"Not found"))</f>
        <v/>
      </c>
      <c r="AV519" t="s">
        <v>147</v>
      </c>
      <c r="AW519" s="16" t="str">
        <f t="shared" si="176"/>
        <v>OK</v>
      </c>
      <c r="AX519" s="16" t="str">
        <f t="shared" si="177"/>
        <v>OK</v>
      </c>
      <c r="AY519" s="16" t="str">
        <f t="shared" si="178"/>
        <v>OK</v>
      </c>
      <c r="AZ519" s="16" t="str">
        <f t="shared" si="179"/>
        <v>OK</v>
      </c>
      <c r="BA519" s="16" t="str">
        <f t="shared" si="183"/>
        <v>OK</v>
      </c>
      <c r="BB519" s="21">
        <f>COUNTIF('Trip Changes'!B:B,A519)</f>
        <v>0</v>
      </c>
      <c r="BC519" s="16" t="str">
        <f>IF(OR(AND(AD519="Yes",COUNTIF('Trip Changes'!B:B,A519)&gt;0),AND(AD519="No",COUNTIF('Trip Changes'!B:B,A519)=0)),"OK","Check")</f>
        <v>OK</v>
      </c>
      <c r="BD519" t="str">
        <f t="shared" si="184"/>
        <v>OK</v>
      </c>
      <c r="BE519" t="str">
        <f t="shared" si="185"/>
        <v>OK</v>
      </c>
      <c r="BF519" t="str">
        <f t="shared" si="186"/>
        <v>OK</v>
      </c>
      <c r="BG519" t="str">
        <f t="shared" si="187"/>
        <v>OK</v>
      </c>
      <c r="BH519" t="str">
        <f t="shared" si="188"/>
        <v>OK</v>
      </c>
      <c r="BI519" t="str">
        <f t="shared" si="180"/>
        <v>OK</v>
      </c>
      <c r="BJ519" t="str">
        <f t="shared" si="181"/>
        <v>OK</v>
      </c>
      <c r="BK519" t="str">
        <f t="shared" si="182"/>
        <v>OK</v>
      </c>
    </row>
    <row r="520" spans="1:63">
      <c r="A520" s="16" t="s">
        <v>873</v>
      </c>
      <c r="B520" s="16" t="s">
        <v>872</v>
      </c>
      <c r="C520" s="16" t="s">
        <v>257</v>
      </c>
      <c r="D520" s="16" t="s">
        <v>168</v>
      </c>
      <c r="E520" s="16" t="s">
        <v>262</v>
      </c>
      <c r="F520" s="16" t="s">
        <v>140</v>
      </c>
      <c r="G520" s="15">
        <v>46171</v>
      </c>
      <c r="H520" s="15">
        <v>46190</v>
      </c>
      <c r="I520" s="15">
        <v>46194</v>
      </c>
      <c r="J520" s="15" t="s">
        <v>141</v>
      </c>
      <c r="K520" s="16" t="s">
        <v>257</v>
      </c>
      <c r="L520" t="s">
        <v>199</v>
      </c>
      <c r="M520" s="16" t="s">
        <v>152</v>
      </c>
      <c r="N520" s="16" t="s">
        <v>153</v>
      </c>
      <c r="O520" t="s">
        <v>1614</v>
      </c>
      <c r="P520" s="18">
        <v>1498</v>
      </c>
      <c r="Q520" s="21">
        <v>19</v>
      </c>
      <c r="R520" s="21" t="str">
        <f t="shared" si="168"/>
        <v>15-30 days</v>
      </c>
      <c r="S520" s="16" t="s">
        <v>145</v>
      </c>
      <c r="T520" s="16" t="s">
        <v>291</v>
      </c>
      <c r="U520" s="16" t="s">
        <v>173</v>
      </c>
      <c r="V520" t="str">
        <f>IF(U520="","",IFERROR(VLOOKUP(U520,Hotels!A:B,2,FALSE),"Not Found"))</f>
        <v>Accor</v>
      </c>
      <c r="W520" s="14">
        <v>603.4</v>
      </c>
      <c r="X520" s="14">
        <v>0</v>
      </c>
      <c r="Y520" s="21">
        <v>3</v>
      </c>
      <c r="Z520" s="29">
        <f t="shared" si="169"/>
        <v>130.55333333333334</v>
      </c>
      <c r="AA520" s="14">
        <v>391.66</v>
      </c>
      <c r="AB520" s="14">
        <v>67.88</v>
      </c>
      <c r="AC520" s="14">
        <v>1062.94</v>
      </c>
      <c r="AD520" s="16" t="s">
        <v>147</v>
      </c>
      <c r="AE520" s="16" t="s">
        <v>147</v>
      </c>
      <c r="AF520" s="14">
        <f>SUMIF('Trip Changes'!$B:$B,A520,'Trip Changes'!$E:$E)</f>
        <v>0</v>
      </c>
      <c r="AG520" s="23">
        <f>SUMIF('Trip Cancellations'!$B:$B,A520,'Trip Cancellations'!$E:$E)</f>
        <v>0</v>
      </c>
      <c r="AH520" s="14">
        <f>SUMIF('Trip Cancellations'!$B:$B,A520,'Trip Cancellations'!$F:$F)</f>
        <v>0</v>
      </c>
      <c r="AI520" s="14">
        <f t="shared" si="170"/>
        <v>1062.94</v>
      </c>
      <c r="AJ520" s="14" t="str">
        <f t="shared" si="171"/>
        <v>Yes</v>
      </c>
      <c r="AK520" s="14" t="str">
        <f>IF(Y520=0,"N/A",
IF(_xlfn.XLOOKUP(U520,Hotels!A:A,Hotels!C:C)=TRUE,"Yes","No"))</f>
        <v>Yes</v>
      </c>
      <c r="AL520" s="14" t="str">
        <f>IF(N520="Rail","N/A",IF(_xlfn.XLOOKUP(T520,Airlines!A:A,Airlines!C:C)=TRUE,"Yes","No"))</f>
        <v>No</v>
      </c>
      <c r="AM520" s="14" t="str">
        <f t="shared" si="172"/>
        <v>Yes</v>
      </c>
      <c r="AN520" s="14" t="str">
        <f t="shared" si="173"/>
        <v>Yes</v>
      </c>
      <c r="AO520" s="14" t="str">
        <f t="shared" si="174"/>
        <v>No</v>
      </c>
      <c r="AP520" s="16" t="s">
        <v>148</v>
      </c>
      <c r="AQ520" t="str">
        <f t="shared" si="175"/>
        <v>No</v>
      </c>
      <c r="AR520" s="21">
        <v>4</v>
      </c>
      <c r="AS520" s="5">
        <v>224.7</v>
      </c>
      <c r="AT520" s="5" t="str">
        <f>IF(T520="","",_xlfn.XLOOKUP(T520,Airlines!A:A,Airlines!B:B,"Not Found"))</f>
        <v>Ryanair</v>
      </c>
      <c r="AU520" s="5" t="str">
        <f>IF(U520="","",_xlfn.XLOOKUP(U520,Hotels!A:A,Hotels!B:B,"Not found"))</f>
        <v>Accor</v>
      </c>
      <c r="AV520" t="s">
        <v>147</v>
      </c>
      <c r="AW520" s="16" t="str">
        <f t="shared" si="176"/>
        <v>OK</v>
      </c>
      <c r="AX520" s="16" t="str">
        <f t="shared" si="177"/>
        <v>OK</v>
      </c>
      <c r="AY520" s="16" t="str">
        <f t="shared" si="178"/>
        <v>OK</v>
      </c>
      <c r="AZ520" s="16" t="str">
        <f t="shared" si="179"/>
        <v>OK</v>
      </c>
      <c r="BA520" s="16" t="str">
        <f t="shared" si="183"/>
        <v>OK</v>
      </c>
      <c r="BB520" s="21">
        <f>COUNTIF('Trip Changes'!B:B,A520)</f>
        <v>0</v>
      </c>
      <c r="BC520" s="16" t="str">
        <f>IF(OR(AND(AD520="Yes",COUNTIF('Trip Changes'!B:B,A520)&gt;0),AND(AD520="No",COUNTIF('Trip Changes'!B:B,A520)=0)),"OK","Check")</f>
        <v>OK</v>
      </c>
      <c r="BD520" t="str">
        <f t="shared" si="184"/>
        <v>OK</v>
      </c>
      <c r="BE520" t="str">
        <f t="shared" si="185"/>
        <v>OK</v>
      </c>
      <c r="BF520" t="str">
        <f t="shared" si="186"/>
        <v>OK</v>
      </c>
      <c r="BG520" t="str">
        <f t="shared" si="187"/>
        <v>OK</v>
      </c>
      <c r="BH520" t="str">
        <f t="shared" si="188"/>
        <v>OK</v>
      </c>
      <c r="BI520" t="str">
        <f t="shared" si="180"/>
        <v>OK</v>
      </c>
      <c r="BJ520" t="str">
        <f t="shared" si="181"/>
        <v>OK</v>
      </c>
      <c r="BK520" t="str">
        <f t="shared" si="182"/>
        <v>OK</v>
      </c>
    </row>
    <row r="521" spans="1:63">
      <c r="A521" s="16" t="s">
        <v>874</v>
      </c>
      <c r="B521" s="16" t="s">
        <v>872</v>
      </c>
      <c r="C521" s="16" t="s">
        <v>257</v>
      </c>
      <c r="D521" s="16" t="s">
        <v>168</v>
      </c>
      <c r="E521" s="16" t="s">
        <v>262</v>
      </c>
      <c r="F521" s="16" t="s">
        <v>162</v>
      </c>
      <c r="G521" s="15">
        <v>46150</v>
      </c>
      <c r="H521" s="15">
        <v>46166</v>
      </c>
      <c r="I521" s="15">
        <v>46169</v>
      </c>
      <c r="J521" s="15" t="s">
        <v>163</v>
      </c>
      <c r="K521" s="16" t="s">
        <v>257</v>
      </c>
      <c r="L521" t="s">
        <v>142</v>
      </c>
      <c r="M521" s="16" t="s">
        <v>143</v>
      </c>
      <c r="N521" s="16" t="s">
        <v>144</v>
      </c>
      <c r="O521" t="s">
        <v>1630</v>
      </c>
      <c r="P521" s="18">
        <v>378</v>
      </c>
      <c r="Q521" s="21">
        <v>16</v>
      </c>
      <c r="R521" s="21" t="str">
        <f t="shared" si="168"/>
        <v>15-30 days</v>
      </c>
      <c r="S521" s="16" t="s">
        <v>145</v>
      </c>
      <c r="U521" s="16" t="s">
        <v>146</v>
      </c>
      <c r="V521" t="str">
        <f>IF(U521="","",IFERROR(VLOOKUP(U521,Hotels!A:B,2,FALSE),"Not Found"))</f>
        <v>Premier Inn</v>
      </c>
      <c r="W521" s="14">
        <v>0</v>
      </c>
      <c r="X521" s="14">
        <v>215.89</v>
      </c>
      <c r="Y521" s="21">
        <v>2</v>
      </c>
      <c r="Z521" s="29">
        <f t="shared" si="169"/>
        <v>127.54</v>
      </c>
      <c r="AA521" s="14">
        <v>255.08</v>
      </c>
      <c r="AB521" s="14">
        <v>20</v>
      </c>
      <c r="AC521" s="14">
        <v>490.97</v>
      </c>
      <c r="AD521" s="16" t="s">
        <v>147</v>
      </c>
      <c r="AE521" s="16" t="s">
        <v>147</v>
      </c>
      <c r="AF521" s="14">
        <f>SUMIF('Trip Changes'!$B:$B,A521,'Trip Changes'!$E:$E)</f>
        <v>0</v>
      </c>
      <c r="AG521" s="23">
        <f>SUMIF('Trip Cancellations'!$B:$B,A521,'Trip Cancellations'!$E:$E)</f>
        <v>0</v>
      </c>
      <c r="AH521" s="14">
        <f>SUMIF('Trip Cancellations'!$B:$B,A521,'Trip Cancellations'!$F:$F)</f>
        <v>0</v>
      </c>
      <c r="AI521" s="14">
        <f t="shared" si="170"/>
        <v>490.97</v>
      </c>
      <c r="AJ521" s="14" t="str">
        <f t="shared" si="171"/>
        <v>Yes</v>
      </c>
      <c r="AK521" s="14" t="str">
        <f>IF(Y521=0,"N/A",
IF(_xlfn.XLOOKUP(U521,Hotels!A:A,Hotels!C:C)=TRUE,"Yes","No"))</f>
        <v>Yes</v>
      </c>
      <c r="AL521" s="14" t="str">
        <f>IF(N521="Rail","N/A",IF(_xlfn.XLOOKUP(T521,Airlines!A:A,Airlines!C:C)=TRUE,"Yes","No"))</f>
        <v>N/A</v>
      </c>
      <c r="AM521" s="14" t="str">
        <f t="shared" si="172"/>
        <v>Yes</v>
      </c>
      <c r="AN521" s="14" t="str">
        <f t="shared" si="173"/>
        <v>Yes</v>
      </c>
      <c r="AO521" s="14" t="str">
        <f t="shared" si="174"/>
        <v>Yes</v>
      </c>
      <c r="AP521" s="16" t="s">
        <v>148</v>
      </c>
      <c r="AQ521" t="str">
        <f t="shared" si="175"/>
        <v>Yes</v>
      </c>
      <c r="AR521" s="21">
        <v>5</v>
      </c>
      <c r="AS521" s="5">
        <v>15.1</v>
      </c>
      <c r="AT521" s="5" t="str">
        <f>IF(T521="","",_xlfn.XLOOKUP(T521,Airlines!A:A,Airlines!B:B,"Not Found"))</f>
        <v/>
      </c>
      <c r="AU521" s="5" t="str">
        <f>IF(U521="","",_xlfn.XLOOKUP(U521,Hotels!A:A,Hotels!B:B,"Not found"))</f>
        <v>Premier Inn</v>
      </c>
      <c r="AV521" t="s">
        <v>148</v>
      </c>
      <c r="AW521" s="16" t="str">
        <f t="shared" si="176"/>
        <v>OK</v>
      </c>
      <c r="AX521" s="16" t="str">
        <f t="shared" si="177"/>
        <v>OK</v>
      </c>
      <c r="AY521" s="16" t="str">
        <f t="shared" si="178"/>
        <v>OK</v>
      </c>
      <c r="AZ521" s="16" t="str">
        <f t="shared" si="179"/>
        <v>OK</v>
      </c>
      <c r="BA521" s="16" t="str">
        <f t="shared" si="183"/>
        <v>OK</v>
      </c>
      <c r="BB521" s="21">
        <f>COUNTIF('Trip Changes'!B:B,A521)</f>
        <v>0</v>
      </c>
      <c r="BC521" s="16" t="str">
        <f>IF(OR(AND(AD521="Yes",COUNTIF('Trip Changes'!B:B,A521)&gt;0),AND(AD521="No",COUNTIF('Trip Changes'!B:B,A521)=0)),"OK","Check")</f>
        <v>OK</v>
      </c>
      <c r="BD521" t="str">
        <f t="shared" si="184"/>
        <v>OK</v>
      </c>
      <c r="BE521" t="str">
        <f t="shared" si="185"/>
        <v>OK</v>
      </c>
      <c r="BF521" t="str">
        <f t="shared" si="186"/>
        <v>OK</v>
      </c>
      <c r="BG521" t="str">
        <f t="shared" si="187"/>
        <v>OK</v>
      </c>
      <c r="BH521" t="str">
        <f t="shared" si="188"/>
        <v>OK</v>
      </c>
      <c r="BI521" t="str">
        <f t="shared" si="180"/>
        <v>OK</v>
      </c>
      <c r="BJ521" t="str">
        <f t="shared" si="181"/>
        <v>OK</v>
      </c>
      <c r="BK521" t="str">
        <f t="shared" si="182"/>
        <v>OK</v>
      </c>
    </row>
    <row r="522" spans="1:63">
      <c r="A522" s="16" t="s">
        <v>875</v>
      </c>
      <c r="B522" s="16" t="s">
        <v>872</v>
      </c>
      <c r="C522" s="16" t="s">
        <v>257</v>
      </c>
      <c r="D522" s="16" t="s">
        <v>168</v>
      </c>
      <c r="E522" s="16" t="s">
        <v>262</v>
      </c>
      <c r="F522" s="16" t="s">
        <v>157</v>
      </c>
      <c r="G522" s="15">
        <v>46159</v>
      </c>
      <c r="H522" s="15">
        <v>46176</v>
      </c>
      <c r="I522" s="15">
        <v>46183</v>
      </c>
      <c r="J522" s="15" t="s">
        <v>141</v>
      </c>
      <c r="K522" s="16" t="s">
        <v>257</v>
      </c>
      <c r="L522" t="s">
        <v>240</v>
      </c>
      <c r="M522" s="16" t="s">
        <v>152</v>
      </c>
      <c r="N522" s="16" t="s">
        <v>153</v>
      </c>
      <c r="O522" t="s">
        <v>1614</v>
      </c>
      <c r="P522" s="18">
        <v>21538</v>
      </c>
      <c r="Q522" s="21">
        <v>17</v>
      </c>
      <c r="R522" s="21" t="str">
        <f t="shared" si="168"/>
        <v>15-30 days</v>
      </c>
      <c r="S522" s="16" t="s">
        <v>145</v>
      </c>
      <c r="T522" s="16" t="s">
        <v>441</v>
      </c>
      <c r="U522" s="16" t="s">
        <v>173</v>
      </c>
      <c r="V522" t="str">
        <f>IF(U522="","",IFERROR(VLOOKUP(U522,Hotels!A:B,2,FALSE),"Not Found"))</f>
        <v>Accor</v>
      </c>
      <c r="W522" s="14">
        <v>1273.08</v>
      </c>
      <c r="X522" s="14">
        <v>0</v>
      </c>
      <c r="Y522" s="21">
        <v>6</v>
      </c>
      <c r="Z522" s="29">
        <f t="shared" si="169"/>
        <v>115.08666666666666</v>
      </c>
      <c r="AA522" s="14">
        <v>690.52</v>
      </c>
      <c r="AB522" s="14">
        <v>77.930000000000007</v>
      </c>
      <c r="AC522" s="14">
        <v>2041.53</v>
      </c>
      <c r="AD522" s="16" t="s">
        <v>147</v>
      </c>
      <c r="AE522" s="16" t="s">
        <v>147</v>
      </c>
      <c r="AF522" s="14">
        <f>SUMIF('Trip Changes'!$B:$B,A522,'Trip Changes'!$E:$E)</f>
        <v>0</v>
      </c>
      <c r="AG522" s="23">
        <f>SUMIF('Trip Cancellations'!$B:$B,A522,'Trip Cancellations'!$E:$E)</f>
        <v>0</v>
      </c>
      <c r="AH522" s="14">
        <f>SUMIF('Trip Cancellations'!$B:$B,A522,'Trip Cancellations'!$F:$F)</f>
        <v>0</v>
      </c>
      <c r="AI522" s="14">
        <f t="shared" si="170"/>
        <v>2041.53</v>
      </c>
      <c r="AJ522" s="14" t="str">
        <f t="shared" si="171"/>
        <v>Yes</v>
      </c>
      <c r="AK522" s="14" t="str">
        <f>IF(Y522=0,"N/A",
IF(_xlfn.XLOOKUP(U522,Hotels!A:A,Hotels!C:C)=TRUE,"Yes","No"))</f>
        <v>Yes</v>
      </c>
      <c r="AL522" s="14" t="str">
        <f>IF(N522="Rail","N/A",IF(_xlfn.XLOOKUP(T522,Airlines!A:A,Airlines!C:C)=TRUE,"Yes","No"))</f>
        <v>Yes</v>
      </c>
      <c r="AM522" s="14" t="str">
        <f t="shared" si="172"/>
        <v>Yes</v>
      </c>
      <c r="AN522" s="14" t="str">
        <f t="shared" si="173"/>
        <v>Yes</v>
      </c>
      <c r="AO522" s="14" t="str">
        <f t="shared" si="174"/>
        <v>Yes</v>
      </c>
      <c r="AP522" s="16" t="s">
        <v>148</v>
      </c>
      <c r="AQ522" t="str">
        <f t="shared" si="175"/>
        <v>Yes</v>
      </c>
      <c r="AR522" s="21">
        <v>4</v>
      </c>
      <c r="AS522" s="5">
        <v>3230.7</v>
      </c>
      <c r="AT522" s="5" t="str">
        <f>IF(T522="","",_xlfn.XLOOKUP(T522,Airlines!A:A,Airlines!B:B,"Not Found"))</f>
        <v>Emirates</v>
      </c>
      <c r="AU522" s="5" t="str">
        <f>IF(U522="","",_xlfn.XLOOKUP(U522,Hotels!A:A,Hotels!B:B,"Not found"))</f>
        <v>Accor</v>
      </c>
      <c r="AV522" t="s">
        <v>148</v>
      </c>
      <c r="AW522" s="16" t="str">
        <f t="shared" si="176"/>
        <v>OK</v>
      </c>
      <c r="AX522" s="16" t="str">
        <f t="shared" si="177"/>
        <v>OK</v>
      </c>
      <c r="AY522" s="16" t="str">
        <f t="shared" si="178"/>
        <v>OK</v>
      </c>
      <c r="AZ522" s="16" t="str">
        <f t="shared" si="179"/>
        <v>OK</v>
      </c>
      <c r="BA522" s="16" t="str">
        <f t="shared" si="183"/>
        <v>OK</v>
      </c>
      <c r="BB522" s="21">
        <f>COUNTIF('Trip Changes'!B:B,A522)</f>
        <v>0</v>
      </c>
      <c r="BC522" s="16" t="str">
        <f>IF(OR(AND(AD522="Yes",COUNTIF('Trip Changes'!B:B,A522)&gt;0),AND(AD522="No",COUNTIF('Trip Changes'!B:B,A522)=0)),"OK","Check")</f>
        <v>OK</v>
      </c>
      <c r="BD522" t="str">
        <f t="shared" si="184"/>
        <v>OK</v>
      </c>
      <c r="BE522" t="str">
        <f t="shared" si="185"/>
        <v>OK</v>
      </c>
      <c r="BF522" t="str">
        <f t="shared" si="186"/>
        <v>OK</v>
      </c>
      <c r="BG522" t="str">
        <f t="shared" si="187"/>
        <v>OK</v>
      </c>
      <c r="BH522" t="str">
        <f t="shared" si="188"/>
        <v>OK</v>
      </c>
      <c r="BI522" t="str">
        <f t="shared" si="180"/>
        <v>OK</v>
      </c>
      <c r="BJ522" t="str">
        <f t="shared" si="181"/>
        <v>OK</v>
      </c>
      <c r="BK522" t="str">
        <f t="shared" si="182"/>
        <v>OK</v>
      </c>
    </row>
    <row r="523" spans="1:63">
      <c r="A523" s="16" t="s">
        <v>876</v>
      </c>
      <c r="B523" s="16" t="s">
        <v>877</v>
      </c>
      <c r="C523" s="16" t="s">
        <v>307</v>
      </c>
      <c r="D523" s="16" t="s">
        <v>168</v>
      </c>
      <c r="E523" s="16" t="s">
        <v>139</v>
      </c>
      <c r="F523" s="16" t="s">
        <v>207</v>
      </c>
      <c r="G523" s="15">
        <v>46197</v>
      </c>
      <c r="H523" s="15">
        <v>46214</v>
      </c>
      <c r="I523" s="15">
        <v>46218</v>
      </c>
      <c r="J523" s="15" t="s">
        <v>150</v>
      </c>
      <c r="K523" s="16" t="s">
        <v>307</v>
      </c>
      <c r="L523" t="s">
        <v>233</v>
      </c>
      <c r="M523" s="16" t="s">
        <v>152</v>
      </c>
      <c r="N523" s="16" t="s">
        <v>153</v>
      </c>
      <c r="O523" t="s">
        <v>1614</v>
      </c>
      <c r="P523" s="18">
        <v>1838</v>
      </c>
      <c r="Q523" s="21">
        <v>17</v>
      </c>
      <c r="R523" s="21" t="str">
        <f t="shared" si="168"/>
        <v>15-30 days</v>
      </c>
      <c r="S523" s="16" t="s">
        <v>216</v>
      </c>
      <c r="T523" s="16" t="s">
        <v>160</v>
      </c>
      <c r="U523" s="16" t="s">
        <v>164</v>
      </c>
      <c r="V523" t="str">
        <f>IF(U523="","",IFERROR(VLOOKUP(U523,Hotels!A:B,2,FALSE),"Not Found"))</f>
        <v>Marriott</v>
      </c>
      <c r="W523" s="14">
        <v>451.5</v>
      </c>
      <c r="X523" s="14">
        <v>0</v>
      </c>
      <c r="Y523" s="21">
        <v>3</v>
      </c>
      <c r="Z523" s="29">
        <f t="shared" si="169"/>
        <v>118.27999999999999</v>
      </c>
      <c r="AA523" s="14">
        <v>354.84</v>
      </c>
      <c r="AB523" s="14">
        <v>73.8</v>
      </c>
      <c r="AC523" s="14">
        <v>880.14</v>
      </c>
      <c r="AD523" s="16" t="s">
        <v>147</v>
      </c>
      <c r="AE523" s="16" t="s">
        <v>147</v>
      </c>
      <c r="AF523" s="14">
        <f>SUMIF('Trip Changes'!$B:$B,A523,'Trip Changes'!$E:$E)</f>
        <v>0</v>
      </c>
      <c r="AG523" s="23">
        <f>SUMIF('Trip Cancellations'!$B:$B,A523,'Trip Cancellations'!$E:$E)</f>
        <v>0</v>
      </c>
      <c r="AH523" s="14">
        <f>SUMIF('Trip Cancellations'!$B:$B,A523,'Trip Cancellations'!$F:$F)</f>
        <v>0</v>
      </c>
      <c r="AI523" s="14">
        <f t="shared" si="170"/>
        <v>880.14</v>
      </c>
      <c r="AJ523" s="14" t="str">
        <f t="shared" si="171"/>
        <v>Yes</v>
      </c>
      <c r="AK523" s="14" t="str">
        <f>IF(Y523=0,"N/A",
IF(_xlfn.XLOOKUP(U523,Hotels!A:A,Hotels!C:C)=TRUE,"Yes","No"))</f>
        <v>Yes</v>
      </c>
      <c r="AL523" s="14" t="str">
        <f>IF(N523="Rail","N/A",IF(_xlfn.XLOOKUP(T523,Airlines!A:A,Airlines!C:C)=TRUE,"Yes","No"))</f>
        <v>Yes</v>
      </c>
      <c r="AM523" s="14" t="str">
        <f t="shared" si="172"/>
        <v>Yes</v>
      </c>
      <c r="AN523" s="14" t="str">
        <f t="shared" si="173"/>
        <v>No</v>
      </c>
      <c r="AO523" s="14" t="str">
        <f t="shared" si="174"/>
        <v>Yes</v>
      </c>
      <c r="AP523" s="16" t="s">
        <v>148</v>
      </c>
      <c r="AQ523" t="str">
        <f t="shared" si="175"/>
        <v>No</v>
      </c>
      <c r="AR523" s="21">
        <v>4</v>
      </c>
      <c r="AS523" s="5">
        <v>275.7</v>
      </c>
      <c r="AT523" s="5" t="str">
        <f>IF(T523="","",_xlfn.XLOOKUP(T523,Airlines!A:A,Airlines!B:B,"Not Found"))</f>
        <v>Air France</v>
      </c>
      <c r="AU523" s="5" t="str">
        <f>IF(U523="","",_xlfn.XLOOKUP(U523,Hotels!A:A,Hotels!B:B,"Not found"))</f>
        <v>Marriott</v>
      </c>
      <c r="AV523" t="s">
        <v>148</v>
      </c>
      <c r="AW523" s="16" t="str">
        <f t="shared" si="176"/>
        <v>OK</v>
      </c>
      <c r="AX523" s="16" t="str">
        <f t="shared" si="177"/>
        <v>OK</v>
      </c>
      <c r="AY523" s="16" t="str">
        <f t="shared" si="178"/>
        <v>OK</v>
      </c>
      <c r="AZ523" s="16" t="str">
        <f t="shared" si="179"/>
        <v>OK</v>
      </c>
      <c r="BA523" s="16" t="str">
        <f t="shared" si="183"/>
        <v>OK</v>
      </c>
      <c r="BB523" s="21">
        <f>COUNTIF('Trip Changes'!B:B,A523)</f>
        <v>0</v>
      </c>
      <c r="BC523" s="16" t="str">
        <f>IF(OR(AND(AD523="Yes",COUNTIF('Trip Changes'!B:B,A523)&gt;0),AND(AD523="No",COUNTIF('Trip Changes'!B:B,A523)=0)),"OK","Check")</f>
        <v>OK</v>
      </c>
      <c r="BD523" t="str">
        <f t="shared" si="184"/>
        <v>OK</v>
      </c>
      <c r="BE523" t="str">
        <f t="shared" si="185"/>
        <v>OK</v>
      </c>
      <c r="BF523" t="str">
        <f t="shared" si="186"/>
        <v>OK</v>
      </c>
      <c r="BG523" t="str">
        <f t="shared" si="187"/>
        <v>OK</v>
      </c>
      <c r="BH523" t="str">
        <f t="shared" si="188"/>
        <v>OK</v>
      </c>
      <c r="BI523" t="str">
        <f t="shared" si="180"/>
        <v>OK</v>
      </c>
      <c r="BJ523" t="str">
        <f t="shared" si="181"/>
        <v>OK</v>
      </c>
      <c r="BK523" t="str">
        <f t="shared" si="182"/>
        <v>OK</v>
      </c>
    </row>
    <row r="524" spans="1:63">
      <c r="A524" s="16" t="s">
        <v>878</v>
      </c>
      <c r="B524" s="16" t="s">
        <v>877</v>
      </c>
      <c r="C524" s="16" t="s">
        <v>307</v>
      </c>
      <c r="D524" s="16" t="s">
        <v>168</v>
      </c>
      <c r="E524" s="16" t="s">
        <v>139</v>
      </c>
      <c r="F524" s="16" t="s">
        <v>189</v>
      </c>
      <c r="G524" s="15">
        <v>46222</v>
      </c>
      <c r="H524" s="15">
        <v>46226</v>
      </c>
      <c r="I524" s="15">
        <v>46228</v>
      </c>
      <c r="J524" s="15" t="s">
        <v>150</v>
      </c>
      <c r="K524" s="16" t="s">
        <v>307</v>
      </c>
      <c r="L524" t="s">
        <v>209</v>
      </c>
      <c r="M524" s="16" t="s">
        <v>152</v>
      </c>
      <c r="N524" s="16" t="s">
        <v>153</v>
      </c>
      <c r="O524" t="s">
        <v>1614</v>
      </c>
      <c r="P524" s="18">
        <v>1520</v>
      </c>
      <c r="Q524" s="21">
        <v>4</v>
      </c>
      <c r="R524" s="21" t="str">
        <f t="shared" si="168"/>
        <v>4-7 days</v>
      </c>
      <c r="S524" s="16" t="s">
        <v>216</v>
      </c>
      <c r="T524" s="16" t="s">
        <v>172</v>
      </c>
      <c r="U524" s="16" t="s">
        <v>155</v>
      </c>
      <c r="V524" t="str">
        <f>IF(U524="","",IFERROR(VLOOKUP(U524,Hotels!A:B,2,FALSE),"Not Found"))</f>
        <v>Hilton</v>
      </c>
      <c r="W524" s="14">
        <v>374.65</v>
      </c>
      <c r="X524" s="14">
        <v>0</v>
      </c>
      <c r="Y524" s="21">
        <v>1</v>
      </c>
      <c r="Z524" s="29">
        <f t="shared" si="169"/>
        <v>176.85</v>
      </c>
      <c r="AA524" s="14">
        <v>176.85</v>
      </c>
      <c r="AB524" s="14">
        <v>50.5</v>
      </c>
      <c r="AC524" s="14">
        <v>602</v>
      </c>
      <c r="AD524" s="16" t="s">
        <v>147</v>
      </c>
      <c r="AE524" s="16" t="s">
        <v>147</v>
      </c>
      <c r="AF524" s="14">
        <f>SUMIF('Trip Changes'!$B:$B,A524,'Trip Changes'!$E:$E)</f>
        <v>0</v>
      </c>
      <c r="AG524" s="23">
        <f>SUMIF('Trip Cancellations'!$B:$B,A524,'Trip Cancellations'!$E:$E)</f>
        <v>0</v>
      </c>
      <c r="AH524" s="14">
        <f>SUMIF('Trip Cancellations'!$B:$B,A524,'Trip Cancellations'!$F:$F)</f>
        <v>0</v>
      </c>
      <c r="AI524" s="14">
        <f t="shared" si="170"/>
        <v>602</v>
      </c>
      <c r="AJ524" s="14" t="str">
        <f t="shared" si="171"/>
        <v>Yes</v>
      </c>
      <c r="AK524" s="14" t="str">
        <f>IF(Y524=0,"N/A",
IF(_xlfn.XLOOKUP(U524,Hotels!A:A,Hotels!C:C)=TRUE,"Yes","No"))</f>
        <v>Yes</v>
      </c>
      <c r="AL524" s="14" t="str">
        <f>IF(N524="Rail","N/A",IF(_xlfn.XLOOKUP(T524,Airlines!A:A,Airlines!C:C)=TRUE,"Yes","No"))</f>
        <v>Yes</v>
      </c>
      <c r="AM524" s="14" t="str">
        <f t="shared" si="172"/>
        <v>Yes</v>
      </c>
      <c r="AN524" s="14" t="str">
        <f t="shared" si="173"/>
        <v>No</v>
      </c>
      <c r="AO524" s="14" t="str">
        <f t="shared" si="174"/>
        <v>Yes</v>
      </c>
      <c r="AP524" s="16" t="s">
        <v>148</v>
      </c>
      <c r="AQ524" t="str">
        <f t="shared" si="175"/>
        <v>No</v>
      </c>
      <c r="AR524" s="21">
        <v>4</v>
      </c>
      <c r="AS524" s="5">
        <v>228</v>
      </c>
      <c r="AT524" s="5" t="str">
        <f>IF(T524="","",_xlfn.XLOOKUP(T524,Airlines!A:A,Airlines!B:B,"Not Found"))</f>
        <v>Lufthansa</v>
      </c>
      <c r="AU524" s="5" t="str">
        <f>IF(U524="","",_xlfn.XLOOKUP(U524,Hotels!A:A,Hotels!B:B,"Not found"))</f>
        <v>Hilton</v>
      </c>
      <c r="AV524" t="s">
        <v>148</v>
      </c>
      <c r="AW524" s="16" t="str">
        <f t="shared" si="176"/>
        <v>OK</v>
      </c>
      <c r="AX524" s="16" t="str">
        <f t="shared" si="177"/>
        <v>OK</v>
      </c>
      <c r="AY524" s="16" t="str">
        <f t="shared" si="178"/>
        <v>OK</v>
      </c>
      <c r="AZ524" s="16" t="str">
        <f t="shared" si="179"/>
        <v>OK</v>
      </c>
      <c r="BA524" s="16" t="str">
        <f t="shared" si="183"/>
        <v>OK</v>
      </c>
      <c r="BB524" s="21">
        <f>COUNTIF('Trip Changes'!B:B,A524)</f>
        <v>0</v>
      </c>
      <c r="BC524" s="16" t="str">
        <f>IF(OR(AND(AD524="Yes",COUNTIF('Trip Changes'!B:B,A524)&gt;0),AND(AD524="No",COUNTIF('Trip Changes'!B:B,A524)=0)),"OK","Check")</f>
        <v>OK</v>
      </c>
      <c r="BD524" t="str">
        <f t="shared" si="184"/>
        <v>OK</v>
      </c>
      <c r="BE524" t="str">
        <f t="shared" si="185"/>
        <v>OK</v>
      </c>
      <c r="BF524" t="str">
        <f t="shared" si="186"/>
        <v>OK</v>
      </c>
      <c r="BG524" t="str">
        <f t="shared" si="187"/>
        <v>OK</v>
      </c>
      <c r="BH524" t="str">
        <f t="shared" si="188"/>
        <v>OK</v>
      </c>
      <c r="BI524" t="str">
        <f t="shared" si="180"/>
        <v>OK</v>
      </c>
      <c r="BJ524" t="str">
        <f t="shared" si="181"/>
        <v>OK</v>
      </c>
      <c r="BK524" t="str">
        <f t="shared" si="182"/>
        <v>OK</v>
      </c>
    </row>
    <row r="525" spans="1:63">
      <c r="A525" s="16" t="s">
        <v>879</v>
      </c>
      <c r="B525" s="16" t="s">
        <v>880</v>
      </c>
      <c r="C525" s="16" t="s">
        <v>142</v>
      </c>
      <c r="D525" s="16" t="s">
        <v>204</v>
      </c>
      <c r="E525" s="16" t="s">
        <v>249</v>
      </c>
      <c r="F525" s="16" t="s">
        <v>140</v>
      </c>
      <c r="G525" s="15">
        <v>46186</v>
      </c>
      <c r="H525" s="15">
        <v>46204</v>
      </c>
      <c r="I525" s="15">
        <v>46205</v>
      </c>
      <c r="J525" s="15" t="s">
        <v>150</v>
      </c>
      <c r="K525" s="16" t="s">
        <v>142</v>
      </c>
      <c r="L525" t="s">
        <v>203</v>
      </c>
      <c r="M525" s="16" t="s">
        <v>143</v>
      </c>
      <c r="N525" s="16" t="s">
        <v>153</v>
      </c>
      <c r="O525" t="s">
        <v>1631</v>
      </c>
      <c r="P525" s="18">
        <v>1038</v>
      </c>
      <c r="Q525" s="21">
        <v>18</v>
      </c>
      <c r="R525" s="21" t="str">
        <f t="shared" si="168"/>
        <v>15-30 days</v>
      </c>
      <c r="S525" s="16" t="s">
        <v>145</v>
      </c>
      <c r="T525" s="16" t="s">
        <v>154</v>
      </c>
      <c r="V525" t="str">
        <f>IF(U525="","",IFERROR(VLOOKUP(U525,Hotels!A:B,2,FALSE),"Not Found"))</f>
        <v/>
      </c>
      <c r="W525" s="14">
        <v>145.03</v>
      </c>
      <c r="X525" s="14">
        <v>0</v>
      </c>
      <c r="Y525" s="21">
        <v>0</v>
      </c>
      <c r="Z525" s="29">
        <f t="shared" si="169"/>
        <v>0</v>
      </c>
      <c r="AA525" s="14">
        <v>0</v>
      </c>
      <c r="AB525" s="14">
        <v>87.39</v>
      </c>
      <c r="AC525" s="14">
        <v>232.42</v>
      </c>
      <c r="AD525" s="16" t="s">
        <v>147</v>
      </c>
      <c r="AE525" s="16" t="s">
        <v>147</v>
      </c>
      <c r="AF525" s="14">
        <f>SUMIF('Trip Changes'!$B:$B,A525,'Trip Changes'!$E:$E)</f>
        <v>0</v>
      </c>
      <c r="AG525" s="23">
        <f>SUMIF('Trip Cancellations'!$B:$B,A525,'Trip Cancellations'!$E:$E)</f>
        <v>0</v>
      </c>
      <c r="AH525" s="14">
        <f>SUMIF('Trip Cancellations'!$B:$B,A525,'Trip Cancellations'!$F:$F)</f>
        <v>0</v>
      </c>
      <c r="AI525" s="14">
        <f t="shared" si="170"/>
        <v>232.42</v>
      </c>
      <c r="AJ525" s="14" t="str">
        <f t="shared" si="171"/>
        <v>N/A</v>
      </c>
      <c r="AK525" s="14" t="str">
        <f>IF(Y525=0,"N/A",
IF(_xlfn.XLOOKUP(U525,Hotels!A:A,Hotels!C:C)=TRUE,"Yes","No"))</f>
        <v>N/A</v>
      </c>
      <c r="AL525" s="14" t="str">
        <f>IF(N525="Rail","N/A",IF(_xlfn.XLOOKUP(T525,Airlines!A:A,Airlines!C:C)=TRUE,"Yes","No"))</f>
        <v>Yes</v>
      </c>
      <c r="AM525" s="14" t="str">
        <f t="shared" si="172"/>
        <v>No</v>
      </c>
      <c r="AN525" s="14" t="str">
        <f t="shared" si="173"/>
        <v>Yes</v>
      </c>
      <c r="AO525" s="14" t="str">
        <f t="shared" si="174"/>
        <v>Yes</v>
      </c>
      <c r="AP525" s="16" t="s">
        <v>148</v>
      </c>
      <c r="AQ525" t="str">
        <f t="shared" si="175"/>
        <v>No</v>
      </c>
      <c r="AR525" s="21">
        <v>5</v>
      </c>
      <c r="AS525" s="5">
        <v>155.69999999999999</v>
      </c>
      <c r="AT525" s="5" t="str">
        <f>IF(T525="","",_xlfn.XLOOKUP(T525,Airlines!A:A,Airlines!B:B,"Not Found"))</f>
        <v>British Airways</v>
      </c>
      <c r="AU525" s="5" t="str">
        <f>IF(U525="","",_xlfn.XLOOKUP(U525,Hotels!A:A,Hotels!B:B,"Not found"))</f>
        <v/>
      </c>
      <c r="AV525" t="s">
        <v>148</v>
      </c>
      <c r="AW525" s="16" t="str">
        <f t="shared" si="176"/>
        <v>OK</v>
      </c>
      <c r="AX525" s="16" t="str">
        <f t="shared" si="177"/>
        <v>OK</v>
      </c>
      <c r="AY525" s="16" t="str">
        <f t="shared" si="178"/>
        <v>OK</v>
      </c>
      <c r="AZ525" s="16" t="str">
        <f t="shared" si="179"/>
        <v>OK</v>
      </c>
      <c r="BA525" s="16" t="str">
        <f t="shared" si="183"/>
        <v>OK</v>
      </c>
      <c r="BB525" s="21">
        <f>COUNTIF('Trip Changes'!B:B,A525)</f>
        <v>0</v>
      </c>
      <c r="BC525" s="16" t="str">
        <f>IF(OR(AND(AD525="Yes",COUNTIF('Trip Changes'!B:B,A525)&gt;0),AND(AD525="No",COUNTIF('Trip Changes'!B:B,A525)=0)),"OK","Check")</f>
        <v>OK</v>
      </c>
      <c r="BD525" t="str">
        <f t="shared" si="184"/>
        <v>OK</v>
      </c>
      <c r="BE525" t="str">
        <f t="shared" si="185"/>
        <v>OK</v>
      </c>
      <c r="BF525" t="str">
        <f t="shared" si="186"/>
        <v>OK</v>
      </c>
      <c r="BG525" t="str">
        <f t="shared" si="187"/>
        <v>OK</v>
      </c>
      <c r="BH525" t="str">
        <f t="shared" si="188"/>
        <v>OK</v>
      </c>
      <c r="BI525" t="str">
        <f t="shared" si="180"/>
        <v>OK</v>
      </c>
      <c r="BJ525" t="str">
        <f t="shared" si="181"/>
        <v>OK</v>
      </c>
      <c r="BK525" t="str">
        <f t="shared" si="182"/>
        <v>OK</v>
      </c>
    </row>
    <row r="526" spans="1:63">
      <c r="A526" s="16" t="s">
        <v>881</v>
      </c>
      <c r="B526" s="16" t="s">
        <v>880</v>
      </c>
      <c r="C526" s="16" t="s">
        <v>142</v>
      </c>
      <c r="D526" s="16" t="s">
        <v>204</v>
      </c>
      <c r="E526" s="16" t="s">
        <v>249</v>
      </c>
      <c r="F526" s="16" t="s">
        <v>162</v>
      </c>
      <c r="G526" s="15">
        <v>46225</v>
      </c>
      <c r="H526" s="15">
        <v>46231</v>
      </c>
      <c r="I526" s="15">
        <v>46233</v>
      </c>
      <c r="J526" s="15" t="s">
        <v>150</v>
      </c>
      <c r="K526" s="16" t="s">
        <v>142</v>
      </c>
      <c r="L526" t="s">
        <v>199</v>
      </c>
      <c r="M526" s="16" t="s">
        <v>152</v>
      </c>
      <c r="N526" s="16" t="s">
        <v>153</v>
      </c>
      <c r="O526" t="s">
        <v>1614</v>
      </c>
      <c r="P526" s="18">
        <v>3062</v>
      </c>
      <c r="Q526" s="21">
        <v>6</v>
      </c>
      <c r="R526" s="21" t="str">
        <f t="shared" si="168"/>
        <v>4-7 days</v>
      </c>
      <c r="S526" s="16" t="s">
        <v>216</v>
      </c>
      <c r="T526" s="16" t="s">
        <v>200</v>
      </c>
      <c r="U526" s="16" t="s">
        <v>173</v>
      </c>
      <c r="V526" t="str">
        <f>IF(U526="","",IFERROR(VLOOKUP(U526,Hotels!A:B,2,FALSE),"Not Found"))</f>
        <v>Accor</v>
      </c>
      <c r="W526" s="14">
        <v>370.24</v>
      </c>
      <c r="X526" s="14">
        <v>0</v>
      </c>
      <c r="Y526" s="21">
        <v>1</v>
      </c>
      <c r="Z526" s="29">
        <f t="shared" si="169"/>
        <v>188.47</v>
      </c>
      <c r="AA526" s="14">
        <v>188.47</v>
      </c>
      <c r="AB526" s="14">
        <v>122.63</v>
      </c>
      <c r="AC526" s="14">
        <v>681.34</v>
      </c>
      <c r="AD526" s="16" t="s">
        <v>147</v>
      </c>
      <c r="AE526" s="16" t="s">
        <v>147</v>
      </c>
      <c r="AF526" s="14">
        <f>SUMIF('Trip Changes'!$B:$B,A526,'Trip Changes'!$E:$E)</f>
        <v>0</v>
      </c>
      <c r="AG526" s="23">
        <f>SUMIF('Trip Cancellations'!$B:$B,A526,'Trip Cancellations'!$E:$E)</f>
        <v>0</v>
      </c>
      <c r="AH526" s="14">
        <f>SUMIF('Trip Cancellations'!$B:$B,A526,'Trip Cancellations'!$F:$F)</f>
        <v>0</v>
      </c>
      <c r="AI526" s="14">
        <f t="shared" si="170"/>
        <v>681.34</v>
      </c>
      <c r="AJ526" s="14" t="str">
        <f t="shared" si="171"/>
        <v>No</v>
      </c>
      <c r="AK526" s="14" t="str">
        <f>IF(Y526=0,"N/A",
IF(_xlfn.XLOOKUP(U526,Hotels!A:A,Hotels!C:C)=TRUE,"Yes","No"))</f>
        <v>Yes</v>
      </c>
      <c r="AL526" s="14" t="str">
        <f>IF(N526="Rail","N/A",IF(_xlfn.XLOOKUP(T526,Airlines!A:A,Airlines!C:C)=TRUE,"Yes","No"))</f>
        <v>Yes</v>
      </c>
      <c r="AM526" s="14" t="str">
        <f t="shared" si="172"/>
        <v>Yes</v>
      </c>
      <c r="AN526" s="14" t="str">
        <f t="shared" si="173"/>
        <v>No</v>
      </c>
      <c r="AO526" s="14" t="str">
        <f t="shared" si="174"/>
        <v>Yes</v>
      </c>
      <c r="AP526" s="16" t="s">
        <v>148</v>
      </c>
      <c r="AQ526" t="str">
        <f t="shared" si="175"/>
        <v>No</v>
      </c>
      <c r="AR526" s="21">
        <v>4</v>
      </c>
      <c r="AS526" s="5">
        <v>459.3</v>
      </c>
      <c r="AT526" s="5" t="str">
        <f>IF(T526="","",_xlfn.XLOOKUP(T526,Airlines!A:A,Airlines!B:B,"Not Found"))</f>
        <v>Aer Lingus</v>
      </c>
      <c r="AU526" s="5" t="str">
        <f>IF(U526="","",_xlfn.XLOOKUP(U526,Hotels!A:A,Hotels!B:B,"Not found"))</f>
        <v>Accor</v>
      </c>
      <c r="AV526" t="s">
        <v>147</v>
      </c>
      <c r="AW526" s="16" t="str">
        <f t="shared" si="176"/>
        <v>OK</v>
      </c>
      <c r="AX526" s="16" t="str">
        <f t="shared" si="177"/>
        <v>OK</v>
      </c>
      <c r="AY526" s="16" t="str">
        <f t="shared" si="178"/>
        <v>OK</v>
      </c>
      <c r="AZ526" s="16" t="str">
        <f t="shared" si="179"/>
        <v>OK</v>
      </c>
      <c r="BA526" s="16" t="str">
        <f t="shared" si="183"/>
        <v>OK</v>
      </c>
      <c r="BB526" s="21">
        <f>COUNTIF('Trip Changes'!B:B,A526)</f>
        <v>0</v>
      </c>
      <c r="BC526" s="16" t="str">
        <f>IF(OR(AND(AD526="Yes",COUNTIF('Trip Changes'!B:B,A526)&gt;0),AND(AD526="No",COUNTIF('Trip Changes'!B:B,A526)=0)),"OK","Check")</f>
        <v>OK</v>
      </c>
      <c r="BD526" t="str">
        <f t="shared" si="184"/>
        <v>OK</v>
      </c>
      <c r="BE526" t="str">
        <f t="shared" si="185"/>
        <v>OK</v>
      </c>
      <c r="BF526" t="str">
        <f t="shared" si="186"/>
        <v>OK</v>
      </c>
      <c r="BG526" t="str">
        <f t="shared" si="187"/>
        <v>OK</v>
      </c>
      <c r="BH526" t="str">
        <f t="shared" si="188"/>
        <v>OK</v>
      </c>
      <c r="BI526" t="str">
        <f t="shared" si="180"/>
        <v>OK</v>
      </c>
      <c r="BJ526" t="str">
        <f t="shared" si="181"/>
        <v>OK</v>
      </c>
      <c r="BK526" t="str">
        <f t="shared" si="182"/>
        <v>OK</v>
      </c>
    </row>
    <row r="527" spans="1:63">
      <c r="A527" s="16" t="s">
        <v>882</v>
      </c>
      <c r="B527" s="16" t="s">
        <v>880</v>
      </c>
      <c r="C527" s="16" t="s">
        <v>142</v>
      </c>
      <c r="D527" s="16" t="s">
        <v>204</v>
      </c>
      <c r="E527" s="16" t="s">
        <v>249</v>
      </c>
      <c r="F527" s="16" t="s">
        <v>140</v>
      </c>
      <c r="G527" s="15">
        <v>46150</v>
      </c>
      <c r="H527" s="15">
        <v>46160</v>
      </c>
      <c r="I527" s="15">
        <v>46165</v>
      </c>
      <c r="J527" s="15" t="s">
        <v>163</v>
      </c>
      <c r="K527" s="16" t="s">
        <v>142</v>
      </c>
      <c r="L527" t="s">
        <v>185</v>
      </c>
      <c r="M527" s="16" t="s">
        <v>152</v>
      </c>
      <c r="N527" s="16" t="s">
        <v>153</v>
      </c>
      <c r="O527" t="s">
        <v>1614</v>
      </c>
      <c r="P527" s="18">
        <v>11254</v>
      </c>
      <c r="Q527" s="21">
        <v>10</v>
      </c>
      <c r="R527" s="21" t="str">
        <f t="shared" si="168"/>
        <v>8-14 days</v>
      </c>
      <c r="S527" s="16" t="s">
        <v>207</v>
      </c>
      <c r="T527" s="16" t="s">
        <v>154</v>
      </c>
      <c r="U527" s="16" t="s">
        <v>173</v>
      </c>
      <c r="V527" t="str">
        <f>IF(U527="","",IFERROR(VLOOKUP(U527,Hotels!A:B,2,FALSE),"Not Found"))</f>
        <v>Accor</v>
      </c>
      <c r="W527" s="14">
        <v>1143.06</v>
      </c>
      <c r="X527" s="14">
        <v>0</v>
      </c>
      <c r="Y527" s="21">
        <v>4</v>
      </c>
      <c r="Z527" s="29">
        <f t="shared" si="169"/>
        <v>150.3725</v>
      </c>
      <c r="AA527" s="14">
        <v>601.49</v>
      </c>
      <c r="AB527" s="14">
        <v>40.61</v>
      </c>
      <c r="AC527" s="14">
        <v>1785.16</v>
      </c>
      <c r="AD527" s="16" t="s">
        <v>147</v>
      </c>
      <c r="AE527" s="16" t="s">
        <v>148</v>
      </c>
      <c r="AF527" s="14">
        <f>SUMIF('Trip Changes'!$B:$B,A527,'Trip Changes'!$E:$E)</f>
        <v>0</v>
      </c>
      <c r="AG527" s="23">
        <f>SUMIF('Trip Cancellations'!$B:$B,A527,'Trip Cancellations'!$E:$E)</f>
        <v>122.22</v>
      </c>
      <c r="AH527" s="14">
        <f>SUMIF('Trip Cancellations'!$B:$B,A527,'Trip Cancellations'!$F:$F)</f>
        <v>872.27</v>
      </c>
      <c r="AI527" s="14">
        <f t="shared" si="170"/>
        <v>1035.1100000000001</v>
      </c>
      <c r="AJ527" s="14" t="str">
        <f t="shared" si="171"/>
        <v>Yes</v>
      </c>
      <c r="AK527" s="14" t="str">
        <f>IF(Y527=0,"N/A",
IF(_xlfn.XLOOKUP(U527,Hotels!A:A,Hotels!C:C)=TRUE,"Yes","No"))</f>
        <v>Yes</v>
      </c>
      <c r="AL527" s="14" t="str">
        <f>IF(N527="Rail","N/A",IF(_xlfn.XLOOKUP(T527,Airlines!A:A,Airlines!C:C)=TRUE,"Yes","No"))</f>
        <v>Yes</v>
      </c>
      <c r="AM527" s="14" t="str">
        <f t="shared" si="172"/>
        <v>Yes</v>
      </c>
      <c r="AN527" s="14" t="str">
        <f t="shared" si="173"/>
        <v>No</v>
      </c>
      <c r="AO527" s="14" t="str">
        <f t="shared" si="174"/>
        <v>Yes</v>
      </c>
      <c r="AP527" s="16" t="s">
        <v>148</v>
      </c>
      <c r="AQ527" t="str">
        <f t="shared" si="175"/>
        <v>No</v>
      </c>
      <c r="AR527" s="21">
        <v>3</v>
      </c>
      <c r="AS527" s="5">
        <v>1688.1</v>
      </c>
      <c r="AT527" s="5" t="str">
        <f>IF(T527="","",_xlfn.XLOOKUP(T527,Airlines!A:A,Airlines!B:B,"Not Found"))</f>
        <v>British Airways</v>
      </c>
      <c r="AU527" s="5" t="str">
        <f>IF(U527="","",_xlfn.XLOOKUP(U527,Hotels!A:A,Hotels!B:B,"Not found"))</f>
        <v>Accor</v>
      </c>
      <c r="AV527" t="s">
        <v>147</v>
      </c>
      <c r="AW527" s="16" t="str">
        <f t="shared" si="176"/>
        <v>OK</v>
      </c>
      <c r="AX527" s="16" t="str">
        <f t="shared" si="177"/>
        <v>OK</v>
      </c>
      <c r="AY527" s="16" t="str">
        <f t="shared" si="178"/>
        <v>OK</v>
      </c>
      <c r="AZ527" s="16" t="str">
        <f t="shared" si="179"/>
        <v>OK</v>
      </c>
      <c r="BA527" s="16" t="str">
        <f t="shared" si="183"/>
        <v>OK</v>
      </c>
      <c r="BB527" s="21">
        <f>COUNTIF('Trip Changes'!B:B,A527)</f>
        <v>0</v>
      </c>
      <c r="BC527" s="16" t="str">
        <f>IF(OR(AND(AD527="Yes",COUNTIF('Trip Changes'!B:B,A527)&gt;0),AND(AD527="No",COUNTIF('Trip Changes'!B:B,A527)=0)),"OK","Check")</f>
        <v>OK</v>
      </c>
      <c r="BD527" t="str">
        <f t="shared" si="184"/>
        <v>OK</v>
      </c>
      <c r="BE527" t="str">
        <f t="shared" si="185"/>
        <v>OK</v>
      </c>
      <c r="BF527" t="str">
        <f t="shared" si="186"/>
        <v>OK</v>
      </c>
      <c r="BG527" t="str">
        <f t="shared" si="187"/>
        <v>OK</v>
      </c>
      <c r="BH527" t="str">
        <f t="shared" si="188"/>
        <v>OK</v>
      </c>
      <c r="BI527" t="str">
        <f t="shared" si="180"/>
        <v>OK</v>
      </c>
      <c r="BJ527" t="str">
        <f t="shared" si="181"/>
        <v>OK</v>
      </c>
      <c r="BK527" t="str">
        <f t="shared" si="182"/>
        <v>OK</v>
      </c>
    </row>
    <row r="528" spans="1:63">
      <c r="A528" s="16" t="s">
        <v>883</v>
      </c>
      <c r="B528" s="16" t="s">
        <v>880</v>
      </c>
      <c r="C528" s="16" t="s">
        <v>142</v>
      </c>
      <c r="D528" s="16" t="s">
        <v>204</v>
      </c>
      <c r="E528" s="16" t="s">
        <v>249</v>
      </c>
      <c r="F528" s="16" t="s">
        <v>162</v>
      </c>
      <c r="G528" s="15">
        <v>46141</v>
      </c>
      <c r="H528" s="15">
        <v>46154</v>
      </c>
      <c r="I528" s="15">
        <v>46158</v>
      </c>
      <c r="J528" s="15" t="s">
        <v>163</v>
      </c>
      <c r="K528" s="16" t="s">
        <v>142</v>
      </c>
      <c r="L528" t="s">
        <v>283</v>
      </c>
      <c r="M528" s="16" t="s">
        <v>152</v>
      </c>
      <c r="N528" s="16" t="s">
        <v>153</v>
      </c>
      <c r="O528" t="s">
        <v>1614</v>
      </c>
      <c r="P528" s="18">
        <v>11140</v>
      </c>
      <c r="Q528" s="21">
        <v>13</v>
      </c>
      <c r="R528" s="21" t="str">
        <f t="shared" si="168"/>
        <v>8-14 days</v>
      </c>
      <c r="S528" s="16" t="s">
        <v>145</v>
      </c>
      <c r="T528" s="16" t="s">
        <v>186</v>
      </c>
      <c r="U528" s="16" t="s">
        <v>187</v>
      </c>
      <c r="V528" t="str">
        <f>IF(U528="","",IFERROR(VLOOKUP(U528,Hotels!A:B,2,FALSE),"Not Found"))</f>
        <v>IHG Hotels &amp; Resorts</v>
      </c>
      <c r="W528" s="14">
        <v>820.79</v>
      </c>
      <c r="X528" s="14">
        <v>0</v>
      </c>
      <c r="Y528" s="21">
        <v>3</v>
      </c>
      <c r="Z528" s="29">
        <f t="shared" si="169"/>
        <v>212.72666666666666</v>
      </c>
      <c r="AA528" s="14">
        <v>638.17999999999995</v>
      </c>
      <c r="AB528" s="14">
        <v>119.59</v>
      </c>
      <c r="AC528" s="14">
        <v>1578.56</v>
      </c>
      <c r="AD528" s="16" t="s">
        <v>147</v>
      </c>
      <c r="AE528" s="16" t="s">
        <v>147</v>
      </c>
      <c r="AF528" s="14">
        <f>SUMIF('Trip Changes'!$B:$B,A528,'Trip Changes'!$E:$E)</f>
        <v>0</v>
      </c>
      <c r="AG528" s="23">
        <f>SUMIF('Trip Cancellations'!$B:$B,A528,'Trip Cancellations'!$E:$E)</f>
        <v>0</v>
      </c>
      <c r="AH528" s="14">
        <f>SUMIF('Trip Cancellations'!$B:$B,A528,'Trip Cancellations'!$F:$F)</f>
        <v>0</v>
      </c>
      <c r="AI528" s="14">
        <f t="shared" si="170"/>
        <v>1578.56</v>
      </c>
      <c r="AJ528" s="14" t="str">
        <f t="shared" si="171"/>
        <v>Yes</v>
      </c>
      <c r="AK528" s="14" t="str">
        <f>IF(Y528=0,"N/A",
IF(_xlfn.XLOOKUP(U528,Hotels!A:A,Hotels!C:C)=TRUE,"Yes","No"))</f>
        <v>Yes</v>
      </c>
      <c r="AL528" s="14" t="str">
        <f>IF(N528="Rail","N/A",IF(_xlfn.XLOOKUP(T528,Airlines!A:A,Airlines!C:C)=TRUE,"Yes","No"))</f>
        <v>Yes</v>
      </c>
      <c r="AM528" s="14" t="str">
        <f t="shared" si="172"/>
        <v>Yes</v>
      </c>
      <c r="AN528" s="14" t="str">
        <f t="shared" si="173"/>
        <v>Yes</v>
      </c>
      <c r="AO528" s="14" t="str">
        <f t="shared" si="174"/>
        <v>Yes</v>
      </c>
      <c r="AP528" s="16" t="s">
        <v>148</v>
      </c>
      <c r="AQ528" t="str">
        <f t="shared" si="175"/>
        <v>Yes</v>
      </c>
      <c r="AR528" s="21">
        <v>3</v>
      </c>
      <c r="AS528" s="5">
        <v>1671</v>
      </c>
      <c r="AT528" s="5" t="str">
        <f>IF(T528="","",_xlfn.XLOOKUP(T528,Airlines!A:A,Airlines!B:B,"Not Found"))</f>
        <v>Virgin Atlantic</v>
      </c>
      <c r="AU528" s="5" t="str">
        <f>IF(U528="","",_xlfn.XLOOKUP(U528,Hotels!A:A,Hotels!B:B,"Not found"))</f>
        <v>IHG Hotels &amp; Resorts</v>
      </c>
      <c r="AV528" t="s">
        <v>147</v>
      </c>
      <c r="AW528" s="16" t="str">
        <f t="shared" si="176"/>
        <v>OK</v>
      </c>
      <c r="AX528" s="16" t="str">
        <f t="shared" si="177"/>
        <v>OK</v>
      </c>
      <c r="AY528" s="16" t="str">
        <f t="shared" si="178"/>
        <v>OK</v>
      </c>
      <c r="AZ528" s="16" t="str">
        <f t="shared" si="179"/>
        <v>OK</v>
      </c>
      <c r="BA528" s="16" t="str">
        <f t="shared" si="183"/>
        <v>OK</v>
      </c>
      <c r="BB528" s="21">
        <f>COUNTIF('Trip Changes'!B:B,A528)</f>
        <v>0</v>
      </c>
      <c r="BC528" s="16" t="str">
        <f>IF(OR(AND(AD528="Yes",COUNTIF('Trip Changes'!B:B,A528)&gt;0),AND(AD528="No",COUNTIF('Trip Changes'!B:B,A528)=0)),"OK","Check")</f>
        <v>OK</v>
      </c>
      <c r="BD528" t="str">
        <f t="shared" si="184"/>
        <v>OK</v>
      </c>
      <c r="BE528" t="str">
        <f t="shared" si="185"/>
        <v>OK</v>
      </c>
      <c r="BF528" t="str">
        <f t="shared" si="186"/>
        <v>OK</v>
      </c>
      <c r="BG528" t="str">
        <f t="shared" si="187"/>
        <v>OK</v>
      </c>
      <c r="BH528" t="str">
        <f t="shared" si="188"/>
        <v>OK</v>
      </c>
      <c r="BI528" t="str">
        <f t="shared" si="180"/>
        <v>OK</v>
      </c>
      <c r="BJ528" t="str">
        <f t="shared" si="181"/>
        <v>OK</v>
      </c>
      <c r="BK528" t="str">
        <f t="shared" si="182"/>
        <v>OK</v>
      </c>
    </row>
    <row r="529" spans="1:63">
      <c r="A529" s="16" t="s">
        <v>884</v>
      </c>
      <c r="B529" s="16" t="s">
        <v>880</v>
      </c>
      <c r="C529" s="16" t="s">
        <v>142</v>
      </c>
      <c r="D529" s="16" t="s">
        <v>204</v>
      </c>
      <c r="E529" s="16" t="s">
        <v>249</v>
      </c>
      <c r="F529" s="16" t="s">
        <v>181</v>
      </c>
      <c r="G529" s="15">
        <v>46179</v>
      </c>
      <c r="H529" s="15">
        <v>46187</v>
      </c>
      <c r="I529" s="15">
        <v>46190</v>
      </c>
      <c r="J529" s="15" t="s">
        <v>141</v>
      </c>
      <c r="K529" s="16" t="s">
        <v>142</v>
      </c>
      <c r="L529" t="s">
        <v>203</v>
      </c>
      <c r="M529" s="16" t="s">
        <v>143</v>
      </c>
      <c r="N529" s="16" t="s">
        <v>153</v>
      </c>
      <c r="O529" t="s">
        <v>1614</v>
      </c>
      <c r="P529" s="18">
        <v>656</v>
      </c>
      <c r="Q529" s="21">
        <v>8</v>
      </c>
      <c r="R529" s="21" t="str">
        <f t="shared" si="168"/>
        <v>8-14 days</v>
      </c>
      <c r="S529" s="16" t="s">
        <v>145</v>
      </c>
      <c r="T529" s="16" t="s">
        <v>176</v>
      </c>
      <c r="U529" s="16" t="s">
        <v>146</v>
      </c>
      <c r="V529" t="str">
        <f>IF(U529="","",IFERROR(VLOOKUP(U529,Hotels!A:B,2,FALSE),"Not Found"))</f>
        <v>Premier Inn</v>
      </c>
      <c r="W529" s="14">
        <v>270.19</v>
      </c>
      <c r="X529" s="14">
        <v>0</v>
      </c>
      <c r="Y529" s="21">
        <v>2</v>
      </c>
      <c r="Z529" s="29">
        <f t="shared" si="169"/>
        <v>107.9</v>
      </c>
      <c r="AA529" s="14">
        <v>215.8</v>
      </c>
      <c r="AB529" s="14">
        <v>101.98</v>
      </c>
      <c r="AC529" s="14">
        <v>587.97</v>
      </c>
      <c r="AD529" s="16" t="s">
        <v>147</v>
      </c>
      <c r="AE529" s="16" t="s">
        <v>147</v>
      </c>
      <c r="AF529" s="14">
        <f>SUMIF('Trip Changes'!$B:$B,A529,'Trip Changes'!$E:$E)</f>
        <v>0</v>
      </c>
      <c r="AG529" s="23">
        <f>SUMIF('Trip Cancellations'!$B:$B,A529,'Trip Cancellations'!$E:$E)</f>
        <v>0</v>
      </c>
      <c r="AH529" s="14">
        <f>SUMIF('Trip Cancellations'!$B:$B,A529,'Trip Cancellations'!$F:$F)</f>
        <v>0</v>
      </c>
      <c r="AI529" s="14">
        <f t="shared" si="170"/>
        <v>587.97</v>
      </c>
      <c r="AJ529" s="14" t="str">
        <f t="shared" si="171"/>
        <v>Yes</v>
      </c>
      <c r="AK529" s="14" t="str">
        <f>IF(Y529=0,"N/A",
IF(_xlfn.XLOOKUP(U529,Hotels!A:A,Hotels!C:C)=TRUE,"Yes","No"))</f>
        <v>Yes</v>
      </c>
      <c r="AL529" s="14" t="str">
        <f>IF(N529="Rail","N/A",IF(_xlfn.XLOOKUP(T529,Airlines!A:A,Airlines!C:C)=TRUE,"Yes","No"))</f>
        <v>Yes</v>
      </c>
      <c r="AM529" s="14" t="str">
        <f t="shared" si="172"/>
        <v>Yes</v>
      </c>
      <c r="AN529" s="14" t="str">
        <f t="shared" si="173"/>
        <v>Yes</v>
      </c>
      <c r="AO529" s="14" t="str">
        <f t="shared" si="174"/>
        <v>Yes</v>
      </c>
      <c r="AP529" s="16" t="s">
        <v>148</v>
      </c>
      <c r="AQ529" t="str">
        <f t="shared" si="175"/>
        <v>Yes</v>
      </c>
      <c r="AR529" s="21">
        <v>4</v>
      </c>
      <c r="AS529" s="5">
        <v>98.4</v>
      </c>
      <c r="AT529" s="5" t="str">
        <f>IF(T529="","",_xlfn.XLOOKUP(T529,Airlines!A:A,Airlines!B:B,"Not Found"))</f>
        <v>easyJet</v>
      </c>
      <c r="AU529" s="5" t="str">
        <f>IF(U529="","",_xlfn.XLOOKUP(U529,Hotels!A:A,Hotels!B:B,"Not found"))</f>
        <v>Premier Inn</v>
      </c>
      <c r="AV529" t="s">
        <v>147</v>
      </c>
      <c r="AW529" s="16" t="str">
        <f t="shared" si="176"/>
        <v>OK</v>
      </c>
      <c r="AX529" s="16" t="str">
        <f t="shared" si="177"/>
        <v>OK</v>
      </c>
      <c r="AY529" s="16" t="str">
        <f t="shared" si="178"/>
        <v>OK</v>
      </c>
      <c r="AZ529" s="16" t="str">
        <f t="shared" si="179"/>
        <v>OK</v>
      </c>
      <c r="BA529" s="16" t="str">
        <f t="shared" si="183"/>
        <v>OK</v>
      </c>
      <c r="BB529" s="21">
        <f>COUNTIF('Trip Changes'!B:B,A529)</f>
        <v>0</v>
      </c>
      <c r="BC529" s="16" t="str">
        <f>IF(OR(AND(AD529="Yes",COUNTIF('Trip Changes'!B:B,A529)&gt;0),AND(AD529="No",COUNTIF('Trip Changes'!B:B,A529)=0)),"OK","Check")</f>
        <v>OK</v>
      </c>
      <c r="BD529" t="str">
        <f t="shared" si="184"/>
        <v>OK</v>
      </c>
      <c r="BE529" t="str">
        <f t="shared" si="185"/>
        <v>OK</v>
      </c>
      <c r="BF529" t="str">
        <f t="shared" si="186"/>
        <v>OK</v>
      </c>
      <c r="BG529" t="str">
        <f t="shared" si="187"/>
        <v>OK</v>
      </c>
      <c r="BH529" t="str">
        <f t="shared" si="188"/>
        <v>OK</v>
      </c>
      <c r="BI529" t="str">
        <f t="shared" si="180"/>
        <v>OK</v>
      </c>
      <c r="BJ529" t="str">
        <f t="shared" si="181"/>
        <v>OK</v>
      </c>
      <c r="BK529" t="str">
        <f t="shared" si="182"/>
        <v>OK</v>
      </c>
    </row>
    <row r="530" spans="1:63">
      <c r="A530" s="16" t="s">
        <v>885</v>
      </c>
      <c r="B530" s="16" t="s">
        <v>886</v>
      </c>
      <c r="C530" s="16" t="s">
        <v>887</v>
      </c>
      <c r="D530" s="16" t="s">
        <v>204</v>
      </c>
      <c r="E530" s="16" t="s">
        <v>169</v>
      </c>
      <c r="F530" s="16" t="s">
        <v>162</v>
      </c>
      <c r="G530" s="15">
        <v>46181</v>
      </c>
      <c r="H530" s="15">
        <v>46188</v>
      </c>
      <c r="I530" s="15">
        <v>46192</v>
      </c>
      <c r="J530" s="15" t="s">
        <v>141</v>
      </c>
      <c r="K530" s="16" t="s">
        <v>887</v>
      </c>
      <c r="L530" t="s">
        <v>185</v>
      </c>
      <c r="M530" s="16" t="s">
        <v>152</v>
      </c>
      <c r="N530" s="16" t="s">
        <v>153</v>
      </c>
      <c r="O530" t="s">
        <v>1614</v>
      </c>
      <c r="P530" s="18">
        <v>10004</v>
      </c>
      <c r="Q530" s="21">
        <v>7</v>
      </c>
      <c r="R530" s="21" t="str">
        <f t="shared" si="168"/>
        <v>4-7 days</v>
      </c>
      <c r="S530" s="16" t="s">
        <v>159</v>
      </c>
      <c r="T530" s="16" t="s">
        <v>278</v>
      </c>
      <c r="U530" s="16" t="s">
        <v>187</v>
      </c>
      <c r="V530" t="str">
        <f>IF(U530="","",IFERROR(VLOOKUP(U530,Hotels!A:B,2,FALSE),"Not Found"))</f>
        <v>IHG Hotels &amp; Resorts</v>
      </c>
      <c r="W530" s="14">
        <v>1213.48</v>
      </c>
      <c r="X530" s="14">
        <v>0</v>
      </c>
      <c r="Y530" s="21">
        <v>3</v>
      </c>
      <c r="Z530" s="29">
        <f t="shared" si="169"/>
        <v>183.69333333333336</v>
      </c>
      <c r="AA530" s="14">
        <v>551.08000000000004</v>
      </c>
      <c r="AB530" s="14">
        <v>20</v>
      </c>
      <c r="AC530" s="14">
        <v>1784.56</v>
      </c>
      <c r="AD530" s="16" t="s">
        <v>147</v>
      </c>
      <c r="AE530" s="16" t="s">
        <v>147</v>
      </c>
      <c r="AF530" s="14">
        <f>SUMIF('Trip Changes'!$B:$B,A530,'Trip Changes'!$E:$E)</f>
        <v>0</v>
      </c>
      <c r="AG530" s="23">
        <f>SUMIF('Trip Cancellations'!$B:$B,A530,'Trip Cancellations'!$E:$E)</f>
        <v>0</v>
      </c>
      <c r="AH530" s="14">
        <f>SUMIF('Trip Cancellations'!$B:$B,A530,'Trip Cancellations'!$F:$F)</f>
        <v>0</v>
      </c>
      <c r="AI530" s="14">
        <f t="shared" si="170"/>
        <v>1784.56</v>
      </c>
      <c r="AJ530" s="14" t="str">
        <f t="shared" si="171"/>
        <v>Yes</v>
      </c>
      <c r="AK530" s="14" t="str">
        <f>IF(Y530=0,"N/A",
IF(_xlfn.XLOOKUP(U530,Hotels!A:A,Hotels!C:C)=TRUE,"Yes","No"))</f>
        <v>Yes</v>
      </c>
      <c r="AL530" s="14" t="str">
        <f>IF(N530="Rail","N/A",IF(_xlfn.XLOOKUP(T530,Airlines!A:A,Airlines!C:C)=TRUE,"Yes","No"))</f>
        <v>No</v>
      </c>
      <c r="AM530" s="14" t="str">
        <f t="shared" si="172"/>
        <v>Yes</v>
      </c>
      <c r="AN530" s="14" t="str">
        <f t="shared" si="173"/>
        <v>Yes</v>
      </c>
      <c r="AO530" s="14" t="str">
        <f t="shared" si="174"/>
        <v>No</v>
      </c>
      <c r="AP530" s="16" t="s">
        <v>148</v>
      </c>
      <c r="AQ530" t="str">
        <f t="shared" si="175"/>
        <v>No</v>
      </c>
      <c r="AR530" s="21">
        <v>4</v>
      </c>
      <c r="AS530" s="5">
        <v>1500.6</v>
      </c>
      <c r="AT530" s="5" t="str">
        <f>IF(T530="","",_xlfn.XLOOKUP(T530,Airlines!A:A,Airlines!B:B,"Not Found"))</f>
        <v>United Airlines</v>
      </c>
      <c r="AU530" s="5" t="str">
        <f>IF(U530="","",_xlfn.XLOOKUP(U530,Hotels!A:A,Hotels!B:B,"Not found"))</f>
        <v>IHG Hotels &amp; Resorts</v>
      </c>
      <c r="AV530" t="s">
        <v>147</v>
      </c>
      <c r="AW530" s="16" t="str">
        <f t="shared" si="176"/>
        <v>OK</v>
      </c>
      <c r="AX530" s="16" t="str">
        <f t="shared" si="177"/>
        <v>OK</v>
      </c>
      <c r="AY530" s="16" t="str">
        <f t="shared" si="178"/>
        <v>OK</v>
      </c>
      <c r="AZ530" s="16" t="str">
        <f t="shared" si="179"/>
        <v>OK</v>
      </c>
      <c r="BA530" s="16" t="str">
        <f t="shared" si="183"/>
        <v>OK</v>
      </c>
      <c r="BB530" s="21">
        <f>COUNTIF('Trip Changes'!B:B,A530)</f>
        <v>0</v>
      </c>
      <c r="BC530" s="16" t="str">
        <f>IF(OR(AND(AD530="Yes",COUNTIF('Trip Changes'!B:B,A530)&gt;0),AND(AD530="No",COUNTIF('Trip Changes'!B:B,A530)=0)),"OK","Check")</f>
        <v>OK</v>
      </c>
      <c r="BD530" t="str">
        <f t="shared" si="184"/>
        <v>OK</v>
      </c>
      <c r="BE530" t="str">
        <f t="shared" si="185"/>
        <v>OK</v>
      </c>
      <c r="BF530" t="str">
        <f t="shared" si="186"/>
        <v>OK</v>
      </c>
      <c r="BG530" t="str">
        <f t="shared" si="187"/>
        <v>OK</v>
      </c>
      <c r="BH530" t="str">
        <f t="shared" si="188"/>
        <v>OK</v>
      </c>
      <c r="BI530" t="str">
        <f t="shared" si="180"/>
        <v>OK</v>
      </c>
      <c r="BJ530" t="str">
        <f t="shared" si="181"/>
        <v>OK</v>
      </c>
      <c r="BK530" t="str">
        <f t="shared" si="182"/>
        <v>OK</v>
      </c>
    </row>
    <row r="531" spans="1:63">
      <c r="A531" s="16" t="s">
        <v>888</v>
      </c>
      <c r="B531" s="16" t="s">
        <v>886</v>
      </c>
      <c r="C531" s="16" t="s">
        <v>887</v>
      </c>
      <c r="D531" s="16" t="s">
        <v>204</v>
      </c>
      <c r="E531" s="16" t="s">
        <v>169</v>
      </c>
      <c r="F531" s="16" t="s">
        <v>189</v>
      </c>
      <c r="G531" s="15">
        <v>46141</v>
      </c>
      <c r="H531" s="15">
        <v>46169</v>
      </c>
      <c r="I531" s="15">
        <v>46174</v>
      </c>
      <c r="J531" s="15" t="s">
        <v>163</v>
      </c>
      <c r="K531" s="16" t="s">
        <v>887</v>
      </c>
      <c r="L531" t="s">
        <v>179</v>
      </c>
      <c r="M531" s="16" t="s">
        <v>152</v>
      </c>
      <c r="N531" s="16" t="s">
        <v>153</v>
      </c>
      <c r="O531" t="s">
        <v>1614</v>
      </c>
      <c r="P531" s="18">
        <v>14842</v>
      </c>
      <c r="Q531" s="21">
        <v>28</v>
      </c>
      <c r="R531" s="21" t="str">
        <f t="shared" si="168"/>
        <v>15-30 days</v>
      </c>
      <c r="S531" s="16" t="s">
        <v>159</v>
      </c>
      <c r="T531" s="16" t="s">
        <v>441</v>
      </c>
      <c r="U531" s="16" t="s">
        <v>164</v>
      </c>
      <c r="V531" t="str">
        <f>IF(U531="","",IFERROR(VLOOKUP(U531,Hotels!A:B,2,FALSE),"Not Found"))</f>
        <v>Marriott</v>
      </c>
      <c r="W531" s="14">
        <v>650</v>
      </c>
      <c r="X531" s="14">
        <v>0</v>
      </c>
      <c r="Y531" s="21">
        <v>4</v>
      </c>
      <c r="Z531" s="29">
        <f t="shared" si="169"/>
        <v>239.44499999999999</v>
      </c>
      <c r="AA531" s="14">
        <v>957.78</v>
      </c>
      <c r="AB531" s="14">
        <v>20</v>
      </c>
      <c r="AC531" s="14">
        <v>1627.78</v>
      </c>
      <c r="AD531" s="16" t="s">
        <v>148</v>
      </c>
      <c r="AE531" s="16" t="s">
        <v>147</v>
      </c>
      <c r="AF531" s="14">
        <f>SUMIF('Trip Changes'!$B:$B,A531,'Trip Changes'!$E:$E)</f>
        <v>232.67</v>
      </c>
      <c r="AG531" s="23">
        <f>SUMIF('Trip Cancellations'!$B:$B,A531,'Trip Cancellations'!$E:$E)</f>
        <v>0</v>
      </c>
      <c r="AH531" s="14">
        <f>SUMIF('Trip Cancellations'!$B:$B,A531,'Trip Cancellations'!$F:$F)</f>
        <v>0</v>
      </c>
      <c r="AI531" s="14">
        <f t="shared" si="170"/>
        <v>1860.45</v>
      </c>
      <c r="AJ531" s="14" t="str">
        <f t="shared" si="171"/>
        <v>No</v>
      </c>
      <c r="AK531" s="14" t="str">
        <f>IF(Y531=0,"N/A",
IF(_xlfn.XLOOKUP(U531,Hotels!A:A,Hotels!C:C)=TRUE,"Yes","No"))</f>
        <v>Yes</v>
      </c>
      <c r="AL531" s="14" t="str">
        <f>IF(N531="Rail","N/A",IF(_xlfn.XLOOKUP(T531,Airlines!A:A,Airlines!C:C)=TRUE,"Yes","No"))</f>
        <v>Yes</v>
      </c>
      <c r="AM531" s="14" t="str">
        <f t="shared" si="172"/>
        <v>Yes</v>
      </c>
      <c r="AN531" s="14" t="str">
        <f t="shared" si="173"/>
        <v>Yes</v>
      </c>
      <c r="AO531" s="14" t="str">
        <f t="shared" si="174"/>
        <v>Yes</v>
      </c>
      <c r="AP531" s="16" t="s">
        <v>148</v>
      </c>
      <c r="AQ531" t="str">
        <f t="shared" si="175"/>
        <v>No</v>
      </c>
      <c r="AR531" s="21">
        <v>4</v>
      </c>
      <c r="AS531" s="5">
        <v>2226.3000000000002</v>
      </c>
      <c r="AT531" s="5" t="str">
        <f>IF(T531="","",_xlfn.XLOOKUP(T531,Airlines!A:A,Airlines!B:B,"Not Found"))</f>
        <v>Emirates</v>
      </c>
      <c r="AU531" s="5" t="str">
        <f>IF(U531="","",_xlfn.XLOOKUP(U531,Hotels!A:A,Hotels!B:B,"Not found"))</f>
        <v>Marriott</v>
      </c>
      <c r="AV531" t="s">
        <v>148</v>
      </c>
      <c r="AW531" s="16" t="str">
        <f t="shared" si="176"/>
        <v>OK</v>
      </c>
      <c r="AX531" s="16" t="str">
        <f t="shared" si="177"/>
        <v>OK</v>
      </c>
      <c r="AY531" s="16" t="str">
        <f t="shared" si="178"/>
        <v>OK</v>
      </c>
      <c r="AZ531" s="16" t="str">
        <f t="shared" si="179"/>
        <v>OK</v>
      </c>
      <c r="BA531" s="16" t="str">
        <f t="shared" si="183"/>
        <v>OK</v>
      </c>
      <c r="BB531" s="21">
        <f>COUNTIF('Trip Changes'!B:B,A531)</f>
        <v>2</v>
      </c>
      <c r="BC531" s="16" t="str">
        <f>IF(OR(AND(AD531="Yes",COUNTIF('Trip Changes'!B:B,A531)&gt;0),AND(AD531="No",COUNTIF('Trip Changes'!B:B,A531)=0)),"OK","Check")</f>
        <v>OK</v>
      </c>
      <c r="BD531" t="str">
        <f t="shared" si="184"/>
        <v>OK</v>
      </c>
      <c r="BE531" t="str">
        <f t="shared" si="185"/>
        <v>OK</v>
      </c>
      <c r="BF531" t="str">
        <f t="shared" si="186"/>
        <v>OK</v>
      </c>
      <c r="BG531" t="str">
        <f t="shared" si="187"/>
        <v>OK</v>
      </c>
      <c r="BH531" t="str">
        <f t="shared" si="188"/>
        <v>OK</v>
      </c>
      <c r="BI531" t="str">
        <f t="shared" si="180"/>
        <v>OK</v>
      </c>
      <c r="BJ531" t="str">
        <f t="shared" si="181"/>
        <v>OK</v>
      </c>
      <c r="BK531" t="str">
        <f t="shared" si="182"/>
        <v>OK</v>
      </c>
    </row>
    <row r="532" spans="1:63">
      <c r="A532" s="16" t="s">
        <v>889</v>
      </c>
      <c r="B532" s="16" t="s">
        <v>890</v>
      </c>
      <c r="C532" s="16" t="s">
        <v>182</v>
      </c>
      <c r="D532" s="16" t="s">
        <v>230</v>
      </c>
      <c r="E532" s="16" t="s">
        <v>249</v>
      </c>
      <c r="F532" s="16" t="s">
        <v>157</v>
      </c>
      <c r="G532" s="15">
        <v>46198</v>
      </c>
      <c r="H532" s="15">
        <v>46207</v>
      </c>
      <c r="I532" s="15">
        <v>46212</v>
      </c>
      <c r="J532" s="15" t="s">
        <v>150</v>
      </c>
      <c r="K532" s="16" t="s">
        <v>182</v>
      </c>
      <c r="L532" t="s">
        <v>185</v>
      </c>
      <c r="M532" s="16" t="s">
        <v>152</v>
      </c>
      <c r="N532" s="16" t="s">
        <v>153</v>
      </c>
      <c r="O532" t="s">
        <v>1614</v>
      </c>
      <c r="P532" s="18">
        <v>11200</v>
      </c>
      <c r="Q532" s="21">
        <v>9</v>
      </c>
      <c r="R532" s="21" t="str">
        <f t="shared" si="168"/>
        <v>8-14 days</v>
      </c>
      <c r="S532" s="16" t="s">
        <v>216</v>
      </c>
      <c r="T532" s="16" t="s">
        <v>154</v>
      </c>
      <c r="U532" s="16" t="s">
        <v>173</v>
      </c>
      <c r="V532" t="str">
        <f>IF(U532="","",IFERROR(VLOOKUP(U532,Hotels!A:B,2,FALSE),"Not Found"))</f>
        <v>Accor</v>
      </c>
      <c r="W532" s="14">
        <v>840.75</v>
      </c>
      <c r="X532" s="14">
        <v>0</v>
      </c>
      <c r="Y532" s="21">
        <v>4</v>
      </c>
      <c r="Z532" s="29">
        <f t="shared" si="169"/>
        <v>180.095</v>
      </c>
      <c r="AA532" s="14">
        <v>720.38</v>
      </c>
      <c r="AB532" s="14">
        <v>78.44</v>
      </c>
      <c r="AC532" s="14">
        <v>1639.57</v>
      </c>
      <c r="AD532" s="16" t="s">
        <v>147</v>
      </c>
      <c r="AE532" s="16" t="s">
        <v>147</v>
      </c>
      <c r="AF532" s="14">
        <f>SUMIF('Trip Changes'!$B:$B,A532,'Trip Changes'!$E:$E)</f>
        <v>0</v>
      </c>
      <c r="AG532" s="23">
        <f>SUMIF('Trip Cancellations'!$B:$B,A532,'Trip Cancellations'!$E:$E)</f>
        <v>0</v>
      </c>
      <c r="AH532" s="14">
        <f>SUMIF('Trip Cancellations'!$B:$B,A532,'Trip Cancellations'!$F:$F)</f>
        <v>0</v>
      </c>
      <c r="AI532" s="14">
        <f t="shared" si="170"/>
        <v>1639.57</v>
      </c>
      <c r="AJ532" s="14" t="str">
        <f t="shared" si="171"/>
        <v>Yes</v>
      </c>
      <c r="AK532" s="14" t="str">
        <f>IF(Y532=0,"N/A",
IF(_xlfn.XLOOKUP(U532,Hotels!A:A,Hotels!C:C)=TRUE,"Yes","No"))</f>
        <v>Yes</v>
      </c>
      <c r="AL532" s="14" t="str">
        <f>IF(N532="Rail","N/A",IF(_xlfn.XLOOKUP(T532,Airlines!A:A,Airlines!C:C)=TRUE,"Yes","No"))</f>
        <v>Yes</v>
      </c>
      <c r="AM532" s="14" t="str">
        <f t="shared" si="172"/>
        <v>Yes</v>
      </c>
      <c r="AN532" s="14" t="str">
        <f t="shared" si="173"/>
        <v>No</v>
      </c>
      <c r="AO532" s="14" t="str">
        <f t="shared" si="174"/>
        <v>Yes</v>
      </c>
      <c r="AP532" s="16" t="s">
        <v>148</v>
      </c>
      <c r="AQ532" t="str">
        <f t="shared" si="175"/>
        <v>No</v>
      </c>
      <c r="AR532" s="21">
        <v>4</v>
      </c>
      <c r="AS532" s="5">
        <v>1680</v>
      </c>
      <c r="AT532" s="5" t="str">
        <f>IF(T532="","",_xlfn.XLOOKUP(T532,Airlines!A:A,Airlines!B:B,"Not Found"))</f>
        <v>British Airways</v>
      </c>
      <c r="AU532" s="5" t="str">
        <f>IF(U532="","",_xlfn.XLOOKUP(U532,Hotels!A:A,Hotels!B:B,"Not found"))</f>
        <v>Accor</v>
      </c>
      <c r="AV532" t="s">
        <v>148</v>
      </c>
      <c r="AW532" s="16" t="str">
        <f t="shared" si="176"/>
        <v>OK</v>
      </c>
      <c r="AX532" s="16" t="str">
        <f t="shared" si="177"/>
        <v>OK</v>
      </c>
      <c r="AY532" s="16" t="str">
        <f t="shared" si="178"/>
        <v>OK</v>
      </c>
      <c r="AZ532" s="16" t="str">
        <f t="shared" si="179"/>
        <v>OK</v>
      </c>
      <c r="BA532" s="16" t="str">
        <f t="shared" si="183"/>
        <v>OK</v>
      </c>
      <c r="BB532" s="21">
        <f>COUNTIF('Trip Changes'!B:B,A532)</f>
        <v>0</v>
      </c>
      <c r="BC532" s="16" t="str">
        <f>IF(OR(AND(AD532="Yes",COUNTIF('Trip Changes'!B:B,A532)&gt;0),AND(AD532="No",COUNTIF('Trip Changes'!B:B,A532)=0)),"OK","Check")</f>
        <v>OK</v>
      </c>
      <c r="BD532" t="str">
        <f t="shared" si="184"/>
        <v>OK</v>
      </c>
      <c r="BE532" t="str">
        <f t="shared" si="185"/>
        <v>OK</v>
      </c>
      <c r="BF532" t="str">
        <f t="shared" si="186"/>
        <v>OK</v>
      </c>
      <c r="BG532" t="str">
        <f t="shared" si="187"/>
        <v>OK</v>
      </c>
      <c r="BH532" t="str">
        <f t="shared" si="188"/>
        <v>OK</v>
      </c>
      <c r="BI532" t="str">
        <f t="shared" si="180"/>
        <v>OK</v>
      </c>
      <c r="BJ532" t="str">
        <f t="shared" si="181"/>
        <v>OK</v>
      </c>
      <c r="BK532" t="str">
        <f t="shared" si="182"/>
        <v>OK</v>
      </c>
    </row>
    <row r="533" spans="1:63">
      <c r="A533" s="16" t="s">
        <v>891</v>
      </c>
      <c r="B533" s="16" t="s">
        <v>890</v>
      </c>
      <c r="C533" s="16" t="s">
        <v>182</v>
      </c>
      <c r="D533" s="16" t="s">
        <v>230</v>
      </c>
      <c r="E533" s="16" t="s">
        <v>249</v>
      </c>
      <c r="F533" s="16" t="s">
        <v>207</v>
      </c>
      <c r="G533" s="15">
        <v>46191</v>
      </c>
      <c r="H533" s="15">
        <v>46201</v>
      </c>
      <c r="I533" s="15">
        <v>46204</v>
      </c>
      <c r="J533" s="15" t="s">
        <v>141</v>
      </c>
      <c r="K533" s="16" t="s">
        <v>182</v>
      </c>
      <c r="L533" t="s">
        <v>199</v>
      </c>
      <c r="M533" s="16" t="s">
        <v>152</v>
      </c>
      <c r="N533" s="16" t="s">
        <v>153</v>
      </c>
      <c r="O533" t="s">
        <v>1614</v>
      </c>
      <c r="P533" s="18">
        <v>2752</v>
      </c>
      <c r="Q533" s="21">
        <v>10</v>
      </c>
      <c r="R533" s="21" t="str">
        <f t="shared" si="168"/>
        <v>8-14 days</v>
      </c>
      <c r="S533" s="16" t="s">
        <v>145</v>
      </c>
      <c r="T533" s="16" t="s">
        <v>200</v>
      </c>
      <c r="U533" s="16" t="s">
        <v>187</v>
      </c>
      <c r="V533" t="str">
        <f>IF(U533="","",IFERROR(VLOOKUP(U533,Hotels!A:B,2,FALSE),"Not Found"))</f>
        <v>IHG Hotels &amp; Resorts</v>
      </c>
      <c r="W533" s="14">
        <v>527.96</v>
      </c>
      <c r="X533" s="14">
        <v>0</v>
      </c>
      <c r="Y533" s="21">
        <v>2</v>
      </c>
      <c r="Z533" s="29">
        <f t="shared" si="169"/>
        <v>106.995</v>
      </c>
      <c r="AA533" s="14">
        <v>213.99</v>
      </c>
      <c r="AB533" s="14">
        <v>120.76</v>
      </c>
      <c r="AC533" s="14">
        <v>862.71</v>
      </c>
      <c r="AD533" s="16" t="s">
        <v>147</v>
      </c>
      <c r="AE533" s="16" t="s">
        <v>147</v>
      </c>
      <c r="AF533" s="14">
        <f>SUMIF('Trip Changes'!$B:$B,A533,'Trip Changes'!$E:$E)</f>
        <v>0</v>
      </c>
      <c r="AG533" s="23">
        <f>SUMIF('Trip Cancellations'!$B:$B,A533,'Trip Cancellations'!$E:$E)</f>
        <v>0</v>
      </c>
      <c r="AH533" s="14">
        <f>SUMIF('Trip Cancellations'!$B:$B,A533,'Trip Cancellations'!$F:$F)</f>
        <v>0</v>
      </c>
      <c r="AI533" s="14">
        <f t="shared" si="170"/>
        <v>862.71</v>
      </c>
      <c r="AJ533" s="14" t="str">
        <f t="shared" si="171"/>
        <v>Yes</v>
      </c>
      <c r="AK533" s="14" t="str">
        <f>IF(Y533=0,"N/A",
IF(_xlfn.XLOOKUP(U533,Hotels!A:A,Hotels!C:C)=TRUE,"Yes","No"))</f>
        <v>Yes</v>
      </c>
      <c r="AL533" s="14" t="str">
        <f>IF(N533="Rail","N/A",IF(_xlfn.XLOOKUP(T533,Airlines!A:A,Airlines!C:C)=TRUE,"Yes","No"))</f>
        <v>Yes</v>
      </c>
      <c r="AM533" s="14" t="str">
        <f t="shared" si="172"/>
        <v>Yes</v>
      </c>
      <c r="AN533" s="14" t="str">
        <f t="shared" si="173"/>
        <v>Yes</v>
      </c>
      <c r="AO533" s="14" t="str">
        <f t="shared" si="174"/>
        <v>Yes</v>
      </c>
      <c r="AP533" s="16" t="s">
        <v>148</v>
      </c>
      <c r="AQ533" t="str">
        <f t="shared" si="175"/>
        <v>Yes</v>
      </c>
      <c r="AR533" s="21">
        <v>5</v>
      </c>
      <c r="AS533" s="5">
        <v>412.8</v>
      </c>
      <c r="AT533" s="5" t="str">
        <f>IF(T533="","",_xlfn.XLOOKUP(T533,Airlines!A:A,Airlines!B:B,"Not Found"))</f>
        <v>Aer Lingus</v>
      </c>
      <c r="AU533" s="5" t="str">
        <f>IF(U533="","",_xlfn.XLOOKUP(U533,Hotels!A:A,Hotels!B:B,"Not found"))</f>
        <v>IHG Hotels &amp; Resorts</v>
      </c>
      <c r="AV533" t="s">
        <v>147</v>
      </c>
      <c r="AW533" s="16" t="str">
        <f t="shared" si="176"/>
        <v>OK</v>
      </c>
      <c r="AX533" s="16" t="str">
        <f t="shared" si="177"/>
        <v>OK</v>
      </c>
      <c r="AY533" s="16" t="str">
        <f t="shared" si="178"/>
        <v>OK</v>
      </c>
      <c r="AZ533" s="16" t="str">
        <f t="shared" si="179"/>
        <v>OK</v>
      </c>
      <c r="BA533" s="16" t="str">
        <f t="shared" si="183"/>
        <v>OK</v>
      </c>
      <c r="BB533" s="21">
        <f>COUNTIF('Trip Changes'!B:B,A533)</f>
        <v>0</v>
      </c>
      <c r="BC533" s="16" t="str">
        <f>IF(OR(AND(AD533="Yes",COUNTIF('Trip Changes'!B:B,A533)&gt;0),AND(AD533="No",COUNTIF('Trip Changes'!B:B,A533)=0)),"OK","Check")</f>
        <v>OK</v>
      </c>
      <c r="BD533" t="str">
        <f t="shared" si="184"/>
        <v>OK</v>
      </c>
      <c r="BE533" t="str">
        <f t="shared" si="185"/>
        <v>OK</v>
      </c>
      <c r="BF533" t="str">
        <f t="shared" si="186"/>
        <v>OK</v>
      </c>
      <c r="BG533" t="str">
        <f t="shared" si="187"/>
        <v>OK</v>
      </c>
      <c r="BH533" t="str">
        <f t="shared" si="188"/>
        <v>OK</v>
      </c>
      <c r="BI533" t="str">
        <f t="shared" si="180"/>
        <v>OK</v>
      </c>
      <c r="BJ533" t="str">
        <f t="shared" si="181"/>
        <v>OK</v>
      </c>
      <c r="BK533" t="str">
        <f t="shared" si="182"/>
        <v>OK</v>
      </c>
    </row>
    <row r="534" spans="1:63">
      <c r="A534" s="16" t="s">
        <v>892</v>
      </c>
      <c r="B534" s="16" t="s">
        <v>890</v>
      </c>
      <c r="C534" s="16" t="s">
        <v>182</v>
      </c>
      <c r="D534" s="16" t="s">
        <v>230</v>
      </c>
      <c r="E534" s="16" t="s">
        <v>249</v>
      </c>
      <c r="F534" s="16" t="s">
        <v>140</v>
      </c>
      <c r="G534" s="15">
        <v>46186</v>
      </c>
      <c r="H534" s="15">
        <v>46198</v>
      </c>
      <c r="I534" s="15">
        <v>46202</v>
      </c>
      <c r="J534" s="15" t="s">
        <v>141</v>
      </c>
      <c r="K534" s="16" t="s">
        <v>182</v>
      </c>
      <c r="L534" t="s">
        <v>233</v>
      </c>
      <c r="M534" s="16" t="s">
        <v>152</v>
      </c>
      <c r="N534" s="16" t="s">
        <v>153</v>
      </c>
      <c r="O534" t="s">
        <v>1614</v>
      </c>
      <c r="P534" s="18">
        <v>1104</v>
      </c>
      <c r="Q534" s="21">
        <v>12</v>
      </c>
      <c r="R534" s="21" t="str">
        <f t="shared" si="168"/>
        <v>8-14 days</v>
      </c>
      <c r="S534" s="16" t="s">
        <v>159</v>
      </c>
      <c r="T534" s="16" t="s">
        <v>160</v>
      </c>
      <c r="U534" s="16" t="s">
        <v>164</v>
      </c>
      <c r="V534" t="str">
        <f>IF(U534="","",IFERROR(VLOOKUP(U534,Hotels!A:B,2,FALSE),"Not Found"))</f>
        <v>Marriott</v>
      </c>
      <c r="W534" s="14">
        <v>576.02</v>
      </c>
      <c r="X534" s="14">
        <v>0</v>
      </c>
      <c r="Y534" s="21">
        <v>3</v>
      </c>
      <c r="Z534" s="29">
        <f t="shared" si="169"/>
        <v>171.35666666666668</v>
      </c>
      <c r="AA534" s="14">
        <v>514.07000000000005</v>
      </c>
      <c r="AB534" s="14">
        <v>48.94</v>
      </c>
      <c r="AC534" s="14">
        <v>1139.03</v>
      </c>
      <c r="AD534" s="16" t="s">
        <v>148</v>
      </c>
      <c r="AE534" s="16" t="s">
        <v>147</v>
      </c>
      <c r="AF534" s="14">
        <f>SUMIF('Trip Changes'!$B:$B,A534,'Trip Changes'!$E:$E)</f>
        <v>173.24</v>
      </c>
      <c r="AG534" s="23">
        <f>SUMIF('Trip Cancellations'!$B:$B,A534,'Trip Cancellations'!$E:$E)</f>
        <v>0</v>
      </c>
      <c r="AH534" s="14">
        <f>SUMIF('Trip Cancellations'!$B:$B,A534,'Trip Cancellations'!$F:$F)</f>
        <v>0</v>
      </c>
      <c r="AI534" s="14">
        <f t="shared" si="170"/>
        <v>1312.27</v>
      </c>
      <c r="AJ534" s="14" t="str">
        <f t="shared" si="171"/>
        <v>Yes</v>
      </c>
      <c r="AK534" s="14" t="str">
        <f>IF(Y534=0,"N/A",
IF(_xlfn.XLOOKUP(U534,Hotels!A:A,Hotels!C:C)=TRUE,"Yes","No"))</f>
        <v>Yes</v>
      </c>
      <c r="AL534" s="14" t="str">
        <f>IF(N534="Rail","N/A",IF(_xlfn.XLOOKUP(T534,Airlines!A:A,Airlines!C:C)=TRUE,"Yes","No"))</f>
        <v>Yes</v>
      </c>
      <c r="AM534" s="14" t="str">
        <f t="shared" si="172"/>
        <v>Yes</v>
      </c>
      <c r="AN534" s="14" t="str">
        <f t="shared" si="173"/>
        <v>Yes</v>
      </c>
      <c r="AO534" s="14" t="str">
        <f t="shared" si="174"/>
        <v>Yes</v>
      </c>
      <c r="AP534" s="16" t="s">
        <v>148</v>
      </c>
      <c r="AQ534" t="str">
        <f t="shared" si="175"/>
        <v>Yes</v>
      </c>
      <c r="AR534" s="21">
        <v>4</v>
      </c>
      <c r="AS534" s="5">
        <v>165.6</v>
      </c>
      <c r="AT534" s="5" t="str">
        <f>IF(T534="","",_xlfn.XLOOKUP(T534,Airlines!A:A,Airlines!B:B,"Not Found"))</f>
        <v>Air France</v>
      </c>
      <c r="AU534" s="5" t="str">
        <f>IF(U534="","",_xlfn.XLOOKUP(U534,Hotels!A:A,Hotels!B:B,"Not found"))</f>
        <v>Marriott</v>
      </c>
      <c r="AV534" t="s">
        <v>147</v>
      </c>
      <c r="AW534" s="16" t="str">
        <f t="shared" si="176"/>
        <v>OK</v>
      </c>
      <c r="AX534" s="16" t="str">
        <f t="shared" si="177"/>
        <v>OK</v>
      </c>
      <c r="AY534" s="16" t="str">
        <f t="shared" si="178"/>
        <v>OK</v>
      </c>
      <c r="AZ534" s="16" t="str">
        <f t="shared" si="179"/>
        <v>OK</v>
      </c>
      <c r="BA534" s="16" t="str">
        <f t="shared" si="183"/>
        <v>OK</v>
      </c>
      <c r="BB534" s="21">
        <f>COUNTIF('Trip Changes'!B:B,A534)</f>
        <v>2</v>
      </c>
      <c r="BC534" s="16" t="str">
        <f>IF(OR(AND(AD534="Yes",COUNTIF('Trip Changes'!B:B,A534)&gt;0),AND(AD534="No",COUNTIF('Trip Changes'!B:B,A534)=0)),"OK","Check")</f>
        <v>OK</v>
      </c>
      <c r="BD534" t="str">
        <f t="shared" si="184"/>
        <v>OK</v>
      </c>
      <c r="BE534" t="str">
        <f t="shared" si="185"/>
        <v>OK</v>
      </c>
      <c r="BF534" t="str">
        <f t="shared" si="186"/>
        <v>OK</v>
      </c>
      <c r="BG534" t="str">
        <f t="shared" si="187"/>
        <v>OK</v>
      </c>
      <c r="BH534" t="str">
        <f t="shared" si="188"/>
        <v>OK</v>
      </c>
      <c r="BI534" t="str">
        <f t="shared" si="180"/>
        <v>OK</v>
      </c>
      <c r="BJ534" t="str">
        <f t="shared" si="181"/>
        <v>OK</v>
      </c>
      <c r="BK534" t="str">
        <f t="shared" si="182"/>
        <v>OK</v>
      </c>
    </row>
    <row r="535" spans="1:63">
      <c r="A535" s="16" t="s">
        <v>893</v>
      </c>
      <c r="B535" s="16" t="s">
        <v>894</v>
      </c>
      <c r="C535" s="16" t="s">
        <v>182</v>
      </c>
      <c r="D535" s="16" t="s">
        <v>138</v>
      </c>
      <c r="E535" s="16" t="s">
        <v>169</v>
      </c>
      <c r="F535" s="16" t="s">
        <v>140</v>
      </c>
      <c r="G535" s="15">
        <v>46132</v>
      </c>
      <c r="H535" s="15">
        <v>46150</v>
      </c>
      <c r="I535" s="15">
        <v>46152</v>
      </c>
      <c r="J535" s="15" t="s">
        <v>163</v>
      </c>
      <c r="K535" s="16" t="s">
        <v>182</v>
      </c>
      <c r="L535" t="s">
        <v>142</v>
      </c>
      <c r="M535" s="16" t="s">
        <v>143</v>
      </c>
      <c r="N535" s="16" t="s">
        <v>144</v>
      </c>
      <c r="O535" t="s">
        <v>1630</v>
      </c>
      <c r="P535" s="18">
        <v>522</v>
      </c>
      <c r="Q535" s="21">
        <v>18</v>
      </c>
      <c r="R535" s="21" t="str">
        <f t="shared" si="168"/>
        <v>15-30 days</v>
      </c>
      <c r="S535" s="16" t="s">
        <v>159</v>
      </c>
      <c r="U535" s="16" t="s">
        <v>146</v>
      </c>
      <c r="V535" t="str">
        <f>IF(U535="","",IFERROR(VLOOKUP(U535,Hotels!A:B,2,FALSE),"Not Found"))</f>
        <v>Premier Inn</v>
      </c>
      <c r="W535" s="14">
        <v>0</v>
      </c>
      <c r="X535" s="14">
        <v>184.97</v>
      </c>
      <c r="Y535" s="21">
        <v>1</v>
      </c>
      <c r="Z535" s="29">
        <f t="shared" si="169"/>
        <v>174.02</v>
      </c>
      <c r="AA535" s="14">
        <v>174.02</v>
      </c>
      <c r="AB535" s="14">
        <v>55</v>
      </c>
      <c r="AC535" s="14">
        <v>413.99</v>
      </c>
      <c r="AD535" s="16" t="s">
        <v>147</v>
      </c>
      <c r="AE535" s="16" t="s">
        <v>147</v>
      </c>
      <c r="AF535" s="14">
        <f>SUMIF('Trip Changes'!$B:$B,A535,'Trip Changes'!$E:$E)</f>
        <v>0</v>
      </c>
      <c r="AG535" s="23">
        <f>SUMIF('Trip Cancellations'!$B:$B,A535,'Trip Cancellations'!$E:$E)</f>
        <v>0</v>
      </c>
      <c r="AH535" s="14">
        <f>SUMIF('Trip Cancellations'!$B:$B,A535,'Trip Cancellations'!$F:$F)</f>
        <v>0</v>
      </c>
      <c r="AI535" s="14">
        <f t="shared" si="170"/>
        <v>413.99</v>
      </c>
      <c r="AJ535" s="14" t="str">
        <f t="shared" si="171"/>
        <v>Yes</v>
      </c>
      <c r="AK535" s="14" t="str">
        <f>IF(Y535=0,"N/A",
IF(_xlfn.XLOOKUP(U535,Hotels!A:A,Hotels!C:C)=TRUE,"Yes","No"))</f>
        <v>Yes</v>
      </c>
      <c r="AL535" s="14" t="str">
        <f>IF(N535="Rail","N/A",IF(_xlfn.XLOOKUP(T535,Airlines!A:A,Airlines!C:C)=TRUE,"Yes","No"))</f>
        <v>N/A</v>
      </c>
      <c r="AM535" s="14" t="str">
        <f t="shared" si="172"/>
        <v>Yes</v>
      </c>
      <c r="AN535" s="14" t="str">
        <f t="shared" si="173"/>
        <v>Yes</v>
      </c>
      <c r="AO535" s="14" t="str">
        <f t="shared" si="174"/>
        <v>Yes</v>
      </c>
      <c r="AP535" s="16" t="s">
        <v>148</v>
      </c>
      <c r="AQ535" t="str">
        <f t="shared" si="175"/>
        <v>Yes</v>
      </c>
      <c r="AR535" s="21">
        <v>5</v>
      </c>
      <c r="AS535" s="5">
        <v>20.9</v>
      </c>
      <c r="AT535" s="5" t="str">
        <f>IF(T535="","",_xlfn.XLOOKUP(T535,Airlines!A:A,Airlines!B:B,"Not Found"))</f>
        <v/>
      </c>
      <c r="AU535" s="5" t="str">
        <f>IF(U535="","",_xlfn.XLOOKUP(U535,Hotels!A:A,Hotels!B:B,"Not found"))</f>
        <v>Premier Inn</v>
      </c>
      <c r="AV535" t="s">
        <v>147</v>
      </c>
      <c r="AW535" s="16" t="str">
        <f t="shared" si="176"/>
        <v>OK</v>
      </c>
      <c r="AX535" s="16" t="str">
        <f t="shared" si="177"/>
        <v>OK</v>
      </c>
      <c r="AY535" s="16" t="str">
        <f t="shared" si="178"/>
        <v>OK</v>
      </c>
      <c r="AZ535" s="16" t="str">
        <f t="shared" si="179"/>
        <v>OK</v>
      </c>
      <c r="BA535" s="16" t="str">
        <f t="shared" si="183"/>
        <v>OK</v>
      </c>
      <c r="BB535" s="21">
        <f>COUNTIF('Trip Changes'!B:B,A535)</f>
        <v>0</v>
      </c>
      <c r="BC535" s="16" t="str">
        <f>IF(OR(AND(AD535="Yes",COUNTIF('Trip Changes'!B:B,A535)&gt;0),AND(AD535="No",COUNTIF('Trip Changes'!B:B,A535)=0)),"OK","Check")</f>
        <v>OK</v>
      </c>
      <c r="BD535" t="str">
        <f t="shared" si="184"/>
        <v>OK</v>
      </c>
      <c r="BE535" t="str">
        <f t="shared" si="185"/>
        <v>OK</v>
      </c>
      <c r="BF535" t="str">
        <f t="shared" si="186"/>
        <v>OK</v>
      </c>
      <c r="BG535" t="str">
        <f t="shared" si="187"/>
        <v>OK</v>
      </c>
      <c r="BH535" t="str">
        <f t="shared" si="188"/>
        <v>OK</v>
      </c>
      <c r="BI535" t="str">
        <f t="shared" si="180"/>
        <v>OK</v>
      </c>
      <c r="BJ535" t="str">
        <f t="shared" si="181"/>
        <v>OK</v>
      </c>
      <c r="BK535" t="str">
        <f t="shared" si="182"/>
        <v>OK</v>
      </c>
    </row>
    <row r="536" spans="1:63">
      <c r="A536" s="16" t="s">
        <v>895</v>
      </c>
      <c r="B536" s="16" t="s">
        <v>896</v>
      </c>
      <c r="C536" s="16" t="s">
        <v>182</v>
      </c>
      <c r="D536" s="16" t="s">
        <v>138</v>
      </c>
      <c r="E536" s="16" t="s">
        <v>262</v>
      </c>
      <c r="F536" s="16" t="s">
        <v>189</v>
      </c>
      <c r="G536" s="15">
        <v>46134</v>
      </c>
      <c r="H536" s="15">
        <v>46153</v>
      </c>
      <c r="I536" s="15">
        <v>46158</v>
      </c>
      <c r="J536" s="15" t="s">
        <v>163</v>
      </c>
      <c r="K536" s="16" t="s">
        <v>182</v>
      </c>
      <c r="L536" t="s">
        <v>199</v>
      </c>
      <c r="M536" s="16" t="s">
        <v>152</v>
      </c>
      <c r="N536" s="16" t="s">
        <v>153</v>
      </c>
      <c r="O536" t="s">
        <v>1614</v>
      </c>
      <c r="P536" s="18">
        <v>1800</v>
      </c>
      <c r="Q536" s="21">
        <v>19</v>
      </c>
      <c r="R536" s="21" t="str">
        <f t="shared" si="168"/>
        <v>15-30 days</v>
      </c>
      <c r="S536" s="16" t="s">
        <v>216</v>
      </c>
      <c r="T536" s="16" t="s">
        <v>200</v>
      </c>
      <c r="U536" s="16" t="s">
        <v>155</v>
      </c>
      <c r="V536" t="str">
        <f>IF(U536="","",IFERROR(VLOOKUP(U536,Hotels!A:B,2,FALSE),"Not Found"))</f>
        <v>Hilton</v>
      </c>
      <c r="W536" s="14">
        <v>399.77</v>
      </c>
      <c r="X536" s="14">
        <v>0</v>
      </c>
      <c r="Y536" s="21">
        <v>4</v>
      </c>
      <c r="Z536" s="29">
        <f t="shared" si="169"/>
        <v>161.17500000000001</v>
      </c>
      <c r="AA536" s="14">
        <v>644.70000000000005</v>
      </c>
      <c r="AB536" s="14">
        <v>116.24</v>
      </c>
      <c r="AC536" s="14">
        <v>1160.71</v>
      </c>
      <c r="AD536" s="16" t="s">
        <v>148</v>
      </c>
      <c r="AE536" s="16" t="s">
        <v>147</v>
      </c>
      <c r="AF536" s="14">
        <f>SUMIF('Trip Changes'!$B:$B,A536,'Trip Changes'!$E:$E)</f>
        <v>79.78</v>
      </c>
      <c r="AG536" s="23">
        <f>SUMIF('Trip Cancellations'!$B:$B,A536,'Trip Cancellations'!$E:$E)</f>
        <v>0</v>
      </c>
      <c r="AH536" s="14">
        <f>SUMIF('Trip Cancellations'!$B:$B,A536,'Trip Cancellations'!$F:$F)</f>
        <v>0</v>
      </c>
      <c r="AI536" s="14">
        <f t="shared" si="170"/>
        <v>1240.49</v>
      </c>
      <c r="AJ536" s="14" t="str">
        <f t="shared" si="171"/>
        <v>Yes</v>
      </c>
      <c r="AK536" s="14" t="str">
        <f>IF(Y536=0,"N/A",
IF(_xlfn.XLOOKUP(U536,Hotels!A:A,Hotels!C:C)=TRUE,"Yes","No"))</f>
        <v>Yes</v>
      </c>
      <c r="AL536" s="14" t="str">
        <f>IF(N536="Rail","N/A",IF(_xlfn.XLOOKUP(T536,Airlines!A:A,Airlines!C:C)=TRUE,"Yes","No"))</f>
        <v>Yes</v>
      </c>
      <c r="AM536" s="14" t="str">
        <f t="shared" si="172"/>
        <v>Yes</v>
      </c>
      <c r="AN536" s="14" t="str">
        <f t="shared" si="173"/>
        <v>No</v>
      </c>
      <c r="AO536" s="14" t="str">
        <f t="shared" si="174"/>
        <v>Yes</v>
      </c>
      <c r="AP536" s="16" t="s">
        <v>148</v>
      </c>
      <c r="AQ536" t="str">
        <f t="shared" si="175"/>
        <v>No</v>
      </c>
      <c r="AR536" s="21">
        <v>3</v>
      </c>
      <c r="AS536" s="5">
        <v>270</v>
      </c>
      <c r="AT536" s="5" t="str">
        <f>IF(T536="","",_xlfn.XLOOKUP(T536,Airlines!A:A,Airlines!B:B,"Not Found"))</f>
        <v>Aer Lingus</v>
      </c>
      <c r="AU536" s="5" t="str">
        <f>IF(U536="","",_xlfn.XLOOKUP(U536,Hotels!A:A,Hotels!B:B,"Not found"))</f>
        <v>Hilton</v>
      </c>
      <c r="AV536" t="s">
        <v>148</v>
      </c>
      <c r="AW536" s="16" t="str">
        <f t="shared" si="176"/>
        <v>OK</v>
      </c>
      <c r="AX536" s="16" t="str">
        <f t="shared" si="177"/>
        <v>OK</v>
      </c>
      <c r="AY536" s="16" t="str">
        <f t="shared" si="178"/>
        <v>OK</v>
      </c>
      <c r="AZ536" s="16" t="str">
        <f t="shared" si="179"/>
        <v>OK</v>
      </c>
      <c r="BA536" s="16" t="str">
        <f t="shared" si="183"/>
        <v>OK</v>
      </c>
      <c r="BB536" s="21">
        <f>COUNTIF('Trip Changes'!B:B,A536)</f>
        <v>1</v>
      </c>
      <c r="BC536" s="16" t="str">
        <f>IF(OR(AND(AD536="Yes",COUNTIF('Trip Changes'!B:B,A536)&gt;0),AND(AD536="No",COUNTIF('Trip Changes'!B:B,A536)=0)),"OK","Check")</f>
        <v>OK</v>
      </c>
      <c r="BD536" t="str">
        <f t="shared" si="184"/>
        <v>OK</v>
      </c>
      <c r="BE536" t="str">
        <f t="shared" si="185"/>
        <v>OK</v>
      </c>
      <c r="BF536" t="str">
        <f t="shared" si="186"/>
        <v>OK</v>
      </c>
      <c r="BG536" t="str">
        <f t="shared" si="187"/>
        <v>OK</v>
      </c>
      <c r="BH536" t="str">
        <f t="shared" si="188"/>
        <v>OK</v>
      </c>
      <c r="BI536" t="str">
        <f t="shared" si="180"/>
        <v>OK</v>
      </c>
      <c r="BJ536" t="str">
        <f t="shared" si="181"/>
        <v>OK</v>
      </c>
      <c r="BK536" t="str">
        <f t="shared" si="182"/>
        <v>OK</v>
      </c>
    </row>
    <row r="537" spans="1:63">
      <c r="A537" s="16" t="s">
        <v>897</v>
      </c>
      <c r="B537" s="16" t="s">
        <v>896</v>
      </c>
      <c r="C537" s="16" t="s">
        <v>182</v>
      </c>
      <c r="D537" s="16" t="s">
        <v>138</v>
      </c>
      <c r="E537" s="16" t="s">
        <v>262</v>
      </c>
      <c r="F537" s="16" t="s">
        <v>170</v>
      </c>
      <c r="G537" s="15">
        <v>46135</v>
      </c>
      <c r="H537" s="15">
        <v>46160</v>
      </c>
      <c r="I537" s="15">
        <v>46166</v>
      </c>
      <c r="J537" s="15" t="s">
        <v>163</v>
      </c>
      <c r="K537" s="16" t="s">
        <v>182</v>
      </c>
      <c r="L537" t="s">
        <v>264</v>
      </c>
      <c r="M537" s="16" t="s">
        <v>152</v>
      </c>
      <c r="N537" s="16" t="s">
        <v>153</v>
      </c>
      <c r="O537" t="s">
        <v>1614</v>
      </c>
      <c r="P537" s="18">
        <v>1132</v>
      </c>
      <c r="Q537" s="21">
        <v>25</v>
      </c>
      <c r="R537" s="21" t="str">
        <f t="shared" si="168"/>
        <v>15-30 days</v>
      </c>
      <c r="S537" s="16" t="s">
        <v>145</v>
      </c>
      <c r="T537" s="16" t="s">
        <v>176</v>
      </c>
      <c r="U537" s="16" t="s">
        <v>164</v>
      </c>
      <c r="V537" t="str">
        <f>IF(U537="","",IFERROR(VLOOKUP(U537,Hotels!A:B,2,FALSE),"Not Found"))</f>
        <v>Marriott</v>
      </c>
      <c r="W537" s="14">
        <v>365.46</v>
      </c>
      <c r="X537" s="14">
        <v>0</v>
      </c>
      <c r="Y537" s="21">
        <v>5</v>
      </c>
      <c r="Z537" s="29">
        <f t="shared" si="169"/>
        <v>204.14400000000001</v>
      </c>
      <c r="AA537" s="14">
        <v>1020.72</v>
      </c>
      <c r="AB537" s="14">
        <v>35.19</v>
      </c>
      <c r="AC537" s="14">
        <v>1421.37</v>
      </c>
      <c r="AD537" s="16" t="s">
        <v>147</v>
      </c>
      <c r="AE537" s="16" t="s">
        <v>148</v>
      </c>
      <c r="AF537" s="14">
        <f>SUMIF('Trip Changes'!$B:$B,A537,'Trip Changes'!$E:$E)</f>
        <v>0</v>
      </c>
      <c r="AG537" s="23">
        <f>SUMIF('Trip Cancellations'!$B:$B,A537,'Trip Cancellations'!$E:$E)</f>
        <v>82.75</v>
      </c>
      <c r="AH537" s="14">
        <f>SUMIF('Trip Cancellations'!$B:$B,A537,'Trip Cancellations'!$F:$F)</f>
        <v>1039.6300000000001</v>
      </c>
      <c r="AI537" s="14">
        <f t="shared" si="170"/>
        <v>464.48999999999978</v>
      </c>
      <c r="AJ537" s="14" t="str">
        <f t="shared" si="171"/>
        <v>No</v>
      </c>
      <c r="AK537" s="14" t="str">
        <f>IF(Y537=0,"N/A",
IF(_xlfn.XLOOKUP(U537,Hotels!A:A,Hotels!C:C)=TRUE,"Yes","No"))</f>
        <v>Yes</v>
      </c>
      <c r="AL537" s="14" t="str">
        <f>IF(N537="Rail","N/A",IF(_xlfn.XLOOKUP(T537,Airlines!A:A,Airlines!C:C)=TRUE,"Yes","No"))</f>
        <v>Yes</v>
      </c>
      <c r="AM537" s="14" t="str">
        <f t="shared" si="172"/>
        <v>Yes</v>
      </c>
      <c r="AN537" s="14" t="str">
        <f t="shared" si="173"/>
        <v>Yes</v>
      </c>
      <c r="AO537" s="14" t="str">
        <f t="shared" si="174"/>
        <v>Yes</v>
      </c>
      <c r="AP537" s="16" t="s">
        <v>148</v>
      </c>
      <c r="AQ537" t="str">
        <f t="shared" si="175"/>
        <v>No</v>
      </c>
      <c r="AR537" s="21">
        <v>3</v>
      </c>
      <c r="AS537" s="5">
        <v>169.8</v>
      </c>
      <c r="AT537" s="5" t="str">
        <f>IF(T537="","",_xlfn.XLOOKUP(T537,Airlines!A:A,Airlines!B:B,"Not Found"))</f>
        <v>easyJet</v>
      </c>
      <c r="AU537" s="5" t="str">
        <f>IF(U537="","",_xlfn.XLOOKUP(U537,Hotels!A:A,Hotels!B:B,"Not found"))</f>
        <v>Marriott</v>
      </c>
      <c r="AV537" t="s">
        <v>147</v>
      </c>
      <c r="AW537" s="16" t="str">
        <f t="shared" si="176"/>
        <v>OK</v>
      </c>
      <c r="AX537" s="16" t="str">
        <f t="shared" si="177"/>
        <v>OK</v>
      </c>
      <c r="AY537" s="16" t="str">
        <f t="shared" si="178"/>
        <v>OK</v>
      </c>
      <c r="AZ537" s="16" t="str">
        <f t="shared" si="179"/>
        <v>OK</v>
      </c>
      <c r="BA537" s="16" t="str">
        <f t="shared" si="183"/>
        <v>OK</v>
      </c>
      <c r="BB537" s="21">
        <f>COUNTIF('Trip Changes'!B:B,A537)</f>
        <v>0</v>
      </c>
      <c r="BC537" s="16" t="str">
        <f>IF(OR(AND(AD537="Yes",COUNTIF('Trip Changes'!B:B,A537)&gt;0),AND(AD537="No",COUNTIF('Trip Changes'!B:B,A537)=0)),"OK","Check")</f>
        <v>OK</v>
      </c>
      <c r="BD537" t="str">
        <f t="shared" si="184"/>
        <v>OK</v>
      </c>
      <c r="BE537" t="str">
        <f t="shared" si="185"/>
        <v>OK</v>
      </c>
      <c r="BF537" t="str">
        <f t="shared" si="186"/>
        <v>OK</v>
      </c>
      <c r="BG537" t="str">
        <f t="shared" si="187"/>
        <v>OK</v>
      </c>
      <c r="BH537" t="str">
        <f t="shared" si="188"/>
        <v>OK</v>
      </c>
      <c r="BI537" t="str">
        <f t="shared" si="180"/>
        <v>OK</v>
      </c>
      <c r="BJ537" t="str">
        <f t="shared" si="181"/>
        <v>OK</v>
      </c>
      <c r="BK537" t="str">
        <f t="shared" si="182"/>
        <v>OK</v>
      </c>
    </row>
    <row r="538" spans="1:63">
      <c r="A538" s="16" t="s">
        <v>898</v>
      </c>
      <c r="B538" s="16" t="s">
        <v>899</v>
      </c>
      <c r="C538" s="16" t="s">
        <v>182</v>
      </c>
      <c r="D538" s="16" t="s">
        <v>248</v>
      </c>
      <c r="E538" s="16" t="s">
        <v>139</v>
      </c>
      <c r="F538" s="16" t="s">
        <v>162</v>
      </c>
      <c r="G538" s="15">
        <v>46172</v>
      </c>
      <c r="H538" s="15">
        <v>46180</v>
      </c>
      <c r="I538" s="15">
        <v>46182</v>
      </c>
      <c r="J538" s="15" t="s">
        <v>141</v>
      </c>
      <c r="K538" s="16" t="s">
        <v>182</v>
      </c>
      <c r="L538" t="s">
        <v>227</v>
      </c>
      <c r="M538" s="16" t="s">
        <v>152</v>
      </c>
      <c r="N538" s="16" t="s">
        <v>153</v>
      </c>
      <c r="O538" t="s">
        <v>1614</v>
      </c>
      <c r="P538" s="18">
        <v>1866</v>
      </c>
      <c r="Q538" s="21">
        <v>8</v>
      </c>
      <c r="R538" s="21" t="str">
        <f t="shared" si="168"/>
        <v>8-14 days</v>
      </c>
      <c r="S538" s="16" t="s">
        <v>145</v>
      </c>
      <c r="T538" s="16" t="s">
        <v>172</v>
      </c>
      <c r="U538" s="16" t="s">
        <v>187</v>
      </c>
      <c r="V538" t="str">
        <f>IF(U538="","",IFERROR(VLOOKUP(U538,Hotels!A:B,2,FALSE),"Not Found"))</f>
        <v>IHG Hotels &amp; Resorts</v>
      </c>
      <c r="W538" s="14">
        <v>271.32</v>
      </c>
      <c r="X538" s="14">
        <v>0</v>
      </c>
      <c r="Y538" s="21">
        <v>1</v>
      </c>
      <c r="Z538" s="29">
        <f t="shared" si="169"/>
        <v>161.65</v>
      </c>
      <c r="AA538" s="14">
        <v>161.65</v>
      </c>
      <c r="AB538" s="14">
        <v>118.99</v>
      </c>
      <c r="AC538" s="14">
        <v>551.96</v>
      </c>
      <c r="AD538" s="16" t="s">
        <v>148</v>
      </c>
      <c r="AE538" s="16" t="s">
        <v>147</v>
      </c>
      <c r="AF538" s="14">
        <f>SUMIF('Trip Changes'!$B:$B,A538,'Trip Changes'!$E:$E)</f>
        <v>43.39</v>
      </c>
      <c r="AG538" s="23">
        <f>SUMIF('Trip Cancellations'!$B:$B,A538,'Trip Cancellations'!$E:$E)</f>
        <v>0</v>
      </c>
      <c r="AH538" s="14">
        <f>SUMIF('Trip Cancellations'!$B:$B,A538,'Trip Cancellations'!$F:$F)</f>
        <v>0</v>
      </c>
      <c r="AI538" s="14">
        <f t="shared" si="170"/>
        <v>595.35</v>
      </c>
      <c r="AJ538" s="14" t="str">
        <f t="shared" si="171"/>
        <v>Yes</v>
      </c>
      <c r="AK538" s="14" t="str">
        <f>IF(Y538=0,"N/A",
IF(_xlfn.XLOOKUP(U538,Hotels!A:A,Hotels!C:C)=TRUE,"Yes","No"))</f>
        <v>Yes</v>
      </c>
      <c r="AL538" s="14" t="str">
        <f>IF(N538="Rail","N/A",IF(_xlfn.XLOOKUP(T538,Airlines!A:A,Airlines!C:C)=TRUE,"Yes","No"))</f>
        <v>Yes</v>
      </c>
      <c r="AM538" s="14" t="str">
        <f t="shared" si="172"/>
        <v>Yes</v>
      </c>
      <c r="AN538" s="14" t="str">
        <f t="shared" si="173"/>
        <v>Yes</v>
      </c>
      <c r="AO538" s="14" t="str">
        <f t="shared" si="174"/>
        <v>Yes</v>
      </c>
      <c r="AP538" s="16" t="s">
        <v>148</v>
      </c>
      <c r="AQ538" t="str">
        <f t="shared" si="175"/>
        <v>Yes</v>
      </c>
      <c r="AR538" s="21">
        <v>4</v>
      </c>
      <c r="AS538" s="5">
        <v>279.89999999999998</v>
      </c>
      <c r="AT538" s="5" t="str">
        <f>IF(T538="","",_xlfn.XLOOKUP(T538,Airlines!A:A,Airlines!B:B,"Not Found"))</f>
        <v>Lufthansa</v>
      </c>
      <c r="AU538" s="5" t="str">
        <f>IF(U538="","",_xlfn.XLOOKUP(U538,Hotels!A:A,Hotels!B:B,"Not found"))</f>
        <v>IHG Hotels &amp; Resorts</v>
      </c>
      <c r="AV538" t="s">
        <v>147</v>
      </c>
      <c r="AW538" s="16" t="str">
        <f t="shared" si="176"/>
        <v>OK</v>
      </c>
      <c r="AX538" s="16" t="str">
        <f t="shared" si="177"/>
        <v>OK</v>
      </c>
      <c r="AY538" s="16" t="str">
        <f t="shared" si="178"/>
        <v>OK</v>
      </c>
      <c r="AZ538" s="16" t="str">
        <f t="shared" si="179"/>
        <v>OK</v>
      </c>
      <c r="BA538" s="16" t="str">
        <f t="shared" si="183"/>
        <v>OK</v>
      </c>
      <c r="BB538" s="21">
        <f>COUNTIF('Trip Changes'!B:B,A538)</f>
        <v>1</v>
      </c>
      <c r="BC538" s="16" t="str">
        <f>IF(OR(AND(AD538="Yes",COUNTIF('Trip Changes'!B:B,A538)&gt;0),AND(AD538="No",COUNTIF('Trip Changes'!B:B,A538)=0)),"OK","Check")</f>
        <v>OK</v>
      </c>
      <c r="BD538" t="str">
        <f t="shared" si="184"/>
        <v>OK</v>
      </c>
      <c r="BE538" t="str">
        <f t="shared" si="185"/>
        <v>OK</v>
      </c>
      <c r="BF538" t="str">
        <f t="shared" si="186"/>
        <v>OK</v>
      </c>
      <c r="BG538" t="str">
        <f t="shared" si="187"/>
        <v>OK</v>
      </c>
      <c r="BH538" t="str">
        <f t="shared" si="188"/>
        <v>OK</v>
      </c>
      <c r="BI538" t="str">
        <f t="shared" si="180"/>
        <v>OK</v>
      </c>
      <c r="BJ538" t="str">
        <f t="shared" si="181"/>
        <v>OK</v>
      </c>
      <c r="BK538" t="str">
        <f t="shared" si="182"/>
        <v>OK</v>
      </c>
    </row>
    <row r="539" spans="1:63">
      <c r="A539" s="16" t="s">
        <v>900</v>
      </c>
      <c r="B539" s="16" t="s">
        <v>901</v>
      </c>
      <c r="C539" s="16" t="s">
        <v>203</v>
      </c>
      <c r="D539" s="16" t="s">
        <v>138</v>
      </c>
      <c r="E539" s="16" t="s">
        <v>169</v>
      </c>
      <c r="F539" s="16" t="s">
        <v>140</v>
      </c>
      <c r="G539" s="15">
        <v>46135</v>
      </c>
      <c r="H539" s="15">
        <v>46146</v>
      </c>
      <c r="I539" s="15">
        <v>46150</v>
      </c>
      <c r="J539" s="15" t="s">
        <v>163</v>
      </c>
      <c r="K539" s="16" t="s">
        <v>203</v>
      </c>
      <c r="L539" t="s">
        <v>233</v>
      </c>
      <c r="M539" s="16" t="s">
        <v>152</v>
      </c>
      <c r="N539" s="16" t="s">
        <v>153</v>
      </c>
      <c r="O539" t="s">
        <v>1614</v>
      </c>
      <c r="P539" s="18">
        <v>2722</v>
      </c>
      <c r="Q539" s="21">
        <v>11</v>
      </c>
      <c r="R539" s="21" t="str">
        <f t="shared" si="168"/>
        <v>8-14 days</v>
      </c>
      <c r="S539" s="16" t="s">
        <v>145</v>
      </c>
      <c r="T539" s="16" t="s">
        <v>160</v>
      </c>
      <c r="U539" s="16" t="s">
        <v>187</v>
      </c>
      <c r="V539" t="str">
        <f>IF(U539="","",IFERROR(VLOOKUP(U539,Hotels!A:B,2,FALSE),"Not Found"))</f>
        <v>IHG Hotels &amp; Resorts</v>
      </c>
      <c r="W539" s="14">
        <v>475.46</v>
      </c>
      <c r="X539" s="14">
        <v>0</v>
      </c>
      <c r="Y539" s="21">
        <v>3</v>
      </c>
      <c r="Z539" s="29">
        <f t="shared" si="169"/>
        <v>216.84333333333333</v>
      </c>
      <c r="AA539" s="14">
        <v>650.53</v>
      </c>
      <c r="AB539" s="14">
        <v>94.75</v>
      </c>
      <c r="AC539" s="14">
        <v>1220.74</v>
      </c>
      <c r="AD539" s="16" t="s">
        <v>147</v>
      </c>
      <c r="AE539" s="16" t="s">
        <v>147</v>
      </c>
      <c r="AF539" s="14">
        <f>SUMIF('Trip Changes'!$B:$B,A539,'Trip Changes'!$E:$E)</f>
        <v>0</v>
      </c>
      <c r="AG539" s="23">
        <f>SUMIF('Trip Cancellations'!$B:$B,A539,'Trip Cancellations'!$E:$E)</f>
        <v>0</v>
      </c>
      <c r="AH539" s="14">
        <f>SUMIF('Trip Cancellations'!$B:$B,A539,'Trip Cancellations'!$F:$F)</f>
        <v>0</v>
      </c>
      <c r="AI539" s="14">
        <f t="shared" si="170"/>
        <v>1220.74</v>
      </c>
      <c r="AJ539" s="14" t="str">
        <f t="shared" si="171"/>
        <v>No</v>
      </c>
      <c r="AK539" s="14" t="str">
        <f>IF(Y539=0,"N/A",
IF(_xlfn.XLOOKUP(U539,Hotels!A:A,Hotels!C:C)=TRUE,"Yes","No"))</f>
        <v>Yes</v>
      </c>
      <c r="AL539" s="14" t="str">
        <f>IF(N539="Rail","N/A",IF(_xlfn.XLOOKUP(T539,Airlines!A:A,Airlines!C:C)=TRUE,"Yes","No"))</f>
        <v>Yes</v>
      </c>
      <c r="AM539" s="14" t="str">
        <f t="shared" si="172"/>
        <v>Yes</v>
      </c>
      <c r="AN539" s="14" t="str">
        <f t="shared" si="173"/>
        <v>Yes</v>
      </c>
      <c r="AO539" s="14" t="str">
        <f t="shared" si="174"/>
        <v>Yes</v>
      </c>
      <c r="AP539" s="16" t="s">
        <v>148</v>
      </c>
      <c r="AQ539" t="str">
        <f t="shared" si="175"/>
        <v>No</v>
      </c>
      <c r="AR539" s="21">
        <v>5</v>
      </c>
      <c r="AS539" s="5">
        <v>408.3</v>
      </c>
      <c r="AT539" s="5" t="str">
        <f>IF(T539="","",_xlfn.XLOOKUP(T539,Airlines!A:A,Airlines!B:B,"Not Found"))</f>
        <v>Air France</v>
      </c>
      <c r="AU539" s="5" t="str">
        <f>IF(U539="","",_xlfn.XLOOKUP(U539,Hotels!A:A,Hotels!B:B,"Not found"))</f>
        <v>IHG Hotels &amp; Resorts</v>
      </c>
      <c r="AV539" t="s">
        <v>147</v>
      </c>
      <c r="AW539" s="16" t="str">
        <f t="shared" si="176"/>
        <v>OK</v>
      </c>
      <c r="AX539" s="16" t="str">
        <f t="shared" si="177"/>
        <v>OK</v>
      </c>
      <c r="AY539" s="16" t="str">
        <f t="shared" si="178"/>
        <v>OK</v>
      </c>
      <c r="AZ539" s="16" t="str">
        <f t="shared" si="179"/>
        <v>OK</v>
      </c>
      <c r="BA539" s="16" t="str">
        <f t="shared" si="183"/>
        <v>OK</v>
      </c>
      <c r="BB539" s="21">
        <f>COUNTIF('Trip Changes'!B:B,A539)</f>
        <v>0</v>
      </c>
      <c r="BC539" s="16" t="str">
        <f>IF(OR(AND(AD539="Yes",COUNTIF('Trip Changes'!B:B,A539)&gt;0),AND(AD539="No",COUNTIF('Trip Changes'!B:B,A539)=0)),"OK","Check")</f>
        <v>OK</v>
      </c>
      <c r="BD539" t="str">
        <f t="shared" si="184"/>
        <v>OK</v>
      </c>
      <c r="BE539" t="str">
        <f t="shared" si="185"/>
        <v>OK</v>
      </c>
      <c r="BF539" t="str">
        <f t="shared" si="186"/>
        <v>OK</v>
      </c>
      <c r="BG539" t="str">
        <f t="shared" si="187"/>
        <v>OK</v>
      </c>
      <c r="BH539" t="str">
        <f t="shared" si="188"/>
        <v>OK</v>
      </c>
      <c r="BI539" t="str">
        <f t="shared" si="180"/>
        <v>OK</v>
      </c>
      <c r="BJ539" t="str">
        <f t="shared" si="181"/>
        <v>OK</v>
      </c>
      <c r="BK539" t="str">
        <f t="shared" si="182"/>
        <v>OK</v>
      </c>
    </row>
    <row r="540" spans="1:63">
      <c r="A540" s="16" t="s">
        <v>902</v>
      </c>
      <c r="B540" s="16" t="s">
        <v>901</v>
      </c>
      <c r="C540" s="16" t="s">
        <v>203</v>
      </c>
      <c r="D540" s="16" t="s">
        <v>138</v>
      </c>
      <c r="E540" s="16" t="s">
        <v>169</v>
      </c>
      <c r="F540" s="16" t="s">
        <v>140</v>
      </c>
      <c r="G540" s="15">
        <v>46202</v>
      </c>
      <c r="H540" s="15">
        <v>46219</v>
      </c>
      <c r="I540" s="15">
        <v>46221</v>
      </c>
      <c r="J540" s="15" t="s">
        <v>150</v>
      </c>
      <c r="K540" s="16" t="s">
        <v>203</v>
      </c>
      <c r="L540" t="s">
        <v>199</v>
      </c>
      <c r="M540" s="16" t="s">
        <v>152</v>
      </c>
      <c r="N540" s="16" t="s">
        <v>153</v>
      </c>
      <c r="O540" t="s">
        <v>1614</v>
      </c>
      <c r="P540" s="18">
        <v>3088</v>
      </c>
      <c r="Q540" s="21">
        <v>17</v>
      </c>
      <c r="R540" s="21" t="str">
        <f t="shared" si="168"/>
        <v>15-30 days</v>
      </c>
      <c r="S540" s="16" t="s">
        <v>159</v>
      </c>
      <c r="T540" s="16" t="s">
        <v>200</v>
      </c>
      <c r="U540" s="16" t="s">
        <v>155</v>
      </c>
      <c r="V540" t="str">
        <f>IF(U540="","",IFERROR(VLOOKUP(U540,Hotels!A:B,2,FALSE),"Not Found"))</f>
        <v>Hilton</v>
      </c>
      <c r="W540" s="14">
        <v>150</v>
      </c>
      <c r="X540" s="14">
        <v>0</v>
      </c>
      <c r="Y540" s="21">
        <v>1</v>
      </c>
      <c r="Z540" s="29">
        <f t="shared" si="169"/>
        <v>232.54</v>
      </c>
      <c r="AA540" s="14">
        <v>232.54</v>
      </c>
      <c r="AB540" s="14">
        <v>98.27</v>
      </c>
      <c r="AC540" s="14">
        <v>480.81</v>
      </c>
      <c r="AD540" s="16" t="s">
        <v>148</v>
      </c>
      <c r="AE540" s="16" t="s">
        <v>147</v>
      </c>
      <c r="AF540" s="14">
        <f>SUMIF('Trip Changes'!$B:$B,A540,'Trip Changes'!$E:$E)</f>
        <v>49.62</v>
      </c>
      <c r="AG540" s="23">
        <f>SUMIF('Trip Cancellations'!$B:$B,A540,'Trip Cancellations'!$E:$E)</f>
        <v>0</v>
      </c>
      <c r="AH540" s="14">
        <f>SUMIF('Trip Cancellations'!$B:$B,A540,'Trip Cancellations'!$F:$F)</f>
        <v>0</v>
      </c>
      <c r="AI540" s="14">
        <f t="shared" si="170"/>
        <v>530.42999999999995</v>
      </c>
      <c r="AJ540" s="14" t="str">
        <f t="shared" si="171"/>
        <v>No</v>
      </c>
      <c r="AK540" s="14" t="str">
        <f>IF(Y540=0,"N/A",
IF(_xlfn.XLOOKUP(U540,Hotels!A:A,Hotels!C:C)=TRUE,"Yes","No"))</f>
        <v>Yes</v>
      </c>
      <c r="AL540" s="14" t="str">
        <f>IF(N540="Rail","N/A",IF(_xlfn.XLOOKUP(T540,Airlines!A:A,Airlines!C:C)=TRUE,"Yes","No"))</f>
        <v>Yes</v>
      </c>
      <c r="AM540" s="14" t="str">
        <f t="shared" si="172"/>
        <v>Yes</v>
      </c>
      <c r="AN540" s="14" t="str">
        <f t="shared" si="173"/>
        <v>Yes</v>
      </c>
      <c r="AO540" s="14" t="str">
        <f t="shared" si="174"/>
        <v>Yes</v>
      </c>
      <c r="AP540" s="16" t="s">
        <v>148</v>
      </c>
      <c r="AQ540" t="str">
        <f t="shared" si="175"/>
        <v>No</v>
      </c>
      <c r="AR540" s="21">
        <v>5</v>
      </c>
      <c r="AS540" s="5">
        <v>463.2</v>
      </c>
      <c r="AT540" s="5" t="str">
        <f>IF(T540="","",_xlfn.XLOOKUP(T540,Airlines!A:A,Airlines!B:B,"Not Found"))</f>
        <v>Aer Lingus</v>
      </c>
      <c r="AU540" s="5" t="str">
        <f>IF(U540="","",_xlfn.XLOOKUP(U540,Hotels!A:A,Hotels!B:B,"Not found"))</f>
        <v>Hilton</v>
      </c>
      <c r="AV540" t="s">
        <v>147</v>
      </c>
      <c r="AW540" s="16" t="str">
        <f t="shared" si="176"/>
        <v>OK</v>
      </c>
      <c r="AX540" s="16" t="str">
        <f t="shared" si="177"/>
        <v>OK</v>
      </c>
      <c r="AY540" s="16" t="str">
        <f t="shared" si="178"/>
        <v>OK</v>
      </c>
      <c r="AZ540" s="16" t="str">
        <f t="shared" si="179"/>
        <v>OK</v>
      </c>
      <c r="BA540" s="16" t="str">
        <f t="shared" si="183"/>
        <v>OK</v>
      </c>
      <c r="BB540" s="21">
        <f>COUNTIF('Trip Changes'!B:B,A540)</f>
        <v>1</v>
      </c>
      <c r="BC540" s="16" t="str">
        <f>IF(OR(AND(AD540="Yes",COUNTIF('Trip Changes'!B:B,A540)&gt;0),AND(AD540="No",COUNTIF('Trip Changes'!B:B,A540)=0)),"OK","Check")</f>
        <v>OK</v>
      </c>
      <c r="BD540" t="str">
        <f t="shared" si="184"/>
        <v>OK</v>
      </c>
      <c r="BE540" t="str">
        <f t="shared" si="185"/>
        <v>OK</v>
      </c>
      <c r="BF540" t="str">
        <f t="shared" si="186"/>
        <v>OK</v>
      </c>
      <c r="BG540" t="str">
        <f t="shared" si="187"/>
        <v>OK</v>
      </c>
      <c r="BH540" t="str">
        <f t="shared" si="188"/>
        <v>OK</v>
      </c>
      <c r="BI540" t="str">
        <f t="shared" si="180"/>
        <v>OK</v>
      </c>
      <c r="BJ540" t="str">
        <f t="shared" si="181"/>
        <v>OK</v>
      </c>
      <c r="BK540" t="str">
        <f t="shared" si="182"/>
        <v>OK</v>
      </c>
    </row>
    <row r="541" spans="1:63">
      <c r="A541" s="16" t="s">
        <v>903</v>
      </c>
      <c r="B541" s="16" t="s">
        <v>901</v>
      </c>
      <c r="C541" s="16" t="s">
        <v>203</v>
      </c>
      <c r="D541" s="16" t="s">
        <v>138</v>
      </c>
      <c r="E541" s="16" t="s">
        <v>169</v>
      </c>
      <c r="F541" s="16" t="s">
        <v>162</v>
      </c>
      <c r="G541" s="15">
        <v>46140</v>
      </c>
      <c r="H541" s="15">
        <v>46150</v>
      </c>
      <c r="I541" s="15">
        <v>46151</v>
      </c>
      <c r="J541" s="15" t="s">
        <v>163</v>
      </c>
      <c r="K541" s="16" t="s">
        <v>203</v>
      </c>
      <c r="L541" t="s">
        <v>142</v>
      </c>
      <c r="M541" s="16" t="s">
        <v>143</v>
      </c>
      <c r="N541" s="16" t="s">
        <v>144</v>
      </c>
      <c r="O541" t="s">
        <v>1630</v>
      </c>
      <c r="P541" s="18">
        <v>718</v>
      </c>
      <c r="Q541" s="21">
        <v>10</v>
      </c>
      <c r="R541" s="21" t="str">
        <f t="shared" si="168"/>
        <v>8-14 days</v>
      </c>
      <c r="S541" s="16" t="s">
        <v>145</v>
      </c>
      <c r="V541" t="str">
        <f>IF(U541="","",IFERROR(VLOOKUP(U541,Hotels!A:B,2,FALSE),"Not Found"))</f>
        <v/>
      </c>
      <c r="W541" s="14">
        <v>0</v>
      </c>
      <c r="X541" s="14">
        <v>199.24</v>
      </c>
      <c r="Y541" s="21">
        <v>0</v>
      </c>
      <c r="Z541" s="29">
        <f t="shared" si="169"/>
        <v>0</v>
      </c>
      <c r="AA541" s="14">
        <v>0</v>
      </c>
      <c r="AB541" s="14">
        <v>61.72</v>
      </c>
      <c r="AC541" s="14">
        <v>260.95999999999998</v>
      </c>
      <c r="AD541" s="16" t="s">
        <v>147</v>
      </c>
      <c r="AE541" s="16" t="s">
        <v>147</v>
      </c>
      <c r="AF541" s="14">
        <f>SUMIF('Trip Changes'!$B:$B,A541,'Trip Changes'!$E:$E)</f>
        <v>0</v>
      </c>
      <c r="AG541" s="23">
        <f>SUMIF('Trip Cancellations'!$B:$B,A541,'Trip Cancellations'!$E:$E)</f>
        <v>0</v>
      </c>
      <c r="AH541" s="14">
        <f>SUMIF('Trip Cancellations'!$B:$B,A541,'Trip Cancellations'!$F:$F)</f>
        <v>0</v>
      </c>
      <c r="AI541" s="14">
        <f t="shared" si="170"/>
        <v>260.95999999999998</v>
      </c>
      <c r="AJ541" s="14" t="str">
        <f t="shared" si="171"/>
        <v>N/A</v>
      </c>
      <c r="AK541" s="14" t="str">
        <f>IF(Y541=0,"N/A",
IF(_xlfn.XLOOKUP(U541,Hotels!A:A,Hotels!C:C)=TRUE,"Yes","No"))</f>
        <v>N/A</v>
      </c>
      <c r="AL541" s="14" t="str">
        <f>IF(N541="Rail","N/A",IF(_xlfn.XLOOKUP(T541,Airlines!A:A,Airlines!C:C)=TRUE,"Yes","No"))</f>
        <v>N/A</v>
      </c>
      <c r="AM541" s="14" t="str">
        <f t="shared" si="172"/>
        <v>Yes</v>
      </c>
      <c r="AN541" s="14" t="str">
        <f t="shared" si="173"/>
        <v>Yes</v>
      </c>
      <c r="AO541" s="14" t="str">
        <f t="shared" si="174"/>
        <v>Yes</v>
      </c>
      <c r="AP541" s="16" t="s">
        <v>148</v>
      </c>
      <c r="AQ541" t="str">
        <f t="shared" si="175"/>
        <v>Yes</v>
      </c>
      <c r="AR541" s="21">
        <v>4</v>
      </c>
      <c r="AS541" s="5">
        <v>28.7</v>
      </c>
      <c r="AT541" s="5" t="str">
        <f>IF(T541="","",_xlfn.XLOOKUP(T541,Airlines!A:A,Airlines!B:B,"Not Found"))</f>
        <v/>
      </c>
      <c r="AU541" s="5" t="str">
        <f>IF(U541="","",_xlfn.XLOOKUP(U541,Hotels!A:A,Hotels!B:B,"Not found"))</f>
        <v/>
      </c>
      <c r="AV541" t="s">
        <v>148</v>
      </c>
      <c r="AW541" s="16" t="str">
        <f t="shared" si="176"/>
        <v>OK</v>
      </c>
      <c r="AX541" s="16" t="str">
        <f t="shared" si="177"/>
        <v>OK</v>
      </c>
      <c r="AY541" s="16" t="str">
        <f t="shared" si="178"/>
        <v>OK</v>
      </c>
      <c r="AZ541" s="16" t="str">
        <f t="shared" si="179"/>
        <v>OK</v>
      </c>
      <c r="BA541" s="16" t="str">
        <f t="shared" si="183"/>
        <v>OK</v>
      </c>
      <c r="BB541" s="21">
        <f>COUNTIF('Trip Changes'!B:B,A541)</f>
        <v>0</v>
      </c>
      <c r="BC541" s="16" t="str">
        <f>IF(OR(AND(AD541="Yes",COUNTIF('Trip Changes'!B:B,A541)&gt;0),AND(AD541="No",COUNTIF('Trip Changes'!B:B,A541)=0)),"OK","Check")</f>
        <v>OK</v>
      </c>
      <c r="BD541" t="str">
        <f t="shared" si="184"/>
        <v>OK</v>
      </c>
      <c r="BE541" t="str">
        <f t="shared" si="185"/>
        <v>OK</v>
      </c>
      <c r="BF541" t="str">
        <f t="shared" si="186"/>
        <v>OK</v>
      </c>
      <c r="BG541" t="str">
        <f t="shared" si="187"/>
        <v>OK</v>
      </c>
      <c r="BH541" t="str">
        <f t="shared" si="188"/>
        <v>OK</v>
      </c>
      <c r="BI541" t="str">
        <f t="shared" si="180"/>
        <v>OK</v>
      </c>
      <c r="BJ541" t="str">
        <f t="shared" si="181"/>
        <v>OK</v>
      </c>
      <c r="BK541" t="str">
        <f t="shared" si="182"/>
        <v>OK</v>
      </c>
    </row>
    <row r="542" spans="1:63">
      <c r="A542" s="16" t="s">
        <v>904</v>
      </c>
      <c r="B542" s="16" t="s">
        <v>901</v>
      </c>
      <c r="C542" s="16" t="s">
        <v>203</v>
      </c>
      <c r="D542" s="16" t="s">
        <v>138</v>
      </c>
      <c r="E542" s="16" t="s">
        <v>169</v>
      </c>
      <c r="F542" s="16" t="s">
        <v>162</v>
      </c>
      <c r="G542" s="15">
        <v>46221</v>
      </c>
      <c r="H542" s="15">
        <v>46222</v>
      </c>
      <c r="I542" s="15">
        <v>46230</v>
      </c>
      <c r="J542" s="15" t="s">
        <v>150</v>
      </c>
      <c r="K542" s="16" t="s">
        <v>203</v>
      </c>
      <c r="L542" t="s">
        <v>197</v>
      </c>
      <c r="M542" s="16" t="s">
        <v>152</v>
      </c>
      <c r="N542" s="16" t="s">
        <v>153</v>
      </c>
      <c r="O542" t="s">
        <v>1614</v>
      </c>
      <c r="P542" s="18">
        <v>12758</v>
      </c>
      <c r="Q542" s="21">
        <v>1</v>
      </c>
      <c r="R542" s="21" t="str">
        <f t="shared" si="168"/>
        <v>0-3 days</v>
      </c>
      <c r="S542" s="16" t="s">
        <v>159</v>
      </c>
      <c r="T542" s="16" t="s">
        <v>278</v>
      </c>
      <c r="U542" s="16" t="s">
        <v>155</v>
      </c>
      <c r="V542" t="str">
        <f>IF(U542="","",IFERROR(VLOOKUP(U542,Hotels!A:B,2,FALSE),"Not Found"))</f>
        <v>Hilton</v>
      </c>
      <c r="W542" s="14">
        <v>998.65</v>
      </c>
      <c r="X542" s="14">
        <v>0</v>
      </c>
      <c r="Y542" s="21">
        <v>7</v>
      </c>
      <c r="Z542" s="29">
        <f t="shared" si="169"/>
        <v>188.23714285714286</v>
      </c>
      <c r="AA542" s="14">
        <v>1317.66</v>
      </c>
      <c r="AB542" s="14">
        <v>42.38</v>
      </c>
      <c r="AC542" s="14">
        <v>2358.69</v>
      </c>
      <c r="AD542" s="16" t="s">
        <v>147</v>
      </c>
      <c r="AE542" s="16" t="s">
        <v>147</v>
      </c>
      <c r="AF542" s="14">
        <f>SUMIF('Trip Changes'!$B:$B,A542,'Trip Changes'!$E:$E)</f>
        <v>0</v>
      </c>
      <c r="AG542" s="23">
        <f>SUMIF('Trip Cancellations'!$B:$B,A542,'Trip Cancellations'!$E:$E)</f>
        <v>0</v>
      </c>
      <c r="AH542" s="14">
        <f>SUMIF('Trip Cancellations'!$B:$B,A542,'Trip Cancellations'!$F:$F)</f>
        <v>0</v>
      </c>
      <c r="AI542" s="14">
        <f t="shared" si="170"/>
        <v>2358.69</v>
      </c>
      <c r="AJ542" s="14" t="str">
        <f t="shared" si="171"/>
        <v>Yes</v>
      </c>
      <c r="AK542" s="14" t="str">
        <f>IF(Y542=0,"N/A",
IF(_xlfn.XLOOKUP(U542,Hotels!A:A,Hotels!C:C)=TRUE,"Yes","No"))</f>
        <v>Yes</v>
      </c>
      <c r="AL542" s="14" t="str">
        <f>IF(N542="Rail","N/A",IF(_xlfn.XLOOKUP(T542,Airlines!A:A,Airlines!C:C)=TRUE,"Yes","No"))</f>
        <v>No</v>
      </c>
      <c r="AM542" s="14" t="str">
        <f t="shared" si="172"/>
        <v>Yes</v>
      </c>
      <c r="AN542" s="14" t="str">
        <f t="shared" si="173"/>
        <v>Yes</v>
      </c>
      <c r="AO542" s="14" t="str">
        <f t="shared" si="174"/>
        <v>No</v>
      </c>
      <c r="AP542" s="16" t="s">
        <v>147</v>
      </c>
      <c r="AQ542" t="str">
        <f t="shared" si="175"/>
        <v>No</v>
      </c>
      <c r="AR542" s="21">
        <v>4</v>
      </c>
      <c r="AS542" s="5">
        <v>1913.7</v>
      </c>
      <c r="AT542" s="5" t="str">
        <f>IF(T542="","",_xlfn.XLOOKUP(T542,Airlines!A:A,Airlines!B:B,"Not Found"))</f>
        <v>United Airlines</v>
      </c>
      <c r="AU542" s="5" t="str">
        <f>IF(U542="","",_xlfn.XLOOKUP(U542,Hotels!A:A,Hotels!B:B,"Not found"))</f>
        <v>Hilton</v>
      </c>
      <c r="AV542" t="s">
        <v>147</v>
      </c>
      <c r="AW542" s="16" t="str">
        <f t="shared" si="176"/>
        <v>OK</v>
      </c>
      <c r="AX542" s="16" t="str">
        <f t="shared" si="177"/>
        <v>OK</v>
      </c>
      <c r="AY542" s="16" t="str">
        <f t="shared" si="178"/>
        <v>OK</v>
      </c>
      <c r="AZ542" s="16" t="str">
        <f t="shared" si="179"/>
        <v>OK</v>
      </c>
      <c r="BA542" s="16" t="str">
        <f t="shared" si="183"/>
        <v>OK</v>
      </c>
      <c r="BB542" s="21">
        <f>COUNTIF('Trip Changes'!B:B,A542)</f>
        <v>0</v>
      </c>
      <c r="BC542" s="16" t="str">
        <f>IF(OR(AND(AD542="Yes",COUNTIF('Trip Changes'!B:B,A542)&gt;0),AND(AD542="No",COUNTIF('Trip Changes'!B:B,A542)=0)),"OK","Check")</f>
        <v>OK</v>
      </c>
      <c r="BD542" t="str">
        <f t="shared" si="184"/>
        <v>OK</v>
      </c>
      <c r="BE542" t="str">
        <f t="shared" si="185"/>
        <v>OK</v>
      </c>
      <c r="BF542" t="str">
        <f t="shared" si="186"/>
        <v>OK</v>
      </c>
      <c r="BG542" t="str">
        <f t="shared" si="187"/>
        <v>OK</v>
      </c>
      <c r="BH542" t="str">
        <f t="shared" si="188"/>
        <v>OK</v>
      </c>
      <c r="BI542" t="str">
        <f t="shared" si="180"/>
        <v>OK</v>
      </c>
      <c r="BJ542" t="str">
        <f t="shared" si="181"/>
        <v>OK</v>
      </c>
      <c r="BK542" t="str">
        <f t="shared" si="182"/>
        <v>OK</v>
      </c>
    </row>
    <row r="543" spans="1:63">
      <c r="A543" s="16" t="s">
        <v>905</v>
      </c>
      <c r="B543" s="16" t="s">
        <v>906</v>
      </c>
      <c r="C543" s="16" t="s">
        <v>307</v>
      </c>
      <c r="D543" s="16" t="s">
        <v>230</v>
      </c>
      <c r="E543" s="16" t="s">
        <v>169</v>
      </c>
      <c r="F543" s="16" t="s">
        <v>140</v>
      </c>
      <c r="G543" s="15">
        <v>46189</v>
      </c>
      <c r="H543" s="15">
        <v>46209</v>
      </c>
      <c r="I543" s="15">
        <v>46213</v>
      </c>
      <c r="J543" s="15" t="s">
        <v>150</v>
      </c>
      <c r="K543" s="16" t="s">
        <v>307</v>
      </c>
      <c r="L543" t="s">
        <v>225</v>
      </c>
      <c r="M543" s="16" t="s">
        <v>152</v>
      </c>
      <c r="N543" s="16" t="s">
        <v>153</v>
      </c>
      <c r="O543" t="s">
        <v>1614</v>
      </c>
      <c r="P543" s="18">
        <v>1406</v>
      </c>
      <c r="Q543" s="21">
        <v>20</v>
      </c>
      <c r="R543" s="21" t="str">
        <f t="shared" si="168"/>
        <v>15-30 days</v>
      </c>
      <c r="S543" s="16" t="s">
        <v>145</v>
      </c>
      <c r="T543" s="16" t="s">
        <v>236</v>
      </c>
      <c r="U543" s="16" t="s">
        <v>190</v>
      </c>
      <c r="V543" t="str">
        <f>IF(U543="","",IFERROR(VLOOKUP(U543,Hotels!A:B,2,FALSE),"Not Found"))</f>
        <v>Radisson Hotel Group</v>
      </c>
      <c r="W543" s="14">
        <v>152.5</v>
      </c>
      <c r="X543" s="14">
        <v>0</v>
      </c>
      <c r="Y543" s="21">
        <v>3</v>
      </c>
      <c r="Z543" s="29">
        <f t="shared" si="169"/>
        <v>167.17666666666665</v>
      </c>
      <c r="AA543" s="14">
        <v>501.53</v>
      </c>
      <c r="AB543" s="14">
        <v>93.11</v>
      </c>
      <c r="AC543" s="14">
        <v>747.14</v>
      </c>
      <c r="AD543" s="16" t="s">
        <v>147</v>
      </c>
      <c r="AE543" s="16" t="s">
        <v>147</v>
      </c>
      <c r="AF543" s="14">
        <f>SUMIF('Trip Changes'!$B:$B,A543,'Trip Changes'!$E:$E)</f>
        <v>0</v>
      </c>
      <c r="AG543" s="23">
        <f>SUMIF('Trip Cancellations'!$B:$B,A543,'Trip Cancellations'!$E:$E)</f>
        <v>0</v>
      </c>
      <c r="AH543" s="14">
        <f>SUMIF('Trip Cancellations'!$B:$B,A543,'Trip Cancellations'!$F:$F)</f>
        <v>0</v>
      </c>
      <c r="AI543" s="14">
        <f t="shared" si="170"/>
        <v>747.14</v>
      </c>
      <c r="AJ543" s="14" t="str">
        <f t="shared" si="171"/>
        <v>Yes</v>
      </c>
      <c r="AK543" s="14" t="str">
        <f>IF(Y543=0,"N/A",
IF(_xlfn.XLOOKUP(U543,Hotels!A:A,Hotels!C:C)=TRUE,"Yes","No"))</f>
        <v>No</v>
      </c>
      <c r="AL543" s="14" t="str">
        <f>IF(N543="Rail","N/A",IF(_xlfn.XLOOKUP(T543,Airlines!A:A,Airlines!C:C)=TRUE,"Yes","No"))</f>
        <v>Yes</v>
      </c>
      <c r="AM543" s="14" t="str">
        <f t="shared" si="172"/>
        <v>Yes</v>
      </c>
      <c r="AN543" s="14" t="str">
        <f t="shared" si="173"/>
        <v>Yes</v>
      </c>
      <c r="AO543" s="14" t="str">
        <f t="shared" si="174"/>
        <v>No</v>
      </c>
      <c r="AP543" s="16" t="s">
        <v>148</v>
      </c>
      <c r="AQ543" t="str">
        <f t="shared" si="175"/>
        <v>No</v>
      </c>
      <c r="AR543" s="21">
        <v>5</v>
      </c>
      <c r="AS543" s="5">
        <v>210.9</v>
      </c>
      <c r="AT543" s="5" t="str">
        <f>IF(T543="","",_xlfn.XLOOKUP(T543,Airlines!A:A,Airlines!B:B,"Not Found"))</f>
        <v>KLM</v>
      </c>
      <c r="AU543" s="5" t="str">
        <f>IF(U543="","",_xlfn.XLOOKUP(U543,Hotels!A:A,Hotels!B:B,"Not found"))</f>
        <v>Radisson Hotel Group</v>
      </c>
      <c r="AV543" t="s">
        <v>148</v>
      </c>
      <c r="AW543" s="16" t="str">
        <f t="shared" si="176"/>
        <v>OK</v>
      </c>
      <c r="AX543" s="16" t="str">
        <f t="shared" si="177"/>
        <v>OK</v>
      </c>
      <c r="AY543" s="16" t="str">
        <f t="shared" si="178"/>
        <v>OK</v>
      </c>
      <c r="AZ543" s="16" t="str">
        <f t="shared" si="179"/>
        <v>OK</v>
      </c>
      <c r="BA543" s="16" t="str">
        <f t="shared" si="183"/>
        <v>OK</v>
      </c>
      <c r="BB543" s="21">
        <f>COUNTIF('Trip Changes'!B:B,A543)</f>
        <v>0</v>
      </c>
      <c r="BC543" s="16" t="str">
        <f>IF(OR(AND(AD543="Yes",COUNTIF('Trip Changes'!B:B,A543)&gt;0),AND(AD543="No",COUNTIF('Trip Changes'!B:B,A543)=0)),"OK","Check")</f>
        <v>OK</v>
      </c>
      <c r="BD543" t="str">
        <f t="shared" si="184"/>
        <v>OK</v>
      </c>
      <c r="BE543" t="str">
        <f t="shared" si="185"/>
        <v>OK</v>
      </c>
      <c r="BF543" t="str">
        <f t="shared" si="186"/>
        <v>OK</v>
      </c>
      <c r="BG543" t="str">
        <f t="shared" si="187"/>
        <v>OK</v>
      </c>
      <c r="BH543" t="str">
        <f t="shared" si="188"/>
        <v>OK</v>
      </c>
      <c r="BI543" t="str">
        <f t="shared" si="180"/>
        <v>OK</v>
      </c>
      <c r="BJ543" t="str">
        <f t="shared" si="181"/>
        <v>OK</v>
      </c>
      <c r="BK543" t="str">
        <f t="shared" si="182"/>
        <v>OK</v>
      </c>
    </row>
    <row r="544" spans="1:63">
      <c r="A544" s="16" t="s">
        <v>907</v>
      </c>
      <c r="B544" s="16" t="s">
        <v>906</v>
      </c>
      <c r="C544" s="16" t="s">
        <v>307</v>
      </c>
      <c r="D544" s="16" t="s">
        <v>230</v>
      </c>
      <c r="E544" s="16" t="s">
        <v>169</v>
      </c>
      <c r="F544" s="16" t="s">
        <v>162</v>
      </c>
      <c r="G544" s="15">
        <v>46179</v>
      </c>
      <c r="H544" s="15">
        <v>46180</v>
      </c>
      <c r="I544" s="15">
        <v>46183</v>
      </c>
      <c r="J544" s="15" t="s">
        <v>141</v>
      </c>
      <c r="K544" s="16" t="s">
        <v>307</v>
      </c>
      <c r="L544" t="s">
        <v>171</v>
      </c>
      <c r="M544" s="16" t="s">
        <v>152</v>
      </c>
      <c r="N544" s="16" t="s">
        <v>153</v>
      </c>
      <c r="O544" t="s">
        <v>1614</v>
      </c>
      <c r="P544" s="18">
        <v>3410</v>
      </c>
      <c r="Q544" s="21">
        <v>1</v>
      </c>
      <c r="R544" s="21" t="str">
        <f t="shared" si="168"/>
        <v>0-3 days</v>
      </c>
      <c r="S544" s="16" t="s">
        <v>159</v>
      </c>
      <c r="T544" s="16" t="s">
        <v>172</v>
      </c>
      <c r="U544" s="16" t="s">
        <v>173</v>
      </c>
      <c r="V544" t="str">
        <f>IF(U544="","",IFERROR(VLOOKUP(U544,Hotels!A:B,2,FALSE),"Not Found"))</f>
        <v>Accor</v>
      </c>
      <c r="W544" s="14">
        <v>316.76</v>
      </c>
      <c r="X544" s="14">
        <v>0</v>
      </c>
      <c r="Y544" s="21">
        <v>2</v>
      </c>
      <c r="Z544" s="29">
        <f t="shared" si="169"/>
        <v>136</v>
      </c>
      <c r="AA544" s="14">
        <v>272</v>
      </c>
      <c r="AB544" s="14">
        <v>108.2</v>
      </c>
      <c r="AC544" s="14">
        <v>696.96</v>
      </c>
      <c r="AD544" s="16" t="s">
        <v>148</v>
      </c>
      <c r="AE544" s="16" t="s">
        <v>147</v>
      </c>
      <c r="AF544" s="14">
        <f>SUMIF('Trip Changes'!$B:$B,A544,'Trip Changes'!$E:$E)</f>
        <v>285.62</v>
      </c>
      <c r="AG544" s="23">
        <f>SUMIF('Trip Cancellations'!$B:$B,A544,'Trip Cancellations'!$E:$E)</f>
        <v>0</v>
      </c>
      <c r="AH544" s="14">
        <f>SUMIF('Trip Cancellations'!$B:$B,A544,'Trip Cancellations'!$F:$F)</f>
        <v>0</v>
      </c>
      <c r="AI544" s="14">
        <f t="shared" si="170"/>
        <v>982.58</v>
      </c>
      <c r="AJ544" s="14" t="str">
        <f t="shared" si="171"/>
        <v>Yes</v>
      </c>
      <c r="AK544" s="14" t="str">
        <f>IF(Y544=0,"N/A",
IF(_xlfn.XLOOKUP(U544,Hotels!A:A,Hotels!C:C)=TRUE,"Yes","No"))</f>
        <v>Yes</v>
      </c>
      <c r="AL544" s="14" t="str">
        <f>IF(N544="Rail","N/A",IF(_xlfn.XLOOKUP(T544,Airlines!A:A,Airlines!C:C)=TRUE,"Yes","No"))</f>
        <v>Yes</v>
      </c>
      <c r="AM544" s="14" t="str">
        <f t="shared" si="172"/>
        <v>Yes</v>
      </c>
      <c r="AN544" s="14" t="str">
        <f t="shared" si="173"/>
        <v>Yes</v>
      </c>
      <c r="AO544" s="14" t="str">
        <f t="shared" si="174"/>
        <v>Yes</v>
      </c>
      <c r="AP544" s="16" t="s">
        <v>147</v>
      </c>
      <c r="AQ544" t="str">
        <f t="shared" si="175"/>
        <v>Yes</v>
      </c>
      <c r="AR544" s="21">
        <v>3</v>
      </c>
      <c r="AS544" s="5">
        <v>511.5</v>
      </c>
      <c r="AT544" s="5" t="str">
        <f>IF(T544="","",_xlfn.XLOOKUP(T544,Airlines!A:A,Airlines!B:B,"Not Found"))</f>
        <v>Lufthansa</v>
      </c>
      <c r="AU544" s="5" t="str">
        <f>IF(U544="","",_xlfn.XLOOKUP(U544,Hotels!A:A,Hotels!B:B,"Not found"))</f>
        <v>Accor</v>
      </c>
      <c r="AV544" t="s">
        <v>147</v>
      </c>
      <c r="AW544" s="16" t="str">
        <f t="shared" si="176"/>
        <v>OK</v>
      </c>
      <c r="AX544" s="16" t="str">
        <f t="shared" si="177"/>
        <v>OK</v>
      </c>
      <c r="AY544" s="16" t="str">
        <f t="shared" si="178"/>
        <v>OK</v>
      </c>
      <c r="AZ544" s="16" t="str">
        <f t="shared" si="179"/>
        <v>OK</v>
      </c>
      <c r="BA544" s="16" t="str">
        <f t="shared" si="183"/>
        <v>OK</v>
      </c>
      <c r="BB544" s="21">
        <f>COUNTIF('Trip Changes'!B:B,A544)</f>
        <v>2</v>
      </c>
      <c r="BC544" s="16" t="str">
        <f>IF(OR(AND(AD544="Yes",COUNTIF('Trip Changes'!B:B,A544)&gt;0),AND(AD544="No",COUNTIF('Trip Changes'!B:B,A544)=0)),"OK","Check")</f>
        <v>OK</v>
      </c>
      <c r="BD544" t="str">
        <f t="shared" si="184"/>
        <v>OK</v>
      </c>
      <c r="BE544" t="str">
        <f t="shared" si="185"/>
        <v>OK</v>
      </c>
      <c r="BF544" t="str">
        <f t="shared" si="186"/>
        <v>OK</v>
      </c>
      <c r="BG544" t="str">
        <f t="shared" si="187"/>
        <v>OK</v>
      </c>
      <c r="BH544" t="str">
        <f t="shared" si="188"/>
        <v>OK</v>
      </c>
      <c r="BI544" t="str">
        <f t="shared" si="180"/>
        <v>OK</v>
      </c>
      <c r="BJ544" t="str">
        <f t="shared" si="181"/>
        <v>OK</v>
      </c>
      <c r="BK544" t="str">
        <f t="shared" si="182"/>
        <v>OK</v>
      </c>
    </row>
    <row r="545" spans="1:63">
      <c r="A545" s="16" t="s">
        <v>908</v>
      </c>
      <c r="B545" s="16" t="s">
        <v>906</v>
      </c>
      <c r="C545" s="16" t="s">
        <v>307</v>
      </c>
      <c r="D545" s="16" t="s">
        <v>230</v>
      </c>
      <c r="E545" s="16" t="s">
        <v>169</v>
      </c>
      <c r="F545" s="16" t="s">
        <v>162</v>
      </c>
      <c r="G545" s="15">
        <v>46186</v>
      </c>
      <c r="H545" s="15">
        <v>46198</v>
      </c>
      <c r="I545" s="15">
        <v>46202</v>
      </c>
      <c r="J545" s="15" t="s">
        <v>141</v>
      </c>
      <c r="K545" s="16" t="s">
        <v>307</v>
      </c>
      <c r="L545" t="s">
        <v>185</v>
      </c>
      <c r="M545" s="16" t="s">
        <v>152</v>
      </c>
      <c r="N545" s="16" t="s">
        <v>153</v>
      </c>
      <c r="O545" t="s">
        <v>1614</v>
      </c>
      <c r="P545" s="18">
        <v>12008</v>
      </c>
      <c r="Q545" s="21">
        <v>12</v>
      </c>
      <c r="R545" s="21" t="str">
        <f t="shared" si="168"/>
        <v>8-14 days</v>
      </c>
      <c r="S545" s="16" t="s">
        <v>216</v>
      </c>
      <c r="T545" s="16" t="s">
        <v>186</v>
      </c>
      <c r="U545" s="16" t="s">
        <v>187</v>
      </c>
      <c r="V545" t="str">
        <f>IF(U545="","",IFERROR(VLOOKUP(U545,Hotels!A:B,2,FALSE),"Not Found"))</f>
        <v>IHG Hotels &amp; Resorts</v>
      </c>
      <c r="W545" s="14">
        <v>687.11</v>
      </c>
      <c r="X545" s="14">
        <v>0</v>
      </c>
      <c r="Y545" s="21">
        <v>3</v>
      </c>
      <c r="Z545" s="29">
        <f t="shared" si="169"/>
        <v>186.36333333333334</v>
      </c>
      <c r="AA545" s="14">
        <v>559.09</v>
      </c>
      <c r="AB545" s="14">
        <v>73.709999999999994</v>
      </c>
      <c r="AC545" s="14">
        <v>1319.91</v>
      </c>
      <c r="AD545" s="16" t="s">
        <v>147</v>
      </c>
      <c r="AE545" s="16" t="s">
        <v>147</v>
      </c>
      <c r="AF545" s="14">
        <f>SUMIF('Trip Changes'!$B:$B,A545,'Trip Changes'!$E:$E)</f>
        <v>0</v>
      </c>
      <c r="AG545" s="23">
        <f>SUMIF('Trip Cancellations'!$B:$B,A545,'Trip Cancellations'!$E:$E)</f>
        <v>0</v>
      </c>
      <c r="AH545" s="14">
        <f>SUMIF('Trip Cancellations'!$B:$B,A545,'Trip Cancellations'!$F:$F)</f>
        <v>0</v>
      </c>
      <c r="AI545" s="14">
        <f t="shared" si="170"/>
        <v>1319.91</v>
      </c>
      <c r="AJ545" s="14" t="str">
        <f t="shared" si="171"/>
        <v>Yes</v>
      </c>
      <c r="AK545" s="14" t="str">
        <f>IF(Y545=0,"N/A",
IF(_xlfn.XLOOKUP(U545,Hotels!A:A,Hotels!C:C)=TRUE,"Yes","No"))</f>
        <v>Yes</v>
      </c>
      <c r="AL545" s="14" t="str">
        <f>IF(N545="Rail","N/A",IF(_xlfn.XLOOKUP(T545,Airlines!A:A,Airlines!C:C)=TRUE,"Yes","No"))</f>
        <v>Yes</v>
      </c>
      <c r="AM545" s="14" t="str">
        <f t="shared" si="172"/>
        <v>Yes</v>
      </c>
      <c r="AN545" s="14" t="str">
        <f t="shared" si="173"/>
        <v>No</v>
      </c>
      <c r="AO545" s="14" t="str">
        <f t="shared" si="174"/>
        <v>Yes</v>
      </c>
      <c r="AP545" s="16" t="s">
        <v>147</v>
      </c>
      <c r="AQ545" t="str">
        <f t="shared" si="175"/>
        <v>No</v>
      </c>
      <c r="AR545" s="21">
        <v>4</v>
      </c>
      <c r="AS545" s="5">
        <v>1801.2</v>
      </c>
      <c r="AT545" s="5" t="str">
        <f>IF(T545="","",_xlfn.XLOOKUP(T545,Airlines!A:A,Airlines!B:B,"Not Found"))</f>
        <v>Virgin Atlantic</v>
      </c>
      <c r="AU545" s="5" t="str">
        <f>IF(U545="","",_xlfn.XLOOKUP(U545,Hotels!A:A,Hotels!B:B,"Not found"))</f>
        <v>IHG Hotels &amp; Resorts</v>
      </c>
      <c r="AV545" t="s">
        <v>147</v>
      </c>
      <c r="AW545" s="16" t="str">
        <f t="shared" si="176"/>
        <v>OK</v>
      </c>
      <c r="AX545" s="16" t="str">
        <f t="shared" si="177"/>
        <v>OK</v>
      </c>
      <c r="AY545" s="16" t="str">
        <f t="shared" si="178"/>
        <v>OK</v>
      </c>
      <c r="AZ545" s="16" t="str">
        <f t="shared" si="179"/>
        <v>OK</v>
      </c>
      <c r="BA545" s="16" t="str">
        <f t="shared" si="183"/>
        <v>OK</v>
      </c>
      <c r="BB545" s="21">
        <f>COUNTIF('Trip Changes'!B:B,A545)</f>
        <v>0</v>
      </c>
      <c r="BC545" s="16" t="str">
        <f>IF(OR(AND(AD545="Yes",COUNTIF('Trip Changes'!B:B,A545)&gt;0),AND(AD545="No",COUNTIF('Trip Changes'!B:B,A545)=0)),"OK","Check")</f>
        <v>OK</v>
      </c>
      <c r="BD545" t="str">
        <f t="shared" si="184"/>
        <v>OK</v>
      </c>
      <c r="BE545" t="str">
        <f t="shared" si="185"/>
        <v>OK</v>
      </c>
      <c r="BF545" t="str">
        <f t="shared" si="186"/>
        <v>OK</v>
      </c>
      <c r="BG545" t="str">
        <f t="shared" si="187"/>
        <v>OK</v>
      </c>
      <c r="BH545" t="str">
        <f t="shared" si="188"/>
        <v>OK</v>
      </c>
      <c r="BI545" t="str">
        <f t="shared" si="180"/>
        <v>OK</v>
      </c>
      <c r="BJ545" t="str">
        <f t="shared" si="181"/>
        <v>OK</v>
      </c>
      <c r="BK545" t="str">
        <f t="shared" si="182"/>
        <v>OK</v>
      </c>
    </row>
    <row r="546" spans="1:63">
      <c r="A546" s="16" t="s">
        <v>909</v>
      </c>
      <c r="B546" s="16" t="s">
        <v>910</v>
      </c>
      <c r="C546" s="16" t="s">
        <v>182</v>
      </c>
      <c r="D546" s="16" t="s">
        <v>168</v>
      </c>
      <c r="E546" s="16" t="s">
        <v>169</v>
      </c>
      <c r="F546" s="16" t="s">
        <v>140</v>
      </c>
      <c r="G546" s="15">
        <v>46176</v>
      </c>
      <c r="H546" s="15">
        <v>46189</v>
      </c>
      <c r="I546" s="15">
        <v>46191</v>
      </c>
      <c r="J546" s="15" t="s">
        <v>141</v>
      </c>
      <c r="K546" s="16" t="s">
        <v>182</v>
      </c>
      <c r="L546" t="s">
        <v>171</v>
      </c>
      <c r="M546" s="16" t="s">
        <v>152</v>
      </c>
      <c r="N546" s="16" t="s">
        <v>153</v>
      </c>
      <c r="O546" t="s">
        <v>1614</v>
      </c>
      <c r="P546" s="18">
        <v>1316</v>
      </c>
      <c r="Q546" s="21">
        <v>13</v>
      </c>
      <c r="R546" s="21" t="str">
        <f t="shared" si="168"/>
        <v>8-14 days</v>
      </c>
      <c r="S546" s="16" t="s">
        <v>145</v>
      </c>
      <c r="T546" s="16" t="s">
        <v>154</v>
      </c>
      <c r="U546" s="16" t="s">
        <v>155</v>
      </c>
      <c r="V546" t="str">
        <f>IF(U546="","",IFERROR(VLOOKUP(U546,Hotels!A:B,2,FALSE),"Not Found"))</f>
        <v>Hilton</v>
      </c>
      <c r="W546" s="14">
        <v>389.19</v>
      </c>
      <c r="X546" s="14">
        <v>0</v>
      </c>
      <c r="Y546" s="21">
        <v>1</v>
      </c>
      <c r="Z546" s="29">
        <f t="shared" si="169"/>
        <v>170.56</v>
      </c>
      <c r="AA546" s="14">
        <v>170.56</v>
      </c>
      <c r="AB546" s="14">
        <v>37.65</v>
      </c>
      <c r="AC546" s="14">
        <v>597.4</v>
      </c>
      <c r="AD546" s="16" t="s">
        <v>147</v>
      </c>
      <c r="AE546" s="16" t="s">
        <v>147</v>
      </c>
      <c r="AF546" s="14">
        <f>SUMIF('Trip Changes'!$B:$B,A546,'Trip Changes'!$E:$E)</f>
        <v>0</v>
      </c>
      <c r="AG546" s="23">
        <f>SUMIF('Trip Cancellations'!$B:$B,A546,'Trip Cancellations'!$E:$E)</f>
        <v>0</v>
      </c>
      <c r="AH546" s="14">
        <f>SUMIF('Trip Cancellations'!$B:$B,A546,'Trip Cancellations'!$F:$F)</f>
        <v>0</v>
      </c>
      <c r="AI546" s="14">
        <f t="shared" si="170"/>
        <v>597.4</v>
      </c>
      <c r="AJ546" s="14" t="str">
        <f t="shared" si="171"/>
        <v>Yes</v>
      </c>
      <c r="AK546" s="14" t="str">
        <f>IF(Y546=0,"N/A",
IF(_xlfn.XLOOKUP(U546,Hotels!A:A,Hotels!C:C)=TRUE,"Yes","No"))</f>
        <v>Yes</v>
      </c>
      <c r="AL546" s="14" t="str">
        <f>IF(N546="Rail","N/A",IF(_xlfn.XLOOKUP(T546,Airlines!A:A,Airlines!C:C)=TRUE,"Yes","No"))</f>
        <v>Yes</v>
      </c>
      <c r="AM546" s="14" t="str">
        <f t="shared" si="172"/>
        <v>Yes</v>
      </c>
      <c r="AN546" s="14" t="str">
        <f t="shared" si="173"/>
        <v>Yes</v>
      </c>
      <c r="AO546" s="14" t="str">
        <f t="shared" si="174"/>
        <v>Yes</v>
      </c>
      <c r="AP546" s="16" t="s">
        <v>148</v>
      </c>
      <c r="AQ546" t="str">
        <f t="shared" si="175"/>
        <v>Yes</v>
      </c>
      <c r="AR546" s="21">
        <v>4</v>
      </c>
      <c r="AS546" s="5">
        <v>197.4</v>
      </c>
      <c r="AT546" s="5" t="str">
        <f>IF(T546="","",_xlfn.XLOOKUP(T546,Airlines!A:A,Airlines!B:B,"Not Found"))</f>
        <v>British Airways</v>
      </c>
      <c r="AU546" s="5" t="str">
        <f>IF(U546="","",_xlfn.XLOOKUP(U546,Hotels!A:A,Hotels!B:B,"Not found"))</f>
        <v>Hilton</v>
      </c>
      <c r="AV546" t="s">
        <v>148</v>
      </c>
      <c r="AW546" s="16" t="str">
        <f t="shared" si="176"/>
        <v>OK</v>
      </c>
      <c r="AX546" s="16" t="str">
        <f t="shared" si="177"/>
        <v>OK</v>
      </c>
      <c r="AY546" s="16" t="str">
        <f t="shared" si="178"/>
        <v>OK</v>
      </c>
      <c r="AZ546" s="16" t="str">
        <f t="shared" si="179"/>
        <v>OK</v>
      </c>
      <c r="BA546" s="16" t="str">
        <f t="shared" si="183"/>
        <v>OK</v>
      </c>
      <c r="BB546" s="21">
        <f>COUNTIF('Trip Changes'!B:B,A546)</f>
        <v>0</v>
      </c>
      <c r="BC546" s="16" t="str">
        <f>IF(OR(AND(AD546="Yes",COUNTIF('Trip Changes'!B:B,A546)&gt;0),AND(AD546="No",COUNTIF('Trip Changes'!B:B,A546)=0)),"OK","Check")</f>
        <v>OK</v>
      </c>
      <c r="BD546" t="str">
        <f t="shared" si="184"/>
        <v>OK</v>
      </c>
      <c r="BE546" t="str">
        <f t="shared" si="185"/>
        <v>OK</v>
      </c>
      <c r="BF546" t="str">
        <f t="shared" si="186"/>
        <v>OK</v>
      </c>
      <c r="BG546" t="str">
        <f t="shared" si="187"/>
        <v>OK</v>
      </c>
      <c r="BH546" t="str">
        <f t="shared" si="188"/>
        <v>OK</v>
      </c>
      <c r="BI546" t="str">
        <f t="shared" si="180"/>
        <v>OK</v>
      </c>
      <c r="BJ546" t="str">
        <f t="shared" si="181"/>
        <v>OK</v>
      </c>
      <c r="BK546" t="str">
        <f t="shared" si="182"/>
        <v>OK</v>
      </c>
    </row>
    <row r="547" spans="1:63">
      <c r="A547" s="16" t="s">
        <v>911</v>
      </c>
      <c r="B547" s="16" t="s">
        <v>910</v>
      </c>
      <c r="C547" s="16" t="s">
        <v>182</v>
      </c>
      <c r="D547" s="16" t="s">
        <v>168</v>
      </c>
      <c r="E547" s="16" t="s">
        <v>169</v>
      </c>
      <c r="F547" s="16" t="s">
        <v>181</v>
      </c>
      <c r="G547" s="15">
        <v>46202</v>
      </c>
      <c r="H547" s="15">
        <v>46204</v>
      </c>
      <c r="I547" s="15">
        <v>46207</v>
      </c>
      <c r="J547" s="15" t="s">
        <v>150</v>
      </c>
      <c r="K547" s="16" t="s">
        <v>182</v>
      </c>
      <c r="L547" t="s">
        <v>182</v>
      </c>
      <c r="M547" s="16" t="s">
        <v>143</v>
      </c>
      <c r="N547" s="16" t="s">
        <v>153</v>
      </c>
      <c r="O547" t="s">
        <v>1614</v>
      </c>
      <c r="P547" s="18">
        <v>716</v>
      </c>
      <c r="Q547" s="21">
        <v>2</v>
      </c>
      <c r="R547" s="21" t="str">
        <f t="shared" si="168"/>
        <v>0-3 days</v>
      </c>
      <c r="S547" s="16" t="s">
        <v>145</v>
      </c>
      <c r="T547" s="16" t="s">
        <v>176</v>
      </c>
      <c r="U547" s="16" t="s">
        <v>146</v>
      </c>
      <c r="V547" t="str">
        <f>IF(U547="","",IFERROR(VLOOKUP(U547,Hotels!A:B,2,FALSE),"Not Found"))</f>
        <v>Premier Inn</v>
      </c>
      <c r="W547" s="14">
        <v>244.22</v>
      </c>
      <c r="X547" s="14">
        <v>0</v>
      </c>
      <c r="Y547" s="21">
        <v>2</v>
      </c>
      <c r="Z547" s="29">
        <f t="shared" si="169"/>
        <v>111.425</v>
      </c>
      <c r="AA547" s="14">
        <v>222.85</v>
      </c>
      <c r="AB547" s="14">
        <v>46.29</v>
      </c>
      <c r="AC547" s="14">
        <v>513.36</v>
      </c>
      <c r="AD547" s="16" t="s">
        <v>147</v>
      </c>
      <c r="AE547" s="16" t="s">
        <v>148</v>
      </c>
      <c r="AF547" s="14">
        <f>SUMIF('Trip Changes'!$B:$B,A547,'Trip Changes'!$E:$E)</f>
        <v>0</v>
      </c>
      <c r="AG547" s="23">
        <f>SUMIF('Trip Cancellations'!$B:$B,A547,'Trip Cancellations'!$E:$E)</f>
        <v>6.71</v>
      </c>
      <c r="AH547" s="14">
        <f>SUMIF('Trip Cancellations'!$B:$B,A547,'Trip Cancellations'!$F:$F)</f>
        <v>350.3</v>
      </c>
      <c r="AI547" s="14">
        <f t="shared" si="170"/>
        <v>169.77000000000004</v>
      </c>
      <c r="AJ547" s="14" t="str">
        <f t="shared" si="171"/>
        <v>Yes</v>
      </c>
      <c r="AK547" s="14" t="str">
        <f>IF(Y547=0,"N/A",
IF(_xlfn.XLOOKUP(U547,Hotels!A:A,Hotels!C:C)=TRUE,"Yes","No"))</f>
        <v>Yes</v>
      </c>
      <c r="AL547" s="14" t="str">
        <f>IF(N547="Rail","N/A",IF(_xlfn.XLOOKUP(T547,Airlines!A:A,Airlines!C:C)=TRUE,"Yes","No"))</f>
        <v>Yes</v>
      </c>
      <c r="AM547" s="14" t="str">
        <f t="shared" si="172"/>
        <v>Yes</v>
      </c>
      <c r="AN547" s="14" t="str">
        <f t="shared" si="173"/>
        <v>Yes</v>
      </c>
      <c r="AO547" s="14" t="str">
        <f t="shared" si="174"/>
        <v>Yes</v>
      </c>
      <c r="AP547" s="16" t="s">
        <v>148</v>
      </c>
      <c r="AQ547" t="str">
        <f t="shared" si="175"/>
        <v>Yes</v>
      </c>
      <c r="AR547" s="21">
        <v>4</v>
      </c>
      <c r="AS547" s="5">
        <v>107.4</v>
      </c>
      <c r="AT547" s="5" t="str">
        <f>IF(T547="","",_xlfn.XLOOKUP(T547,Airlines!A:A,Airlines!B:B,"Not Found"))</f>
        <v>easyJet</v>
      </c>
      <c r="AU547" s="5" t="str">
        <f>IF(U547="","",_xlfn.XLOOKUP(U547,Hotels!A:A,Hotels!B:B,"Not found"))</f>
        <v>Premier Inn</v>
      </c>
      <c r="AV547" t="s">
        <v>147</v>
      </c>
      <c r="AW547" s="16" t="str">
        <f t="shared" si="176"/>
        <v>OK</v>
      </c>
      <c r="AX547" s="16" t="str">
        <f t="shared" si="177"/>
        <v>OK</v>
      </c>
      <c r="AY547" s="16" t="str">
        <f t="shared" si="178"/>
        <v>OK</v>
      </c>
      <c r="AZ547" s="16" t="str">
        <f t="shared" si="179"/>
        <v>OK</v>
      </c>
      <c r="BA547" s="16" t="str">
        <f t="shared" si="183"/>
        <v>OK</v>
      </c>
      <c r="BB547" s="21">
        <f>COUNTIF('Trip Changes'!B:B,A547)</f>
        <v>0</v>
      </c>
      <c r="BC547" s="16" t="str">
        <f>IF(OR(AND(AD547="Yes",COUNTIF('Trip Changes'!B:B,A547)&gt;0),AND(AD547="No",COUNTIF('Trip Changes'!B:B,A547)=0)),"OK","Check")</f>
        <v>OK</v>
      </c>
      <c r="BD547" t="str">
        <f t="shared" si="184"/>
        <v>OK</v>
      </c>
      <c r="BE547" t="str">
        <f t="shared" si="185"/>
        <v>OK</v>
      </c>
      <c r="BF547" t="str">
        <f t="shared" si="186"/>
        <v>OK</v>
      </c>
      <c r="BG547" t="str">
        <f t="shared" si="187"/>
        <v>OK</v>
      </c>
      <c r="BH547" t="str">
        <f t="shared" si="188"/>
        <v>OK</v>
      </c>
      <c r="BI547" t="str">
        <f t="shared" si="180"/>
        <v>OK</v>
      </c>
      <c r="BJ547" t="str">
        <f t="shared" si="181"/>
        <v>OK</v>
      </c>
      <c r="BK547" t="str">
        <f t="shared" si="182"/>
        <v>OK</v>
      </c>
    </row>
    <row r="548" spans="1:63">
      <c r="A548" s="16" t="s">
        <v>912</v>
      </c>
      <c r="B548" s="16" t="s">
        <v>910</v>
      </c>
      <c r="C548" s="16" t="s">
        <v>182</v>
      </c>
      <c r="D548" s="16" t="s">
        <v>168</v>
      </c>
      <c r="E548" s="16" t="s">
        <v>169</v>
      </c>
      <c r="F548" s="16" t="s">
        <v>157</v>
      </c>
      <c r="G548" s="15">
        <v>46146</v>
      </c>
      <c r="H548" s="15">
        <v>46149</v>
      </c>
      <c r="I548" s="15">
        <v>46151</v>
      </c>
      <c r="J548" s="15" t="s">
        <v>163</v>
      </c>
      <c r="K548" s="16" t="s">
        <v>182</v>
      </c>
      <c r="L548" t="s">
        <v>307</v>
      </c>
      <c r="M548" s="16" t="s">
        <v>143</v>
      </c>
      <c r="N548" s="16" t="s">
        <v>144</v>
      </c>
      <c r="O548" t="s">
        <v>1630</v>
      </c>
      <c r="P548" s="18">
        <v>504</v>
      </c>
      <c r="Q548" s="21">
        <v>3</v>
      </c>
      <c r="R548" s="21" t="str">
        <f t="shared" si="168"/>
        <v>0-3 days</v>
      </c>
      <c r="S548" s="16" t="s">
        <v>145</v>
      </c>
      <c r="U548" s="16" t="s">
        <v>164</v>
      </c>
      <c r="V548" t="str">
        <f>IF(U548="","",IFERROR(VLOOKUP(U548,Hotels!A:B,2,FALSE),"Not Found"))</f>
        <v>Marriott</v>
      </c>
      <c r="W548" s="14">
        <v>0</v>
      </c>
      <c r="X548" s="14">
        <v>241.44</v>
      </c>
      <c r="Y548" s="21">
        <v>1</v>
      </c>
      <c r="Z548" s="29">
        <f t="shared" si="169"/>
        <v>240.06</v>
      </c>
      <c r="AA548" s="14">
        <v>240.06</v>
      </c>
      <c r="AB548" s="14">
        <v>84.01</v>
      </c>
      <c r="AC548" s="14">
        <v>565.51</v>
      </c>
      <c r="AD548" s="16" t="s">
        <v>147</v>
      </c>
      <c r="AE548" s="16" t="s">
        <v>147</v>
      </c>
      <c r="AF548" s="14">
        <f>SUMIF('Trip Changes'!$B:$B,A548,'Trip Changes'!$E:$E)</f>
        <v>0</v>
      </c>
      <c r="AG548" s="23">
        <f>SUMIF('Trip Cancellations'!$B:$B,A548,'Trip Cancellations'!$E:$E)</f>
        <v>0</v>
      </c>
      <c r="AH548" s="14">
        <f>SUMIF('Trip Cancellations'!$B:$B,A548,'Trip Cancellations'!$F:$F)</f>
        <v>0</v>
      </c>
      <c r="AI548" s="14">
        <f t="shared" si="170"/>
        <v>565.51</v>
      </c>
      <c r="AJ548" s="14" t="str">
        <f t="shared" si="171"/>
        <v>No</v>
      </c>
      <c r="AK548" s="14" t="str">
        <f>IF(Y548=0,"N/A",
IF(_xlfn.XLOOKUP(U548,Hotels!A:A,Hotels!C:C)=TRUE,"Yes","No"))</f>
        <v>Yes</v>
      </c>
      <c r="AL548" s="14" t="str">
        <f>IF(N548="Rail","N/A",IF(_xlfn.XLOOKUP(T548,Airlines!A:A,Airlines!C:C)=TRUE,"Yes","No"))</f>
        <v>N/A</v>
      </c>
      <c r="AM548" s="14" t="str">
        <f t="shared" si="172"/>
        <v>Yes</v>
      </c>
      <c r="AN548" s="14" t="str">
        <f t="shared" si="173"/>
        <v>Yes</v>
      </c>
      <c r="AO548" s="14" t="str">
        <f t="shared" si="174"/>
        <v>Yes</v>
      </c>
      <c r="AP548" s="16" t="s">
        <v>148</v>
      </c>
      <c r="AQ548" t="str">
        <f t="shared" si="175"/>
        <v>No</v>
      </c>
      <c r="AR548" s="21">
        <v>4</v>
      </c>
      <c r="AS548" s="5">
        <v>20.2</v>
      </c>
      <c r="AT548" s="5" t="str">
        <f>IF(T548="","",_xlfn.XLOOKUP(T548,Airlines!A:A,Airlines!B:B,"Not Found"))</f>
        <v/>
      </c>
      <c r="AU548" s="5" t="str">
        <f>IF(U548="","",_xlfn.XLOOKUP(U548,Hotels!A:A,Hotels!B:B,"Not found"))</f>
        <v>Marriott</v>
      </c>
      <c r="AV548" t="s">
        <v>147</v>
      </c>
      <c r="AW548" s="16" t="str">
        <f t="shared" si="176"/>
        <v>OK</v>
      </c>
      <c r="AX548" s="16" t="str">
        <f t="shared" si="177"/>
        <v>OK</v>
      </c>
      <c r="AY548" s="16" t="str">
        <f t="shared" si="178"/>
        <v>OK</v>
      </c>
      <c r="AZ548" s="16" t="str">
        <f t="shared" si="179"/>
        <v>OK</v>
      </c>
      <c r="BA548" s="16" t="str">
        <f t="shared" si="183"/>
        <v>OK</v>
      </c>
      <c r="BB548" s="21">
        <f>COUNTIF('Trip Changes'!B:B,A548)</f>
        <v>0</v>
      </c>
      <c r="BC548" s="16" t="str">
        <f>IF(OR(AND(AD548="Yes",COUNTIF('Trip Changes'!B:B,A548)&gt;0),AND(AD548="No",COUNTIF('Trip Changes'!B:B,A548)=0)),"OK","Check")</f>
        <v>OK</v>
      </c>
      <c r="BD548" t="str">
        <f t="shared" si="184"/>
        <v>OK</v>
      </c>
      <c r="BE548" t="str">
        <f t="shared" si="185"/>
        <v>OK</v>
      </c>
      <c r="BF548" t="str">
        <f t="shared" si="186"/>
        <v>OK</v>
      </c>
      <c r="BG548" t="str">
        <f t="shared" si="187"/>
        <v>OK</v>
      </c>
      <c r="BH548" t="str">
        <f t="shared" si="188"/>
        <v>OK</v>
      </c>
      <c r="BI548" t="str">
        <f t="shared" si="180"/>
        <v>OK</v>
      </c>
      <c r="BJ548" t="str">
        <f t="shared" si="181"/>
        <v>OK</v>
      </c>
      <c r="BK548" t="str">
        <f t="shared" si="182"/>
        <v>OK</v>
      </c>
    </row>
    <row r="549" spans="1:63">
      <c r="A549" s="16" t="s">
        <v>913</v>
      </c>
      <c r="B549" s="16" t="s">
        <v>910</v>
      </c>
      <c r="C549" s="16" t="s">
        <v>182</v>
      </c>
      <c r="D549" s="16" t="s">
        <v>168</v>
      </c>
      <c r="E549" s="16" t="s">
        <v>169</v>
      </c>
      <c r="F549" s="16" t="s">
        <v>170</v>
      </c>
      <c r="G549" s="15">
        <v>46134</v>
      </c>
      <c r="H549" s="15">
        <v>46145</v>
      </c>
      <c r="I549" s="15">
        <v>46147</v>
      </c>
      <c r="J549" s="15" t="s">
        <v>163</v>
      </c>
      <c r="K549" s="16" t="s">
        <v>182</v>
      </c>
      <c r="L549" t="s">
        <v>233</v>
      </c>
      <c r="M549" s="16" t="s">
        <v>152</v>
      </c>
      <c r="N549" s="16" t="s">
        <v>153</v>
      </c>
      <c r="O549" t="s">
        <v>1614</v>
      </c>
      <c r="P549" s="18">
        <v>1166</v>
      </c>
      <c r="Q549" s="21">
        <v>11</v>
      </c>
      <c r="R549" s="21" t="str">
        <f t="shared" si="168"/>
        <v>8-14 days</v>
      </c>
      <c r="S549" s="16" t="s">
        <v>145</v>
      </c>
      <c r="T549" s="16" t="s">
        <v>154</v>
      </c>
      <c r="U549" s="16" t="s">
        <v>155</v>
      </c>
      <c r="V549" t="str">
        <f>IF(U549="","",IFERROR(VLOOKUP(U549,Hotels!A:B,2,FALSE),"Not Found"))</f>
        <v>Hilton</v>
      </c>
      <c r="W549" s="14">
        <v>182.77</v>
      </c>
      <c r="X549" s="14">
        <v>0</v>
      </c>
      <c r="Y549" s="21">
        <v>1</v>
      </c>
      <c r="Z549" s="29">
        <f t="shared" si="169"/>
        <v>96.86</v>
      </c>
      <c r="AA549" s="14">
        <v>96.86</v>
      </c>
      <c r="AB549" s="14">
        <v>107.71</v>
      </c>
      <c r="AC549" s="14">
        <v>387.34</v>
      </c>
      <c r="AD549" s="16" t="s">
        <v>147</v>
      </c>
      <c r="AE549" s="16" t="s">
        <v>147</v>
      </c>
      <c r="AF549" s="14">
        <f>SUMIF('Trip Changes'!$B:$B,A549,'Trip Changes'!$E:$E)</f>
        <v>0</v>
      </c>
      <c r="AG549" s="23">
        <f>SUMIF('Trip Cancellations'!$B:$B,A549,'Trip Cancellations'!$E:$E)</f>
        <v>0</v>
      </c>
      <c r="AH549" s="14">
        <f>SUMIF('Trip Cancellations'!$B:$B,A549,'Trip Cancellations'!$F:$F)</f>
        <v>0</v>
      </c>
      <c r="AI549" s="14">
        <f t="shared" si="170"/>
        <v>387.34</v>
      </c>
      <c r="AJ549" s="14" t="str">
        <f t="shared" si="171"/>
        <v>Yes</v>
      </c>
      <c r="AK549" s="14" t="str">
        <f>IF(Y549=0,"N/A",
IF(_xlfn.XLOOKUP(U549,Hotels!A:A,Hotels!C:C)=TRUE,"Yes","No"))</f>
        <v>Yes</v>
      </c>
      <c r="AL549" s="14" t="str">
        <f>IF(N549="Rail","N/A",IF(_xlfn.XLOOKUP(T549,Airlines!A:A,Airlines!C:C)=TRUE,"Yes","No"))</f>
        <v>Yes</v>
      </c>
      <c r="AM549" s="14" t="str">
        <f t="shared" si="172"/>
        <v>Yes</v>
      </c>
      <c r="AN549" s="14" t="str">
        <f t="shared" si="173"/>
        <v>Yes</v>
      </c>
      <c r="AO549" s="14" t="str">
        <f t="shared" si="174"/>
        <v>Yes</v>
      </c>
      <c r="AP549" s="16" t="s">
        <v>148</v>
      </c>
      <c r="AQ549" t="str">
        <f t="shared" si="175"/>
        <v>Yes</v>
      </c>
      <c r="AR549" s="21">
        <v>4</v>
      </c>
      <c r="AS549" s="5">
        <v>174.9</v>
      </c>
      <c r="AT549" s="5" t="str">
        <f>IF(T549="","",_xlfn.XLOOKUP(T549,Airlines!A:A,Airlines!B:B,"Not Found"))</f>
        <v>British Airways</v>
      </c>
      <c r="AU549" s="5" t="str">
        <f>IF(U549="","",_xlfn.XLOOKUP(U549,Hotels!A:A,Hotels!B:B,"Not found"))</f>
        <v>Hilton</v>
      </c>
      <c r="AV549" t="s">
        <v>148</v>
      </c>
      <c r="AW549" s="16" t="str">
        <f t="shared" si="176"/>
        <v>OK</v>
      </c>
      <c r="AX549" s="16" t="str">
        <f t="shared" si="177"/>
        <v>OK</v>
      </c>
      <c r="AY549" s="16" t="str">
        <f t="shared" si="178"/>
        <v>OK</v>
      </c>
      <c r="AZ549" s="16" t="str">
        <f t="shared" si="179"/>
        <v>OK</v>
      </c>
      <c r="BA549" s="16" t="str">
        <f t="shared" si="183"/>
        <v>OK</v>
      </c>
      <c r="BB549" s="21">
        <f>COUNTIF('Trip Changes'!B:B,A549)</f>
        <v>0</v>
      </c>
      <c r="BC549" s="16" t="str">
        <f>IF(OR(AND(AD549="Yes",COUNTIF('Trip Changes'!B:B,A549)&gt;0),AND(AD549="No",COUNTIF('Trip Changes'!B:B,A549)=0)),"OK","Check")</f>
        <v>OK</v>
      </c>
      <c r="BD549" t="str">
        <f t="shared" si="184"/>
        <v>OK</v>
      </c>
      <c r="BE549" t="str">
        <f t="shared" si="185"/>
        <v>OK</v>
      </c>
      <c r="BF549" t="str">
        <f t="shared" si="186"/>
        <v>OK</v>
      </c>
      <c r="BG549" t="str">
        <f t="shared" si="187"/>
        <v>OK</v>
      </c>
      <c r="BH549" t="str">
        <f t="shared" si="188"/>
        <v>OK</v>
      </c>
      <c r="BI549" t="str">
        <f t="shared" si="180"/>
        <v>OK</v>
      </c>
      <c r="BJ549" t="str">
        <f t="shared" si="181"/>
        <v>OK</v>
      </c>
      <c r="BK549" t="str">
        <f t="shared" si="182"/>
        <v>OK</v>
      </c>
    </row>
    <row r="550" spans="1:63">
      <c r="A550" s="16" t="s">
        <v>914</v>
      </c>
      <c r="B550" s="16" t="s">
        <v>910</v>
      </c>
      <c r="C550" s="16" t="s">
        <v>182</v>
      </c>
      <c r="D550" s="16" t="s">
        <v>168</v>
      </c>
      <c r="E550" s="16" t="s">
        <v>169</v>
      </c>
      <c r="F550" s="16" t="s">
        <v>162</v>
      </c>
      <c r="G550" s="15">
        <v>46152</v>
      </c>
      <c r="H550" s="15">
        <v>46170</v>
      </c>
      <c r="I550" s="15">
        <v>46173</v>
      </c>
      <c r="J550" s="15" t="s">
        <v>163</v>
      </c>
      <c r="K550" s="16" t="s">
        <v>182</v>
      </c>
      <c r="L550" t="s">
        <v>151</v>
      </c>
      <c r="M550" s="16" t="s">
        <v>152</v>
      </c>
      <c r="N550" s="16" t="s">
        <v>153</v>
      </c>
      <c r="O550" t="s">
        <v>1614</v>
      </c>
      <c r="P550" s="18">
        <v>2648</v>
      </c>
      <c r="Q550" s="21">
        <v>18</v>
      </c>
      <c r="R550" s="21" t="str">
        <f t="shared" si="168"/>
        <v>15-30 days</v>
      </c>
      <c r="S550" s="16" t="s">
        <v>159</v>
      </c>
      <c r="T550" s="16" t="s">
        <v>176</v>
      </c>
      <c r="U550" s="16" t="s">
        <v>187</v>
      </c>
      <c r="V550" t="str">
        <f>IF(U550="","",IFERROR(VLOOKUP(U550,Hotels!A:B,2,FALSE),"Not Found"))</f>
        <v>IHG Hotels &amp; Resorts</v>
      </c>
      <c r="W550" s="14">
        <v>315.39999999999998</v>
      </c>
      <c r="X550" s="14">
        <v>0</v>
      </c>
      <c r="Y550" s="21">
        <v>2</v>
      </c>
      <c r="Z550" s="29">
        <f t="shared" si="169"/>
        <v>231.715</v>
      </c>
      <c r="AA550" s="14">
        <v>463.43</v>
      </c>
      <c r="AB550" s="14">
        <v>58.15</v>
      </c>
      <c r="AC550" s="14">
        <v>836.98</v>
      </c>
      <c r="AD550" s="16" t="s">
        <v>147</v>
      </c>
      <c r="AE550" s="16" t="s">
        <v>147</v>
      </c>
      <c r="AF550" s="14">
        <f>SUMIF('Trip Changes'!$B:$B,A550,'Trip Changes'!$E:$E)</f>
        <v>0</v>
      </c>
      <c r="AG550" s="23">
        <f>SUMIF('Trip Cancellations'!$B:$B,A550,'Trip Cancellations'!$E:$E)</f>
        <v>0</v>
      </c>
      <c r="AH550" s="14">
        <f>SUMIF('Trip Cancellations'!$B:$B,A550,'Trip Cancellations'!$F:$F)</f>
        <v>0</v>
      </c>
      <c r="AI550" s="14">
        <f t="shared" si="170"/>
        <v>836.98</v>
      </c>
      <c r="AJ550" s="14" t="str">
        <f t="shared" si="171"/>
        <v>No</v>
      </c>
      <c r="AK550" s="14" t="str">
        <f>IF(Y550=0,"N/A",
IF(_xlfn.XLOOKUP(U550,Hotels!A:A,Hotels!C:C)=TRUE,"Yes","No"))</f>
        <v>Yes</v>
      </c>
      <c r="AL550" s="14" t="str">
        <f>IF(N550="Rail","N/A",IF(_xlfn.XLOOKUP(T550,Airlines!A:A,Airlines!C:C)=TRUE,"Yes","No"))</f>
        <v>Yes</v>
      </c>
      <c r="AM550" s="14" t="str">
        <f t="shared" si="172"/>
        <v>Yes</v>
      </c>
      <c r="AN550" s="14" t="str">
        <f t="shared" si="173"/>
        <v>Yes</v>
      </c>
      <c r="AO550" s="14" t="str">
        <f t="shared" si="174"/>
        <v>Yes</v>
      </c>
      <c r="AP550" s="16" t="s">
        <v>148</v>
      </c>
      <c r="AQ550" t="str">
        <f t="shared" si="175"/>
        <v>No</v>
      </c>
      <c r="AR550" s="21">
        <v>4</v>
      </c>
      <c r="AS550" s="5">
        <v>397.2</v>
      </c>
      <c r="AT550" s="5" t="str">
        <f>IF(T550="","",_xlfn.XLOOKUP(T550,Airlines!A:A,Airlines!B:B,"Not Found"))</f>
        <v>easyJet</v>
      </c>
      <c r="AU550" s="5" t="str">
        <f>IF(U550="","",_xlfn.XLOOKUP(U550,Hotels!A:A,Hotels!B:B,"Not found"))</f>
        <v>IHG Hotels &amp; Resorts</v>
      </c>
      <c r="AV550" t="s">
        <v>148</v>
      </c>
      <c r="AW550" s="16" t="str">
        <f t="shared" si="176"/>
        <v>OK</v>
      </c>
      <c r="AX550" s="16" t="str">
        <f t="shared" si="177"/>
        <v>OK</v>
      </c>
      <c r="AY550" s="16" t="str">
        <f t="shared" si="178"/>
        <v>OK</v>
      </c>
      <c r="AZ550" s="16" t="str">
        <f t="shared" si="179"/>
        <v>OK</v>
      </c>
      <c r="BA550" s="16" t="str">
        <f t="shared" si="183"/>
        <v>OK</v>
      </c>
      <c r="BB550" s="21">
        <f>COUNTIF('Trip Changes'!B:B,A550)</f>
        <v>0</v>
      </c>
      <c r="BC550" s="16" t="str">
        <f>IF(OR(AND(AD550="Yes",COUNTIF('Trip Changes'!B:B,A550)&gt;0),AND(AD550="No",COUNTIF('Trip Changes'!B:B,A550)=0)),"OK","Check")</f>
        <v>OK</v>
      </c>
      <c r="BD550" t="str">
        <f t="shared" si="184"/>
        <v>OK</v>
      </c>
      <c r="BE550" t="str">
        <f t="shared" si="185"/>
        <v>OK</v>
      </c>
      <c r="BF550" t="str">
        <f t="shared" si="186"/>
        <v>OK</v>
      </c>
      <c r="BG550" t="str">
        <f t="shared" si="187"/>
        <v>OK</v>
      </c>
      <c r="BH550" t="str">
        <f t="shared" si="188"/>
        <v>OK</v>
      </c>
      <c r="BI550" t="str">
        <f t="shared" si="180"/>
        <v>OK</v>
      </c>
      <c r="BJ550" t="str">
        <f t="shared" si="181"/>
        <v>OK</v>
      </c>
      <c r="BK550" t="str">
        <f t="shared" si="182"/>
        <v>OK</v>
      </c>
    </row>
    <row r="551" spans="1:63">
      <c r="A551" s="16" t="s">
        <v>915</v>
      </c>
      <c r="B551" s="16" t="s">
        <v>910</v>
      </c>
      <c r="C551" s="16" t="s">
        <v>182</v>
      </c>
      <c r="D551" s="16" t="s">
        <v>168</v>
      </c>
      <c r="E551" s="16" t="s">
        <v>169</v>
      </c>
      <c r="F551" s="16" t="s">
        <v>140</v>
      </c>
      <c r="G551" s="15">
        <v>46173</v>
      </c>
      <c r="H551" s="15">
        <v>46189</v>
      </c>
      <c r="I551" s="15">
        <v>46192</v>
      </c>
      <c r="J551" s="15" t="s">
        <v>141</v>
      </c>
      <c r="K551" s="16" t="s">
        <v>182</v>
      </c>
      <c r="L551" t="s">
        <v>151</v>
      </c>
      <c r="M551" s="16" t="s">
        <v>152</v>
      </c>
      <c r="N551" s="16" t="s">
        <v>153</v>
      </c>
      <c r="O551" t="s">
        <v>1614</v>
      </c>
      <c r="P551" s="18">
        <v>2304</v>
      </c>
      <c r="Q551" s="21">
        <v>16</v>
      </c>
      <c r="R551" s="21" t="str">
        <f t="shared" si="168"/>
        <v>15-30 days</v>
      </c>
      <c r="S551" s="16" t="s">
        <v>145</v>
      </c>
      <c r="T551" s="16" t="s">
        <v>154</v>
      </c>
      <c r="U551" s="16" t="s">
        <v>190</v>
      </c>
      <c r="V551" t="str">
        <f>IF(U551="","",IFERROR(VLOOKUP(U551,Hotels!A:B,2,FALSE),"Not Found"))</f>
        <v>Radisson Hotel Group</v>
      </c>
      <c r="W551" s="14">
        <v>506.19</v>
      </c>
      <c r="X551" s="14">
        <v>0</v>
      </c>
      <c r="Y551" s="21">
        <v>2</v>
      </c>
      <c r="Z551" s="29">
        <f t="shared" si="169"/>
        <v>181.07499999999999</v>
      </c>
      <c r="AA551" s="14">
        <v>362.15</v>
      </c>
      <c r="AB551" s="14">
        <v>106.37</v>
      </c>
      <c r="AC551" s="14">
        <v>974.71</v>
      </c>
      <c r="AD551" s="16" t="s">
        <v>148</v>
      </c>
      <c r="AE551" s="16" t="s">
        <v>147</v>
      </c>
      <c r="AF551" s="14">
        <f>SUMIF('Trip Changes'!$B:$B,A551,'Trip Changes'!$E:$E)</f>
        <v>40.14</v>
      </c>
      <c r="AG551" s="23">
        <f>SUMIF('Trip Cancellations'!$B:$B,A551,'Trip Cancellations'!$E:$E)</f>
        <v>0</v>
      </c>
      <c r="AH551" s="14">
        <f>SUMIF('Trip Cancellations'!$B:$B,A551,'Trip Cancellations'!$F:$F)</f>
        <v>0</v>
      </c>
      <c r="AI551" s="14">
        <f t="shared" si="170"/>
        <v>1014.85</v>
      </c>
      <c r="AJ551" s="14" t="str">
        <f t="shared" si="171"/>
        <v>No</v>
      </c>
      <c r="AK551" s="14" t="str">
        <f>IF(Y551=0,"N/A",
IF(_xlfn.XLOOKUP(U551,Hotels!A:A,Hotels!C:C)=TRUE,"Yes","No"))</f>
        <v>No</v>
      </c>
      <c r="AL551" s="14" t="str">
        <f>IF(N551="Rail","N/A",IF(_xlfn.XLOOKUP(T551,Airlines!A:A,Airlines!C:C)=TRUE,"Yes","No"))</f>
        <v>Yes</v>
      </c>
      <c r="AM551" s="14" t="str">
        <f t="shared" si="172"/>
        <v>Yes</v>
      </c>
      <c r="AN551" s="14" t="str">
        <f t="shared" si="173"/>
        <v>Yes</v>
      </c>
      <c r="AO551" s="14" t="str">
        <f t="shared" si="174"/>
        <v>No</v>
      </c>
      <c r="AP551" s="16" t="s">
        <v>148</v>
      </c>
      <c r="AQ551" t="str">
        <f t="shared" si="175"/>
        <v>No</v>
      </c>
      <c r="AR551" s="21">
        <v>4</v>
      </c>
      <c r="AS551" s="5">
        <v>345.6</v>
      </c>
      <c r="AT551" s="5" t="str">
        <f>IF(T551="","",_xlfn.XLOOKUP(T551,Airlines!A:A,Airlines!B:B,"Not Found"))</f>
        <v>British Airways</v>
      </c>
      <c r="AU551" s="5" t="str">
        <f>IF(U551="","",_xlfn.XLOOKUP(U551,Hotels!A:A,Hotels!B:B,"Not found"))</f>
        <v>Radisson Hotel Group</v>
      </c>
      <c r="AV551" t="s">
        <v>148</v>
      </c>
      <c r="AW551" s="16" t="str">
        <f t="shared" si="176"/>
        <v>OK</v>
      </c>
      <c r="AX551" s="16" t="str">
        <f t="shared" si="177"/>
        <v>OK</v>
      </c>
      <c r="AY551" s="16" t="str">
        <f t="shared" si="178"/>
        <v>OK</v>
      </c>
      <c r="AZ551" s="16" t="str">
        <f t="shared" si="179"/>
        <v>OK</v>
      </c>
      <c r="BA551" s="16" t="str">
        <f t="shared" si="183"/>
        <v>OK</v>
      </c>
      <c r="BB551" s="21">
        <f>COUNTIF('Trip Changes'!B:B,A551)</f>
        <v>1</v>
      </c>
      <c r="BC551" s="16" t="str">
        <f>IF(OR(AND(AD551="Yes",COUNTIF('Trip Changes'!B:B,A551)&gt;0),AND(AD551="No",COUNTIF('Trip Changes'!B:B,A551)=0)),"OK","Check")</f>
        <v>OK</v>
      </c>
      <c r="BD551" t="str">
        <f t="shared" si="184"/>
        <v>OK</v>
      </c>
      <c r="BE551" t="str">
        <f t="shared" si="185"/>
        <v>OK</v>
      </c>
      <c r="BF551" t="str">
        <f t="shared" si="186"/>
        <v>OK</v>
      </c>
      <c r="BG551" t="str">
        <f t="shared" si="187"/>
        <v>OK</v>
      </c>
      <c r="BH551" t="str">
        <f t="shared" si="188"/>
        <v>OK</v>
      </c>
      <c r="BI551" t="str">
        <f t="shared" si="180"/>
        <v>OK</v>
      </c>
      <c r="BJ551" t="str">
        <f t="shared" si="181"/>
        <v>OK</v>
      </c>
      <c r="BK551" t="str">
        <f t="shared" si="182"/>
        <v>OK</v>
      </c>
    </row>
    <row r="552" spans="1:63">
      <c r="A552" s="16" t="s">
        <v>916</v>
      </c>
      <c r="B552" s="16" t="s">
        <v>917</v>
      </c>
      <c r="C552" s="16" t="s">
        <v>307</v>
      </c>
      <c r="D552" s="16" t="s">
        <v>138</v>
      </c>
      <c r="E552" s="16" t="s">
        <v>169</v>
      </c>
      <c r="F552" s="16" t="s">
        <v>162</v>
      </c>
      <c r="G552" s="15">
        <v>46179</v>
      </c>
      <c r="H552" s="15">
        <v>46187</v>
      </c>
      <c r="I552" s="15">
        <v>46188</v>
      </c>
      <c r="J552" s="15" t="s">
        <v>141</v>
      </c>
      <c r="K552" s="16" t="s">
        <v>307</v>
      </c>
      <c r="L552" t="s">
        <v>182</v>
      </c>
      <c r="M552" s="16" t="s">
        <v>143</v>
      </c>
      <c r="N552" s="16" t="s">
        <v>153</v>
      </c>
      <c r="O552" t="s">
        <v>1614</v>
      </c>
      <c r="P552" s="18">
        <v>1116</v>
      </c>
      <c r="Q552" s="21">
        <v>8</v>
      </c>
      <c r="R552" s="21" t="str">
        <f t="shared" si="168"/>
        <v>8-14 days</v>
      </c>
      <c r="S552" s="16" t="s">
        <v>145</v>
      </c>
      <c r="T552" s="16" t="s">
        <v>176</v>
      </c>
      <c r="V552" t="str">
        <f>IF(U552="","",IFERROR(VLOOKUP(U552,Hotels!A:B,2,FALSE),"Not Found"))</f>
        <v/>
      </c>
      <c r="W552" s="14">
        <v>460.73</v>
      </c>
      <c r="X552" s="14">
        <v>0</v>
      </c>
      <c r="Y552" s="21">
        <v>0</v>
      </c>
      <c r="Z552" s="29">
        <f t="shared" si="169"/>
        <v>0</v>
      </c>
      <c r="AA552" s="14">
        <v>0</v>
      </c>
      <c r="AB552" s="14">
        <v>48.7</v>
      </c>
      <c r="AC552" s="14">
        <v>509.43</v>
      </c>
      <c r="AD552" s="16" t="s">
        <v>147</v>
      </c>
      <c r="AE552" s="16" t="s">
        <v>147</v>
      </c>
      <c r="AF552" s="14">
        <f>SUMIF('Trip Changes'!$B:$B,A552,'Trip Changes'!$E:$E)</f>
        <v>0</v>
      </c>
      <c r="AG552" s="23">
        <f>SUMIF('Trip Cancellations'!$B:$B,A552,'Trip Cancellations'!$E:$E)</f>
        <v>0</v>
      </c>
      <c r="AH552" s="14">
        <f>SUMIF('Trip Cancellations'!$B:$B,A552,'Trip Cancellations'!$F:$F)</f>
        <v>0</v>
      </c>
      <c r="AI552" s="14">
        <f t="shared" si="170"/>
        <v>509.43</v>
      </c>
      <c r="AJ552" s="14" t="str">
        <f t="shared" si="171"/>
        <v>N/A</v>
      </c>
      <c r="AK552" s="14" t="str">
        <f>IF(Y552=0,"N/A",
IF(_xlfn.XLOOKUP(U552,Hotels!A:A,Hotels!C:C)=TRUE,"Yes","No"))</f>
        <v>N/A</v>
      </c>
      <c r="AL552" s="14" t="str">
        <f>IF(N552="Rail","N/A",IF(_xlfn.XLOOKUP(T552,Airlines!A:A,Airlines!C:C)=TRUE,"Yes","No"))</f>
        <v>Yes</v>
      </c>
      <c r="AM552" s="14" t="str">
        <f t="shared" si="172"/>
        <v>Yes</v>
      </c>
      <c r="AN552" s="14" t="str">
        <f t="shared" si="173"/>
        <v>Yes</v>
      </c>
      <c r="AO552" s="14" t="str">
        <f t="shared" si="174"/>
        <v>Yes</v>
      </c>
      <c r="AP552" s="16" t="s">
        <v>148</v>
      </c>
      <c r="AQ552" t="str">
        <f t="shared" si="175"/>
        <v>Yes</v>
      </c>
      <c r="AR552" s="21">
        <v>5</v>
      </c>
      <c r="AS552" s="5">
        <v>167.4</v>
      </c>
      <c r="AT552" s="5" t="str">
        <f>IF(T552="","",_xlfn.XLOOKUP(T552,Airlines!A:A,Airlines!B:B,"Not Found"))</f>
        <v>easyJet</v>
      </c>
      <c r="AU552" s="5" t="str">
        <f>IF(U552="","",_xlfn.XLOOKUP(U552,Hotels!A:A,Hotels!B:B,"Not found"))</f>
        <v/>
      </c>
      <c r="AV552" t="s">
        <v>148</v>
      </c>
      <c r="AW552" s="16" t="str">
        <f t="shared" si="176"/>
        <v>OK</v>
      </c>
      <c r="AX552" s="16" t="str">
        <f t="shared" si="177"/>
        <v>OK</v>
      </c>
      <c r="AY552" s="16" t="str">
        <f t="shared" si="178"/>
        <v>OK</v>
      </c>
      <c r="AZ552" s="16" t="str">
        <f t="shared" si="179"/>
        <v>OK</v>
      </c>
      <c r="BA552" s="16" t="str">
        <f t="shared" si="183"/>
        <v>OK</v>
      </c>
      <c r="BB552" s="21">
        <f>COUNTIF('Trip Changes'!B:B,A552)</f>
        <v>0</v>
      </c>
      <c r="BC552" s="16" t="str">
        <f>IF(OR(AND(AD552="Yes",COUNTIF('Trip Changes'!B:B,A552)&gt;0),AND(AD552="No",COUNTIF('Trip Changes'!B:B,A552)=0)),"OK","Check")</f>
        <v>OK</v>
      </c>
      <c r="BD552" t="str">
        <f t="shared" si="184"/>
        <v>OK</v>
      </c>
      <c r="BE552" t="str">
        <f t="shared" si="185"/>
        <v>OK</v>
      </c>
      <c r="BF552" t="str">
        <f t="shared" si="186"/>
        <v>OK</v>
      </c>
      <c r="BG552" t="str">
        <f t="shared" si="187"/>
        <v>OK</v>
      </c>
      <c r="BH552" t="str">
        <f t="shared" si="188"/>
        <v>OK</v>
      </c>
      <c r="BI552" t="str">
        <f t="shared" si="180"/>
        <v>OK</v>
      </c>
      <c r="BJ552" t="str">
        <f t="shared" si="181"/>
        <v>OK</v>
      </c>
      <c r="BK552" t="str">
        <f t="shared" si="182"/>
        <v>OK</v>
      </c>
    </row>
    <row r="553" spans="1:63">
      <c r="A553" s="16" t="s">
        <v>918</v>
      </c>
      <c r="B553" s="16" t="s">
        <v>917</v>
      </c>
      <c r="C553" s="16" t="s">
        <v>307</v>
      </c>
      <c r="D553" s="16" t="s">
        <v>138</v>
      </c>
      <c r="E553" s="16" t="s">
        <v>169</v>
      </c>
      <c r="F553" s="16" t="s">
        <v>162</v>
      </c>
      <c r="G553" s="15">
        <v>46174</v>
      </c>
      <c r="H553" s="15">
        <v>46184</v>
      </c>
      <c r="I553" s="15">
        <v>46187</v>
      </c>
      <c r="J553" s="15" t="s">
        <v>141</v>
      </c>
      <c r="K553" s="16" t="s">
        <v>307</v>
      </c>
      <c r="L553" t="s">
        <v>227</v>
      </c>
      <c r="M553" s="16" t="s">
        <v>152</v>
      </c>
      <c r="N553" s="16" t="s">
        <v>153</v>
      </c>
      <c r="O553" t="s">
        <v>1614</v>
      </c>
      <c r="P553" s="18">
        <v>3126</v>
      </c>
      <c r="Q553" s="21">
        <v>10</v>
      </c>
      <c r="R553" s="21" t="str">
        <f t="shared" si="168"/>
        <v>8-14 days</v>
      </c>
      <c r="S553" s="16" t="s">
        <v>145</v>
      </c>
      <c r="T553" s="16" t="s">
        <v>154</v>
      </c>
      <c r="U553" s="16" t="s">
        <v>164</v>
      </c>
      <c r="V553" t="str">
        <f>IF(U553="","",IFERROR(VLOOKUP(U553,Hotels!A:B,2,FALSE),"Not Found"))</f>
        <v>Marriott</v>
      </c>
      <c r="W553" s="14">
        <v>162</v>
      </c>
      <c r="X553" s="14">
        <v>0</v>
      </c>
      <c r="Y553" s="21">
        <v>2</v>
      </c>
      <c r="Z553" s="29">
        <f t="shared" si="169"/>
        <v>231.48</v>
      </c>
      <c r="AA553" s="14">
        <v>462.96</v>
      </c>
      <c r="AB553" s="14">
        <v>58.36</v>
      </c>
      <c r="AC553" s="14">
        <v>683.32</v>
      </c>
      <c r="AD553" s="16" t="s">
        <v>147</v>
      </c>
      <c r="AE553" s="16" t="s">
        <v>147</v>
      </c>
      <c r="AF553" s="14">
        <f>SUMIF('Trip Changes'!$B:$B,A553,'Trip Changes'!$E:$E)</f>
        <v>0</v>
      </c>
      <c r="AG553" s="23">
        <f>SUMIF('Trip Cancellations'!$B:$B,A553,'Trip Cancellations'!$E:$E)</f>
        <v>0</v>
      </c>
      <c r="AH553" s="14">
        <f>SUMIF('Trip Cancellations'!$B:$B,A553,'Trip Cancellations'!$F:$F)</f>
        <v>0</v>
      </c>
      <c r="AI553" s="14">
        <f t="shared" si="170"/>
        <v>683.32</v>
      </c>
      <c r="AJ553" s="14" t="str">
        <f t="shared" si="171"/>
        <v>No</v>
      </c>
      <c r="AK553" s="14" t="str">
        <f>IF(Y553=0,"N/A",
IF(_xlfn.XLOOKUP(U553,Hotels!A:A,Hotels!C:C)=TRUE,"Yes","No"))</f>
        <v>Yes</v>
      </c>
      <c r="AL553" s="14" t="str">
        <f>IF(N553="Rail","N/A",IF(_xlfn.XLOOKUP(T553,Airlines!A:A,Airlines!C:C)=TRUE,"Yes","No"))</f>
        <v>Yes</v>
      </c>
      <c r="AM553" s="14" t="str">
        <f t="shared" si="172"/>
        <v>Yes</v>
      </c>
      <c r="AN553" s="14" t="str">
        <f t="shared" si="173"/>
        <v>Yes</v>
      </c>
      <c r="AO553" s="14" t="str">
        <f t="shared" si="174"/>
        <v>Yes</v>
      </c>
      <c r="AP553" s="16" t="s">
        <v>148</v>
      </c>
      <c r="AQ553" t="str">
        <f t="shared" si="175"/>
        <v>No</v>
      </c>
      <c r="AR553" s="21">
        <v>5</v>
      </c>
      <c r="AS553" s="5">
        <v>468.9</v>
      </c>
      <c r="AT553" s="5" t="str">
        <f>IF(T553="","",_xlfn.XLOOKUP(T553,Airlines!A:A,Airlines!B:B,"Not Found"))</f>
        <v>British Airways</v>
      </c>
      <c r="AU553" s="5" t="str">
        <f>IF(U553="","",_xlfn.XLOOKUP(U553,Hotels!A:A,Hotels!B:B,"Not found"))</f>
        <v>Marriott</v>
      </c>
      <c r="AV553" t="s">
        <v>148</v>
      </c>
      <c r="AW553" s="16" t="str">
        <f t="shared" si="176"/>
        <v>OK</v>
      </c>
      <c r="AX553" s="16" t="str">
        <f t="shared" si="177"/>
        <v>OK</v>
      </c>
      <c r="AY553" s="16" t="str">
        <f t="shared" si="178"/>
        <v>OK</v>
      </c>
      <c r="AZ553" s="16" t="str">
        <f t="shared" si="179"/>
        <v>OK</v>
      </c>
      <c r="BA553" s="16" t="str">
        <f t="shared" si="183"/>
        <v>OK</v>
      </c>
      <c r="BB553" s="21">
        <f>COUNTIF('Trip Changes'!B:B,A553)</f>
        <v>0</v>
      </c>
      <c r="BC553" s="16" t="str">
        <f>IF(OR(AND(AD553="Yes",COUNTIF('Trip Changes'!B:B,A553)&gt;0),AND(AD553="No",COUNTIF('Trip Changes'!B:B,A553)=0)),"OK","Check")</f>
        <v>OK</v>
      </c>
      <c r="BD553" t="str">
        <f t="shared" si="184"/>
        <v>OK</v>
      </c>
      <c r="BE553" t="str">
        <f t="shared" si="185"/>
        <v>OK</v>
      </c>
      <c r="BF553" t="str">
        <f t="shared" si="186"/>
        <v>OK</v>
      </c>
      <c r="BG553" t="str">
        <f t="shared" si="187"/>
        <v>OK</v>
      </c>
      <c r="BH553" t="str">
        <f t="shared" si="188"/>
        <v>OK</v>
      </c>
      <c r="BI553" t="str">
        <f t="shared" si="180"/>
        <v>OK</v>
      </c>
      <c r="BJ553" t="str">
        <f t="shared" si="181"/>
        <v>OK</v>
      </c>
      <c r="BK553" t="str">
        <f t="shared" si="182"/>
        <v>OK</v>
      </c>
    </row>
    <row r="554" spans="1:63">
      <c r="A554" s="16" t="s">
        <v>919</v>
      </c>
      <c r="B554" s="16" t="s">
        <v>917</v>
      </c>
      <c r="C554" s="16" t="s">
        <v>307</v>
      </c>
      <c r="D554" s="16" t="s">
        <v>138</v>
      </c>
      <c r="E554" s="16" t="s">
        <v>169</v>
      </c>
      <c r="F554" s="16" t="s">
        <v>140</v>
      </c>
      <c r="G554" s="15">
        <v>46185</v>
      </c>
      <c r="H554" s="15">
        <v>46205</v>
      </c>
      <c r="I554" s="15">
        <v>46208</v>
      </c>
      <c r="J554" s="15" t="s">
        <v>150</v>
      </c>
      <c r="K554" s="16" t="s">
        <v>307</v>
      </c>
      <c r="L554" t="s">
        <v>151</v>
      </c>
      <c r="M554" s="16" t="s">
        <v>152</v>
      </c>
      <c r="N554" s="16" t="s">
        <v>153</v>
      </c>
      <c r="O554" t="s">
        <v>1614</v>
      </c>
      <c r="P554" s="18">
        <v>2456</v>
      </c>
      <c r="Q554" s="21">
        <v>20</v>
      </c>
      <c r="R554" s="21" t="str">
        <f t="shared" si="168"/>
        <v>15-30 days</v>
      </c>
      <c r="S554" s="16" t="s">
        <v>145</v>
      </c>
      <c r="T554" s="16" t="s">
        <v>154</v>
      </c>
      <c r="U554" s="16" t="s">
        <v>190</v>
      </c>
      <c r="V554" t="str">
        <f>IF(U554="","",IFERROR(VLOOKUP(U554,Hotels!A:B,2,FALSE),"Not Found"))</f>
        <v>Radisson Hotel Group</v>
      </c>
      <c r="W554" s="14">
        <v>483.19</v>
      </c>
      <c r="X554" s="14">
        <v>0</v>
      </c>
      <c r="Y554" s="21">
        <v>2</v>
      </c>
      <c r="Z554" s="29">
        <f t="shared" si="169"/>
        <v>217.67</v>
      </c>
      <c r="AA554" s="14">
        <v>435.34</v>
      </c>
      <c r="AB554" s="14">
        <v>131.18</v>
      </c>
      <c r="AC554" s="14">
        <v>1049.71</v>
      </c>
      <c r="AD554" s="16" t="s">
        <v>147</v>
      </c>
      <c r="AE554" s="16" t="s">
        <v>147</v>
      </c>
      <c r="AF554" s="14">
        <f>SUMIF('Trip Changes'!$B:$B,A554,'Trip Changes'!$E:$E)</f>
        <v>0</v>
      </c>
      <c r="AG554" s="23">
        <f>SUMIF('Trip Cancellations'!$B:$B,A554,'Trip Cancellations'!$E:$E)</f>
        <v>0</v>
      </c>
      <c r="AH554" s="14">
        <f>SUMIF('Trip Cancellations'!$B:$B,A554,'Trip Cancellations'!$F:$F)</f>
        <v>0</v>
      </c>
      <c r="AI554" s="14">
        <f t="shared" si="170"/>
        <v>1049.71</v>
      </c>
      <c r="AJ554" s="14" t="str">
        <f t="shared" si="171"/>
        <v>No</v>
      </c>
      <c r="AK554" s="14" t="str">
        <f>IF(Y554=0,"N/A",
IF(_xlfn.XLOOKUP(U554,Hotels!A:A,Hotels!C:C)=TRUE,"Yes","No"))</f>
        <v>No</v>
      </c>
      <c r="AL554" s="14" t="str">
        <f>IF(N554="Rail","N/A",IF(_xlfn.XLOOKUP(T554,Airlines!A:A,Airlines!C:C)=TRUE,"Yes","No"))</f>
        <v>Yes</v>
      </c>
      <c r="AM554" s="14" t="str">
        <f t="shared" si="172"/>
        <v>Yes</v>
      </c>
      <c r="AN554" s="14" t="str">
        <f t="shared" si="173"/>
        <v>Yes</v>
      </c>
      <c r="AO554" s="14" t="str">
        <f t="shared" si="174"/>
        <v>No</v>
      </c>
      <c r="AP554" s="16" t="s">
        <v>148</v>
      </c>
      <c r="AQ554" t="str">
        <f t="shared" si="175"/>
        <v>No</v>
      </c>
      <c r="AR554" s="21">
        <v>4</v>
      </c>
      <c r="AS554" s="5">
        <v>368.4</v>
      </c>
      <c r="AT554" s="5" t="str">
        <f>IF(T554="","",_xlfn.XLOOKUP(T554,Airlines!A:A,Airlines!B:B,"Not Found"))</f>
        <v>British Airways</v>
      </c>
      <c r="AU554" s="5" t="str">
        <f>IF(U554="","",_xlfn.XLOOKUP(U554,Hotels!A:A,Hotels!B:B,"Not found"))</f>
        <v>Radisson Hotel Group</v>
      </c>
      <c r="AV554" t="s">
        <v>147</v>
      </c>
      <c r="AW554" s="16" t="str">
        <f t="shared" si="176"/>
        <v>OK</v>
      </c>
      <c r="AX554" s="16" t="str">
        <f t="shared" si="177"/>
        <v>OK</v>
      </c>
      <c r="AY554" s="16" t="str">
        <f t="shared" si="178"/>
        <v>OK</v>
      </c>
      <c r="AZ554" s="16" t="str">
        <f t="shared" si="179"/>
        <v>OK</v>
      </c>
      <c r="BA554" s="16" t="str">
        <f t="shared" si="183"/>
        <v>OK</v>
      </c>
      <c r="BB554" s="21">
        <f>COUNTIF('Trip Changes'!B:B,A554)</f>
        <v>0</v>
      </c>
      <c r="BC554" s="16" t="str">
        <f>IF(OR(AND(AD554="Yes",COUNTIF('Trip Changes'!B:B,A554)&gt;0),AND(AD554="No",COUNTIF('Trip Changes'!B:B,A554)=0)),"OK","Check")</f>
        <v>OK</v>
      </c>
      <c r="BD554" t="str">
        <f t="shared" si="184"/>
        <v>OK</v>
      </c>
      <c r="BE554" t="str">
        <f t="shared" si="185"/>
        <v>OK</v>
      </c>
      <c r="BF554" t="str">
        <f t="shared" si="186"/>
        <v>OK</v>
      </c>
      <c r="BG554" t="str">
        <f t="shared" si="187"/>
        <v>OK</v>
      </c>
      <c r="BH554" t="str">
        <f t="shared" si="188"/>
        <v>OK</v>
      </c>
      <c r="BI554" t="str">
        <f t="shared" si="180"/>
        <v>OK</v>
      </c>
      <c r="BJ554" t="str">
        <f t="shared" si="181"/>
        <v>OK</v>
      </c>
      <c r="BK554" t="str">
        <f t="shared" si="182"/>
        <v>OK</v>
      </c>
    </row>
    <row r="555" spans="1:63">
      <c r="A555" s="16" t="s">
        <v>920</v>
      </c>
      <c r="B555" s="16" t="s">
        <v>921</v>
      </c>
      <c r="C555" s="16" t="s">
        <v>142</v>
      </c>
      <c r="D555" s="16" t="s">
        <v>194</v>
      </c>
      <c r="E555" s="16" t="s">
        <v>249</v>
      </c>
      <c r="F555" s="16" t="s">
        <v>140</v>
      </c>
      <c r="G555" s="15">
        <v>46123</v>
      </c>
      <c r="H555" s="15">
        <v>46146</v>
      </c>
      <c r="I555" s="15">
        <v>46149</v>
      </c>
      <c r="J555" s="15" t="s">
        <v>163</v>
      </c>
      <c r="K555" s="16" t="s">
        <v>142</v>
      </c>
      <c r="L555" t="s">
        <v>225</v>
      </c>
      <c r="M555" s="16" t="s">
        <v>152</v>
      </c>
      <c r="N555" s="16" t="s">
        <v>153</v>
      </c>
      <c r="O555" t="s">
        <v>1614</v>
      </c>
      <c r="P555" s="18">
        <v>2962</v>
      </c>
      <c r="Q555" s="21">
        <v>23</v>
      </c>
      <c r="R555" s="21" t="str">
        <f t="shared" si="168"/>
        <v>15-30 days</v>
      </c>
      <c r="S555" s="16" t="s">
        <v>159</v>
      </c>
      <c r="T555" s="16" t="s">
        <v>154</v>
      </c>
      <c r="U555" s="16" t="s">
        <v>173</v>
      </c>
      <c r="V555" t="str">
        <f>IF(U555="","",IFERROR(VLOOKUP(U555,Hotels!A:B,2,FALSE),"Not Found"))</f>
        <v>Accor</v>
      </c>
      <c r="W555" s="14">
        <v>315.16000000000003</v>
      </c>
      <c r="X555" s="14">
        <v>0</v>
      </c>
      <c r="Y555" s="21">
        <v>2</v>
      </c>
      <c r="Z555" s="29">
        <f t="shared" si="169"/>
        <v>214.08</v>
      </c>
      <c r="AA555" s="14">
        <v>428.16</v>
      </c>
      <c r="AB555" s="14">
        <v>63.11</v>
      </c>
      <c r="AC555" s="14">
        <v>806.43</v>
      </c>
      <c r="AD555" s="16" t="s">
        <v>147</v>
      </c>
      <c r="AE555" s="16" t="s">
        <v>147</v>
      </c>
      <c r="AF555" s="14">
        <f>SUMIF('Trip Changes'!$B:$B,A555,'Trip Changes'!$E:$E)</f>
        <v>0</v>
      </c>
      <c r="AG555" s="23">
        <f>SUMIF('Trip Cancellations'!$B:$B,A555,'Trip Cancellations'!$E:$E)</f>
        <v>0</v>
      </c>
      <c r="AH555" s="14">
        <f>SUMIF('Trip Cancellations'!$B:$B,A555,'Trip Cancellations'!$F:$F)</f>
        <v>0</v>
      </c>
      <c r="AI555" s="14">
        <f t="shared" si="170"/>
        <v>806.43</v>
      </c>
      <c r="AJ555" s="14" t="str">
        <f t="shared" si="171"/>
        <v>No</v>
      </c>
      <c r="AK555" s="14" t="str">
        <f>IF(Y555=0,"N/A",
IF(_xlfn.XLOOKUP(U555,Hotels!A:A,Hotels!C:C)=TRUE,"Yes","No"))</f>
        <v>Yes</v>
      </c>
      <c r="AL555" s="14" t="str">
        <f>IF(N555="Rail","N/A",IF(_xlfn.XLOOKUP(T555,Airlines!A:A,Airlines!C:C)=TRUE,"Yes","No"))</f>
        <v>Yes</v>
      </c>
      <c r="AM555" s="14" t="str">
        <f t="shared" si="172"/>
        <v>Yes</v>
      </c>
      <c r="AN555" s="14" t="str">
        <f t="shared" si="173"/>
        <v>Yes</v>
      </c>
      <c r="AO555" s="14" t="str">
        <f t="shared" si="174"/>
        <v>Yes</v>
      </c>
      <c r="AP555" s="16" t="s">
        <v>148</v>
      </c>
      <c r="AQ555" t="str">
        <f t="shared" si="175"/>
        <v>No</v>
      </c>
      <c r="AR555" s="21">
        <v>4</v>
      </c>
      <c r="AS555" s="5">
        <v>444.3</v>
      </c>
      <c r="AT555" s="5" t="str">
        <f>IF(T555="","",_xlfn.XLOOKUP(T555,Airlines!A:A,Airlines!B:B,"Not Found"))</f>
        <v>British Airways</v>
      </c>
      <c r="AU555" s="5" t="str">
        <f>IF(U555="","",_xlfn.XLOOKUP(U555,Hotels!A:A,Hotels!B:B,"Not found"))</f>
        <v>Accor</v>
      </c>
      <c r="AV555" t="s">
        <v>147</v>
      </c>
      <c r="AW555" s="16" t="str">
        <f t="shared" si="176"/>
        <v>OK</v>
      </c>
      <c r="AX555" s="16" t="str">
        <f t="shared" si="177"/>
        <v>OK</v>
      </c>
      <c r="AY555" s="16" t="str">
        <f t="shared" si="178"/>
        <v>OK</v>
      </c>
      <c r="AZ555" s="16" t="str">
        <f t="shared" si="179"/>
        <v>OK</v>
      </c>
      <c r="BA555" s="16" t="str">
        <f t="shared" si="183"/>
        <v>OK</v>
      </c>
      <c r="BB555" s="21">
        <f>COUNTIF('Trip Changes'!B:B,A555)</f>
        <v>0</v>
      </c>
      <c r="BC555" s="16" t="str">
        <f>IF(OR(AND(AD555="Yes",COUNTIF('Trip Changes'!B:B,A555)&gt;0),AND(AD555="No",COUNTIF('Trip Changes'!B:B,A555)=0)),"OK","Check")</f>
        <v>OK</v>
      </c>
      <c r="BD555" t="str">
        <f t="shared" si="184"/>
        <v>OK</v>
      </c>
      <c r="BE555" t="str">
        <f t="shared" si="185"/>
        <v>OK</v>
      </c>
      <c r="BF555" t="str">
        <f t="shared" si="186"/>
        <v>OK</v>
      </c>
      <c r="BG555" t="str">
        <f t="shared" si="187"/>
        <v>OK</v>
      </c>
      <c r="BH555" t="str">
        <f t="shared" si="188"/>
        <v>OK</v>
      </c>
      <c r="BI555" t="str">
        <f t="shared" si="180"/>
        <v>OK</v>
      </c>
      <c r="BJ555" t="str">
        <f t="shared" si="181"/>
        <v>OK</v>
      </c>
      <c r="BK555" t="str">
        <f t="shared" si="182"/>
        <v>OK</v>
      </c>
    </row>
    <row r="556" spans="1:63">
      <c r="A556" s="16" t="s">
        <v>922</v>
      </c>
      <c r="B556" s="16" t="s">
        <v>923</v>
      </c>
      <c r="C556" s="16" t="s">
        <v>182</v>
      </c>
      <c r="D556" s="16" t="s">
        <v>230</v>
      </c>
      <c r="E556" s="16" t="s">
        <v>268</v>
      </c>
      <c r="F556" s="16" t="s">
        <v>170</v>
      </c>
      <c r="G556" s="15">
        <v>46190</v>
      </c>
      <c r="H556" s="15">
        <v>46195</v>
      </c>
      <c r="I556" s="15">
        <v>46199</v>
      </c>
      <c r="J556" s="15" t="s">
        <v>141</v>
      </c>
      <c r="K556" s="16" t="s">
        <v>182</v>
      </c>
      <c r="L556" t="s">
        <v>264</v>
      </c>
      <c r="M556" s="16" t="s">
        <v>152</v>
      </c>
      <c r="N556" s="16" t="s">
        <v>153</v>
      </c>
      <c r="O556" t="s">
        <v>1614</v>
      </c>
      <c r="P556" s="18">
        <v>2884</v>
      </c>
      <c r="Q556" s="21">
        <v>5</v>
      </c>
      <c r="R556" s="21" t="str">
        <f t="shared" si="168"/>
        <v>4-7 days</v>
      </c>
      <c r="S556" s="16" t="s">
        <v>145</v>
      </c>
      <c r="T556" s="16" t="s">
        <v>236</v>
      </c>
      <c r="U556" s="16" t="s">
        <v>173</v>
      </c>
      <c r="V556" t="str">
        <f>IF(U556="","",IFERROR(VLOOKUP(U556,Hotels!A:B,2,FALSE),"Not Found"))</f>
        <v>Accor</v>
      </c>
      <c r="W556" s="14">
        <v>379.74</v>
      </c>
      <c r="X556" s="14">
        <v>0</v>
      </c>
      <c r="Y556" s="21">
        <v>3</v>
      </c>
      <c r="Z556" s="29">
        <f t="shared" si="169"/>
        <v>203.88333333333333</v>
      </c>
      <c r="AA556" s="14">
        <v>611.65</v>
      </c>
      <c r="AB556" s="14">
        <v>108.46</v>
      </c>
      <c r="AC556" s="14">
        <v>1099.8499999999999</v>
      </c>
      <c r="AD556" s="16" t="s">
        <v>147</v>
      </c>
      <c r="AE556" s="16" t="s">
        <v>147</v>
      </c>
      <c r="AF556" s="14">
        <f>SUMIF('Trip Changes'!$B:$B,A556,'Trip Changes'!$E:$E)</f>
        <v>0</v>
      </c>
      <c r="AG556" s="23">
        <f>SUMIF('Trip Cancellations'!$B:$B,A556,'Trip Cancellations'!$E:$E)</f>
        <v>0</v>
      </c>
      <c r="AH556" s="14">
        <f>SUMIF('Trip Cancellations'!$B:$B,A556,'Trip Cancellations'!$F:$F)</f>
        <v>0</v>
      </c>
      <c r="AI556" s="14">
        <f t="shared" si="170"/>
        <v>1099.8499999999999</v>
      </c>
      <c r="AJ556" s="14" t="str">
        <f t="shared" si="171"/>
        <v>No</v>
      </c>
      <c r="AK556" s="14" t="str">
        <f>IF(Y556=0,"N/A",
IF(_xlfn.XLOOKUP(U556,Hotels!A:A,Hotels!C:C)=TRUE,"Yes","No"))</f>
        <v>Yes</v>
      </c>
      <c r="AL556" s="14" t="str">
        <f>IF(N556="Rail","N/A",IF(_xlfn.XLOOKUP(T556,Airlines!A:A,Airlines!C:C)=TRUE,"Yes","No"))</f>
        <v>Yes</v>
      </c>
      <c r="AM556" s="14" t="str">
        <f t="shared" si="172"/>
        <v>Yes</v>
      </c>
      <c r="AN556" s="14" t="str">
        <f t="shared" si="173"/>
        <v>Yes</v>
      </c>
      <c r="AO556" s="14" t="str">
        <f t="shared" si="174"/>
        <v>Yes</v>
      </c>
      <c r="AP556" s="16" t="s">
        <v>148</v>
      </c>
      <c r="AQ556" t="str">
        <f t="shared" si="175"/>
        <v>No</v>
      </c>
      <c r="AR556" s="21">
        <v>4</v>
      </c>
      <c r="AS556" s="5">
        <v>432.6</v>
      </c>
      <c r="AT556" s="5" t="str">
        <f>IF(T556="","",_xlfn.XLOOKUP(T556,Airlines!A:A,Airlines!B:B,"Not Found"))</f>
        <v>KLM</v>
      </c>
      <c r="AU556" s="5" t="str">
        <f>IF(U556="","",_xlfn.XLOOKUP(U556,Hotels!A:A,Hotels!B:B,"Not found"))</f>
        <v>Accor</v>
      </c>
      <c r="AV556" t="s">
        <v>148</v>
      </c>
      <c r="AW556" s="16" t="str">
        <f t="shared" si="176"/>
        <v>OK</v>
      </c>
      <c r="AX556" s="16" t="str">
        <f t="shared" si="177"/>
        <v>OK</v>
      </c>
      <c r="AY556" s="16" t="str">
        <f t="shared" si="178"/>
        <v>OK</v>
      </c>
      <c r="AZ556" s="16" t="str">
        <f t="shared" si="179"/>
        <v>OK</v>
      </c>
      <c r="BA556" s="16" t="str">
        <f t="shared" si="183"/>
        <v>OK</v>
      </c>
      <c r="BB556" s="21">
        <f>COUNTIF('Trip Changes'!B:B,A556)</f>
        <v>0</v>
      </c>
      <c r="BC556" s="16" t="str">
        <f>IF(OR(AND(AD556="Yes",COUNTIF('Trip Changes'!B:B,A556)&gt;0),AND(AD556="No",COUNTIF('Trip Changes'!B:B,A556)=0)),"OK","Check")</f>
        <v>OK</v>
      </c>
      <c r="BD556" t="str">
        <f t="shared" si="184"/>
        <v>OK</v>
      </c>
      <c r="BE556" t="str">
        <f t="shared" si="185"/>
        <v>OK</v>
      </c>
      <c r="BF556" t="str">
        <f t="shared" si="186"/>
        <v>OK</v>
      </c>
      <c r="BG556" t="str">
        <f t="shared" si="187"/>
        <v>OK</v>
      </c>
      <c r="BH556" t="str">
        <f t="shared" si="188"/>
        <v>OK</v>
      </c>
      <c r="BI556" t="str">
        <f t="shared" si="180"/>
        <v>OK</v>
      </c>
      <c r="BJ556" t="str">
        <f t="shared" si="181"/>
        <v>OK</v>
      </c>
      <c r="BK556" t="str">
        <f t="shared" si="182"/>
        <v>OK</v>
      </c>
    </row>
    <row r="557" spans="1:63">
      <c r="A557" s="16" t="s">
        <v>924</v>
      </c>
      <c r="B557" s="16" t="s">
        <v>923</v>
      </c>
      <c r="C557" s="16" t="s">
        <v>182</v>
      </c>
      <c r="D557" s="16" t="s">
        <v>230</v>
      </c>
      <c r="E557" s="16" t="s">
        <v>268</v>
      </c>
      <c r="F557" s="16" t="s">
        <v>157</v>
      </c>
      <c r="G557" s="15">
        <v>46189</v>
      </c>
      <c r="H557" s="15">
        <v>46208</v>
      </c>
      <c r="I557" s="15">
        <v>46217</v>
      </c>
      <c r="J557" s="15" t="s">
        <v>150</v>
      </c>
      <c r="K557" s="16" t="s">
        <v>182</v>
      </c>
      <c r="L557" t="s">
        <v>223</v>
      </c>
      <c r="M557" s="16" t="s">
        <v>152</v>
      </c>
      <c r="N557" s="16" t="s">
        <v>153</v>
      </c>
      <c r="O557" t="s">
        <v>1614</v>
      </c>
      <c r="P557" s="18">
        <v>21018</v>
      </c>
      <c r="Q557" s="21">
        <v>19</v>
      </c>
      <c r="R557" s="21" t="str">
        <f t="shared" si="168"/>
        <v>15-30 days</v>
      </c>
      <c r="S557" s="16" t="s">
        <v>145</v>
      </c>
      <c r="T557" s="16" t="s">
        <v>441</v>
      </c>
      <c r="U557" s="16" t="s">
        <v>164</v>
      </c>
      <c r="V557" t="str">
        <f>IF(U557="","",IFERROR(VLOOKUP(U557,Hotels!A:B,2,FALSE),"Not Found"))</f>
        <v>Marriott</v>
      </c>
      <c r="W557" s="14">
        <v>910.26</v>
      </c>
      <c r="X557" s="14">
        <v>0</v>
      </c>
      <c r="Y557" s="21">
        <v>8</v>
      </c>
      <c r="Z557" s="29">
        <f t="shared" si="169"/>
        <v>218.05250000000001</v>
      </c>
      <c r="AA557" s="14">
        <v>1744.42</v>
      </c>
      <c r="AB557" s="14">
        <v>54.9</v>
      </c>
      <c r="AC557" s="14">
        <v>2709.58</v>
      </c>
      <c r="AD557" s="16" t="s">
        <v>147</v>
      </c>
      <c r="AE557" s="16" t="s">
        <v>147</v>
      </c>
      <c r="AF557" s="14">
        <f>SUMIF('Trip Changes'!$B:$B,A557,'Trip Changes'!$E:$E)</f>
        <v>0</v>
      </c>
      <c r="AG557" s="23">
        <f>SUMIF('Trip Cancellations'!$B:$B,A557,'Trip Cancellations'!$E:$E)</f>
        <v>0</v>
      </c>
      <c r="AH557" s="14">
        <f>SUMIF('Trip Cancellations'!$B:$B,A557,'Trip Cancellations'!$F:$F)</f>
        <v>0</v>
      </c>
      <c r="AI557" s="14">
        <f t="shared" si="170"/>
        <v>2709.58</v>
      </c>
      <c r="AJ557" s="14" t="str">
        <f t="shared" si="171"/>
        <v>Yes</v>
      </c>
      <c r="AK557" s="14" t="str">
        <f>IF(Y557=0,"N/A",
IF(_xlfn.XLOOKUP(U557,Hotels!A:A,Hotels!C:C)=TRUE,"Yes","No"))</f>
        <v>Yes</v>
      </c>
      <c r="AL557" s="14" t="str">
        <f>IF(N557="Rail","N/A",IF(_xlfn.XLOOKUP(T557,Airlines!A:A,Airlines!C:C)=TRUE,"Yes","No"))</f>
        <v>Yes</v>
      </c>
      <c r="AM557" s="14" t="str">
        <f t="shared" si="172"/>
        <v>Yes</v>
      </c>
      <c r="AN557" s="14" t="str">
        <f t="shared" si="173"/>
        <v>Yes</v>
      </c>
      <c r="AO557" s="14" t="str">
        <f t="shared" si="174"/>
        <v>Yes</v>
      </c>
      <c r="AP557" s="16" t="s">
        <v>148</v>
      </c>
      <c r="AQ557" t="str">
        <f t="shared" si="175"/>
        <v>Yes</v>
      </c>
      <c r="AR557" s="21">
        <v>4</v>
      </c>
      <c r="AS557" s="5">
        <v>3152.7</v>
      </c>
      <c r="AT557" s="5" t="str">
        <f>IF(T557="","",_xlfn.XLOOKUP(T557,Airlines!A:A,Airlines!B:B,"Not Found"))</f>
        <v>Emirates</v>
      </c>
      <c r="AU557" s="5" t="str">
        <f>IF(U557="","",_xlfn.XLOOKUP(U557,Hotels!A:A,Hotels!B:B,"Not found"))</f>
        <v>Marriott</v>
      </c>
      <c r="AV557" t="s">
        <v>147</v>
      </c>
      <c r="AW557" s="16" t="str">
        <f t="shared" si="176"/>
        <v>OK</v>
      </c>
      <c r="AX557" s="16" t="str">
        <f t="shared" si="177"/>
        <v>OK</v>
      </c>
      <c r="AY557" s="16" t="str">
        <f t="shared" si="178"/>
        <v>OK</v>
      </c>
      <c r="AZ557" s="16" t="str">
        <f t="shared" si="179"/>
        <v>OK</v>
      </c>
      <c r="BA557" s="16" t="str">
        <f t="shared" si="183"/>
        <v>OK</v>
      </c>
      <c r="BB557" s="21">
        <f>COUNTIF('Trip Changes'!B:B,A557)</f>
        <v>0</v>
      </c>
      <c r="BC557" s="16" t="str">
        <f>IF(OR(AND(AD557="Yes",COUNTIF('Trip Changes'!B:B,A557)&gt;0),AND(AD557="No",COUNTIF('Trip Changes'!B:B,A557)=0)),"OK","Check")</f>
        <v>OK</v>
      </c>
      <c r="BD557" t="str">
        <f t="shared" si="184"/>
        <v>OK</v>
      </c>
      <c r="BE557" t="str">
        <f t="shared" si="185"/>
        <v>OK</v>
      </c>
      <c r="BF557" t="str">
        <f t="shared" si="186"/>
        <v>OK</v>
      </c>
      <c r="BG557" t="str">
        <f t="shared" si="187"/>
        <v>OK</v>
      </c>
      <c r="BH557" t="str">
        <f t="shared" si="188"/>
        <v>OK</v>
      </c>
      <c r="BI557" t="str">
        <f t="shared" si="180"/>
        <v>OK</v>
      </c>
      <c r="BJ557" t="str">
        <f t="shared" si="181"/>
        <v>OK</v>
      </c>
      <c r="BK557" t="str">
        <f t="shared" si="182"/>
        <v>OK</v>
      </c>
    </row>
    <row r="558" spans="1:63">
      <c r="A558" s="16" t="s">
        <v>925</v>
      </c>
      <c r="B558" s="16" t="s">
        <v>926</v>
      </c>
      <c r="C558" s="16" t="s">
        <v>182</v>
      </c>
      <c r="D558" s="16" t="s">
        <v>168</v>
      </c>
      <c r="E558" s="16" t="s">
        <v>249</v>
      </c>
      <c r="F558" s="16" t="s">
        <v>189</v>
      </c>
      <c r="G558" s="15">
        <v>46149</v>
      </c>
      <c r="H558" s="15">
        <v>46161</v>
      </c>
      <c r="I558" s="15">
        <v>46168</v>
      </c>
      <c r="J558" s="15" t="s">
        <v>163</v>
      </c>
      <c r="K558" s="16" t="s">
        <v>182</v>
      </c>
      <c r="L558" t="s">
        <v>240</v>
      </c>
      <c r="M558" s="16" t="s">
        <v>152</v>
      </c>
      <c r="N558" s="16" t="s">
        <v>153</v>
      </c>
      <c r="O558" t="s">
        <v>1614</v>
      </c>
      <c r="P558" s="18">
        <v>20998</v>
      </c>
      <c r="Q558" s="21">
        <v>12</v>
      </c>
      <c r="R558" s="21" t="str">
        <f t="shared" si="168"/>
        <v>8-14 days</v>
      </c>
      <c r="S558" s="16" t="s">
        <v>159</v>
      </c>
      <c r="T558" s="16" t="s">
        <v>441</v>
      </c>
      <c r="U558" s="16" t="s">
        <v>155</v>
      </c>
      <c r="V558" t="str">
        <f>IF(U558="","",IFERROR(VLOOKUP(U558,Hotels!A:B,2,FALSE),"Not Found"))</f>
        <v>Hilton</v>
      </c>
      <c r="W558" s="14">
        <v>1733.67</v>
      </c>
      <c r="X558" s="14">
        <v>0</v>
      </c>
      <c r="Y558" s="21">
        <v>6</v>
      </c>
      <c r="Z558" s="29">
        <f t="shared" si="169"/>
        <v>188.07166666666669</v>
      </c>
      <c r="AA558" s="14">
        <v>1128.43</v>
      </c>
      <c r="AB558" s="14">
        <v>73.069999999999993</v>
      </c>
      <c r="AC558" s="14">
        <v>2935.17</v>
      </c>
      <c r="AD558" s="16" t="s">
        <v>147</v>
      </c>
      <c r="AE558" s="16" t="s">
        <v>147</v>
      </c>
      <c r="AF558" s="14">
        <f>SUMIF('Trip Changes'!$B:$B,A558,'Trip Changes'!$E:$E)</f>
        <v>0</v>
      </c>
      <c r="AG558" s="23">
        <f>SUMIF('Trip Cancellations'!$B:$B,A558,'Trip Cancellations'!$E:$E)</f>
        <v>0</v>
      </c>
      <c r="AH558" s="14">
        <f>SUMIF('Trip Cancellations'!$B:$B,A558,'Trip Cancellations'!$F:$F)</f>
        <v>0</v>
      </c>
      <c r="AI558" s="14">
        <f t="shared" si="170"/>
        <v>2935.17</v>
      </c>
      <c r="AJ558" s="14" t="str">
        <f t="shared" si="171"/>
        <v>Yes</v>
      </c>
      <c r="AK558" s="14" t="str">
        <f>IF(Y558=0,"N/A",
IF(_xlfn.XLOOKUP(U558,Hotels!A:A,Hotels!C:C)=TRUE,"Yes","No"))</f>
        <v>Yes</v>
      </c>
      <c r="AL558" s="14" t="str">
        <f>IF(N558="Rail","N/A",IF(_xlfn.XLOOKUP(T558,Airlines!A:A,Airlines!C:C)=TRUE,"Yes","No"))</f>
        <v>Yes</v>
      </c>
      <c r="AM558" s="14" t="str">
        <f t="shared" si="172"/>
        <v>Yes</v>
      </c>
      <c r="AN558" s="14" t="str">
        <f t="shared" si="173"/>
        <v>Yes</v>
      </c>
      <c r="AO558" s="14" t="str">
        <f t="shared" si="174"/>
        <v>Yes</v>
      </c>
      <c r="AP558" s="16" t="s">
        <v>147</v>
      </c>
      <c r="AQ558" t="str">
        <f t="shared" si="175"/>
        <v>Yes</v>
      </c>
      <c r="AR558" s="21">
        <v>4</v>
      </c>
      <c r="AS558" s="5">
        <v>3149.7</v>
      </c>
      <c r="AT558" s="5" t="str">
        <f>IF(T558="","",_xlfn.XLOOKUP(T558,Airlines!A:A,Airlines!B:B,"Not Found"))</f>
        <v>Emirates</v>
      </c>
      <c r="AU558" s="5" t="str">
        <f>IF(U558="","",_xlfn.XLOOKUP(U558,Hotels!A:A,Hotels!B:B,"Not found"))</f>
        <v>Hilton</v>
      </c>
      <c r="AV558" t="s">
        <v>147</v>
      </c>
      <c r="AW558" s="16" t="str">
        <f t="shared" si="176"/>
        <v>OK</v>
      </c>
      <c r="AX558" s="16" t="str">
        <f t="shared" si="177"/>
        <v>OK</v>
      </c>
      <c r="AY558" s="16" t="str">
        <f t="shared" si="178"/>
        <v>OK</v>
      </c>
      <c r="AZ558" s="16" t="str">
        <f t="shared" si="179"/>
        <v>OK</v>
      </c>
      <c r="BA558" s="16" t="str">
        <f t="shared" si="183"/>
        <v>OK</v>
      </c>
      <c r="BB558" s="21">
        <f>COUNTIF('Trip Changes'!B:B,A558)</f>
        <v>0</v>
      </c>
      <c r="BC558" s="16" t="str">
        <f>IF(OR(AND(AD558="Yes",COUNTIF('Trip Changes'!B:B,A558)&gt;0),AND(AD558="No",COUNTIF('Trip Changes'!B:B,A558)=0)),"OK","Check")</f>
        <v>OK</v>
      </c>
      <c r="BD558" t="str">
        <f t="shared" si="184"/>
        <v>OK</v>
      </c>
      <c r="BE558" t="str">
        <f t="shared" si="185"/>
        <v>OK</v>
      </c>
      <c r="BF558" t="str">
        <f t="shared" si="186"/>
        <v>OK</v>
      </c>
      <c r="BG558" t="str">
        <f t="shared" si="187"/>
        <v>OK</v>
      </c>
      <c r="BH558" t="str">
        <f t="shared" si="188"/>
        <v>OK</v>
      </c>
      <c r="BI558" t="str">
        <f t="shared" si="180"/>
        <v>OK</v>
      </c>
      <c r="BJ558" t="str">
        <f t="shared" si="181"/>
        <v>OK</v>
      </c>
      <c r="BK558" t="str">
        <f t="shared" si="182"/>
        <v>OK</v>
      </c>
    </row>
    <row r="559" spans="1:63">
      <c r="A559" s="16" t="s">
        <v>927</v>
      </c>
      <c r="B559" s="16" t="s">
        <v>926</v>
      </c>
      <c r="C559" s="16" t="s">
        <v>182</v>
      </c>
      <c r="D559" s="16" t="s">
        <v>168</v>
      </c>
      <c r="E559" s="16" t="s">
        <v>249</v>
      </c>
      <c r="F559" s="16" t="s">
        <v>162</v>
      </c>
      <c r="G559" s="15">
        <v>46115</v>
      </c>
      <c r="H559" s="15">
        <v>46150</v>
      </c>
      <c r="I559" s="15">
        <v>46153</v>
      </c>
      <c r="J559" s="15" t="s">
        <v>163</v>
      </c>
      <c r="K559" s="16" t="s">
        <v>182</v>
      </c>
      <c r="L559" t="s">
        <v>199</v>
      </c>
      <c r="M559" s="16" t="s">
        <v>152</v>
      </c>
      <c r="N559" s="16" t="s">
        <v>153</v>
      </c>
      <c r="O559" t="s">
        <v>1614</v>
      </c>
      <c r="P559" s="18">
        <v>2588</v>
      </c>
      <c r="Q559" s="21">
        <v>35</v>
      </c>
      <c r="R559" s="21" t="str">
        <f t="shared" si="168"/>
        <v>31+ days</v>
      </c>
      <c r="S559" s="16" t="s">
        <v>159</v>
      </c>
      <c r="T559" s="16" t="s">
        <v>200</v>
      </c>
      <c r="U559" s="16" t="s">
        <v>164</v>
      </c>
      <c r="V559" t="str">
        <f>IF(U559="","",IFERROR(VLOOKUP(U559,Hotels!A:B,2,FALSE),"Not Found"))</f>
        <v>Marriott</v>
      </c>
      <c r="W559" s="14">
        <v>316.27</v>
      </c>
      <c r="X559" s="14">
        <v>0</v>
      </c>
      <c r="Y559" s="21">
        <v>2</v>
      </c>
      <c r="Z559" s="29">
        <f t="shared" si="169"/>
        <v>134.405</v>
      </c>
      <c r="AA559" s="14">
        <v>268.81</v>
      </c>
      <c r="AB559" s="14">
        <v>94.96</v>
      </c>
      <c r="AC559" s="14">
        <v>680.04</v>
      </c>
      <c r="AD559" s="16" t="s">
        <v>148</v>
      </c>
      <c r="AE559" s="16" t="s">
        <v>147</v>
      </c>
      <c r="AF559" s="14">
        <f>SUMIF('Trip Changes'!$B:$B,A559,'Trip Changes'!$E:$E)</f>
        <v>15</v>
      </c>
      <c r="AG559" s="23">
        <f>SUMIF('Trip Cancellations'!$B:$B,A559,'Trip Cancellations'!$E:$E)</f>
        <v>0</v>
      </c>
      <c r="AH559" s="14">
        <f>SUMIF('Trip Cancellations'!$B:$B,A559,'Trip Cancellations'!$F:$F)</f>
        <v>0</v>
      </c>
      <c r="AI559" s="14">
        <f t="shared" si="170"/>
        <v>695.04</v>
      </c>
      <c r="AJ559" s="14" t="str">
        <f t="shared" si="171"/>
        <v>Yes</v>
      </c>
      <c r="AK559" s="14" t="str">
        <f>IF(Y559=0,"N/A",
IF(_xlfn.XLOOKUP(U559,Hotels!A:A,Hotels!C:C)=TRUE,"Yes","No"))</f>
        <v>Yes</v>
      </c>
      <c r="AL559" s="14" t="str">
        <f>IF(N559="Rail","N/A",IF(_xlfn.XLOOKUP(T559,Airlines!A:A,Airlines!C:C)=TRUE,"Yes","No"))</f>
        <v>Yes</v>
      </c>
      <c r="AM559" s="14" t="str">
        <f t="shared" si="172"/>
        <v>Yes</v>
      </c>
      <c r="AN559" s="14" t="str">
        <f t="shared" si="173"/>
        <v>Yes</v>
      </c>
      <c r="AO559" s="14" t="str">
        <f t="shared" si="174"/>
        <v>Yes</v>
      </c>
      <c r="AP559" s="16" t="s">
        <v>148</v>
      </c>
      <c r="AQ559" t="str">
        <f t="shared" si="175"/>
        <v>Yes</v>
      </c>
      <c r="AR559" s="21">
        <v>5</v>
      </c>
      <c r="AS559" s="5">
        <v>388.2</v>
      </c>
      <c r="AT559" s="5" t="str">
        <f>IF(T559="","",_xlfn.XLOOKUP(T559,Airlines!A:A,Airlines!B:B,"Not Found"))</f>
        <v>Aer Lingus</v>
      </c>
      <c r="AU559" s="5" t="str">
        <f>IF(U559="","",_xlfn.XLOOKUP(U559,Hotels!A:A,Hotels!B:B,"Not found"))</f>
        <v>Marriott</v>
      </c>
      <c r="AV559" t="s">
        <v>147</v>
      </c>
      <c r="AW559" s="16" t="str">
        <f t="shared" si="176"/>
        <v>OK</v>
      </c>
      <c r="AX559" s="16" t="str">
        <f t="shared" si="177"/>
        <v>OK</v>
      </c>
      <c r="AY559" s="16" t="str">
        <f t="shared" si="178"/>
        <v>OK</v>
      </c>
      <c r="AZ559" s="16" t="str">
        <f t="shared" si="179"/>
        <v>OK</v>
      </c>
      <c r="BA559" s="16" t="str">
        <f t="shared" si="183"/>
        <v>OK</v>
      </c>
      <c r="BB559" s="21">
        <f>COUNTIF('Trip Changes'!B:B,A559)</f>
        <v>1</v>
      </c>
      <c r="BC559" s="16" t="str">
        <f>IF(OR(AND(AD559="Yes",COUNTIF('Trip Changes'!B:B,A559)&gt;0),AND(AD559="No",COUNTIF('Trip Changes'!B:B,A559)=0)),"OK","Check")</f>
        <v>OK</v>
      </c>
      <c r="BD559" t="str">
        <f t="shared" si="184"/>
        <v>OK</v>
      </c>
      <c r="BE559" t="str">
        <f t="shared" si="185"/>
        <v>OK</v>
      </c>
      <c r="BF559" t="str">
        <f t="shared" si="186"/>
        <v>OK</v>
      </c>
      <c r="BG559" t="str">
        <f t="shared" si="187"/>
        <v>OK</v>
      </c>
      <c r="BH559" t="str">
        <f t="shared" si="188"/>
        <v>OK</v>
      </c>
      <c r="BI559" t="str">
        <f t="shared" si="180"/>
        <v>OK</v>
      </c>
      <c r="BJ559" t="str">
        <f t="shared" si="181"/>
        <v>OK</v>
      </c>
      <c r="BK559" t="str">
        <f t="shared" si="182"/>
        <v>OK</v>
      </c>
    </row>
    <row r="560" spans="1:63">
      <c r="A560" s="16" t="s">
        <v>928</v>
      </c>
      <c r="B560" s="16" t="s">
        <v>926</v>
      </c>
      <c r="C560" s="16" t="s">
        <v>182</v>
      </c>
      <c r="D560" s="16" t="s">
        <v>168</v>
      </c>
      <c r="E560" s="16" t="s">
        <v>249</v>
      </c>
      <c r="F560" s="16" t="s">
        <v>178</v>
      </c>
      <c r="G560" s="15">
        <v>46206</v>
      </c>
      <c r="H560" s="15">
        <v>46212</v>
      </c>
      <c r="I560" s="15">
        <v>46214</v>
      </c>
      <c r="J560" s="15" t="s">
        <v>150</v>
      </c>
      <c r="K560" s="16" t="s">
        <v>182</v>
      </c>
      <c r="L560" t="s">
        <v>193</v>
      </c>
      <c r="M560" s="16" t="s">
        <v>143</v>
      </c>
      <c r="N560" s="16" t="s">
        <v>144</v>
      </c>
      <c r="O560" t="s">
        <v>1630</v>
      </c>
      <c r="P560" s="18">
        <v>888</v>
      </c>
      <c r="Q560" s="21">
        <v>6</v>
      </c>
      <c r="R560" s="21" t="str">
        <f t="shared" si="168"/>
        <v>4-7 days</v>
      </c>
      <c r="S560" s="16" t="s">
        <v>207</v>
      </c>
      <c r="U560" s="16" t="s">
        <v>195</v>
      </c>
      <c r="V560" t="str">
        <f>IF(U560="","",IFERROR(VLOOKUP(U560,Hotels!A:B,2,FALSE),"Not Found"))</f>
        <v>Travelodge</v>
      </c>
      <c r="W560" s="14">
        <v>0</v>
      </c>
      <c r="X560" s="14">
        <v>229.54</v>
      </c>
      <c r="Y560" s="21">
        <v>1</v>
      </c>
      <c r="Z560" s="29">
        <f t="shared" si="169"/>
        <v>142.86000000000001</v>
      </c>
      <c r="AA560" s="14">
        <v>142.86000000000001</v>
      </c>
      <c r="AB560" s="14">
        <v>73.040000000000006</v>
      </c>
      <c r="AC560" s="14">
        <v>445.44</v>
      </c>
      <c r="AD560" s="16" t="s">
        <v>147</v>
      </c>
      <c r="AE560" s="16" t="s">
        <v>147</v>
      </c>
      <c r="AF560" s="14">
        <f>SUMIF('Trip Changes'!$B:$B,A560,'Trip Changes'!$E:$E)</f>
        <v>0</v>
      </c>
      <c r="AG560" s="23">
        <f>SUMIF('Trip Cancellations'!$B:$B,A560,'Trip Cancellations'!$E:$E)</f>
        <v>0</v>
      </c>
      <c r="AH560" s="14">
        <f>SUMIF('Trip Cancellations'!$B:$B,A560,'Trip Cancellations'!$F:$F)</f>
        <v>0</v>
      </c>
      <c r="AI560" s="14">
        <f t="shared" si="170"/>
        <v>445.44</v>
      </c>
      <c r="AJ560" s="14" t="str">
        <f t="shared" si="171"/>
        <v>Yes</v>
      </c>
      <c r="AK560" s="14" t="str">
        <f>IF(Y560=0,"N/A",
IF(_xlfn.XLOOKUP(U560,Hotels!A:A,Hotels!C:C)=TRUE,"Yes","No"))</f>
        <v>No</v>
      </c>
      <c r="AL560" s="14" t="str">
        <f>IF(N560="Rail","N/A",IF(_xlfn.XLOOKUP(T560,Airlines!A:A,Airlines!C:C)=TRUE,"Yes","No"))</f>
        <v>N/A</v>
      </c>
      <c r="AM560" s="14" t="str">
        <f t="shared" si="172"/>
        <v>Yes</v>
      </c>
      <c r="AN560" s="14" t="str">
        <f t="shared" si="173"/>
        <v>No</v>
      </c>
      <c r="AO560" s="14" t="str">
        <f t="shared" si="174"/>
        <v>No</v>
      </c>
      <c r="AP560" s="16" t="s">
        <v>148</v>
      </c>
      <c r="AQ560" t="str">
        <f t="shared" si="175"/>
        <v>No</v>
      </c>
      <c r="AR560" s="21">
        <v>3</v>
      </c>
      <c r="AS560" s="5">
        <v>35.5</v>
      </c>
      <c r="AT560" s="5" t="str">
        <f>IF(T560="","",_xlfn.XLOOKUP(T560,Airlines!A:A,Airlines!B:B,"Not Found"))</f>
        <v/>
      </c>
      <c r="AU560" s="5" t="str">
        <f>IF(U560="","",_xlfn.XLOOKUP(U560,Hotels!A:A,Hotels!B:B,"Not found"))</f>
        <v>Travelodge</v>
      </c>
      <c r="AV560" t="s">
        <v>147</v>
      </c>
      <c r="AW560" s="16" t="str">
        <f t="shared" si="176"/>
        <v>OK</v>
      </c>
      <c r="AX560" s="16" t="str">
        <f t="shared" si="177"/>
        <v>OK</v>
      </c>
      <c r="AY560" s="16" t="str">
        <f t="shared" si="178"/>
        <v>OK</v>
      </c>
      <c r="AZ560" s="16" t="str">
        <f t="shared" si="179"/>
        <v>OK</v>
      </c>
      <c r="BA560" s="16" t="str">
        <f t="shared" si="183"/>
        <v>OK</v>
      </c>
      <c r="BB560" s="21">
        <f>COUNTIF('Trip Changes'!B:B,A560)</f>
        <v>0</v>
      </c>
      <c r="BC560" s="16" t="str">
        <f>IF(OR(AND(AD560="Yes",COUNTIF('Trip Changes'!B:B,A560)&gt;0),AND(AD560="No",COUNTIF('Trip Changes'!B:B,A560)=0)),"OK","Check")</f>
        <v>OK</v>
      </c>
      <c r="BD560" t="str">
        <f t="shared" si="184"/>
        <v>OK</v>
      </c>
      <c r="BE560" t="str">
        <f t="shared" si="185"/>
        <v>OK</v>
      </c>
      <c r="BF560" t="str">
        <f t="shared" si="186"/>
        <v>OK</v>
      </c>
      <c r="BG560" t="str">
        <f t="shared" si="187"/>
        <v>OK</v>
      </c>
      <c r="BH560" t="str">
        <f t="shared" si="188"/>
        <v>OK</v>
      </c>
      <c r="BI560" t="str">
        <f t="shared" si="180"/>
        <v>OK</v>
      </c>
      <c r="BJ560" t="str">
        <f t="shared" si="181"/>
        <v>OK</v>
      </c>
      <c r="BK560" t="str">
        <f t="shared" si="182"/>
        <v>OK</v>
      </c>
    </row>
    <row r="561" spans="1:63">
      <c r="A561" s="16" t="s">
        <v>929</v>
      </c>
      <c r="B561" s="16" t="s">
        <v>926</v>
      </c>
      <c r="C561" s="16" t="s">
        <v>182</v>
      </c>
      <c r="D561" s="16" t="s">
        <v>168</v>
      </c>
      <c r="E561" s="16" t="s">
        <v>249</v>
      </c>
      <c r="F561" s="16" t="s">
        <v>140</v>
      </c>
      <c r="G561" s="15">
        <v>46172</v>
      </c>
      <c r="H561" s="15">
        <v>46178</v>
      </c>
      <c r="I561" s="15">
        <v>46183</v>
      </c>
      <c r="J561" s="15" t="s">
        <v>141</v>
      </c>
      <c r="K561" s="16" t="s">
        <v>182</v>
      </c>
      <c r="L561" t="s">
        <v>175</v>
      </c>
      <c r="M561" s="16" t="s">
        <v>152</v>
      </c>
      <c r="N561" s="16" t="s">
        <v>153</v>
      </c>
      <c r="O561" t="s">
        <v>1614</v>
      </c>
      <c r="P561" s="18">
        <v>3578</v>
      </c>
      <c r="Q561" s="21">
        <v>6</v>
      </c>
      <c r="R561" s="21" t="str">
        <f t="shared" si="168"/>
        <v>4-7 days</v>
      </c>
      <c r="S561" s="16" t="s">
        <v>145</v>
      </c>
      <c r="T561" s="16" t="s">
        <v>160</v>
      </c>
      <c r="U561" s="16" t="s">
        <v>164</v>
      </c>
      <c r="V561" t="str">
        <f>IF(U561="","",IFERROR(VLOOKUP(U561,Hotels!A:B,2,FALSE),"Not Found"))</f>
        <v>Marriott</v>
      </c>
      <c r="W561" s="14">
        <v>355.25</v>
      </c>
      <c r="X561" s="14">
        <v>0</v>
      </c>
      <c r="Y561" s="21">
        <v>4</v>
      </c>
      <c r="Z561" s="29">
        <f t="shared" si="169"/>
        <v>162.36000000000001</v>
      </c>
      <c r="AA561" s="14">
        <v>649.44000000000005</v>
      </c>
      <c r="AB561" s="14">
        <v>77.63</v>
      </c>
      <c r="AC561" s="14">
        <v>1082.32</v>
      </c>
      <c r="AD561" s="16" t="s">
        <v>147</v>
      </c>
      <c r="AE561" s="16" t="s">
        <v>147</v>
      </c>
      <c r="AF561" s="14">
        <f>SUMIF('Trip Changes'!$B:$B,A561,'Trip Changes'!$E:$E)</f>
        <v>0</v>
      </c>
      <c r="AG561" s="23">
        <f>SUMIF('Trip Cancellations'!$B:$B,A561,'Trip Cancellations'!$E:$E)</f>
        <v>0</v>
      </c>
      <c r="AH561" s="14">
        <f>SUMIF('Trip Cancellations'!$B:$B,A561,'Trip Cancellations'!$F:$F)</f>
        <v>0</v>
      </c>
      <c r="AI561" s="14">
        <f t="shared" si="170"/>
        <v>1082.32</v>
      </c>
      <c r="AJ561" s="14" t="str">
        <f t="shared" si="171"/>
        <v>Yes</v>
      </c>
      <c r="AK561" s="14" t="str">
        <f>IF(Y561=0,"N/A",
IF(_xlfn.XLOOKUP(U561,Hotels!A:A,Hotels!C:C)=TRUE,"Yes","No"))</f>
        <v>Yes</v>
      </c>
      <c r="AL561" s="14" t="str">
        <f>IF(N561="Rail","N/A",IF(_xlfn.XLOOKUP(T561,Airlines!A:A,Airlines!C:C)=TRUE,"Yes","No"))</f>
        <v>Yes</v>
      </c>
      <c r="AM561" s="14" t="str">
        <f t="shared" si="172"/>
        <v>Yes</v>
      </c>
      <c r="AN561" s="14" t="str">
        <f t="shared" si="173"/>
        <v>Yes</v>
      </c>
      <c r="AO561" s="14" t="str">
        <f t="shared" si="174"/>
        <v>Yes</v>
      </c>
      <c r="AP561" s="16" t="s">
        <v>148</v>
      </c>
      <c r="AQ561" t="str">
        <f t="shared" si="175"/>
        <v>Yes</v>
      </c>
      <c r="AR561" s="21">
        <v>5</v>
      </c>
      <c r="AS561" s="5">
        <v>536.70000000000005</v>
      </c>
      <c r="AT561" s="5" t="str">
        <f>IF(T561="","",_xlfn.XLOOKUP(T561,Airlines!A:A,Airlines!B:B,"Not Found"))</f>
        <v>Air France</v>
      </c>
      <c r="AU561" s="5" t="str">
        <f>IF(U561="","",_xlfn.XLOOKUP(U561,Hotels!A:A,Hotels!B:B,"Not found"))</f>
        <v>Marriott</v>
      </c>
      <c r="AV561" t="s">
        <v>148</v>
      </c>
      <c r="AW561" s="16" t="str">
        <f t="shared" si="176"/>
        <v>OK</v>
      </c>
      <c r="AX561" s="16" t="str">
        <f t="shared" si="177"/>
        <v>OK</v>
      </c>
      <c r="AY561" s="16" t="str">
        <f t="shared" si="178"/>
        <v>OK</v>
      </c>
      <c r="AZ561" s="16" t="str">
        <f t="shared" si="179"/>
        <v>OK</v>
      </c>
      <c r="BA561" s="16" t="str">
        <f t="shared" si="183"/>
        <v>OK</v>
      </c>
      <c r="BB561" s="21">
        <f>COUNTIF('Trip Changes'!B:B,A561)</f>
        <v>0</v>
      </c>
      <c r="BC561" s="16" t="str">
        <f>IF(OR(AND(AD561="Yes",COUNTIF('Trip Changes'!B:B,A561)&gt;0),AND(AD561="No",COUNTIF('Trip Changes'!B:B,A561)=0)),"OK","Check")</f>
        <v>OK</v>
      </c>
      <c r="BD561" t="str">
        <f t="shared" si="184"/>
        <v>OK</v>
      </c>
      <c r="BE561" t="str">
        <f t="shared" si="185"/>
        <v>OK</v>
      </c>
      <c r="BF561" t="str">
        <f t="shared" si="186"/>
        <v>OK</v>
      </c>
      <c r="BG561" t="str">
        <f t="shared" si="187"/>
        <v>OK</v>
      </c>
      <c r="BH561" t="str">
        <f t="shared" si="188"/>
        <v>OK</v>
      </c>
      <c r="BI561" t="str">
        <f t="shared" si="180"/>
        <v>OK</v>
      </c>
      <c r="BJ561" t="str">
        <f t="shared" si="181"/>
        <v>OK</v>
      </c>
      <c r="BK561" t="str">
        <f t="shared" si="182"/>
        <v>OK</v>
      </c>
    </row>
    <row r="562" spans="1:63">
      <c r="A562" s="16" t="s">
        <v>930</v>
      </c>
      <c r="B562" s="16" t="s">
        <v>926</v>
      </c>
      <c r="C562" s="16" t="s">
        <v>182</v>
      </c>
      <c r="D562" s="16" t="s">
        <v>168</v>
      </c>
      <c r="E562" s="16" t="s">
        <v>249</v>
      </c>
      <c r="F562" s="16" t="s">
        <v>189</v>
      </c>
      <c r="G562" s="15">
        <v>46120</v>
      </c>
      <c r="H562" s="15">
        <v>46145</v>
      </c>
      <c r="I562" s="15">
        <v>46147</v>
      </c>
      <c r="J562" s="15" t="s">
        <v>163</v>
      </c>
      <c r="K562" s="16" t="s">
        <v>182</v>
      </c>
      <c r="L562" t="s">
        <v>227</v>
      </c>
      <c r="M562" s="16" t="s">
        <v>152</v>
      </c>
      <c r="N562" s="16" t="s">
        <v>153</v>
      </c>
      <c r="O562" t="s">
        <v>1614</v>
      </c>
      <c r="P562" s="18">
        <v>1364</v>
      </c>
      <c r="Q562" s="21">
        <v>25</v>
      </c>
      <c r="R562" s="21" t="str">
        <f t="shared" si="168"/>
        <v>15-30 days</v>
      </c>
      <c r="S562" s="16" t="s">
        <v>145</v>
      </c>
      <c r="T562" s="16" t="s">
        <v>160</v>
      </c>
      <c r="U562" s="16" t="s">
        <v>164</v>
      </c>
      <c r="V562" t="str">
        <f>IF(U562="","",IFERROR(VLOOKUP(U562,Hotels!A:B,2,FALSE),"Not Found"))</f>
        <v>Marriott</v>
      </c>
      <c r="W562" s="14">
        <v>325.16000000000003</v>
      </c>
      <c r="X562" s="14">
        <v>0</v>
      </c>
      <c r="Y562" s="21">
        <v>1</v>
      </c>
      <c r="Z562" s="29">
        <f t="shared" si="169"/>
        <v>136.34</v>
      </c>
      <c r="AA562" s="14">
        <v>136.34</v>
      </c>
      <c r="AB562" s="14">
        <v>102.39</v>
      </c>
      <c r="AC562" s="14">
        <v>563.89</v>
      </c>
      <c r="AD562" s="16" t="s">
        <v>147</v>
      </c>
      <c r="AE562" s="16" t="s">
        <v>147</v>
      </c>
      <c r="AF562" s="14">
        <f>SUMIF('Trip Changes'!$B:$B,A562,'Trip Changes'!$E:$E)</f>
        <v>0</v>
      </c>
      <c r="AG562" s="23">
        <f>SUMIF('Trip Cancellations'!$B:$B,A562,'Trip Cancellations'!$E:$E)</f>
        <v>0</v>
      </c>
      <c r="AH562" s="14">
        <f>SUMIF('Trip Cancellations'!$B:$B,A562,'Trip Cancellations'!$F:$F)</f>
        <v>0</v>
      </c>
      <c r="AI562" s="14">
        <f t="shared" si="170"/>
        <v>563.89</v>
      </c>
      <c r="AJ562" s="14" t="str">
        <f t="shared" si="171"/>
        <v>Yes</v>
      </c>
      <c r="AK562" s="14" t="str">
        <f>IF(Y562=0,"N/A",
IF(_xlfn.XLOOKUP(U562,Hotels!A:A,Hotels!C:C)=TRUE,"Yes","No"))</f>
        <v>Yes</v>
      </c>
      <c r="AL562" s="14" t="str">
        <f>IF(N562="Rail","N/A",IF(_xlfn.XLOOKUP(T562,Airlines!A:A,Airlines!C:C)=TRUE,"Yes","No"))</f>
        <v>Yes</v>
      </c>
      <c r="AM562" s="14" t="str">
        <f t="shared" si="172"/>
        <v>Yes</v>
      </c>
      <c r="AN562" s="14" t="str">
        <f t="shared" si="173"/>
        <v>Yes</v>
      </c>
      <c r="AO562" s="14" t="str">
        <f t="shared" si="174"/>
        <v>Yes</v>
      </c>
      <c r="AP562" s="16" t="s">
        <v>148</v>
      </c>
      <c r="AQ562" t="str">
        <f t="shared" si="175"/>
        <v>Yes</v>
      </c>
      <c r="AR562" s="21">
        <v>5</v>
      </c>
      <c r="AS562" s="5">
        <v>204.6</v>
      </c>
      <c r="AT562" s="5" t="str">
        <f>IF(T562="","",_xlfn.XLOOKUP(T562,Airlines!A:A,Airlines!B:B,"Not Found"))</f>
        <v>Air France</v>
      </c>
      <c r="AU562" s="5" t="str">
        <f>IF(U562="","",_xlfn.XLOOKUP(U562,Hotels!A:A,Hotels!B:B,"Not found"))</f>
        <v>Marriott</v>
      </c>
      <c r="AV562" t="s">
        <v>148</v>
      </c>
      <c r="AW562" s="16" t="str">
        <f t="shared" si="176"/>
        <v>OK</v>
      </c>
      <c r="AX562" s="16" t="str">
        <f t="shared" si="177"/>
        <v>OK</v>
      </c>
      <c r="AY562" s="16" t="str">
        <f t="shared" si="178"/>
        <v>OK</v>
      </c>
      <c r="AZ562" s="16" t="str">
        <f t="shared" si="179"/>
        <v>OK</v>
      </c>
      <c r="BA562" s="16" t="str">
        <f t="shared" si="183"/>
        <v>OK</v>
      </c>
      <c r="BB562" s="21">
        <f>COUNTIF('Trip Changes'!B:B,A562)</f>
        <v>0</v>
      </c>
      <c r="BC562" s="16" t="str">
        <f>IF(OR(AND(AD562="Yes",COUNTIF('Trip Changes'!B:B,A562)&gt;0),AND(AD562="No",COUNTIF('Trip Changes'!B:B,A562)=0)),"OK","Check")</f>
        <v>OK</v>
      </c>
      <c r="BD562" t="str">
        <f t="shared" si="184"/>
        <v>OK</v>
      </c>
      <c r="BE562" t="str">
        <f t="shared" si="185"/>
        <v>OK</v>
      </c>
      <c r="BF562" t="str">
        <f t="shared" si="186"/>
        <v>OK</v>
      </c>
      <c r="BG562" t="str">
        <f t="shared" si="187"/>
        <v>OK</v>
      </c>
      <c r="BH562" t="str">
        <f t="shared" si="188"/>
        <v>OK</v>
      </c>
      <c r="BI562" t="str">
        <f t="shared" si="180"/>
        <v>OK</v>
      </c>
      <c r="BJ562" t="str">
        <f t="shared" si="181"/>
        <v>OK</v>
      </c>
      <c r="BK562" t="str">
        <f t="shared" si="182"/>
        <v>OK</v>
      </c>
    </row>
    <row r="563" spans="1:63">
      <c r="A563" s="16" t="s">
        <v>931</v>
      </c>
      <c r="B563" s="16" t="s">
        <v>926</v>
      </c>
      <c r="C563" s="16" t="s">
        <v>182</v>
      </c>
      <c r="D563" s="16" t="s">
        <v>168</v>
      </c>
      <c r="E563" s="16" t="s">
        <v>249</v>
      </c>
      <c r="F563" s="16" t="s">
        <v>181</v>
      </c>
      <c r="G563" s="15">
        <v>46210</v>
      </c>
      <c r="H563" s="15">
        <v>46225</v>
      </c>
      <c r="I563" s="15">
        <v>46230</v>
      </c>
      <c r="J563" s="15" t="s">
        <v>150</v>
      </c>
      <c r="K563" s="16" t="s">
        <v>182</v>
      </c>
      <c r="L563" t="s">
        <v>233</v>
      </c>
      <c r="M563" s="16" t="s">
        <v>152</v>
      </c>
      <c r="N563" s="16" t="s">
        <v>153</v>
      </c>
      <c r="O563" t="s">
        <v>1614</v>
      </c>
      <c r="P563" s="18">
        <v>3146</v>
      </c>
      <c r="Q563" s="21">
        <v>15</v>
      </c>
      <c r="R563" s="21" t="str">
        <f t="shared" si="168"/>
        <v>15-30 days</v>
      </c>
      <c r="S563" s="16" t="s">
        <v>216</v>
      </c>
      <c r="T563" s="16" t="s">
        <v>160</v>
      </c>
      <c r="U563" s="16" t="s">
        <v>187</v>
      </c>
      <c r="V563" t="str">
        <f>IF(U563="","",IFERROR(VLOOKUP(U563,Hotels!A:B,2,FALSE),"Not Found"))</f>
        <v>IHG Hotels &amp; Resorts</v>
      </c>
      <c r="W563" s="14">
        <v>527.66999999999996</v>
      </c>
      <c r="X563" s="14">
        <v>0</v>
      </c>
      <c r="Y563" s="21">
        <v>4</v>
      </c>
      <c r="Z563" s="29">
        <f t="shared" si="169"/>
        <v>167.6925</v>
      </c>
      <c r="AA563" s="14">
        <v>670.77</v>
      </c>
      <c r="AB563" s="14">
        <v>91.99</v>
      </c>
      <c r="AC563" s="14">
        <v>1290.43</v>
      </c>
      <c r="AD563" s="16" t="s">
        <v>147</v>
      </c>
      <c r="AE563" s="16" t="s">
        <v>147</v>
      </c>
      <c r="AF563" s="14">
        <f>SUMIF('Trip Changes'!$B:$B,A563,'Trip Changes'!$E:$E)</f>
        <v>0</v>
      </c>
      <c r="AG563" s="23">
        <f>SUMIF('Trip Cancellations'!$B:$B,A563,'Trip Cancellations'!$E:$E)</f>
        <v>0</v>
      </c>
      <c r="AH563" s="14">
        <f>SUMIF('Trip Cancellations'!$B:$B,A563,'Trip Cancellations'!$F:$F)</f>
        <v>0</v>
      </c>
      <c r="AI563" s="14">
        <f t="shared" si="170"/>
        <v>1290.43</v>
      </c>
      <c r="AJ563" s="14" t="str">
        <f t="shared" si="171"/>
        <v>Yes</v>
      </c>
      <c r="AK563" s="14" t="str">
        <f>IF(Y563=0,"N/A",
IF(_xlfn.XLOOKUP(U563,Hotels!A:A,Hotels!C:C)=TRUE,"Yes","No"))</f>
        <v>Yes</v>
      </c>
      <c r="AL563" s="14" t="str">
        <f>IF(N563="Rail","N/A",IF(_xlfn.XLOOKUP(T563,Airlines!A:A,Airlines!C:C)=TRUE,"Yes","No"))</f>
        <v>Yes</v>
      </c>
      <c r="AM563" s="14" t="str">
        <f t="shared" si="172"/>
        <v>Yes</v>
      </c>
      <c r="AN563" s="14" t="str">
        <f t="shared" si="173"/>
        <v>No</v>
      </c>
      <c r="AO563" s="14" t="str">
        <f t="shared" si="174"/>
        <v>Yes</v>
      </c>
      <c r="AP563" s="16" t="s">
        <v>147</v>
      </c>
      <c r="AQ563" t="str">
        <f t="shared" si="175"/>
        <v>No</v>
      </c>
      <c r="AR563" s="21">
        <v>5</v>
      </c>
      <c r="AS563" s="5">
        <v>471.9</v>
      </c>
      <c r="AT563" s="5" t="str">
        <f>IF(T563="","",_xlfn.XLOOKUP(T563,Airlines!A:A,Airlines!B:B,"Not Found"))</f>
        <v>Air France</v>
      </c>
      <c r="AU563" s="5" t="str">
        <f>IF(U563="","",_xlfn.XLOOKUP(U563,Hotels!A:A,Hotels!B:B,"Not found"))</f>
        <v>IHG Hotels &amp; Resorts</v>
      </c>
      <c r="AV563" t="s">
        <v>147</v>
      </c>
      <c r="AW563" s="16" t="str">
        <f t="shared" si="176"/>
        <v>OK</v>
      </c>
      <c r="AX563" s="16" t="str">
        <f t="shared" si="177"/>
        <v>OK</v>
      </c>
      <c r="AY563" s="16" t="str">
        <f t="shared" si="178"/>
        <v>OK</v>
      </c>
      <c r="AZ563" s="16" t="str">
        <f t="shared" si="179"/>
        <v>OK</v>
      </c>
      <c r="BA563" s="16" t="str">
        <f t="shared" si="183"/>
        <v>OK</v>
      </c>
      <c r="BB563" s="21">
        <f>COUNTIF('Trip Changes'!B:B,A563)</f>
        <v>0</v>
      </c>
      <c r="BC563" s="16" t="str">
        <f>IF(OR(AND(AD563="Yes",COUNTIF('Trip Changes'!B:B,A563)&gt;0),AND(AD563="No",COUNTIF('Trip Changes'!B:B,A563)=0)),"OK","Check")</f>
        <v>OK</v>
      </c>
      <c r="BD563" t="str">
        <f t="shared" si="184"/>
        <v>OK</v>
      </c>
      <c r="BE563" t="str">
        <f t="shared" si="185"/>
        <v>OK</v>
      </c>
      <c r="BF563" t="str">
        <f t="shared" si="186"/>
        <v>OK</v>
      </c>
      <c r="BG563" t="str">
        <f t="shared" si="187"/>
        <v>OK</v>
      </c>
      <c r="BH563" t="str">
        <f t="shared" si="188"/>
        <v>OK</v>
      </c>
      <c r="BI563" t="str">
        <f t="shared" si="180"/>
        <v>OK</v>
      </c>
      <c r="BJ563" t="str">
        <f t="shared" si="181"/>
        <v>OK</v>
      </c>
      <c r="BK563" t="str">
        <f t="shared" si="182"/>
        <v>OK</v>
      </c>
    </row>
    <row r="564" spans="1:63">
      <c r="A564" s="16" t="s">
        <v>932</v>
      </c>
      <c r="B564" s="16" t="s">
        <v>933</v>
      </c>
      <c r="C564" s="16" t="s">
        <v>142</v>
      </c>
      <c r="D564" s="16" t="s">
        <v>168</v>
      </c>
      <c r="E564" s="16" t="s">
        <v>139</v>
      </c>
      <c r="F564" s="16" t="s">
        <v>181</v>
      </c>
      <c r="G564" s="15">
        <v>46151</v>
      </c>
      <c r="H564" s="15">
        <v>46165</v>
      </c>
      <c r="I564" s="15">
        <v>46168</v>
      </c>
      <c r="J564" s="15" t="s">
        <v>163</v>
      </c>
      <c r="K564" s="16" t="s">
        <v>142</v>
      </c>
      <c r="L564" t="s">
        <v>182</v>
      </c>
      <c r="M564" s="16" t="s">
        <v>143</v>
      </c>
      <c r="N564" s="16" t="s">
        <v>144</v>
      </c>
      <c r="O564" t="s">
        <v>1630</v>
      </c>
      <c r="P564" s="18">
        <v>676</v>
      </c>
      <c r="Q564" s="21">
        <v>14</v>
      </c>
      <c r="R564" s="21" t="str">
        <f t="shared" si="168"/>
        <v>8-14 days</v>
      </c>
      <c r="S564" s="16" t="s">
        <v>145</v>
      </c>
      <c r="U564" s="16" t="s">
        <v>164</v>
      </c>
      <c r="V564" t="str">
        <f>IF(U564="","",IFERROR(VLOOKUP(U564,Hotels!A:B,2,FALSE),"Not Found"))</f>
        <v>Marriott</v>
      </c>
      <c r="W564" s="14">
        <v>0</v>
      </c>
      <c r="X564" s="14">
        <v>237.19</v>
      </c>
      <c r="Y564" s="21">
        <v>2</v>
      </c>
      <c r="Z564" s="29">
        <f t="shared" si="169"/>
        <v>92.6</v>
      </c>
      <c r="AA564" s="14">
        <v>185.2</v>
      </c>
      <c r="AB564" s="14">
        <v>20</v>
      </c>
      <c r="AC564" s="14">
        <v>442.39</v>
      </c>
      <c r="AD564" s="16" t="s">
        <v>147</v>
      </c>
      <c r="AE564" s="16" t="s">
        <v>147</v>
      </c>
      <c r="AF564" s="14">
        <f>SUMIF('Trip Changes'!$B:$B,A564,'Trip Changes'!$E:$E)</f>
        <v>0</v>
      </c>
      <c r="AG564" s="23">
        <f>SUMIF('Trip Cancellations'!$B:$B,A564,'Trip Cancellations'!$E:$E)</f>
        <v>0</v>
      </c>
      <c r="AH564" s="14">
        <f>SUMIF('Trip Cancellations'!$B:$B,A564,'Trip Cancellations'!$F:$F)</f>
        <v>0</v>
      </c>
      <c r="AI564" s="14">
        <f t="shared" si="170"/>
        <v>442.39</v>
      </c>
      <c r="AJ564" s="14" t="str">
        <f t="shared" si="171"/>
        <v>Yes</v>
      </c>
      <c r="AK564" s="14" t="str">
        <f>IF(Y564=0,"N/A",
IF(_xlfn.XLOOKUP(U564,Hotels!A:A,Hotels!C:C)=TRUE,"Yes","No"))</f>
        <v>Yes</v>
      </c>
      <c r="AL564" s="14" t="str">
        <f>IF(N564="Rail","N/A",IF(_xlfn.XLOOKUP(T564,Airlines!A:A,Airlines!C:C)=TRUE,"Yes","No"))</f>
        <v>N/A</v>
      </c>
      <c r="AM564" s="14" t="str">
        <f t="shared" si="172"/>
        <v>Yes</v>
      </c>
      <c r="AN564" s="14" t="str">
        <f t="shared" si="173"/>
        <v>Yes</v>
      </c>
      <c r="AO564" s="14" t="str">
        <f t="shared" si="174"/>
        <v>Yes</v>
      </c>
      <c r="AP564" s="16" t="s">
        <v>148</v>
      </c>
      <c r="AQ564" t="str">
        <f t="shared" si="175"/>
        <v>Yes</v>
      </c>
      <c r="AR564" s="21">
        <v>5</v>
      </c>
      <c r="AS564" s="5">
        <v>27</v>
      </c>
      <c r="AT564" s="5" t="str">
        <f>IF(T564="","",_xlfn.XLOOKUP(T564,Airlines!A:A,Airlines!B:B,"Not Found"))</f>
        <v/>
      </c>
      <c r="AU564" s="5" t="str">
        <f>IF(U564="","",_xlfn.XLOOKUP(U564,Hotels!A:A,Hotels!B:B,"Not found"))</f>
        <v>Marriott</v>
      </c>
      <c r="AV564" t="s">
        <v>147</v>
      </c>
      <c r="AW564" s="16" t="str">
        <f t="shared" si="176"/>
        <v>OK</v>
      </c>
      <c r="AX564" s="16" t="str">
        <f t="shared" si="177"/>
        <v>OK</v>
      </c>
      <c r="AY564" s="16" t="str">
        <f t="shared" si="178"/>
        <v>OK</v>
      </c>
      <c r="AZ564" s="16" t="str">
        <f t="shared" si="179"/>
        <v>OK</v>
      </c>
      <c r="BA564" s="16" t="str">
        <f t="shared" si="183"/>
        <v>OK</v>
      </c>
      <c r="BB564" s="21">
        <f>COUNTIF('Trip Changes'!B:B,A564)</f>
        <v>0</v>
      </c>
      <c r="BC564" s="16" t="str">
        <f>IF(OR(AND(AD564="Yes",COUNTIF('Trip Changes'!B:B,A564)&gt;0),AND(AD564="No",COUNTIF('Trip Changes'!B:B,A564)=0)),"OK","Check")</f>
        <v>OK</v>
      </c>
      <c r="BD564" t="str">
        <f t="shared" si="184"/>
        <v>OK</v>
      </c>
      <c r="BE564" t="str">
        <f t="shared" si="185"/>
        <v>OK</v>
      </c>
      <c r="BF564" t="str">
        <f t="shared" si="186"/>
        <v>OK</v>
      </c>
      <c r="BG564" t="str">
        <f t="shared" si="187"/>
        <v>OK</v>
      </c>
      <c r="BH564" t="str">
        <f t="shared" si="188"/>
        <v>OK</v>
      </c>
      <c r="BI564" t="str">
        <f t="shared" si="180"/>
        <v>OK</v>
      </c>
      <c r="BJ564" t="str">
        <f t="shared" si="181"/>
        <v>OK</v>
      </c>
      <c r="BK564" t="str">
        <f t="shared" si="182"/>
        <v>OK</v>
      </c>
    </row>
    <row r="565" spans="1:63">
      <c r="A565" s="16" t="s">
        <v>934</v>
      </c>
      <c r="B565" s="16" t="s">
        <v>933</v>
      </c>
      <c r="C565" s="16" t="s">
        <v>142</v>
      </c>
      <c r="D565" s="16" t="s">
        <v>168</v>
      </c>
      <c r="E565" s="16" t="s">
        <v>139</v>
      </c>
      <c r="F565" s="16" t="s">
        <v>181</v>
      </c>
      <c r="G565" s="15">
        <v>46158</v>
      </c>
      <c r="H565" s="15">
        <v>46168</v>
      </c>
      <c r="I565" s="15">
        <v>46171</v>
      </c>
      <c r="J565" s="15" t="s">
        <v>163</v>
      </c>
      <c r="K565" s="16" t="s">
        <v>142</v>
      </c>
      <c r="L565" t="s">
        <v>182</v>
      </c>
      <c r="M565" s="16" t="s">
        <v>143</v>
      </c>
      <c r="N565" s="16" t="s">
        <v>144</v>
      </c>
      <c r="O565" t="s">
        <v>1630</v>
      </c>
      <c r="P565" s="18">
        <v>948</v>
      </c>
      <c r="Q565" s="21">
        <v>10</v>
      </c>
      <c r="R565" s="21" t="str">
        <f t="shared" si="168"/>
        <v>8-14 days</v>
      </c>
      <c r="S565" s="16" t="s">
        <v>216</v>
      </c>
      <c r="U565" s="16" t="s">
        <v>146</v>
      </c>
      <c r="V565" t="str">
        <f>IF(U565="","",IFERROR(VLOOKUP(U565,Hotels!A:B,2,FALSE),"Not Found"))</f>
        <v>Premier Inn</v>
      </c>
      <c r="W565" s="14">
        <v>0</v>
      </c>
      <c r="X565" s="14">
        <v>220.55</v>
      </c>
      <c r="Y565" s="21">
        <v>2</v>
      </c>
      <c r="Z565" s="29">
        <f t="shared" si="169"/>
        <v>178.14500000000001</v>
      </c>
      <c r="AA565" s="14">
        <v>356.29</v>
      </c>
      <c r="AB565" s="14">
        <v>85.2</v>
      </c>
      <c r="AC565" s="14">
        <v>662.04</v>
      </c>
      <c r="AD565" s="16" t="s">
        <v>147</v>
      </c>
      <c r="AE565" s="16" t="s">
        <v>147</v>
      </c>
      <c r="AF565" s="14">
        <f>SUMIF('Trip Changes'!$B:$B,A565,'Trip Changes'!$E:$E)</f>
        <v>0</v>
      </c>
      <c r="AG565" s="23">
        <f>SUMIF('Trip Cancellations'!$B:$B,A565,'Trip Cancellations'!$E:$E)</f>
        <v>0</v>
      </c>
      <c r="AH565" s="14">
        <f>SUMIF('Trip Cancellations'!$B:$B,A565,'Trip Cancellations'!$F:$F)</f>
        <v>0</v>
      </c>
      <c r="AI565" s="14">
        <f t="shared" si="170"/>
        <v>662.04</v>
      </c>
      <c r="AJ565" s="14" t="str">
        <f t="shared" si="171"/>
        <v>Yes</v>
      </c>
      <c r="AK565" s="14" t="str">
        <f>IF(Y565=0,"N/A",
IF(_xlfn.XLOOKUP(U565,Hotels!A:A,Hotels!C:C)=TRUE,"Yes","No"))</f>
        <v>Yes</v>
      </c>
      <c r="AL565" s="14" t="str">
        <f>IF(N565="Rail","N/A",IF(_xlfn.XLOOKUP(T565,Airlines!A:A,Airlines!C:C)=TRUE,"Yes","No"))</f>
        <v>N/A</v>
      </c>
      <c r="AM565" s="14" t="str">
        <f t="shared" si="172"/>
        <v>Yes</v>
      </c>
      <c r="AN565" s="14" t="str">
        <f t="shared" si="173"/>
        <v>No</v>
      </c>
      <c r="AO565" s="14" t="str">
        <f t="shared" si="174"/>
        <v>Yes</v>
      </c>
      <c r="AP565" s="16" t="s">
        <v>148</v>
      </c>
      <c r="AQ565" t="str">
        <f t="shared" si="175"/>
        <v>No</v>
      </c>
      <c r="AR565" s="21">
        <v>3</v>
      </c>
      <c r="AS565" s="5">
        <v>37.9</v>
      </c>
      <c r="AT565" s="5" t="str">
        <f>IF(T565="","",_xlfn.XLOOKUP(T565,Airlines!A:A,Airlines!B:B,"Not Found"))</f>
        <v/>
      </c>
      <c r="AU565" s="5" t="str">
        <f>IF(U565="","",_xlfn.XLOOKUP(U565,Hotels!A:A,Hotels!B:B,"Not found"))</f>
        <v>Premier Inn</v>
      </c>
      <c r="AV565" t="s">
        <v>148</v>
      </c>
      <c r="AW565" s="16" t="str">
        <f t="shared" si="176"/>
        <v>OK</v>
      </c>
      <c r="AX565" s="16" t="str">
        <f t="shared" si="177"/>
        <v>OK</v>
      </c>
      <c r="AY565" s="16" t="str">
        <f t="shared" si="178"/>
        <v>OK</v>
      </c>
      <c r="AZ565" s="16" t="str">
        <f t="shared" si="179"/>
        <v>OK</v>
      </c>
      <c r="BA565" s="16" t="str">
        <f t="shared" si="183"/>
        <v>OK</v>
      </c>
      <c r="BB565" s="21">
        <f>COUNTIF('Trip Changes'!B:B,A565)</f>
        <v>0</v>
      </c>
      <c r="BC565" s="16" t="str">
        <f>IF(OR(AND(AD565="Yes",COUNTIF('Trip Changes'!B:B,A565)&gt;0),AND(AD565="No",COUNTIF('Trip Changes'!B:B,A565)=0)),"OK","Check")</f>
        <v>OK</v>
      </c>
      <c r="BD565" t="str">
        <f t="shared" si="184"/>
        <v>OK</v>
      </c>
      <c r="BE565" t="str">
        <f t="shared" si="185"/>
        <v>OK</v>
      </c>
      <c r="BF565" t="str">
        <f t="shared" si="186"/>
        <v>OK</v>
      </c>
      <c r="BG565" t="str">
        <f t="shared" si="187"/>
        <v>OK</v>
      </c>
      <c r="BH565" t="str">
        <f t="shared" si="188"/>
        <v>OK</v>
      </c>
      <c r="BI565" t="str">
        <f t="shared" si="180"/>
        <v>OK</v>
      </c>
      <c r="BJ565" t="str">
        <f t="shared" si="181"/>
        <v>OK</v>
      </c>
      <c r="BK565" t="str">
        <f t="shared" si="182"/>
        <v>OK</v>
      </c>
    </row>
    <row r="566" spans="1:63">
      <c r="A566" s="16" t="s">
        <v>935</v>
      </c>
      <c r="B566" s="16" t="s">
        <v>933</v>
      </c>
      <c r="C566" s="16" t="s">
        <v>142</v>
      </c>
      <c r="D566" s="16" t="s">
        <v>168</v>
      </c>
      <c r="E566" s="16" t="s">
        <v>139</v>
      </c>
      <c r="F566" s="16" t="s">
        <v>157</v>
      </c>
      <c r="G566" s="15">
        <v>46135</v>
      </c>
      <c r="H566" s="15">
        <v>46147</v>
      </c>
      <c r="I566" s="15">
        <v>46151</v>
      </c>
      <c r="J566" s="15" t="s">
        <v>163</v>
      </c>
      <c r="K566" s="16" t="s">
        <v>142</v>
      </c>
      <c r="L566" t="s">
        <v>227</v>
      </c>
      <c r="M566" s="16" t="s">
        <v>152</v>
      </c>
      <c r="N566" s="16" t="s">
        <v>153</v>
      </c>
      <c r="O566" t="s">
        <v>1614</v>
      </c>
      <c r="P566" s="18">
        <v>2186</v>
      </c>
      <c r="Q566" s="21">
        <v>12</v>
      </c>
      <c r="R566" s="21" t="str">
        <f t="shared" si="168"/>
        <v>8-14 days</v>
      </c>
      <c r="S566" s="16" t="s">
        <v>159</v>
      </c>
      <c r="T566" s="16" t="s">
        <v>154</v>
      </c>
      <c r="U566" s="16" t="s">
        <v>155</v>
      </c>
      <c r="V566" t="str">
        <f>IF(U566="","",IFERROR(VLOOKUP(U566,Hotels!A:B,2,FALSE),"Not Found"))</f>
        <v>Hilton</v>
      </c>
      <c r="W566" s="14">
        <v>257.37</v>
      </c>
      <c r="X566" s="14">
        <v>0</v>
      </c>
      <c r="Y566" s="21">
        <v>3</v>
      </c>
      <c r="Z566" s="29">
        <f t="shared" si="169"/>
        <v>261.74333333333334</v>
      </c>
      <c r="AA566" s="14">
        <v>785.23</v>
      </c>
      <c r="AB566" s="14">
        <v>91.38</v>
      </c>
      <c r="AC566" s="14">
        <v>1133.98</v>
      </c>
      <c r="AD566" s="16" t="s">
        <v>147</v>
      </c>
      <c r="AE566" s="16" t="s">
        <v>147</v>
      </c>
      <c r="AF566" s="14">
        <f>SUMIF('Trip Changes'!$B:$B,A566,'Trip Changes'!$E:$E)</f>
        <v>0</v>
      </c>
      <c r="AG566" s="23">
        <f>SUMIF('Trip Cancellations'!$B:$B,A566,'Trip Cancellations'!$E:$E)</f>
        <v>0</v>
      </c>
      <c r="AH566" s="14">
        <f>SUMIF('Trip Cancellations'!$B:$B,A566,'Trip Cancellations'!$F:$F)</f>
        <v>0</v>
      </c>
      <c r="AI566" s="14">
        <f t="shared" si="170"/>
        <v>1133.98</v>
      </c>
      <c r="AJ566" s="14" t="str">
        <f t="shared" si="171"/>
        <v>No</v>
      </c>
      <c r="AK566" s="14" t="str">
        <f>IF(Y566=0,"N/A",
IF(_xlfn.XLOOKUP(U566,Hotels!A:A,Hotels!C:C)=TRUE,"Yes","No"))</f>
        <v>Yes</v>
      </c>
      <c r="AL566" s="14" t="str">
        <f>IF(N566="Rail","N/A",IF(_xlfn.XLOOKUP(T566,Airlines!A:A,Airlines!C:C)=TRUE,"Yes","No"))</f>
        <v>Yes</v>
      </c>
      <c r="AM566" s="14" t="str">
        <f t="shared" si="172"/>
        <v>Yes</v>
      </c>
      <c r="AN566" s="14" t="str">
        <f t="shared" si="173"/>
        <v>Yes</v>
      </c>
      <c r="AO566" s="14" t="str">
        <f t="shared" si="174"/>
        <v>Yes</v>
      </c>
      <c r="AP566" s="16" t="s">
        <v>148</v>
      </c>
      <c r="AQ566" t="str">
        <f t="shared" si="175"/>
        <v>No</v>
      </c>
      <c r="AR566" s="21">
        <v>3</v>
      </c>
      <c r="AS566" s="5">
        <v>327.9</v>
      </c>
      <c r="AT566" s="5" t="str">
        <f>IF(T566="","",_xlfn.XLOOKUP(T566,Airlines!A:A,Airlines!B:B,"Not Found"))</f>
        <v>British Airways</v>
      </c>
      <c r="AU566" s="5" t="str">
        <f>IF(U566="","",_xlfn.XLOOKUP(U566,Hotels!A:A,Hotels!B:B,"Not found"))</f>
        <v>Hilton</v>
      </c>
      <c r="AV566" t="s">
        <v>147</v>
      </c>
      <c r="AW566" s="16" t="str">
        <f t="shared" si="176"/>
        <v>OK</v>
      </c>
      <c r="AX566" s="16" t="str">
        <f t="shared" si="177"/>
        <v>OK</v>
      </c>
      <c r="AY566" s="16" t="str">
        <f t="shared" si="178"/>
        <v>OK</v>
      </c>
      <c r="AZ566" s="16" t="str">
        <f t="shared" si="179"/>
        <v>OK</v>
      </c>
      <c r="BA566" s="16" t="str">
        <f t="shared" si="183"/>
        <v>OK</v>
      </c>
      <c r="BB566" s="21">
        <f>COUNTIF('Trip Changes'!B:B,A566)</f>
        <v>0</v>
      </c>
      <c r="BC566" s="16" t="str">
        <f>IF(OR(AND(AD566="Yes",COUNTIF('Trip Changes'!B:B,A566)&gt;0),AND(AD566="No",COUNTIF('Trip Changes'!B:B,A566)=0)),"OK","Check")</f>
        <v>OK</v>
      </c>
      <c r="BD566" t="str">
        <f t="shared" si="184"/>
        <v>OK</v>
      </c>
      <c r="BE566" t="str">
        <f t="shared" si="185"/>
        <v>OK</v>
      </c>
      <c r="BF566" t="str">
        <f t="shared" si="186"/>
        <v>OK</v>
      </c>
      <c r="BG566" t="str">
        <f t="shared" si="187"/>
        <v>OK</v>
      </c>
      <c r="BH566" t="str">
        <f t="shared" si="188"/>
        <v>OK</v>
      </c>
      <c r="BI566" t="str">
        <f t="shared" si="180"/>
        <v>OK</v>
      </c>
      <c r="BJ566" t="str">
        <f t="shared" si="181"/>
        <v>OK</v>
      </c>
      <c r="BK566" t="str">
        <f t="shared" si="182"/>
        <v>OK</v>
      </c>
    </row>
    <row r="567" spans="1:63">
      <c r="A567" s="16" t="s">
        <v>936</v>
      </c>
      <c r="B567" s="16" t="s">
        <v>933</v>
      </c>
      <c r="C567" s="16" t="s">
        <v>142</v>
      </c>
      <c r="D567" s="16" t="s">
        <v>168</v>
      </c>
      <c r="E567" s="16" t="s">
        <v>139</v>
      </c>
      <c r="F567" s="16" t="s">
        <v>162</v>
      </c>
      <c r="G567" s="15">
        <v>46196</v>
      </c>
      <c r="H567" s="15">
        <v>46218</v>
      </c>
      <c r="I567" s="15">
        <v>46221</v>
      </c>
      <c r="J567" s="15" t="s">
        <v>150</v>
      </c>
      <c r="K567" s="16" t="s">
        <v>142</v>
      </c>
      <c r="L567" t="s">
        <v>151</v>
      </c>
      <c r="M567" s="16" t="s">
        <v>152</v>
      </c>
      <c r="N567" s="16" t="s">
        <v>153</v>
      </c>
      <c r="O567" t="s">
        <v>1614</v>
      </c>
      <c r="P567" s="18">
        <v>2346</v>
      </c>
      <c r="Q567" s="21">
        <v>22</v>
      </c>
      <c r="R567" s="21" t="str">
        <f t="shared" si="168"/>
        <v>15-30 days</v>
      </c>
      <c r="S567" s="16" t="s">
        <v>145</v>
      </c>
      <c r="T567" s="16" t="s">
        <v>172</v>
      </c>
      <c r="U567" s="16" t="s">
        <v>190</v>
      </c>
      <c r="V567" t="str">
        <f>IF(U567="","",IFERROR(VLOOKUP(U567,Hotels!A:B,2,FALSE),"Not Found"))</f>
        <v>Radisson Hotel Group</v>
      </c>
      <c r="W567" s="14">
        <v>299.57</v>
      </c>
      <c r="X567" s="14">
        <v>0</v>
      </c>
      <c r="Y567" s="21">
        <v>2</v>
      </c>
      <c r="Z567" s="29">
        <f t="shared" si="169"/>
        <v>185.94499999999999</v>
      </c>
      <c r="AA567" s="14">
        <v>371.89</v>
      </c>
      <c r="AB567" s="14">
        <v>99.46</v>
      </c>
      <c r="AC567" s="14">
        <v>770.92</v>
      </c>
      <c r="AD567" s="16" t="s">
        <v>147</v>
      </c>
      <c r="AE567" s="16" t="s">
        <v>147</v>
      </c>
      <c r="AF567" s="14">
        <f>SUMIF('Trip Changes'!$B:$B,A567,'Trip Changes'!$E:$E)</f>
        <v>0</v>
      </c>
      <c r="AG567" s="23">
        <f>SUMIF('Trip Cancellations'!$B:$B,A567,'Trip Cancellations'!$E:$E)</f>
        <v>0</v>
      </c>
      <c r="AH567" s="14">
        <f>SUMIF('Trip Cancellations'!$B:$B,A567,'Trip Cancellations'!$F:$F)</f>
        <v>0</v>
      </c>
      <c r="AI567" s="14">
        <f t="shared" si="170"/>
        <v>770.92</v>
      </c>
      <c r="AJ567" s="14" t="str">
        <f t="shared" si="171"/>
        <v>No</v>
      </c>
      <c r="AK567" s="14" t="str">
        <f>IF(Y567=0,"N/A",
IF(_xlfn.XLOOKUP(U567,Hotels!A:A,Hotels!C:C)=TRUE,"Yes","No"))</f>
        <v>No</v>
      </c>
      <c r="AL567" s="14" t="str">
        <f>IF(N567="Rail","N/A",IF(_xlfn.XLOOKUP(T567,Airlines!A:A,Airlines!C:C)=TRUE,"Yes","No"))</f>
        <v>Yes</v>
      </c>
      <c r="AM567" s="14" t="str">
        <f t="shared" si="172"/>
        <v>Yes</v>
      </c>
      <c r="AN567" s="14" t="str">
        <f t="shared" si="173"/>
        <v>Yes</v>
      </c>
      <c r="AO567" s="14" t="str">
        <f t="shared" si="174"/>
        <v>No</v>
      </c>
      <c r="AP567" s="16" t="s">
        <v>148</v>
      </c>
      <c r="AQ567" t="str">
        <f t="shared" si="175"/>
        <v>No</v>
      </c>
      <c r="AR567" s="21">
        <v>4</v>
      </c>
      <c r="AS567" s="5">
        <v>351.9</v>
      </c>
      <c r="AT567" s="5" t="str">
        <f>IF(T567="","",_xlfn.XLOOKUP(T567,Airlines!A:A,Airlines!B:B,"Not Found"))</f>
        <v>Lufthansa</v>
      </c>
      <c r="AU567" s="5" t="str">
        <f>IF(U567="","",_xlfn.XLOOKUP(U567,Hotels!A:A,Hotels!B:B,"Not found"))</f>
        <v>Radisson Hotel Group</v>
      </c>
      <c r="AV567" t="s">
        <v>147</v>
      </c>
      <c r="AW567" s="16" t="str">
        <f t="shared" si="176"/>
        <v>OK</v>
      </c>
      <c r="AX567" s="16" t="str">
        <f t="shared" si="177"/>
        <v>OK</v>
      </c>
      <c r="AY567" s="16" t="str">
        <f t="shared" si="178"/>
        <v>OK</v>
      </c>
      <c r="AZ567" s="16" t="str">
        <f t="shared" si="179"/>
        <v>OK</v>
      </c>
      <c r="BA567" s="16" t="str">
        <f t="shared" si="183"/>
        <v>OK</v>
      </c>
      <c r="BB567" s="21">
        <f>COUNTIF('Trip Changes'!B:B,A567)</f>
        <v>0</v>
      </c>
      <c r="BC567" s="16" t="str">
        <f>IF(OR(AND(AD567="Yes",COUNTIF('Trip Changes'!B:B,A567)&gt;0),AND(AD567="No",COUNTIF('Trip Changes'!B:B,A567)=0)),"OK","Check")</f>
        <v>OK</v>
      </c>
      <c r="BD567" t="str">
        <f t="shared" si="184"/>
        <v>OK</v>
      </c>
      <c r="BE567" t="str">
        <f t="shared" si="185"/>
        <v>OK</v>
      </c>
      <c r="BF567" t="str">
        <f t="shared" si="186"/>
        <v>OK</v>
      </c>
      <c r="BG567" t="str">
        <f t="shared" si="187"/>
        <v>OK</v>
      </c>
      <c r="BH567" t="str">
        <f t="shared" si="188"/>
        <v>OK</v>
      </c>
      <c r="BI567" t="str">
        <f t="shared" si="180"/>
        <v>OK</v>
      </c>
      <c r="BJ567" t="str">
        <f t="shared" si="181"/>
        <v>OK</v>
      </c>
      <c r="BK567" t="str">
        <f t="shared" si="182"/>
        <v>OK</v>
      </c>
    </row>
    <row r="568" spans="1:63">
      <c r="A568" s="16" t="s">
        <v>937</v>
      </c>
      <c r="B568" s="16" t="s">
        <v>933</v>
      </c>
      <c r="C568" s="16" t="s">
        <v>142</v>
      </c>
      <c r="D568" s="16" t="s">
        <v>168</v>
      </c>
      <c r="E568" s="16" t="s">
        <v>139</v>
      </c>
      <c r="F568" s="16" t="s">
        <v>207</v>
      </c>
      <c r="G568" s="15">
        <v>46160</v>
      </c>
      <c r="H568" s="15">
        <v>46179</v>
      </c>
      <c r="I568" s="15">
        <v>46182</v>
      </c>
      <c r="J568" s="15" t="s">
        <v>141</v>
      </c>
      <c r="K568" s="16" t="s">
        <v>142</v>
      </c>
      <c r="L568" t="s">
        <v>225</v>
      </c>
      <c r="M568" s="16" t="s">
        <v>152</v>
      </c>
      <c r="N568" s="16" t="s">
        <v>153</v>
      </c>
      <c r="O568" t="s">
        <v>1614</v>
      </c>
      <c r="P568" s="18">
        <v>2792</v>
      </c>
      <c r="Q568" s="21">
        <v>19</v>
      </c>
      <c r="R568" s="21" t="str">
        <f t="shared" si="168"/>
        <v>15-30 days</v>
      </c>
      <c r="S568" s="16" t="s">
        <v>159</v>
      </c>
      <c r="T568" s="16" t="s">
        <v>236</v>
      </c>
      <c r="U568" s="16" t="s">
        <v>187</v>
      </c>
      <c r="V568" t="str">
        <f>IF(U568="","",IFERROR(VLOOKUP(U568,Hotels!A:B,2,FALSE),"Not Found"))</f>
        <v>IHG Hotels &amp; Resorts</v>
      </c>
      <c r="W568" s="14">
        <v>150</v>
      </c>
      <c r="X568" s="14">
        <v>0</v>
      </c>
      <c r="Y568" s="21">
        <v>2</v>
      </c>
      <c r="Z568" s="29">
        <f t="shared" si="169"/>
        <v>178.55</v>
      </c>
      <c r="AA568" s="14">
        <v>357.1</v>
      </c>
      <c r="AB568" s="14">
        <v>37.28</v>
      </c>
      <c r="AC568" s="14">
        <v>544.38</v>
      </c>
      <c r="AD568" s="16" t="s">
        <v>147</v>
      </c>
      <c r="AE568" s="16" t="s">
        <v>147</v>
      </c>
      <c r="AF568" s="14">
        <f>SUMIF('Trip Changes'!$B:$B,A568,'Trip Changes'!$E:$E)</f>
        <v>0</v>
      </c>
      <c r="AG568" s="23">
        <f>SUMIF('Trip Cancellations'!$B:$B,A568,'Trip Cancellations'!$E:$E)</f>
        <v>0</v>
      </c>
      <c r="AH568" s="14">
        <f>SUMIF('Trip Cancellations'!$B:$B,A568,'Trip Cancellations'!$F:$F)</f>
        <v>0</v>
      </c>
      <c r="AI568" s="14">
        <f t="shared" si="170"/>
        <v>544.38</v>
      </c>
      <c r="AJ568" s="14" t="str">
        <f t="shared" si="171"/>
        <v>Yes</v>
      </c>
      <c r="AK568" s="14" t="str">
        <f>IF(Y568=0,"N/A",
IF(_xlfn.XLOOKUP(U568,Hotels!A:A,Hotels!C:C)=TRUE,"Yes","No"))</f>
        <v>Yes</v>
      </c>
      <c r="AL568" s="14" t="str">
        <f>IF(N568="Rail","N/A",IF(_xlfn.XLOOKUP(T568,Airlines!A:A,Airlines!C:C)=TRUE,"Yes","No"))</f>
        <v>Yes</v>
      </c>
      <c r="AM568" s="14" t="str">
        <f t="shared" si="172"/>
        <v>Yes</v>
      </c>
      <c r="AN568" s="14" t="str">
        <f t="shared" si="173"/>
        <v>Yes</v>
      </c>
      <c r="AO568" s="14" t="str">
        <f t="shared" si="174"/>
        <v>Yes</v>
      </c>
      <c r="AP568" s="16" t="s">
        <v>148</v>
      </c>
      <c r="AQ568" t="str">
        <f t="shared" si="175"/>
        <v>Yes</v>
      </c>
      <c r="AR568" s="21">
        <v>5</v>
      </c>
      <c r="AS568" s="5">
        <v>418.8</v>
      </c>
      <c r="AT568" s="5" t="str">
        <f>IF(T568="","",_xlfn.XLOOKUP(T568,Airlines!A:A,Airlines!B:B,"Not Found"))</f>
        <v>KLM</v>
      </c>
      <c r="AU568" s="5" t="str">
        <f>IF(U568="","",_xlfn.XLOOKUP(U568,Hotels!A:A,Hotels!B:B,"Not found"))</f>
        <v>IHG Hotels &amp; Resorts</v>
      </c>
      <c r="AV568" t="s">
        <v>148</v>
      </c>
      <c r="AW568" s="16" t="str">
        <f t="shared" si="176"/>
        <v>OK</v>
      </c>
      <c r="AX568" s="16" t="str">
        <f t="shared" si="177"/>
        <v>OK</v>
      </c>
      <c r="AY568" s="16" t="str">
        <f t="shared" si="178"/>
        <v>OK</v>
      </c>
      <c r="AZ568" s="16" t="str">
        <f t="shared" si="179"/>
        <v>OK</v>
      </c>
      <c r="BA568" s="16" t="str">
        <f t="shared" si="183"/>
        <v>OK</v>
      </c>
      <c r="BB568" s="21">
        <f>COUNTIF('Trip Changes'!B:B,A568)</f>
        <v>0</v>
      </c>
      <c r="BC568" s="16" t="str">
        <f>IF(OR(AND(AD568="Yes",COUNTIF('Trip Changes'!B:B,A568)&gt;0),AND(AD568="No",COUNTIF('Trip Changes'!B:B,A568)=0)),"OK","Check")</f>
        <v>OK</v>
      </c>
      <c r="BD568" t="str">
        <f t="shared" si="184"/>
        <v>OK</v>
      </c>
      <c r="BE568" t="str">
        <f t="shared" si="185"/>
        <v>OK</v>
      </c>
      <c r="BF568" t="str">
        <f t="shared" si="186"/>
        <v>OK</v>
      </c>
      <c r="BG568" t="str">
        <f t="shared" si="187"/>
        <v>OK</v>
      </c>
      <c r="BH568" t="str">
        <f t="shared" si="188"/>
        <v>OK</v>
      </c>
      <c r="BI568" t="str">
        <f t="shared" si="180"/>
        <v>OK</v>
      </c>
      <c r="BJ568" t="str">
        <f t="shared" si="181"/>
        <v>OK</v>
      </c>
      <c r="BK568" t="str">
        <f t="shared" si="182"/>
        <v>OK</v>
      </c>
    </row>
    <row r="569" spans="1:63">
      <c r="A569" s="16" t="s">
        <v>938</v>
      </c>
      <c r="B569" s="16" t="s">
        <v>933</v>
      </c>
      <c r="C569" s="16" t="s">
        <v>142</v>
      </c>
      <c r="D569" s="16" t="s">
        <v>168</v>
      </c>
      <c r="E569" s="16" t="s">
        <v>139</v>
      </c>
      <c r="F569" s="16" t="s">
        <v>162</v>
      </c>
      <c r="G569" s="15">
        <v>46204</v>
      </c>
      <c r="H569" s="15">
        <v>46222</v>
      </c>
      <c r="I569" s="15">
        <v>46227</v>
      </c>
      <c r="J569" s="15" t="s">
        <v>150</v>
      </c>
      <c r="K569" s="16" t="s">
        <v>142</v>
      </c>
      <c r="L569" t="s">
        <v>209</v>
      </c>
      <c r="M569" s="16" t="s">
        <v>152</v>
      </c>
      <c r="N569" s="16" t="s">
        <v>153</v>
      </c>
      <c r="O569" t="s">
        <v>1614</v>
      </c>
      <c r="P569" s="18">
        <v>2360</v>
      </c>
      <c r="Q569" s="21">
        <v>18</v>
      </c>
      <c r="R569" s="21" t="str">
        <f t="shared" si="168"/>
        <v>15-30 days</v>
      </c>
      <c r="S569" s="16" t="s">
        <v>145</v>
      </c>
      <c r="T569" s="16" t="s">
        <v>172</v>
      </c>
      <c r="U569" s="16" t="s">
        <v>187</v>
      </c>
      <c r="V569" t="str">
        <f>IF(U569="","",IFERROR(VLOOKUP(U569,Hotels!A:B,2,FALSE),"Not Found"))</f>
        <v>IHG Hotels &amp; Resorts</v>
      </c>
      <c r="W569" s="14">
        <v>195.23</v>
      </c>
      <c r="X569" s="14">
        <v>0</v>
      </c>
      <c r="Y569" s="21">
        <v>4</v>
      </c>
      <c r="Z569" s="29">
        <f t="shared" si="169"/>
        <v>219.20500000000001</v>
      </c>
      <c r="AA569" s="14">
        <v>876.82</v>
      </c>
      <c r="AB569" s="14">
        <v>62.68</v>
      </c>
      <c r="AC569" s="14">
        <v>1134.73</v>
      </c>
      <c r="AD569" s="16" t="s">
        <v>147</v>
      </c>
      <c r="AE569" s="16" t="s">
        <v>147</v>
      </c>
      <c r="AF569" s="14">
        <f>SUMIF('Trip Changes'!$B:$B,A569,'Trip Changes'!$E:$E)</f>
        <v>0</v>
      </c>
      <c r="AG569" s="23">
        <f>SUMIF('Trip Cancellations'!$B:$B,A569,'Trip Cancellations'!$E:$E)</f>
        <v>0</v>
      </c>
      <c r="AH569" s="14">
        <f>SUMIF('Trip Cancellations'!$B:$B,A569,'Trip Cancellations'!$F:$F)</f>
        <v>0</v>
      </c>
      <c r="AI569" s="14">
        <f t="shared" si="170"/>
        <v>1134.73</v>
      </c>
      <c r="AJ569" s="14" t="str">
        <f t="shared" si="171"/>
        <v>No</v>
      </c>
      <c r="AK569" s="14" t="str">
        <f>IF(Y569=0,"N/A",
IF(_xlfn.XLOOKUP(U569,Hotels!A:A,Hotels!C:C)=TRUE,"Yes","No"))</f>
        <v>Yes</v>
      </c>
      <c r="AL569" s="14" t="str">
        <f>IF(N569="Rail","N/A",IF(_xlfn.XLOOKUP(T569,Airlines!A:A,Airlines!C:C)=TRUE,"Yes","No"))</f>
        <v>Yes</v>
      </c>
      <c r="AM569" s="14" t="str">
        <f t="shared" si="172"/>
        <v>Yes</v>
      </c>
      <c r="AN569" s="14" t="str">
        <f t="shared" si="173"/>
        <v>Yes</v>
      </c>
      <c r="AO569" s="14" t="str">
        <f t="shared" si="174"/>
        <v>Yes</v>
      </c>
      <c r="AP569" s="16" t="s">
        <v>148</v>
      </c>
      <c r="AQ569" t="str">
        <f t="shared" si="175"/>
        <v>No</v>
      </c>
      <c r="AR569" s="21">
        <v>4</v>
      </c>
      <c r="AS569" s="5">
        <v>354</v>
      </c>
      <c r="AT569" s="5" t="str">
        <f>IF(T569="","",_xlfn.XLOOKUP(T569,Airlines!A:A,Airlines!B:B,"Not Found"))</f>
        <v>Lufthansa</v>
      </c>
      <c r="AU569" s="5" t="str">
        <f>IF(U569="","",_xlfn.XLOOKUP(U569,Hotels!A:A,Hotels!B:B,"Not found"))</f>
        <v>IHG Hotels &amp; Resorts</v>
      </c>
      <c r="AV569" t="s">
        <v>147</v>
      </c>
      <c r="AW569" s="16" t="str">
        <f t="shared" si="176"/>
        <v>OK</v>
      </c>
      <c r="AX569" s="16" t="str">
        <f t="shared" si="177"/>
        <v>OK</v>
      </c>
      <c r="AY569" s="16" t="str">
        <f t="shared" si="178"/>
        <v>OK</v>
      </c>
      <c r="AZ569" s="16" t="str">
        <f t="shared" si="179"/>
        <v>OK</v>
      </c>
      <c r="BA569" s="16" t="str">
        <f t="shared" si="183"/>
        <v>OK</v>
      </c>
      <c r="BB569" s="21">
        <f>COUNTIF('Trip Changes'!B:B,A569)</f>
        <v>0</v>
      </c>
      <c r="BC569" s="16" t="str">
        <f>IF(OR(AND(AD569="Yes",COUNTIF('Trip Changes'!B:B,A569)&gt;0),AND(AD569="No",COUNTIF('Trip Changes'!B:B,A569)=0)),"OK","Check")</f>
        <v>OK</v>
      </c>
      <c r="BD569" t="str">
        <f t="shared" si="184"/>
        <v>OK</v>
      </c>
      <c r="BE569" t="str">
        <f t="shared" si="185"/>
        <v>OK</v>
      </c>
      <c r="BF569" t="str">
        <f t="shared" si="186"/>
        <v>OK</v>
      </c>
      <c r="BG569" t="str">
        <f t="shared" si="187"/>
        <v>OK</v>
      </c>
      <c r="BH569" t="str">
        <f t="shared" si="188"/>
        <v>OK</v>
      </c>
      <c r="BI569" t="str">
        <f t="shared" si="180"/>
        <v>OK</v>
      </c>
      <c r="BJ569" t="str">
        <f t="shared" si="181"/>
        <v>OK</v>
      </c>
      <c r="BK569" t="str">
        <f t="shared" si="182"/>
        <v>OK</v>
      </c>
    </row>
    <row r="570" spans="1:63">
      <c r="A570" s="16" t="s">
        <v>939</v>
      </c>
      <c r="B570" s="16" t="s">
        <v>940</v>
      </c>
      <c r="C570" s="16" t="s">
        <v>142</v>
      </c>
      <c r="D570" s="16" t="s">
        <v>248</v>
      </c>
      <c r="E570" s="16" t="s">
        <v>169</v>
      </c>
      <c r="F570" s="16" t="s">
        <v>162</v>
      </c>
      <c r="G570" s="15">
        <v>46190</v>
      </c>
      <c r="H570" s="15">
        <v>46218</v>
      </c>
      <c r="I570" s="15">
        <v>46221</v>
      </c>
      <c r="J570" s="15" t="s">
        <v>150</v>
      </c>
      <c r="K570" s="16" t="s">
        <v>142</v>
      </c>
      <c r="L570" t="s">
        <v>225</v>
      </c>
      <c r="M570" s="16" t="s">
        <v>152</v>
      </c>
      <c r="N570" s="16" t="s">
        <v>153</v>
      </c>
      <c r="O570" t="s">
        <v>1614</v>
      </c>
      <c r="P570" s="18">
        <v>2428</v>
      </c>
      <c r="Q570" s="21">
        <v>28</v>
      </c>
      <c r="R570" s="21" t="str">
        <f t="shared" si="168"/>
        <v>15-30 days</v>
      </c>
      <c r="S570" s="16" t="s">
        <v>145</v>
      </c>
      <c r="T570" s="16" t="s">
        <v>154</v>
      </c>
      <c r="U570" s="16" t="s">
        <v>164</v>
      </c>
      <c r="V570" t="str">
        <f>IF(U570="","",IFERROR(VLOOKUP(U570,Hotels!A:B,2,FALSE),"Not Found"))</f>
        <v>Marriott</v>
      </c>
      <c r="W570" s="14">
        <v>349.76</v>
      </c>
      <c r="X570" s="14">
        <v>0</v>
      </c>
      <c r="Y570" s="21">
        <v>2</v>
      </c>
      <c r="Z570" s="29">
        <f t="shared" si="169"/>
        <v>138.13499999999999</v>
      </c>
      <c r="AA570" s="14">
        <v>276.27</v>
      </c>
      <c r="AB570" s="14">
        <v>66.430000000000007</v>
      </c>
      <c r="AC570" s="14">
        <v>692.46</v>
      </c>
      <c r="AD570" s="16" t="s">
        <v>147</v>
      </c>
      <c r="AE570" s="16" t="s">
        <v>147</v>
      </c>
      <c r="AF570" s="14">
        <f>SUMIF('Trip Changes'!$B:$B,A570,'Trip Changes'!$E:$E)</f>
        <v>0</v>
      </c>
      <c r="AG570" s="23">
        <f>SUMIF('Trip Cancellations'!$B:$B,A570,'Trip Cancellations'!$E:$E)</f>
        <v>0</v>
      </c>
      <c r="AH570" s="14">
        <f>SUMIF('Trip Cancellations'!$B:$B,A570,'Trip Cancellations'!$F:$F)</f>
        <v>0</v>
      </c>
      <c r="AI570" s="14">
        <f t="shared" si="170"/>
        <v>692.46</v>
      </c>
      <c r="AJ570" s="14" t="str">
        <f t="shared" si="171"/>
        <v>Yes</v>
      </c>
      <c r="AK570" s="14" t="str">
        <f>IF(Y570=0,"N/A",
IF(_xlfn.XLOOKUP(U570,Hotels!A:A,Hotels!C:C)=TRUE,"Yes","No"))</f>
        <v>Yes</v>
      </c>
      <c r="AL570" s="14" t="str">
        <f>IF(N570="Rail","N/A",IF(_xlfn.XLOOKUP(T570,Airlines!A:A,Airlines!C:C)=TRUE,"Yes","No"))</f>
        <v>Yes</v>
      </c>
      <c r="AM570" s="14" t="str">
        <f t="shared" si="172"/>
        <v>Yes</v>
      </c>
      <c r="AN570" s="14" t="str">
        <f t="shared" si="173"/>
        <v>Yes</v>
      </c>
      <c r="AO570" s="14" t="str">
        <f t="shared" si="174"/>
        <v>Yes</v>
      </c>
      <c r="AP570" s="16" t="s">
        <v>148</v>
      </c>
      <c r="AQ570" t="str">
        <f t="shared" si="175"/>
        <v>Yes</v>
      </c>
      <c r="AR570" s="21">
        <v>5</v>
      </c>
      <c r="AS570" s="5">
        <v>364.2</v>
      </c>
      <c r="AT570" s="5" t="str">
        <f>IF(T570="","",_xlfn.XLOOKUP(T570,Airlines!A:A,Airlines!B:B,"Not Found"))</f>
        <v>British Airways</v>
      </c>
      <c r="AU570" s="5" t="str">
        <f>IF(U570="","",_xlfn.XLOOKUP(U570,Hotels!A:A,Hotels!B:B,"Not found"))</f>
        <v>Marriott</v>
      </c>
      <c r="AV570" t="s">
        <v>147</v>
      </c>
      <c r="AW570" s="16" t="str">
        <f t="shared" si="176"/>
        <v>OK</v>
      </c>
      <c r="AX570" s="16" t="str">
        <f t="shared" si="177"/>
        <v>OK</v>
      </c>
      <c r="AY570" s="16" t="str">
        <f t="shared" si="178"/>
        <v>OK</v>
      </c>
      <c r="AZ570" s="16" t="str">
        <f t="shared" si="179"/>
        <v>OK</v>
      </c>
      <c r="BA570" s="16" t="str">
        <f t="shared" si="183"/>
        <v>OK</v>
      </c>
      <c r="BB570" s="21">
        <f>COUNTIF('Trip Changes'!B:B,A570)</f>
        <v>0</v>
      </c>
      <c r="BC570" s="16" t="str">
        <f>IF(OR(AND(AD570="Yes",COUNTIF('Trip Changes'!B:B,A570)&gt;0),AND(AD570="No",COUNTIF('Trip Changes'!B:B,A570)=0)),"OK","Check")</f>
        <v>OK</v>
      </c>
      <c r="BD570" t="str">
        <f t="shared" si="184"/>
        <v>OK</v>
      </c>
      <c r="BE570" t="str">
        <f t="shared" si="185"/>
        <v>OK</v>
      </c>
      <c r="BF570" t="str">
        <f t="shared" si="186"/>
        <v>OK</v>
      </c>
      <c r="BG570" t="str">
        <f t="shared" si="187"/>
        <v>OK</v>
      </c>
      <c r="BH570" t="str">
        <f t="shared" si="188"/>
        <v>OK</v>
      </c>
      <c r="BI570" t="str">
        <f t="shared" si="180"/>
        <v>OK</v>
      </c>
      <c r="BJ570" t="str">
        <f t="shared" si="181"/>
        <v>OK</v>
      </c>
      <c r="BK570" t="str">
        <f t="shared" si="182"/>
        <v>OK</v>
      </c>
    </row>
    <row r="571" spans="1:63">
      <c r="A571" s="16" t="s">
        <v>941</v>
      </c>
      <c r="B571" s="16" t="s">
        <v>940</v>
      </c>
      <c r="C571" s="16" t="s">
        <v>142</v>
      </c>
      <c r="D571" s="16" t="s">
        <v>248</v>
      </c>
      <c r="E571" s="16" t="s">
        <v>169</v>
      </c>
      <c r="F571" s="16" t="s">
        <v>140</v>
      </c>
      <c r="G571" s="15">
        <v>46159</v>
      </c>
      <c r="H571" s="15">
        <v>46184</v>
      </c>
      <c r="I571" s="15">
        <v>46186</v>
      </c>
      <c r="J571" s="15" t="s">
        <v>141</v>
      </c>
      <c r="K571" s="16" t="s">
        <v>142</v>
      </c>
      <c r="L571" t="s">
        <v>175</v>
      </c>
      <c r="M571" s="16" t="s">
        <v>152</v>
      </c>
      <c r="N571" s="16" t="s">
        <v>153</v>
      </c>
      <c r="O571" t="s">
        <v>1614</v>
      </c>
      <c r="P571" s="18">
        <v>1474</v>
      </c>
      <c r="Q571" s="21">
        <v>25</v>
      </c>
      <c r="R571" s="21" t="str">
        <f t="shared" si="168"/>
        <v>15-30 days</v>
      </c>
      <c r="S571" s="16" t="s">
        <v>145</v>
      </c>
      <c r="T571" s="16" t="s">
        <v>176</v>
      </c>
      <c r="U571" s="16" t="s">
        <v>173</v>
      </c>
      <c r="V571" t="str">
        <f>IF(U571="","",IFERROR(VLOOKUP(U571,Hotels!A:B,2,FALSE),"Not Found"))</f>
        <v>Accor</v>
      </c>
      <c r="W571" s="14">
        <v>259.88</v>
      </c>
      <c r="X571" s="14">
        <v>0</v>
      </c>
      <c r="Y571" s="21">
        <v>1</v>
      </c>
      <c r="Z571" s="29">
        <f t="shared" si="169"/>
        <v>187.1</v>
      </c>
      <c r="AA571" s="14">
        <v>187.1</v>
      </c>
      <c r="AB571" s="14">
        <v>83.31</v>
      </c>
      <c r="AC571" s="14">
        <v>530.29</v>
      </c>
      <c r="AD571" s="16" t="s">
        <v>147</v>
      </c>
      <c r="AE571" s="16" t="s">
        <v>147</v>
      </c>
      <c r="AF571" s="14">
        <f>SUMIF('Trip Changes'!$B:$B,A571,'Trip Changes'!$E:$E)</f>
        <v>0</v>
      </c>
      <c r="AG571" s="23">
        <f>SUMIF('Trip Cancellations'!$B:$B,A571,'Trip Cancellations'!$E:$E)</f>
        <v>0</v>
      </c>
      <c r="AH571" s="14">
        <f>SUMIF('Trip Cancellations'!$B:$B,A571,'Trip Cancellations'!$F:$F)</f>
        <v>0</v>
      </c>
      <c r="AI571" s="14">
        <f t="shared" si="170"/>
        <v>530.29</v>
      </c>
      <c r="AJ571" s="14" t="str">
        <f t="shared" si="171"/>
        <v>Yes</v>
      </c>
      <c r="AK571" s="14" t="str">
        <f>IF(Y571=0,"N/A",
IF(_xlfn.XLOOKUP(U571,Hotels!A:A,Hotels!C:C)=TRUE,"Yes","No"))</f>
        <v>Yes</v>
      </c>
      <c r="AL571" s="14" t="str">
        <f>IF(N571="Rail","N/A",IF(_xlfn.XLOOKUP(T571,Airlines!A:A,Airlines!C:C)=TRUE,"Yes","No"))</f>
        <v>Yes</v>
      </c>
      <c r="AM571" s="14" t="str">
        <f t="shared" si="172"/>
        <v>Yes</v>
      </c>
      <c r="AN571" s="14" t="str">
        <f t="shared" si="173"/>
        <v>Yes</v>
      </c>
      <c r="AO571" s="14" t="str">
        <f t="shared" si="174"/>
        <v>Yes</v>
      </c>
      <c r="AP571" s="16" t="s">
        <v>148</v>
      </c>
      <c r="AQ571" t="str">
        <f t="shared" si="175"/>
        <v>Yes</v>
      </c>
      <c r="AR571" s="21">
        <v>4</v>
      </c>
      <c r="AS571" s="5">
        <v>221.1</v>
      </c>
      <c r="AT571" s="5" t="str">
        <f>IF(T571="","",_xlfn.XLOOKUP(T571,Airlines!A:A,Airlines!B:B,"Not Found"))</f>
        <v>easyJet</v>
      </c>
      <c r="AU571" s="5" t="str">
        <f>IF(U571="","",_xlfn.XLOOKUP(U571,Hotels!A:A,Hotels!B:B,"Not found"))</f>
        <v>Accor</v>
      </c>
      <c r="AV571" t="s">
        <v>148</v>
      </c>
      <c r="AW571" s="16" t="str">
        <f t="shared" si="176"/>
        <v>OK</v>
      </c>
      <c r="AX571" s="16" t="str">
        <f t="shared" si="177"/>
        <v>OK</v>
      </c>
      <c r="AY571" s="16" t="str">
        <f t="shared" si="178"/>
        <v>OK</v>
      </c>
      <c r="AZ571" s="16" t="str">
        <f t="shared" si="179"/>
        <v>OK</v>
      </c>
      <c r="BA571" s="16" t="str">
        <f t="shared" si="183"/>
        <v>OK</v>
      </c>
      <c r="BB571" s="21">
        <f>COUNTIF('Trip Changes'!B:B,A571)</f>
        <v>0</v>
      </c>
      <c r="BC571" s="16" t="str">
        <f>IF(OR(AND(AD571="Yes",COUNTIF('Trip Changes'!B:B,A571)&gt;0),AND(AD571="No",COUNTIF('Trip Changes'!B:B,A571)=0)),"OK","Check")</f>
        <v>OK</v>
      </c>
      <c r="BD571" t="str">
        <f t="shared" si="184"/>
        <v>OK</v>
      </c>
      <c r="BE571" t="str">
        <f t="shared" si="185"/>
        <v>OK</v>
      </c>
      <c r="BF571" t="str">
        <f t="shared" si="186"/>
        <v>OK</v>
      </c>
      <c r="BG571" t="str">
        <f t="shared" si="187"/>
        <v>OK</v>
      </c>
      <c r="BH571" t="str">
        <f t="shared" si="188"/>
        <v>OK</v>
      </c>
      <c r="BI571" t="str">
        <f t="shared" si="180"/>
        <v>OK</v>
      </c>
      <c r="BJ571" t="str">
        <f t="shared" si="181"/>
        <v>OK</v>
      </c>
      <c r="BK571" t="str">
        <f t="shared" si="182"/>
        <v>OK</v>
      </c>
    </row>
    <row r="572" spans="1:63">
      <c r="A572" s="16" t="s">
        <v>942</v>
      </c>
      <c r="B572" s="16" t="s">
        <v>940</v>
      </c>
      <c r="C572" s="16" t="s">
        <v>142</v>
      </c>
      <c r="D572" s="16" t="s">
        <v>248</v>
      </c>
      <c r="E572" s="16" t="s">
        <v>169</v>
      </c>
      <c r="F572" s="16" t="s">
        <v>189</v>
      </c>
      <c r="G572" s="15">
        <v>46200</v>
      </c>
      <c r="H572" s="15">
        <v>46223</v>
      </c>
      <c r="I572" s="15">
        <v>46227</v>
      </c>
      <c r="J572" s="15" t="s">
        <v>150</v>
      </c>
      <c r="K572" s="16" t="s">
        <v>142</v>
      </c>
      <c r="L572" t="s">
        <v>151</v>
      </c>
      <c r="M572" s="16" t="s">
        <v>152</v>
      </c>
      <c r="N572" s="16" t="s">
        <v>153</v>
      </c>
      <c r="O572" t="s">
        <v>1614</v>
      </c>
      <c r="P572" s="18">
        <v>1220</v>
      </c>
      <c r="Q572" s="21">
        <v>23</v>
      </c>
      <c r="R572" s="21" t="str">
        <f t="shared" si="168"/>
        <v>15-30 days</v>
      </c>
      <c r="S572" s="16" t="s">
        <v>145</v>
      </c>
      <c r="T572" s="16" t="s">
        <v>172</v>
      </c>
      <c r="U572" s="16" t="s">
        <v>173</v>
      </c>
      <c r="V572" t="str">
        <f>IF(U572="","",IFERROR(VLOOKUP(U572,Hotels!A:B,2,FALSE),"Not Found"))</f>
        <v>Accor</v>
      </c>
      <c r="W572" s="14">
        <v>253.99</v>
      </c>
      <c r="X572" s="14">
        <v>0</v>
      </c>
      <c r="Y572" s="21">
        <v>3</v>
      </c>
      <c r="Z572" s="29">
        <f t="shared" si="169"/>
        <v>159.65333333333334</v>
      </c>
      <c r="AA572" s="14">
        <v>478.96</v>
      </c>
      <c r="AB572" s="14">
        <v>55.52</v>
      </c>
      <c r="AC572" s="14">
        <v>788.47</v>
      </c>
      <c r="AD572" s="16" t="s">
        <v>148</v>
      </c>
      <c r="AE572" s="16" t="s">
        <v>147</v>
      </c>
      <c r="AF572" s="14">
        <f>SUMIF('Trip Changes'!$B:$B,A572,'Trip Changes'!$E:$E)</f>
        <v>40.08</v>
      </c>
      <c r="AG572" s="23">
        <f>SUMIF('Trip Cancellations'!$B:$B,A572,'Trip Cancellations'!$E:$E)</f>
        <v>0</v>
      </c>
      <c r="AH572" s="14">
        <f>SUMIF('Trip Cancellations'!$B:$B,A572,'Trip Cancellations'!$F:$F)</f>
        <v>0</v>
      </c>
      <c r="AI572" s="14">
        <f t="shared" si="170"/>
        <v>828.55000000000007</v>
      </c>
      <c r="AJ572" s="14" t="str">
        <f t="shared" si="171"/>
        <v>Yes</v>
      </c>
      <c r="AK572" s="14" t="str">
        <f>IF(Y572=0,"N/A",
IF(_xlfn.XLOOKUP(U572,Hotels!A:A,Hotels!C:C)=TRUE,"Yes","No"))</f>
        <v>Yes</v>
      </c>
      <c r="AL572" s="14" t="str">
        <f>IF(N572="Rail","N/A",IF(_xlfn.XLOOKUP(T572,Airlines!A:A,Airlines!C:C)=TRUE,"Yes","No"))</f>
        <v>Yes</v>
      </c>
      <c r="AM572" s="14" t="str">
        <f t="shared" si="172"/>
        <v>Yes</v>
      </c>
      <c r="AN572" s="14" t="str">
        <f t="shared" si="173"/>
        <v>Yes</v>
      </c>
      <c r="AO572" s="14" t="str">
        <f t="shared" si="174"/>
        <v>Yes</v>
      </c>
      <c r="AP572" s="16" t="s">
        <v>148</v>
      </c>
      <c r="AQ572" t="str">
        <f t="shared" si="175"/>
        <v>Yes</v>
      </c>
      <c r="AR572" s="21">
        <v>4</v>
      </c>
      <c r="AS572" s="5">
        <v>183</v>
      </c>
      <c r="AT572" s="5" t="str">
        <f>IF(T572="","",_xlfn.XLOOKUP(T572,Airlines!A:A,Airlines!B:B,"Not Found"))</f>
        <v>Lufthansa</v>
      </c>
      <c r="AU572" s="5" t="str">
        <f>IF(U572="","",_xlfn.XLOOKUP(U572,Hotels!A:A,Hotels!B:B,"Not found"))</f>
        <v>Accor</v>
      </c>
      <c r="AV572" t="s">
        <v>148</v>
      </c>
      <c r="AW572" s="16" t="str">
        <f t="shared" si="176"/>
        <v>OK</v>
      </c>
      <c r="AX572" s="16" t="str">
        <f t="shared" si="177"/>
        <v>OK</v>
      </c>
      <c r="AY572" s="16" t="str">
        <f t="shared" si="178"/>
        <v>OK</v>
      </c>
      <c r="AZ572" s="16" t="str">
        <f t="shared" si="179"/>
        <v>OK</v>
      </c>
      <c r="BA572" s="16" t="str">
        <f t="shared" si="183"/>
        <v>OK</v>
      </c>
      <c r="BB572" s="21">
        <f>COUNTIF('Trip Changes'!B:B,A572)</f>
        <v>1</v>
      </c>
      <c r="BC572" s="16" t="str">
        <f>IF(OR(AND(AD572="Yes",COUNTIF('Trip Changes'!B:B,A572)&gt;0),AND(AD572="No",COUNTIF('Trip Changes'!B:B,A572)=0)),"OK","Check")</f>
        <v>OK</v>
      </c>
      <c r="BD572" t="str">
        <f t="shared" si="184"/>
        <v>OK</v>
      </c>
      <c r="BE572" t="str">
        <f t="shared" si="185"/>
        <v>OK</v>
      </c>
      <c r="BF572" t="str">
        <f t="shared" si="186"/>
        <v>OK</v>
      </c>
      <c r="BG572" t="str">
        <f t="shared" si="187"/>
        <v>OK</v>
      </c>
      <c r="BH572" t="str">
        <f t="shared" si="188"/>
        <v>OK</v>
      </c>
      <c r="BI572" t="str">
        <f t="shared" si="180"/>
        <v>OK</v>
      </c>
      <c r="BJ572" t="str">
        <f t="shared" si="181"/>
        <v>OK</v>
      </c>
      <c r="BK572" t="str">
        <f t="shared" si="182"/>
        <v>OK</v>
      </c>
    </row>
    <row r="573" spans="1:63">
      <c r="A573" s="16" t="s">
        <v>943</v>
      </c>
      <c r="B573" s="16" t="s">
        <v>940</v>
      </c>
      <c r="C573" s="16" t="s">
        <v>142</v>
      </c>
      <c r="D573" s="16" t="s">
        <v>248</v>
      </c>
      <c r="E573" s="16" t="s">
        <v>169</v>
      </c>
      <c r="F573" s="16" t="s">
        <v>162</v>
      </c>
      <c r="G573" s="15">
        <v>46223</v>
      </c>
      <c r="H573" s="15">
        <v>46224</v>
      </c>
      <c r="I573" s="15">
        <v>46229</v>
      </c>
      <c r="J573" s="15" t="s">
        <v>150</v>
      </c>
      <c r="K573" s="16" t="s">
        <v>142</v>
      </c>
      <c r="L573" t="s">
        <v>264</v>
      </c>
      <c r="M573" s="16" t="s">
        <v>152</v>
      </c>
      <c r="N573" s="16" t="s">
        <v>153</v>
      </c>
      <c r="O573" t="s">
        <v>1614</v>
      </c>
      <c r="P573" s="18">
        <v>1268</v>
      </c>
      <c r="Q573" s="21">
        <v>1</v>
      </c>
      <c r="R573" s="21" t="str">
        <f t="shared" si="168"/>
        <v>0-3 days</v>
      </c>
      <c r="S573" s="16" t="s">
        <v>145</v>
      </c>
      <c r="T573" s="16" t="s">
        <v>160</v>
      </c>
      <c r="U573" s="16" t="s">
        <v>190</v>
      </c>
      <c r="V573" t="str">
        <f>IF(U573="","",IFERROR(VLOOKUP(U573,Hotels!A:B,2,FALSE),"Not Found"))</f>
        <v>Radisson Hotel Group</v>
      </c>
      <c r="W573" s="14">
        <v>328.74</v>
      </c>
      <c r="X573" s="14">
        <v>0</v>
      </c>
      <c r="Y573" s="21">
        <v>4</v>
      </c>
      <c r="Z573" s="29">
        <f t="shared" si="169"/>
        <v>149.11750000000001</v>
      </c>
      <c r="AA573" s="14">
        <v>596.47</v>
      </c>
      <c r="AB573" s="14">
        <v>63.38</v>
      </c>
      <c r="AC573" s="14">
        <v>988.59</v>
      </c>
      <c r="AD573" s="16" t="s">
        <v>147</v>
      </c>
      <c r="AE573" s="16" t="s">
        <v>147</v>
      </c>
      <c r="AF573" s="14">
        <f>SUMIF('Trip Changes'!$B:$B,A573,'Trip Changes'!$E:$E)</f>
        <v>0</v>
      </c>
      <c r="AG573" s="23">
        <f>SUMIF('Trip Cancellations'!$B:$B,A573,'Trip Cancellations'!$E:$E)</f>
        <v>0</v>
      </c>
      <c r="AH573" s="14">
        <f>SUMIF('Trip Cancellations'!$B:$B,A573,'Trip Cancellations'!$F:$F)</f>
        <v>0</v>
      </c>
      <c r="AI573" s="14">
        <f t="shared" si="170"/>
        <v>988.59</v>
      </c>
      <c r="AJ573" s="14" t="str">
        <f t="shared" si="171"/>
        <v>Yes</v>
      </c>
      <c r="AK573" s="14" t="str">
        <f>IF(Y573=0,"N/A",
IF(_xlfn.XLOOKUP(U573,Hotels!A:A,Hotels!C:C)=TRUE,"Yes","No"))</f>
        <v>No</v>
      </c>
      <c r="AL573" s="14" t="str">
        <f>IF(N573="Rail","N/A",IF(_xlfn.XLOOKUP(T573,Airlines!A:A,Airlines!C:C)=TRUE,"Yes","No"))</f>
        <v>Yes</v>
      </c>
      <c r="AM573" s="14" t="str">
        <f t="shared" si="172"/>
        <v>Yes</v>
      </c>
      <c r="AN573" s="14" t="str">
        <f t="shared" si="173"/>
        <v>Yes</v>
      </c>
      <c r="AO573" s="14" t="str">
        <f t="shared" si="174"/>
        <v>No</v>
      </c>
      <c r="AP573" s="16" t="s">
        <v>148</v>
      </c>
      <c r="AQ573" t="str">
        <f t="shared" si="175"/>
        <v>No</v>
      </c>
      <c r="AR573" s="21">
        <v>4</v>
      </c>
      <c r="AS573" s="5">
        <v>190.2</v>
      </c>
      <c r="AT573" s="5" t="str">
        <f>IF(T573="","",_xlfn.XLOOKUP(T573,Airlines!A:A,Airlines!B:B,"Not Found"))</f>
        <v>Air France</v>
      </c>
      <c r="AU573" s="5" t="str">
        <f>IF(U573="","",_xlfn.XLOOKUP(U573,Hotels!A:A,Hotels!B:B,"Not found"))</f>
        <v>Radisson Hotel Group</v>
      </c>
      <c r="AV573" t="s">
        <v>147</v>
      </c>
      <c r="AW573" s="16" t="str">
        <f t="shared" si="176"/>
        <v>OK</v>
      </c>
      <c r="AX573" s="16" t="str">
        <f t="shared" si="177"/>
        <v>OK</v>
      </c>
      <c r="AY573" s="16" t="str">
        <f t="shared" si="178"/>
        <v>OK</v>
      </c>
      <c r="AZ573" s="16" t="str">
        <f t="shared" si="179"/>
        <v>OK</v>
      </c>
      <c r="BA573" s="16" t="str">
        <f t="shared" si="183"/>
        <v>OK</v>
      </c>
      <c r="BB573" s="21">
        <f>COUNTIF('Trip Changes'!B:B,A573)</f>
        <v>0</v>
      </c>
      <c r="BC573" s="16" t="str">
        <f>IF(OR(AND(AD573="Yes",COUNTIF('Trip Changes'!B:B,A573)&gt;0),AND(AD573="No",COUNTIF('Trip Changes'!B:B,A573)=0)),"OK","Check")</f>
        <v>OK</v>
      </c>
      <c r="BD573" t="str">
        <f t="shared" si="184"/>
        <v>OK</v>
      </c>
      <c r="BE573" t="str">
        <f t="shared" si="185"/>
        <v>OK</v>
      </c>
      <c r="BF573" t="str">
        <f t="shared" si="186"/>
        <v>OK</v>
      </c>
      <c r="BG573" t="str">
        <f t="shared" si="187"/>
        <v>OK</v>
      </c>
      <c r="BH573" t="str">
        <f t="shared" si="188"/>
        <v>OK</v>
      </c>
      <c r="BI573" t="str">
        <f t="shared" si="180"/>
        <v>OK</v>
      </c>
      <c r="BJ573" t="str">
        <f t="shared" si="181"/>
        <v>OK</v>
      </c>
      <c r="BK573" t="str">
        <f t="shared" si="182"/>
        <v>OK</v>
      </c>
    </row>
    <row r="574" spans="1:63">
      <c r="A574" s="16" t="s">
        <v>944</v>
      </c>
      <c r="B574" s="16" t="s">
        <v>945</v>
      </c>
      <c r="C574" s="16" t="s">
        <v>182</v>
      </c>
      <c r="D574" s="16" t="s">
        <v>168</v>
      </c>
      <c r="E574" s="16" t="s">
        <v>268</v>
      </c>
      <c r="F574" s="16" t="s">
        <v>162</v>
      </c>
      <c r="G574" s="15">
        <v>46183</v>
      </c>
      <c r="H574" s="15">
        <v>46193</v>
      </c>
      <c r="I574" s="15">
        <v>46197</v>
      </c>
      <c r="J574" s="15" t="s">
        <v>141</v>
      </c>
      <c r="K574" s="16" t="s">
        <v>182</v>
      </c>
      <c r="L574" t="s">
        <v>199</v>
      </c>
      <c r="M574" s="16" t="s">
        <v>152</v>
      </c>
      <c r="N574" s="16" t="s">
        <v>153</v>
      </c>
      <c r="O574" t="s">
        <v>1614</v>
      </c>
      <c r="P574" s="18">
        <v>3482</v>
      </c>
      <c r="Q574" s="21">
        <v>10</v>
      </c>
      <c r="R574" s="21" t="str">
        <f t="shared" si="168"/>
        <v>8-14 days</v>
      </c>
      <c r="S574" s="16" t="s">
        <v>159</v>
      </c>
      <c r="T574" s="16" t="s">
        <v>200</v>
      </c>
      <c r="U574" s="16" t="s">
        <v>155</v>
      </c>
      <c r="V574" t="str">
        <f>IF(U574="","",IFERROR(VLOOKUP(U574,Hotels!A:B,2,FALSE),"Not Found"))</f>
        <v>Hilton</v>
      </c>
      <c r="W574" s="14">
        <v>510.18</v>
      </c>
      <c r="X574" s="14">
        <v>0</v>
      </c>
      <c r="Y574" s="21">
        <v>3</v>
      </c>
      <c r="Z574" s="29">
        <f t="shared" si="169"/>
        <v>161.46</v>
      </c>
      <c r="AA574" s="14">
        <v>484.38</v>
      </c>
      <c r="AB574" s="14">
        <v>114.37</v>
      </c>
      <c r="AC574" s="14">
        <v>1108.93</v>
      </c>
      <c r="AD574" s="16" t="s">
        <v>147</v>
      </c>
      <c r="AE574" s="16" t="s">
        <v>148</v>
      </c>
      <c r="AF574" s="14">
        <f>SUMIF('Trip Changes'!$B:$B,A574,'Trip Changes'!$E:$E)</f>
        <v>0</v>
      </c>
      <c r="AG574" s="23">
        <f>SUMIF('Trip Cancellations'!$B:$B,A574,'Trip Cancellations'!$E:$E)</f>
        <v>82.8</v>
      </c>
      <c r="AH574" s="14">
        <f>SUMIF('Trip Cancellations'!$B:$B,A574,'Trip Cancellations'!$F:$F)</f>
        <v>745.92</v>
      </c>
      <c r="AI574" s="14">
        <f t="shared" si="170"/>
        <v>445.81000000000006</v>
      </c>
      <c r="AJ574" s="14" t="str">
        <f t="shared" si="171"/>
        <v>Yes</v>
      </c>
      <c r="AK574" s="14" t="str">
        <f>IF(Y574=0,"N/A",
IF(_xlfn.XLOOKUP(U574,Hotels!A:A,Hotels!C:C)=TRUE,"Yes","No"))</f>
        <v>Yes</v>
      </c>
      <c r="AL574" s="14" t="str">
        <f>IF(N574="Rail","N/A",IF(_xlfn.XLOOKUP(T574,Airlines!A:A,Airlines!C:C)=TRUE,"Yes","No"))</f>
        <v>Yes</v>
      </c>
      <c r="AM574" s="14" t="str">
        <f t="shared" si="172"/>
        <v>Yes</v>
      </c>
      <c r="AN574" s="14" t="str">
        <f t="shared" si="173"/>
        <v>Yes</v>
      </c>
      <c r="AO574" s="14" t="str">
        <f t="shared" si="174"/>
        <v>Yes</v>
      </c>
      <c r="AP574" s="16" t="s">
        <v>148</v>
      </c>
      <c r="AQ574" t="str">
        <f t="shared" si="175"/>
        <v>Yes</v>
      </c>
      <c r="AR574" s="21">
        <v>4</v>
      </c>
      <c r="AS574" s="5">
        <v>522.29999999999995</v>
      </c>
      <c r="AT574" s="5" t="str">
        <f>IF(T574="","",_xlfn.XLOOKUP(T574,Airlines!A:A,Airlines!B:B,"Not Found"))</f>
        <v>Aer Lingus</v>
      </c>
      <c r="AU574" s="5" t="str">
        <f>IF(U574="","",_xlfn.XLOOKUP(U574,Hotels!A:A,Hotels!B:B,"Not found"))</f>
        <v>Hilton</v>
      </c>
      <c r="AV574" t="s">
        <v>147</v>
      </c>
      <c r="AW574" s="16" t="str">
        <f t="shared" si="176"/>
        <v>OK</v>
      </c>
      <c r="AX574" s="16" t="str">
        <f t="shared" si="177"/>
        <v>OK</v>
      </c>
      <c r="AY574" s="16" t="str">
        <f t="shared" si="178"/>
        <v>OK</v>
      </c>
      <c r="AZ574" s="16" t="str">
        <f t="shared" si="179"/>
        <v>OK</v>
      </c>
      <c r="BA574" s="16" t="str">
        <f t="shared" si="183"/>
        <v>OK</v>
      </c>
      <c r="BB574" s="21">
        <f>COUNTIF('Trip Changes'!B:B,A574)</f>
        <v>0</v>
      </c>
      <c r="BC574" s="16" t="str">
        <f>IF(OR(AND(AD574="Yes",COUNTIF('Trip Changes'!B:B,A574)&gt;0),AND(AD574="No",COUNTIF('Trip Changes'!B:B,A574)=0)),"OK","Check")</f>
        <v>OK</v>
      </c>
      <c r="BD574" t="str">
        <f t="shared" si="184"/>
        <v>OK</v>
      </c>
      <c r="BE574" t="str">
        <f t="shared" si="185"/>
        <v>OK</v>
      </c>
      <c r="BF574" t="str">
        <f t="shared" si="186"/>
        <v>OK</v>
      </c>
      <c r="BG574" t="str">
        <f t="shared" si="187"/>
        <v>OK</v>
      </c>
      <c r="BH574" t="str">
        <f t="shared" si="188"/>
        <v>OK</v>
      </c>
      <c r="BI574" t="str">
        <f t="shared" si="180"/>
        <v>OK</v>
      </c>
      <c r="BJ574" t="str">
        <f t="shared" si="181"/>
        <v>OK</v>
      </c>
      <c r="BK574" t="str">
        <f t="shared" si="182"/>
        <v>OK</v>
      </c>
    </row>
    <row r="575" spans="1:63">
      <c r="A575" s="16" t="s">
        <v>946</v>
      </c>
      <c r="B575" s="16" t="s">
        <v>945</v>
      </c>
      <c r="C575" s="16" t="s">
        <v>182</v>
      </c>
      <c r="D575" s="16" t="s">
        <v>168</v>
      </c>
      <c r="E575" s="16" t="s">
        <v>268</v>
      </c>
      <c r="F575" s="16" t="s">
        <v>140</v>
      </c>
      <c r="G575" s="15">
        <v>46176</v>
      </c>
      <c r="H575" s="15">
        <v>46205</v>
      </c>
      <c r="I575" s="15">
        <v>46209</v>
      </c>
      <c r="J575" s="15" t="s">
        <v>150</v>
      </c>
      <c r="K575" s="16" t="s">
        <v>182</v>
      </c>
      <c r="L575" t="s">
        <v>209</v>
      </c>
      <c r="M575" s="16" t="s">
        <v>152</v>
      </c>
      <c r="N575" s="16" t="s">
        <v>153</v>
      </c>
      <c r="O575" t="s">
        <v>1614</v>
      </c>
      <c r="P575" s="18">
        <v>1324</v>
      </c>
      <c r="Q575" s="21">
        <v>29</v>
      </c>
      <c r="R575" s="21" t="str">
        <f t="shared" si="168"/>
        <v>15-30 days</v>
      </c>
      <c r="S575" s="16" t="s">
        <v>145</v>
      </c>
      <c r="T575" s="16" t="s">
        <v>172</v>
      </c>
      <c r="U575" s="16" t="s">
        <v>187</v>
      </c>
      <c r="V575" t="str">
        <f>IF(U575="","",IFERROR(VLOOKUP(U575,Hotels!A:B,2,FALSE),"Not Found"))</f>
        <v>IHG Hotels &amp; Resorts</v>
      </c>
      <c r="W575" s="14">
        <v>485.32</v>
      </c>
      <c r="X575" s="14">
        <v>0</v>
      </c>
      <c r="Y575" s="21">
        <v>3</v>
      </c>
      <c r="Z575" s="29">
        <f t="shared" si="169"/>
        <v>148.42333333333332</v>
      </c>
      <c r="AA575" s="14">
        <v>445.27</v>
      </c>
      <c r="AB575" s="14">
        <v>65.27</v>
      </c>
      <c r="AC575" s="14">
        <v>995.86</v>
      </c>
      <c r="AD575" s="16" t="s">
        <v>147</v>
      </c>
      <c r="AE575" s="16" t="s">
        <v>147</v>
      </c>
      <c r="AF575" s="14">
        <f>SUMIF('Trip Changes'!$B:$B,A575,'Trip Changes'!$E:$E)</f>
        <v>0</v>
      </c>
      <c r="AG575" s="23">
        <f>SUMIF('Trip Cancellations'!$B:$B,A575,'Trip Cancellations'!$E:$E)</f>
        <v>0</v>
      </c>
      <c r="AH575" s="14">
        <f>SUMIF('Trip Cancellations'!$B:$B,A575,'Trip Cancellations'!$F:$F)</f>
        <v>0</v>
      </c>
      <c r="AI575" s="14">
        <f t="shared" si="170"/>
        <v>995.86</v>
      </c>
      <c r="AJ575" s="14" t="str">
        <f t="shared" si="171"/>
        <v>Yes</v>
      </c>
      <c r="AK575" s="14" t="str">
        <f>IF(Y575=0,"N/A",
IF(_xlfn.XLOOKUP(U575,Hotels!A:A,Hotels!C:C)=TRUE,"Yes","No"))</f>
        <v>Yes</v>
      </c>
      <c r="AL575" s="14" t="str">
        <f>IF(N575="Rail","N/A",IF(_xlfn.XLOOKUP(T575,Airlines!A:A,Airlines!C:C)=TRUE,"Yes","No"))</f>
        <v>Yes</v>
      </c>
      <c r="AM575" s="14" t="str">
        <f t="shared" si="172"/>
        <v>Yes</v>
      </c>
      <c r="AN575" s="14" t="str">
        <f t="shared" si="173"/>
        <v>Yes</v>
      </c>
      <c r="AO575" s="14" t="str">
        <f t="shared" si="174"/>
        <v>Yes</v>
      </c>
      <c r="AP575" s="16" t="s">
        <v>148</v>
      </c>
      <c r="AQ575" t="str">
        <f t="shared" si="175"/>
        <v>Yes</v>
      </c>
      <c r="AR575" s="21">
        <v>4</v>
      </c>
      <c r="AS575" s="5">
        <v>198.6</v>
      </c>
      <c r="AT575" s="5" t="str">
        <f>IF(T575="","",_xlfn.XLOOKUP(T575,Airlines!A:A,Airlines!B:B,"Not Found"))</f>
        <v>Lufthansa</v>
      </c>
      <c r="AU575" s="5" t="str">
        <f>IF(U575="","",_xlfn.XLOOKUP(U575,Hotels!A:A,Hotels!B:B,"Not found"))</f>
        <v>IHG Hotels &amp; Resorts</v>
      </c>
      <c r="AV575" t="s">
        <v>147</v>
      </c>
      <c r="AW575" s="16" t="str">
        <f t="shared" si="176"/>
        <v>OK</v>
      </c>
      <c r="AX575" s="16" t="str">
        <f t="shared" si="177"/>
        <v>OK</v>
      </c>
      <c r="AY575" s="16" t="str">
        <f t="shared" si="178"/>
        <v>OK</v>
      </c>
      <c r="AZ575" s="16" t="str">
        <f t="shared" si="179"/>
        <v>OK</v>
      </c>
      <c r="BA575" s="16" t="str">
        <f t="shared" si="183"/>
        <v>OK</v>
      </c>
      <c r="BB575" s="21">
        <f>COUNTIF('Trip Changes'!B:B,A575)</f>
        <v>0</v>
      </c>
      <c r="BC575" s="16" t="str">
        <f>IF(OR(AND(AD575="Yes",COUNTIF('Trip Changes'!B:B,A575)&gt;0),AND(AD575="No",COUNTIF('Trip Changes'!B:B,A575)=0)),"OK","Check")</f>
        <v>OK</v>
      </c>
      <c r="BD575" t="str">
        <f t="shared" si="184"/>
        <v>OK</v>
      </c>
      <c r="BE575" t="str">
        <f t="shared" si="185"/>
        <v>OK</v>
      </c>
      <c r="BF575" t="str">
        <f t="shared" si="186"/>
        <v>OK</v>
      </c>
      <c r="BG575" t="str">
        <f t="shared" si="187"/>
        <v>OK</v>
      </c>
      <c r="BH575" t="str">
        <f t="shared" si="188"/>
        <v>OK</v>
      </c>
      <c r="BI575" t="str">
        <f t="shared" si="180"/>
        <v>OK</v>
      </c>
      <c r="BJ575" t="str">
        <f t="shared" si="181"/>
        <v>OK</v>
      </c>
      <c r="BK575" t="str">
        <f t="shared" si="182"/>
        <v>OK</v>
      </c>
    </row>
    <row r="576" spans="1:63">
      <c r="A576" s="16" t="s">
        <v>947</v>
      </c>
      <c r="B576" s="16" t="s">
        <v>948</v>
      </c>
      <c r="C576" s="16" t="s">
        <v>182</v>
      </c>
      <c r="D576" s="16" t="s">
        <v>230</v>
      </c>
      <c r="E576" s="16" t="s">
        <v>139</v>
      </c>
      <c r="F576" s="16" t="s">
        <v>140</v>
      </c>
      <c r="G576" s="15">
        <v>46192</v>
      </c>
      <c r="H576" s="15">
        <v>46193</v>
      </c>
      <c r="I576" s="15">
        <v>46198</v>
      </c>
      <c r="J576" s="15" t="s">
        <v>141</v>
      </c>
      <c r="K576" s="16" t="s">
        <v>182</v>
      </c>
      <c r="L576" t="s">
        <v>209</v>
      </c>
      <c r="M576" s="16" t="s">
        <v>152</v>
      </c>
      <c r="N576" s="16" t="s">
        <v>153</v>
      </c>
      <c r="O576" t="s">
        <v>1614</v>
      </c>
      <c r="P576" s="18">
        <v>1130</v>
      </c>
      <c r="Q576" s="21">
        <v>1</v>
      </c>
      <c r="R576" s="21" t="str">
        <f t="shared" si="168"/>
        <v>0-3 days</v>
      </c>
      <c r="S576" s="16" t="s">
        <v>145</v>
      </c>
      <c r="T576" s="16" t="s">
        <v>154</v>
      </c>
      <c r="U576" s="16" t="s">
        <v>190</v>
      </c>
      <c r="V576" t="str">
        <f>IF(U576="","",IFERROR(VLOOKUP(U576,Hotels!A:B,2,FALSE),"Not Found"))</f>
        <v>Radisson Hotel Group</v>
      </c>
      <c r="W576" s="14">
        <v>189.56</v>
      </c>
      <c r="X576" s="14">
        <v>0</v>
      </c>
      <c r="Y576" s="21">
        <v>4</v>
      </c>
      <c r="Z576" s="29">
        <f t="shared" si="169"/>
        <v>87.777500000000003</v>
      </c>
      <c r="AA576" s="14">
        <v>351.11</v>
      </c>
      <c r="AB576" s="14">
        <v>81.61</v>
      </c>
      <c r="AC576" s="14">
        <v>622.28</v>
      </c>
      <c r="AD576" s="16" t="s">
        <v>147</v>
      </c>
      <c r="AE576" s="16" t="s">
        <v>147</v>
      </c>
      <c r="AF576" s="14">
        <f>SUMIF('Trip Changes'!$B:$B,A576,'Trip Changes'!$E:$E)</f>
        <v>0</v>
      </c>
      <c r="AG576" s="23">
        <f>SUMIF('Trip Cancellations'!$B:$B,A576,'Trip Cancellations'!$E:$E)</f>
        <v>0</v>
      </c>
      <c r="AH576" s="14">
        <f>SUMIF('Trip Cancellations'!$B:$B,A576,'Trip Cancellations'!$F:$F)</f>
        <v>0</v>
      </c>
      <c r="AI576" s="14">
        <f t="shared" si="170"/>
        <v>622.28</v>
      </c>
      <c r="AJ576" s="14" t="str">
        <f t="shared" si="171"/>
        <v>Yes</v>
      </c>
      <c r="AK576" s="14" t="str">
        <f>IF(Y576=0,"N/A",
IF(_xlfn.XLOOKUP(U576,Hotels!A:A,Hotels!C:C)=TRUE,"Yes","No"))</f>
        <v>No</v>
      </c>
      <c r="AL576" s="14" t="str">
        <f>IF(N576="Rail","N/A",IF(_xlfn.XLOOKUP(T576,Airlines!A:A,Airlines!C:C)=TRUE,"Yes","No"))</f>
        <v>Yes</v>
      </c>
      <c r="AM576" s="14" t="str">
        <f t="shared" si="172"/>
        <v>Yes</v>
      </c>
      <c r="AN576" s="14" t="str">
        <f t="shared" si="173"/>
        <v>Yes</v>
      </c>
      <c r="AO576" s="14" t="str">
        <f t="shared" si="174"/>
        <v>No</v>
      </c>
      <c r="AP576" s="16" t="s">
        <v>148</v>
      </c>
      <c r="AQ576" t="str">
        <f t="shared" si="175"/>
        <v>No</v>
      </c>
      <c r="AR576" s="21">
        <v>4</v>
      </c>
      <c r="AS576" s="5">
        <v>169.5</v>
      </c>
      <c r="AT576" s="5" t="str">
        <f>IF(T576="","",_xlfn.XLOOKUP(T576,Airlines!A:A,Airlines!B:B,"Not Found"))</f>
        <v>British Airways</v>
      </c>
      <c r="AU576" s="5" t="str">
        <f>IF(U576="","",_xlfn.XLOOKUP(U576,Hotels!A:A,Hotels!B:B,"Not found"))</f>
        <v>Radisson Hotel Group</v>
      </c>
      <c r="AV576" t="s">
        <v>147</v>
      </c>
      <c r="AW576" s="16" t="str">
        <f t="shared" si="176"/>
        <v>OK</v>
      </c>
      <c r="AX576" s="16" t="str">
        <f t="shared" si="177"/>
        <v>OK</v>
      </c>
      <c r="AY576" s="16" t="str">
        <f t="shared" si="178"/>
        <v>OK</v>
      </c>
      <c r="AZ576" s="16" t="str">
        <f t="shared" si="179"/>
        <v>OK</v>
      </c>
      <c r="BA576" s="16" t="str">
        <f t="shared" si="183"/>
        <v>OK</v>
      </c>
      <c r="BB576" s="21">
        <f>COUNTIF('Trip Changes'!B:B,A576)</f>
        <v>0</v>
      </c>
      <c r="BC576" s="16" t="str">
        <f>IF(OR(AND(AD576="Yes",COUNTIF('Trip Changes'!B:B,A576)&gt;0),AND(AD576="No",COUNTIF('Trip Changes'!B:B,A576)=0)),"OK","Check")</f>
        <v>OK</v>
      </c>
      <c r="BD576" t="str">
        <f t="shared" si="184"/>
        <v>OK</v>
      </c>
      <c r="BE576" t="str">
        <f t="shared" si="185"/>
        <v>OK</v>
      </c>
      <c r="BF576" t="str">
        <f t="shared" si="186"/>
        <v>OK</v>
      </c>
      <c r="BG576" t="str">
        <f t="shared" si="187"/>
        <v>OK</v>
      </c>
      <c r="BH576" t="str">
        <f t="shared" si="188"/>
        <v>OK</v>
      </c>
      <c r="BI576" t="str">
        <f t="shared" si="180"/>
        <v>OK</v>
      </c>
      <c r="BJ576" t="str">
        <f t="shared" si="181"/>
        <v>OK</v>
      </c>
      <c r="BK576" t="str">
        <f t="shared" si="182"/>
        <v>OK</v>
      </c>
    </row>
    <row r="577" spans="1:63">
      <c r="A577" s="16" t="s">
        <v>949</v>
      </c>
      <c r="B577" s="16" t="s">
        <v>950</v>
      </c>
      <c r="C577" s="16" t="s">
        <v>182</v>
      </c>
      <c r="D577" s="16" t="s">
        <v>168</v>
      </c>
      <c r="E577" s="16" t="s">
        <v>139</v>
      </c>
      <c r="F577" s="16" t="s">
        <v>140</v>
      </c>
      <c r="G577" s="15">
        <v>46203</v>
      </c>
      <c r="H577" s="15">
        <v>46208</v>
      </c>
      <c r="I577" s="15">
        <v>46210</v>
      </c>
      <c r="J577" s="15" t="s">
        <v>150</v>
      </c>
      <c r="K577" s="16" t="s">
        <v>182</v>
      </c>
      <c r="L577" t="s">
        <v>283</v>
      </c>
      <c r="M577" s="16" t="s">
        <v>152</v>
      </c>
      <c r="N577" s="16" t="s">
        <v>153</v>
      </c>
      <c r="O577" t="s">
        <v>1614</v>
      </c>
      <c r="P577" s="18">
        <v>12472</v>
      </c>
      <c r="Q577" s="21">
        <v>5</v>
      </c>
      <c r="R577" s="21" t="str">
        <f t="shared" si="168"/>
        <v>4-7 days</v>
      </c>
      <c r="S577" s="16" t="s">
        <v>145</v>
      </c>
      <c r="T577" s="16" t="s">
        <v>186</v>
      </c>
      <c r="U577" s="16" t="s">
        <v>173</v>
      </c>
      <c r="V577" t="str">
        <f>IF(U577="","",IFERROR(VLOOKUP(U577,Hotels!A:B,2,FALSE),"Not Found"))</f>
        <v>Accor</v>
      </c>
      <c r="W577" s="14">
        <v>963.64</v>
      </c>
      <c r="X577" s="14">
        <v>0</v>
      </c>
      <c r="Y577" s="21">
        <v>1</v>
      </c>
      <c r="Z577" s="29">
        <f t="shared" si="169"/>
        <v>116.89</v>
      </c>
      <c r="AA577" s="14">
        <v>116.89</v>
      </c>
      <c r="AB577" s="14">
        <v>78.73</v>
      </c>
      <c r="AC577" s="14">
        <v>1159.26</v>
      </c>
      <c r="AD577" s="16" t="s">
        <v>147</v>
      </c>
      <c r="AE577" s="16" t="s">
        <v>147</v>
      </c>
      <c r="AF577" s="14">
        <f>SUMIF('Trip Changes'!$B:$B,A577,'Trip Changes'!$E:$E)</f>
        <v>0</v>
      </c>
      <c r="AG577" s="23">
        <f>SUMIF('Trip Cancellations'!$B:$B,A577,'Trip Cancellations'!$E:$E)</f>
        <v>0</v>
      </c>
      <c r="AH577" s="14">
        <f>SUMIF('Trip Cancellations'!$B:$B,A577,'Trip Cancellations'!$F:$F)</f>
        <v>0</v>
      </c>
      <c r="AI577" s="14">
        <f t="shared" si="170"/>
        <v>1159.26</v>
      </c>
      <c r="AJ577" s="14" t="str">
        <f t="shared" si="171"/>
        <v>Yes</v>
      </c>
      <c r="AK577" s="14" t="str">
        <f>IF(Y577=0,"N/A",
IF(_xlfn.XLOOKUP(U577,Hotels!A:A,Hotels!C:C)=TRUE,"Yes","No"))</f>
        <v>Yes</v>
      </c>
      <c r="AL577" s="14" t="str">
        <f>IF(N577="Rail","N/A",IF(_xlfn.XLOOKUP(T577,Airlines!A:A,Airlines!C:C)=TRUE,"Yes","No"))</f>
        <v>Yes</v>
      </c>
      <c r="AM577" s="14" t="str">
        <f t="shared" si="172"/>
        <v>Yes</v>
      </c>
      <c r="AN577" s="14" t="str">
        <f t="shared" si="173"/>
        <v>Yes</v>
      </c>
      <c r="AO577" s="14" t="str">
        <f t="shared" si="174"/>
        <v>Yes</v>
      </c>
      <c r="AP577" s="16" t="s">
        <v>147</v>
      </c>
      <c r="AQ577" t="str">
        <f t="shared" si="175"/>
        <v>Yes</v>
      </c>
      <c r="AR577" s="21">
        <v>4</v>
      </c>
      <c r="AS577" s="5">
        <v>1870.8</v>
      </c>
      <c r="AT577" s="5" t="str">
        <f>IF(T577="","",_xlfn.XLOOKUP(T577,Airlines!A:A,Airlines!B:B,"Not Found"))</f>
        <v>Virgin Atlantic</v>
      </c>
      <c r="AU577" s="5" t="str">
        <f>IF(U577="","",_xlfn.XLOOKUP(U577,Hotels!A:A,Hotels!B:B,"Not found"))</f>
        <v>Accor</v>
      </c>
      <c r="AV577" t="s">
        <v>148</v>
      </c>
      <c r="AW577" s="16" t="str">
        <f t="shared" si="176"/>
        <v>OK</v>
      </c>
      <c r="AX577" s="16" t="str">
        <f t="shared" si="177"/>
        <v>OK</v>
      </c>
      <c r="AY577" s="16" t="str">
        <f t="shared" si="178"/>
        <v>OK</v>
      </c>
      <c r="AZ577" s="16" t="str">
        <f t="shared" si="179"/>
        <v>OK</v>
      </c>
      <c r="BA577" s="16" t="str">
        <f t="shared" si="183"/>
        <v>OK</v>
      </c>
      <c r="BB577" s="21">
        <f>COUNTIF('Trip Changes'!B:B,A577)</f>
        <v>0</v>
      </c>
      <c r="BC577" s="16" t="str">
        <f>IF(OR(AND(AD577="Yes",COUNTIF('Trip Changes'!B:B,A577)&gt;0),AND(AD577="No",COUNTIF('Trip Changes'!B:B,A577)=0)),"OK","Check")</f>
        <v>OK</v>
      </c>
      <c r="BD577" t="str">
        <f t="shared" si="184"/>
        <v>OK</v>
      </c>
      <c r="BE577" t="str">
        <f t="shared" si="185"/>
        <v>OK</v>
      </c>
      <c r="BF577" t="str">
        <f t="shared" si="186"/>
        <v>OK</v>
      </c>
      <c r="BG577" t="str">
        <f t="shared" si="187"/>
        <v>OK</v>
      </c>
      <c r="BH577" t="str">
        <f t="shared" si="188"/>
        <v>OK</v>
      </c>
      <c r="BI577" t="str">
        <f t="shared" si="180"/>
        <v>OK</v>
      </c>
      <c r="BJ577" t="str">
        <f t="shared" si="181"/>
        <v>OK</v>
      </c>
      <c r="BK577" t="str">
        <f t="shared" si="182"/>
        <v>OK</v>
      </c>
    </row>
    <row r="578" spans="1:63">
      <c r="A578" s="16" t="s">
        <v>951</v>
      </c>
      <c r="B578" s="16" t="s">
        <v>950</v>
      </c>
      <c r="C578" s="16" t="s">
        <v>182</v>
      </c>
      <c r="D578" s="16" t="s">
        <v>168</v>
      </c>
      <c r="E578" s="16" t="s">
        <v>139</v>
      </c>
      <c r="F578" s="16" t="s">
        <v>162</v>
      </c>
      <c r="G578" s="15">
        <v>46169</v>
      </c>
      <c r="H578" s="15">
        <v>46181</v>
      </c>
      <c r="I578" s="15">
        <v>46186</v>
      </c>
      <c r="J578" s="15" t="s">
        <v>141</v>
      </c>
      <c r="K578" s="16" t="s">
        <v>182</v>
      </c>
      <c r="L578" t="s">
        <v>209</v>
      </c>
      <c r="M578" s="16" t="s">
        <v>152</v>
      </c>
      <c r="N578" s="16" t="s">
        <v>153</v>
      </c>
      <c r="O578" t="s">
        <v>1614</v>
      </c>
      <c r="P578" s="18">
        <v>3324</v>
      </c>
      <c r="Q578" s="21">
        <v>12</v>
      </c>
      <c r="R578" s="21" t="str">
        <f t="shared" ref="R578:R583" si="189">IF(Q578&lt;=3,"0-3 days",IF(Q578&lt;=7,"4-7 days",IF(Q578&lt;=14,"8-14 days",IF(Q578&lt;=30,"15-30 days","31+ days"))))</f>
        <v>8-14 days</v>
      </c>
      <c r="S578" s="16" t="s">
        <v>159</v>
      </c>
      <c r="T578" s="16" t="s">
        <v>172</v>
      </c>
      <c r="U578" s="16" t="s">
        <v>155</v>
      </c>
      <c r="V578" t="str">
        <f>IF(U578="","",IFERROR(VLOOKUP(U578,Hotels!A:B,2,FALSE),"Not Found"))</f>
        <v>Hilton</v>
      </c>
      <c r="W578" s="14">
        <v>530.04999999999995</v>
      </c>
      <c r="X578" s="14">
        <v>0</v>
      </c>
      <c r="Y578" s="21">
        <v>4</v>
      </c>
      <c r="Z578" s="29">
        <f t="shared" ref="Z578:Z583" si="190">IF(Y578&gt;0,AA578/Y578,0)</f>
        <v>205.88249999999999</v>
      </c>
      <c r="AA578" s="14">
        <v>823.53</v>
      </c>
      <c r="AB578" s="14">
        <v>89.75</v>
      </c>
      <c r="AC578" s="14">
        <v>1443.33</v>
      </c>
      <c r="AD578" s="16" t="s">
        <v>147</v>
      </c>
      <c r="AE578" s="16" t="s">
        <v>147</v>
      </c>
      <c r="AF578" s="14">
        <f>SUMIF('Trip Changes'!$B:$B,A578,'Trip Changes'!$E:$E)</f>
        <v>0</v>
      </c>
      <c r="AG578" s="23">
        <f>SUMIF('Trip Cancellations'!$B:$B,A578,'Trip Cancellations'!$E:$E)</f>
        <v>0</v>
      </c>
      <c r="AH578" s="14">
        <f>SUMIF('Trip Cancellations'!$B:$B,A578,'Trip Cancellations'!$F:$F)</f>
        <v>0</v>
      </c>
      <c r="AI578" s="14">
        <f t="shared" ref="AI578:AI583" si="191">AC578+AF578+AG578-AH578</f>
        <v>1443.33</v>
      </c>
      <c r="AJ578" s="14" t="str">
        <f t="shared" ref="AJ578:AJ583" si="192">IF(Y578=0,"N/A",
IF(OR(L578="London",L578="Manchester",L578="Birmingham",L578="Edinburgh",L578="Glasgow",
L578="New York",L578="Boston",L578="Chicago",L578="Zurich",L578="Singapore",L578="Hong Kong",L578="Dubai"),
IF(Z578&lt;=220,"Yes","No"),
IF(Z578&lt;=180,"Yes","No")))</f>
        <v>No</v>
      </c>
      <c r="AK578" s="14" t="str">
        <f>IF(Y578=0,"N/A",
IF(_xlfn.XLOOKUP(U578,Hotels!A:A,Hotels!C:C)=TRUE,"Yes","No"))</f>
        <v>Yes</v>
      </c>
      <c r="AL578" s="14" t="str">
        <f>IF(N578="Rail","N/A",IF(_xlfn.XLOOKUP(T578,Airlines!A:A,Airlines!C:C)=TRUE,"Yes","No"))</f>
        <v>Yes</v>
      </c>
      <c r="AM578" s="14" t="str">
        <f t="shared" ref="AM578:AM583" si="193">IF(OR(
AND(N578="Air",O578="Economy"),
AND(N578="Rail",O578="Standard / 2nd Class")
),"Yes","No")</f>
        <v>Yes</v>
      </c>
      <c r="AN578" s="14" t="str">
        <f t="shared" ref="AN578:AN583" si="194">IF(OR(S578="Online Booking Tool",S578="TMC Assisted"),"Yes","No")</f>
        <v>Yes</v>
      </c>
      <c r="AO578" s="14" t="str">
        <f t="shared" ref="AO578:AO583" si="195">IF(AND(OR(AK578="Yes",AK578="N/A"),OR(AL578="Yes",AL578="N/A")),"Yes","No")</f>
        <v>Yes</v>
      </c>
      <c r="AP578" s="16" t="s">
        <v>148</v>
      </c>
      <c r="AQ578" t="str">
        <f t="shared" ref="AQ578:AQ583" si="196">IF(AND(OR(AJ578="Yes",AJ578="N/A"),OR(AK578="Yes",AK578="N/A"),OR(AL578="Yes",AL578="N/A"),AM578="Yes",AN578="Yes"),"Yes","No")</f>
        <v>No</v>
      </c>
      <c r="AR578" s="21">
        <v>4</v>
      </c>
      <c r="AS578" s="5">
        <v>498.6</v>
      </c>
      <c r="AT578" s="5" t="str">
        <f>IF(T578="","",_xlfn.XLOOKUP(T578,Airlines!A:A,Airlines!B:B,"Not Found"))</f>
        <v>Lufthansa</v>
      </c>
      <c r="AU578" s="5" t="str">
        <f>IF(U578="","",_xlfn.XLOOKUP(U578,Hotels!A:A,Hotels!B:B,"Not found"))</f>
        <v>Hilton</v>
      </c>
      <c r="AV578" t="s">
        <v>148</v>
      </c>
      <c r="AW578" s="16" t="str">
        <f t="shared" ref="AW578:AW583" si="197">IF(OR(A578="",B578="",G578="",H578="",I578="",K578="",L578="",M578="",N578="",S578="",AC578="",AI578=""),"Check","OK")</f>
        <v>OK</v>
      </c>
      <c r="AX578" s="16" t="str">
        <f t="shared" ref="AX578:AX583" si="198">IF(AND(G578&lt;=H578, H578&lt;=I578),"OK","CHECK")</f>
        <v>OK</v>
      </c>
      <c r="AY578" s="16" t="str">
        <f t="shared" ref="AY578:AY583" si="199">IF(Q578=H578-G578,"OK","Check")</f>
        <v>OK</v>
      </c>
      <c r="AZ578" s="16" t="str">
        <f t="shared" ref="AZ578:AZ583" si="200">IF(ROUND(W578+X578+AA578+AB578,2)=ROUND(AC578,2),"OK","Check")</f>
        <v>OK</v>
      </c>
      <c r="BA578" s="16" t="str">
        <f t="shared" si="183"/>
        <v>OK</v>
      </c>
      <c r="BB578" s="21">
        <f>COUNTIF('Trip Changes'!B:B,A578)</f>
        <v>0</v>
      </c>
      <c r="BC578" s="16" t="str">
        <f>IF(OR(AND(AD578="Yes",COUNTIF('Trip Changes'!B:B,A578)&gt;0),AND(AD578="No",COUNTIF('Trip Changes'!B:B,A578)=0)),"OK","Check")</f>
        <v>OK</v>
      </c>
      <c r="BD578" t="str">
        <f t="shared" si="184"/>
        <v>OK</v>
      </c>
      <c r="BE578" t="str">
        <f t="shared" si="185"/>
        <v>OK</v>
      </c>
      <c r="BF578" t="str">
        <f t="shared" si="186"/>
        <v>OK</v>
      </c>
      <c r="BG578" t="str">
        <f t="shared" si="187"/>
        <v>OK</v>
      </c>
      <c r="BH578" t="str">
        <f t="shared" si="188"/>
        <v>OK</v>
      </c>
      <c r="BI578" t="str">
        <f t="shared" ref="BI578:BI583" si="201">IF(OR(N578="Air",N578="Rail"),"OK","Check")</f>
        <v>OK</v>
      </c>
      <c r="BJ578" t="str">
        <f t="shared" ref="BJ578:BJ583" si="202">IF(OR(M578="Domestic",M578="International"),"OK","Check")</f>
        <v>OK</v>
      </c>
      <c r="BK578" t="str">
        <f t="shared" ref="BK578:BK583" si="203">IF(OR(S578="Online Booking Tool",S578="TMC Assisted",S578="Direct Supplier",S578="Other"),"OK","Check")</f>
        <v>OK</v>
      </c>
    </row>
    <row r="579" spans="1:63">
      <c r="A579" s="16" t="s">
        <v>952</v>
      </c>
      <c r="B579" s="16" t="s">
        <v>950</v>
      </c>
      <c r="C579" s="16" t="s">
        <v>182</v>
      </c>
      <c r="D579" s="16" t="s">
        <v>168</v>
      </c>
      <c r="E579" s="16" t="s">
        <v>139</v>
      </c>
      <c r="F579" s="16" t="s">
        <v>189</v>
      </c>
      <c r="G579" s="15">
        <v>46210</v>
      </c>
      <c r="H579" s="15">
        <v>46225</v>
      </c>
      <c r="I579" s="15">
        <v>46227</v>
      </c>
      <c r="J579" s="15" t="s">
        <v>150</v>
      </c>
      <c r="K579" s="16" t="s">
        <v>182</v>
      </c>
      <c r="L579" t="s">
        <v>225</v>
      </c>
      <c r="M579" s="16" t="s">
        <v>152</v>
      </c>
      <c r="N579" s="16" t="s">
        <v>153</v>
      </c>
      <c r="O579" t="s">
        <v>1614</v>
      </c>
      <c r="P579" s="18">
        <v>2570</v>
      </c>
      <c r="Q579" s="21">
        <v>15</v>
      </c>
      <c r="R579" s="21" t="str">
        <f t="shared" si="189"/>
        <v>15-30 days</v>
      </c>
      <c r="S579" s="16" t="s">
        <v>145</v>
      </c>
      <c r="T579" s="16" t="s">
        <v>236</v>
      </c>
      <c r="U579" s="16" t="s">
        <v>187</v>
      </c>
      <c r="V579" t="str">
        <f>IF(U579="","",IFERROR(VLOOKUP(U579,Hotels!A:B,2,FALSE),"Not Found"))</f>
        <v>IHG Hotels &amp; Resorts</v>
      </c>
      <c r="W579" s="14">
        <v>321.86</v>
      </c>
      <c r="X579" s="14">
        <v>0</v>
      </c>
      <c r="Y579" s="21">
        <v>1</v>
      </c>
      <c r="Z579" s="29">
        <f t="shared" si="190"/>
        <v>150.78</v>
      </c>
      <c r="AA579" s="14">
        <v>150.78</v>
      </c>
      <c r="AB579" s="14">
        <v>78.38</v>
      </c>
      <c r="AC579" s="14">
        <v>551.02</v>
      </c>
      <c r="AD579" s="16" t="s">
        <v>147</v>
      </c>
      <c r="AE579" s="16" t="s">
        <v>148</v>
      </c>
      <c r="AF579" s="14">
        <f>SUMIF('Trip Changes'!$B:$B,A579,'Trip Changes'!$E:$E)</f>
        <v>0</v>
      </c>
      <c r="AG579" s="23">
        <f>SUMIF('Trip Cancellations'!$B:$B,A579,'Trip Cancellations'!$E:$E)</f>
        <v>47.72</v>
      </c>
      <c r="AH579" s="14">
        <f>SUMIF('Trip Cancellations'!$B:$B,A579,'Trip Cancellations'!$F:$F)</f>
        <v>236.32</v>
      </c>
      <c r="AI579" s="14">
        <f t="shared" si="191"/>
        <v>362.42</v>
      </c>
      <c r="AJ579" s="14" t="str">
        <f t="shared" si="192"/>
        <v>Yes</v>
      </c>
      <c r="AK579" s="14" t="str">
        <f>IF(Y579=0,"N/A",
IF(_xlfn.XLOOKUP(U579,Hotels!A:A,Hotels!C:C)=TRUE,"Yes","No"))</f>
        <v>Yes</v>
      </c>
      <c r="AL579" s="14" t="str">
        <f>IF(N579="Rail","N/A",IF(_xlfn.XLOOKUP(T579,Airlines!A:A,Airlines!C:C)=TRUE,"Yes","No"))</f>
        <v>Yes</v>
      </c>
      <c r="AM579" s="14" t="str">
        <f t="shared" si="193"/>
        <v>Yes</v>
      </c>
      <c r="AN579" s="14" t="str">
        <f t="shared" si="194"/>
        <v>Yes</v>
      </c>
      <c r="AO579" s="14" t="str">
        <f t="shared" si="195"/>
        <v>Yes</v>
      </c>
      <c r="AP579" s="16" t="s">
        <v>147</v>
      </c>
      <c r="AQ579" t="str">
        <f t="shared" si="196"/>
        <v>Yes</v>
      </c>
      <c r="AR579" s="21">
        <v>3</v>
      </c>
      <c r="AS579" s="5">
        <v>385.5</v>
      </c>
      <c r="AT579" s="5" t="str">
        <f>IF(T579="","",_xlfn.XLOOKUP(T579,Airlines!A:A,Airlines!B:B,"Not Found"))</f>
        <v>KLM</v>
      </c>
      <c r="AU579" s="5" t="str">
        <f>IF(U579="","",_xlfn.XLOOKUP(U579,Hotels!A:A,Hotels!B:B,"Not found"))</f>
        <v>IHG Hotels &amp; Resorts</v>
      </c>
      <c r="AV579" t="s">
        <v>148</v>
      </c>
      <c r="AW579" s="16" t="str">
        <f t="shared" si="197"/>
        <v>OK</v>
      </c>
      <c r="AX579" s="16" t="str">
        <f t="shared" si="198"/>
        <v>OK</v>
      </c>
      <c r="AY579" s="16" t="str">
        <f t="shared" si="199"/>
        <v>OK</v>
      </c>
      <c r="AZ579" s="16" t="str">
        <f t="shared" si="200"/>
        <v>OK</v>
      </c>
      <c r="BA579" s="16" t="str">
        <f t="shared" ref="BA579:BA583" si="204">IF(ROUND(AC579+AF579+AG579-AH579,2)=ROUND(AI579,2),"OK","Check")</f>
        <v>OK</v>
      </c>
      <c r="BB579" s="21">
        <f>COUNTIF('Trip Changes'!B:B,A579)</f>
        <v>0</v>
      </c>
      <c r="BC579" s="16" t="str">
        <f>IF(OR(AND(AD579="Yes",COUNTIF('Trip Changes'!B:B,A579)&gt;0),AND(AD579="No",COUNTIF('Trip Changes'!B:B,A579)=0)),"OK","Check")</f>
        <v>OK</v>
      </c>
      <c r="BD579" t="str">
        <f t="shared" ref="BD579:BD583" si="205">IF(OR(AD579="Yes",AD579="No"),"OK","Check")</f>
        <v>OK</v>
      </c>
      <c r="BE579" t="str">
        <f t="shared" ref="BE579:BE583" si="206">IF(OR(AE579="Yes",AE579="No"),"OK","Check")</f>
        <v>OK</v>
      </c>
      <c r="BF579" t="str">
        <f t="shared" ref="BF579:BF583" si="207">IF(OR(AP579="Yes",AP579="No"),"OK","Check")</f>
        <v>OK</v>
      </c>
      <c r="BG579" t="str">
        <f t="shared" ref="BG579:BG583" si="208">IF(OR(AV579="Yes",AV579="No"),"OK","Check")</f>
        <v>OK</v>
      </c>
      <c r="BH579" t="str">
        <f t="shared" ref="BH579:BH583" si="209">IF(AND(ISNUMBER(AR579),AR579&gt;=1,AR579&lt;=5),"OK","Check")</f>
        <v>OK</v>
      </c>
      <c r="BI579" t="str">
        <f t="shared" si="201"/>
        <v>OK</v>
      </c>
      <c r="BJ579" t="str">
        <f t="shared" si="202"/>
        <v>OK</v>
      </c>
      <c r="BK579" t="str">
        <f t="shared" si="203"/>
        <v>OK</v>
      </c>
    </row>
    <row r="580" spans="1:63">
      <c r="A580" s="16" t="s">
        <v>953</v>
      </c>
      <c r="B580" s="16" t="s">
        <v>950</v>
      </c>
      <c r="C580" s="16" t="s">
        <v>182</v>
      </c>
      <c r="D580" s="16" t="s">
        <v>168</v>
      </c>
      <c r="E580" s="16" t="s">
        <v>139</v>
      </c>
      <c r="F580" s="16" t="s">
        <v>140</v>
      </c>
      <c r="G580" s="15">
        <v>46162</v>
      </c>
      <c r="H580" s="15">
        <v>46163</v>
      </c>
      <c r="I580" s="15">
        <v>46167</v>
      </c>
      <c r="J580" s="15" t="s">
        <v>163</v>
      </c>
      <c r="K580" s="16" t="s">
        <v>182</v>
      </c>
      <c r="L580" t="s">
        <v>233</v>
      </c>
      <c r="M580" s="16" t="s">
        <v>152</v>
      </c>
      <c r="N580" s="16" t="s">
        <v>153</v>
      </c>
      <c r="O580" t="s">
        <v>1614</v>
      </c>
      <c r="P580" s="18">
        <v>2566</v>
      </c>
      <c r="Q580" s="21">
        <v>1</v>
      </c>
      <c r="R580" s="21" t="str">
        <f t="shared" si="189"/>
        <v>0-3 days</v>
      </c>
      <c r="S580" s="16" t="s">
        <v>159</v>
      </c>
      <c r="T580" s="16" t="s">
        <v>160</v>
      </c>
      <c r="U580" s="16" t="s">
        <v>173</v>
      </c>
      <c r="V580" t="str">
        <f>IF(U580="","",IFERROR(VLOOKUP(U580,Hotels!A:B,2,FALSE),"Not Found"))</f>
        <v>Accor</v>
      </c>
      <c r="W580" s="14">
        <v>641.99</v>
      </c>
      <c r="X580" s="14">
        <v>0</v>
      </c>
      <c r="Y580" s="21">
        <v>3</v>
      </c>
      <c r="Z580" s="29">
        <f t="shared" si="190"/>
        <v>202.11666666666667</v>
      </c>
      <c r="AA580" s="14">
        <v>606.35</v>
      </c>
      <c r="AB580" s="14">
        <v>71.48</v>
      </c>
      <c r="AC580" s="14">
        <v>1319.82</v>
      </c>
      <c r="AD580" s="16" t="s">
        <v>147</v>
      </c>
      <c r="AE580" s="16" t="s">
        <v>147</v>
      </c>
      <c r="AF580" s="14">
        <f>SUMIF('Trip Changes'!$B:$B,A580,'Trip Changes'!$E:$E)</f>
        <v>0</v>
      </c>
      <c r="AG580" s="23">
        <f>SUMIF('Trip Cancellations'!$B:$B,A580,'Trip Cancellations'!$E:$E)</f>
        <v>0</v>
      </c>
      <c r="AH580" s="14">
        <f>SUMIF('Trip Cancellations'!$B:$B,A580,'Trip Cancellations'!$F:$F)</f>
        <v>0</v>
      </c>
      <c r="AI580" s="14">
        <f t="shared" si="191"/>
        <v>1319.82</v>
      </c>
      <c r="AJ580" s="14" t="str">
        <f t="shared" si="192"/>
        <v>No</v>
      </c>
      <c r="AK580" s="14" t="str">
        <f>IF(Y580=0,"N/A",
IF(_xlfn.XLOOKUP(U580,Hotels!A:A,Hotels!C:C)=TRUE,"Yes","No"))</f>
        <v>Yes</v>
      </c>
      <c r="AL580" s="14" t="str">
        <f>IF(N580="Rail","N/A",IF(_xlfn.XLOOKUP(T580,Airlines!A:A,Airlines!C:C)=TRUE,"Yes","No"))</f>
        <v>Yes</v>
      </c>
      <c r="AM580" s="14" t="str">
        <f t="shared" si="193"/>
        <v>Yes</v>
      </c>
      <c r="AN580" s="14" t="str">
        <f t="shared" si="194"/>
        <v>Yes</v>
      </c>
      <c r="AO580" s="14" t="str">
        <f t="shared" si="195"/>
        <v>Yes</v>
      </c>
      <c r="AP580" s="16" t="s">
        <v>148</v>
      </c>
      <c r="AQ580" t="str">
        <f t="shared" si="196"/>
        <v>No</v>
      </c>
      <c r="AR580" s="21">
        <v>5</v>
      </c>
      <c r="AS580" s="5">
        <v>384.9</v>
      </c>
      <c r="AT580" s="5" t="str">
        <f>IF(T580="","",_xlfn.XLOOKUP(T580,Airlines!A:A,Airlines!B:B,"Not Found"))</f>
        <v>Air France</v>
      </c>
      <c r="AU580" s="5" t="str">
        <f>IF(U580="","",_xlfn.XLOOKUP(U580,Hotels!A:A,Hotels!B:B,"Not found"))</f>
        <v>Accor</v>
      </c>
      <c r="AV580" t="s">
        <v>147</v>
      </c>
      <c r="AW580" s="16" t="str">
        <f t="shared" si="197"/>
        <v>OK</v>
      </c>
      <c r="AX580" s="16" t="str">
        <f t="shared" si="198"/>
        <v>OK</v>
      </c>
      <c r="AY580" s="16" t="str">
        <f t="shared" si="199"/>
        <v>OK</v>
      </c>
      <c r="AZ580" s="16" t="str">
        <f t="shared" si="200"/>
        <v>OK</v>
      </c>
      <c r="BA580" s="16" t="str">
        <f t="shared" si="204"/>
        <v>OK</v>
      </c>
      <c r="BB580" s="21">
        <f>COUNTIF('Trip Changes'!B:B,A580)</f>
        <v>0</v>
      </c>
      <c r="BC580" s="16" t="str">
        <f>IF(OR(AND(AD580="Yes",COUNTIF('Trip Changes'!B:B,A580)&gt;0),AND(AD580="No",COUNTIF('Trip Changes'!B:B,A580)=0)),"OK","Check")</f>
        <v>OK</v>
      </c>
      <c r="BD580" t="str">
        <f t="shared" si="205"/>
        <v>OK</v>
      </c>
      <c r="BE580" t="str">
        <f t="shared" si="206"/>
        <v>OK</v>
      </c>
      <c r="BF580" t="str">
        <f t="shared" si="207"/>
        <v>OK</v>
      </c>
      <c r="BG580" t="str">
        <f t="shared" si="208"/>
        <v>OK</v>
      </c>
      <c r="BH580" t="str">
        <f t="shared" si="209"/>
        <v>OK</v>
      </c>
      <c r="BI580" t="str">
        <f t="shared" si="201"/>
        <v>OK</v>
      </c>
      <c r="BJ580" t="str">
        <f t="shared" si="202"/>
        <v>OK</v>
      </c>
      <c r="BK580" t="str">
        <f t="shared" si="203"/>
        <v>OK</v>
      </c>
    </row>
    <row r="581" spans="1:63">
      <c r="A581" s="16" t="s">
        <v>954</v>
      </c>
      <c r="B581" s="16" t="s">
        <v>950</v>
      </c>
      <c r="C581" s="16" t="s">
        <v>182</v>
      </c>
      <c r="D581" s="16" t="s">
        <v>168</v>
      </c>
      <c r="E581" s="16" t="s">
        <v>139</v>
      </c>
      <c r="F581" s="16" t="s">
        <v>181</v>
      </c>
      <c r="G581" s="15">
        <v>46165</v>
      </c>
      <c r="H581" s="15">
        <v>46177</v>
      </c>
      <c r="I581" s="15">
        <v>46182</v>
      </c>
      <c r="J581" s="15" t="s">
        <v>141</v>
      </c>
      <c r="K581" s="16" t="s">
        <v>182</v>
      </c>
      <c r="L581" t="s">
        <v>175</v>
      </c>
      <c r="M581" s="16" t="s">
        <v>152</v>
      </c>
      <c r="N581" s="16" t="s">
        <v>153</v>
      </c>
      <c r="O581" t="s">
        <v>1614</v>
      </c>
      <c r="P581" s="18">
        <v>2124</v>
      </c>
      <c r="Q581" s="21">
        <v>12</v>
      </c>
      <c r="R581" s="21" t="str">
        <f t="shared" si="189"/>
        <v>8-14 days</v>
      </c>
      <c r="S581" s="16" t="s">
        <v>207</v>
      </c>
      <c r="T581" s="16" t="s">
        <v>160</v>
      </c>
      <c r="U581" s="16" t="s">
        <v>190</v>
      </c>
      <c r="V581" t="str">
        <f>IF(U581="","",IFERROR(VLOOKUP(U581,Hotels!A:B,2,FALSE),"Not Found"))</f>
        <v>Radisson Hotel Group</v>
      </c>
      <c r="W581" s="14">
        <v>468.49</v>
      </c>
      <c r="X581" s="14">
        <v>0</v>
      </c>
      <c r="Y581" s="21">
        <v>4</v>
      </c>
      <c r="Z581" s="29">
        <f t="shared" si="190"/>
        <v>171.32749999999999</v>
      </c>
      <c r="AA581" s="14">
        <v>685.31</v>
      </c>
      <c r="AB581" s="14">
        <v>86.88</v>
      </c>
      <c r="AC581" s="14">
        <v>1240.68</v>
      </c>
      <c r="AD581" s="16" t="s">
        <v>147</v>
      </c>
      <c r="AE581" s="16" t="s">
        <v>147</v>
      </c>
      <c r="AF581" s="14">
        <f>SUMIF('Trip Changes'!$B:$B,A581,'Trip Changes'!$E:$E)</f>
        <v>0</v>
      </c>
      <c r="AG581" s="23">
        <f>SUMIF('Trip Cancellations'!$B:$B,A581,'Trip Cancellations'!$E:$E)</f>
        <v>0</v>
      </c>
      <c r="AH581" s="14">
        <f>SUMIF('Trip Cancellations'!$B:$B,A581,'Trip Cancellations'!$F:$F)</f>
        <v>0</v>
      </c>
      <c r="AI581" s="14">
        <f t="shared" si="191"/>
        <v>1240.68</v>
      </c>
      <c r="AJ581" s="14" t="str">
        <f t="shared" si="192"/>
        <v>Yes</v>
      </c>
      <c r="AK581" s="14" t="str">
        <f>IF(Y581=0,"N/A",
IF(_xlfn.XLOOKUP(U581,Hotels!A:A,Hotels!C:C)=TRUE,"Yes","No"))</f>
        <v>No</v>
      </c>
      <c r="AL581" s="14" t="str">
        <f>IF(N581="Rail","N/A",IF(_xlfn.XLOOKUP(T581,Airlines!A:A,Airlines!C:C)=TRUE,"Yes","No"))</f>
        <v>Yes</v>
      </c>
      <c r="AM581" s="14" t="str">
        <f t="shared" si="193"/>
        <v>Yes</v>
      </c>
      <c r="AN581" s="14" t="str">
        <f t="shared" si="194"/>
        <v>No</v>
      </c>
      <c r="AO581" s="14" t="str">
        <f t="shared" si="195"/>
        <v>No</v>
      </c>
      <c r="AP581" s="16" t="s">
        <v>148</v>
      </c>
      <c r="AQ581" t="str">
        <f t="shared" si="196"/>
        <v>No</v>
      </c>
      <c r="AR581" s="21">
        <v>3</v>
      </c>
      <c r="AS581" s="5">
        <v>318.60000000000002</v>
      </c>
      <c r="AT581" s="5" t="str">
        <f>IF(T581="","",_xlfn.XLOOKUP(T581,Airlines!A:A,Airlines!B:B,"Not Found"))</f>
        <v>Air France</v>
      </c>
      <c r="AU581" s="5" t="str">
        <f>IF(U581="","",_xlfn.XLOOKUP(U581,Hotels!A:A,Hotels!B:B,"Not found"))</f>
        <v>Radisson Hotel Group</v>
      </c>
      <c r="AV581" t="s">
        <v>147</v>
      </c>
      <c r="AW581" s="16" t="str">
        <f t="shared" si="197"/>
        <v>OK</v>
      </c>
      <c r="AX581" s="16" t="str">
        <f t="shared" si="198"/>
        <v>OK</v>
      </c>
      <c r="AY581" s="16" t="str">
        <f t="shared" si="199"/>
        <v>OK</v>
      </c>
      <c r="AZ581" s="16" t="str">
        <f t="shared" si="200"/>
        <v>OK</v>
      </c>
      <c r="BA581" s="16" t="str">
        <f t="shared" si="204"/>
        <v>OK</v>
      </c>
      <c r="BB581" s="21">
        <f>COUNTIF('Trip Changes'!B:B,A581)</f>
        <v>0</v>
      </c>
      <c r="BC581" s="16" t="str">
        <f>IF(OR(AND(AD581="Yes",COUNTIF('Trip Changes'!B:B,A581)&gt;0),AND(AD581="No",COUNTIF('Trip Changes'!B:B,A581)=0)),"OK","Check")</f>
        <v>OK</v>
      </c>
      <c r="BD581" t="str">
        <f t="shared" si="205"/>
        <v>OK</v>
      </c>
      <c r="BE581" t="str">
        <f t="shared" si="206"/>
        <v>OK</v>
      </c>
      <c r="BF581" t="str">
        <f t="shared" si="207"/>
        <v>OK</v>
      </c>
      <c r="BG581" t="str">
        <f t="shared" si="208"/>
        <v>OK</v>
      </c>
      <c r="BH581" t="str">
        <f t="shared" si="209"/>
        <v>OK</v>
      </c>
      <c r="BI581" t="str">
        <f t="shared" si="201"/>
        <v>OK</v>
      </c>
      <c r="BJ581" t="str">
        <f t="shared" si="202"/>
        <v>OK</v>
      </c>
      <c r="BK581" t="str">
        <f t="shared" si="203"/>
        <v>OK</v>
      </c>
    </row>
    <row r="582" spans="1:63">
      <c r="A582" s="16" t="s">
        <v>955</v>
      </c>
      <c r="B582" s="16" t="s">
        <v>950</v>
      </c>
      <c r="C582" s="16" t="s">
        <v>182</v>
      </c>
      <c r="D582" s="16" t="s">
        <v>168</v>
      </c>
      <c r="E582" s="16" t="s">
        <v>139</v>
      </c>
      <c r="F582" s="16" t="s">
        <v>189</v>
      </c>
      <c r="G582" s="15">
        <v>46156</v>
      </c>
      <c r="H582" s="15">
        <v>46163</v>
      </c>
      <c r="I582" s="15">
        <v>46167</v>
      </c>
      <c r="J582" s="15" t="s">
        <v>163</v>
      </c>
      <c r="K582" s="16" t="s">
        <v>182</v>
      </c>
      <c r="L582" t="s">
        <v>227</v>
      </c>
      <c r="M582" s="16" t="s">
        <v>152</v>
      </c>
      <c r="N582" s="16" t="s">
        <v>153</v>
      </c>
      <c r="O582" t="s">
        <v>1614</v>
      </c>
      <c r="P582" s="18">
        <v>3434</v>
      </c>
      <c r="Q582" s="21">
        <v>7</v>
      </c>
      <c r="R582" s="21" t="str">
        <f t="shared" si="189"/>
        <v>4-7 days</v>
      </c>
      <c r="S582" s="16" t="s">
        <v>145</v>
      </c>
      <c r="T582" s="16" t="s">
        <v>160</v>
      </c>
      <c r="U582" s="16" t="s">
        <v>155</v>
      </c>
      <c r="V582" t="str">
        <f>IF(U582="","",IFERROR(VLOOKUP(U582,Hotels!A:B,2,FALSE),"Not Found"))</f>
        <v>Hilton</v>
      </c>
      <c r="W582" s="14">
        <v>351.59</v>
      </c>
      <c r="X582" s="14">
        <v>0</v>
      </c>
      <c r="Y582" s="21">
        <v>3</v>
      </c>
      <c r="Z582" s="29">
        <f t="shared" si="190"/>
        <v>193.99</v>
      </c>
      <c r="AA582" s="14">
        <v>581.97</v>
      </c>
      <c r="AB582" s="14">
        <v>36.159999999999997</v>
      </c>
      <c r="AC582" s="14">
        <v>969.72</v>
      </c>
      <c r="AD582" s="16" t="s">
        <v>147</v>
      </c>
      <c r="AE582" s="16" t="s">
        <v>147</v>
      </c>
      <c r="AF582" s="14">
        <f>SUMIF('Trip Changes'!$B:$B,A582,'Trip Changes'!$E:$E)</f>
        <v>0</v>
      </c>
      <c r="AG582" s="23">
        <f>SUMIF('Trip Cancellations'!$B:$B,A582,'Trip Cancellations'!$E:$E)</f>
        <v>0</v>
      </c>
      <c r="AH582" s="14">
        <f>SUMIF('Trip Cancellations'!$B:$B,A582,'Trip Cancellations'!$F:$F)</f>
        <v>0</v>
      </c>
      <c r="AI582" s="14">
        <f t="shared" si="191"/>
        <v>969.72</v>
      </c>
      <c r="AJ582" s="14" t="str">
        <f t="shared" si="192"/>
        <v>No</v>
      </c>
      <c r="AK582" s="14" t="str">
        <f>IF(Y582=0,"N/A",
IF(_xlfn.XLOOKUP(U582,Hotels!A:A,Hotels!C:C)=TRUE,"Yes","No"))</f>
        <v>Yes</v>
      </c>
      <c r="AL582" s="14" t="str">
        <f>IF(N582="Rail","N/A",IF(_xlfn.XLOOKUP(T582,Airlines!A:A,Airlines!C:C)=TRUE,"Yes","No"))</f>
        <v>Yes</v>
      </c>
      <c r="AM582" s="14" t="str">
        <f t="shared" si="193"/>
        <v>Yes</v>
      </c>
      <c r="AN582" s="14" t="str">
        <f t="shared" si="194"/>
        <v>Yes</v>
      </c>
      <c r="AO582" s="14" t="str">
        <f t="shared" si="195"/>
        <v>Yes</v>
      </c>
      <c r="AP582" s="16" t="s">
        <v>148</v>
      </c>
      <c r="AQ582" t="str">
        <f t="shared" si="196"/>
        <v>No</v>
      </c>
      <c r="AR582" s="21">
        <v>5</v>
      </c>
      <c r="AS582" s="5">
        <v>515.1</v>
      </c>
      <c r="AT582" s="5" t="str">
        <f>IF(T582="","",_xlfn.XLOOKUP(T582,Airlines!A:A,Airlines!B:B,"Not Found"))</f>
        <v>Air France</v>
      </c>
      <c r="AU582" s="5" t="str">
        <f>IF(U582="","",_xlfn.XLOOKUP(U582,Hotels!A:A,Hotels!B:B,"Not found"))</f>
        <v>Hilton</v>
      </c>
      <c r="AV582" t="s">
        <v>147</v>
      </c>
      <c r="AW582" s="16" t="str">
        <f t="shared" si="197"/>
        <v>OK</v>
      </c>
      <c r="AX582" s="16" t="str">
        <f t="shared" si="198"/>
        <v>OK</v>
      </c>
      <c r="AY582" s="16" t="str">
        <f t="shared" si="199"/>
        <v>OK</v>
      </c>
      <c r="AZ582" s="16" t="str">
        <f t="shared" si="200"/>
        <v>OK</v>
      </c>
      <c r="BA582" s="16" t="str">
        <f t="shared" si="204"/>
        <v>OK</v>
      </c>
      <c r="BB582" s="21">
        <f>COUNTIF('Trip Changes'!B:B,A582)</f>
        <v>0</v>
      </c>
      <c r="BC582" s="16" t="str">
        <f>IF(OR(AND(AD582="Yes",COUNTIF('Trip Changes'!B:B,A582)&gt;0),AND(AD582="No",COUNTIF('Trip Changes'!B:B,A582)=0)),"OK","Check")</f>
        <v>OK</v>
      </c>
      <c r="BD582" t="str">
        <f t="shared" si="205"/>
        <v>OK</v>
      </c>
      <c r="BE582" t="str">
        <f t="shared" si="206"/>
        <v>OK</v>
      </c>
      <c r="BF582" t="str">
        <f t="shared" si="207"/>
        <v>OK</v>
      </c>
      <c r="BG582" t="str">
        <f t="shared" si="208"/>
        <v>OK</v>
      </c>
      <c r="BH582" t="str">
        <f t="shared" si="209"/>
        <v>OK</v>
      </c>
      <c r="BI582" t="str">
        <f t="shared" si="201"/>
        <v>OK</v>
      </c>
      <c r="BJ582" t="str">
        <f t="shared" si="202"/>
        <v>OK</v>
      </c>
      <c r="BK582" t="str">
        <f t="shared" si="203"/>
        <v>OK</v>
      </c>
    </row>
    <row r="583" spans="1:63">
      <c r="A583" s="16" t="s">
        <v>956</v>
      </c>
      <c r="B583" s="16" t="s">
        <v>950</v>
      </c>
      <c r="C583" s="16" t="s">
        <v>182</v>
      </c>
      <c r="D583" s="16" t="s">
        <v>168</v>
      </c>
      <c r="E583" s="16" t="s">
        <v>139</v>
      </c>
      <c r="F583" s="16" t="s">
        <v>189</v>
      </c>
      <c r="G583" s="15">
        <v>46178</v>
      </c>
      <c r="H583" s="15">
        <v>46193</v>
      </c>
      <c r="I583" s="15">
        <v>46196</v>
      </c>
      <c r="J583" s="15" t="s">
        <v>141</v>
      </c>
      <c r="K583" s="16" t="s">
        <v>182</v>
      </c>
      <c r="L583" t="s">
        <v>233</v>
      </c>
      <c r="M583" s="16" t="s">
        <v>152</v>
      </c>
      <c r="N583" s="16" t="s">
        <v>153</v>
      </c>
      <c r="O583" t="s">
        <v>1614</v>
      </c>
      <c r="P583" s="18">
        <v>1032</v>
      </c>
      <c r="Q583" s="21">
        <v>15</v>
      </c>
      <c r="R583" s="21" t="str">
        <f t="shared" si="189"/>
        <v>15-30 days</v>
      </c>
      <c r="S583" s="16" t="s">
        <v>145</v>
      </c>
      <c r="T583" s="16" t="s">
        <v>154</v>
      </c>
      <c r="U583" s="16" t="s">
        <v>190</v>
      </c>
      <c r="V583" t="str">
        <f>IF(U583="","",IFERROR(VLOOKUP(U583,Hotels!A:B,2,FALSE),"Not Found"))</f>
        <v>Radisson Hotel Group</v>
      </c>
      <c r="W583" s="14">
        <v>314.35000000000002</v>
      </c>
      <c r="X583" s="14">
        <v>0</v>
      </c>
      <c r="Y583" s="21">
        <v>2</v>
      </c>
      <c r="Z583" s="29">
        <f t="shared" si="190"/>
        <v>192.92</v>
      </c>
      <c r="AA583" s="14">
        <v>385.84</v>
      </c>
      <c r="AB583" s="14">
        <v>44.13</v>
      </c>
      <c r="AC583" s="14">
        <v>744.32</v>
      </c>
      <c r="AD583" s="16" t="s">
        <v>147</v>
      </c>
      <c r="AE583" s="16" t="s">
        <v>147</v>
      </c>
      <c r="AF583" s="14">
        <f>SUMIF('Trip Changes'!$B:$B,A583,'Trip Changes'!$E:$E)</f>
        <v>0</v>
      </c>
      <c r="AG583" s="23">
        <f>SUMIF('Trip Cancellations'!$B:$B,A583,'Trip Cancellations'!$E:$E)</f>
        <v>0</v>
      </c>
      <c r="AH583" s="14">
        <f>SUMIF('Trip Cancellations'!$B:$B,A583,'Trip Cancellations'!$F:$F)</f>
        <v>0</v>
      </c>
      <c r="AI583" s="14">
        <f t="shared" si="191"/>
        <v>744.32</v>
      </c>
      <c r="AJ583" s="14" t="str">
        <f t="shared" si="192"/>
        <v>No</v>
      </c>
      <c r="AK583" s="14" t="str">
        <f>IF(Y583=0,"N/A",
IF(_xlfn.XLOOKUP(U583,Hotels!A:A,Hotels!C:C)=TRUE,"Yes","No"))</f>
        <v>No</v>
      </c>
      <c r="AL583" s="14" t="str">
        <f>IF(N583="Rail","N/A",IF(_xlfn.XLOOKUP(T583,Airlines!A:A,Airlines!C:C)=TRUE,"Yes","No"))</f>
        <v>Yes</v>
      </c>
      <c r="AM583" s="14" t="str">
        <f t="shared" si="193"/>
        <v>Yes</v>
      </c>
      <c r="AN583" s="14" t="str">
        <f t="shared" si="194"/>
        <v>Yes</v>
      </c>
      <c r="AO583" s="14" t="str">
        <f t="shared" si="195"/>
        <v>No</v>
      </c>
      <c r="AP583" s="16" t="s">
        <v>148</v>
      </c>
      <c r="AQ583" t="str">
        <f t="shared" si="196"/>
        <v>No</v>
      </c>
      <c r="AR583" s="21">
        <v>4</v>
      </c>
      <c r="AS583" s="5">
        <v>154.80000000000001</v>
      </c>
      <c r="AT583" s="5" t="str">
        <f>IF(T583="","",_xlfn.XLOOKUP(T583,Airlines!A:A,Airlines!B:B,"Not Found"))</f>
        <v>British Airways</v>
      </c>
      <c r="AU583" s="5" t="str">
        <f>IF(U583="","",_xlfn.XLOOKUP(U583,Hotels!A:A,Hotels!B:B,"Not found"))</f>
        <v>Radisson Hotel Group</v>
      </c>
      <c r="AV583" t="s">
        <v>148</v>
      </c>
      <c r="AW583" s="16" t="str">
        <f t="shared" si="197"/>
        <v>OK</v>
      </c>
      <c r="AX583" s="16" t="str">
        <f t="shared" si="198"/>
        <v>OK</v>
      </c>
      <c r="AY583" s="16" t="str">
        <f t="shared" si="199"/>
        <v>OK</v>
      </c>
      <c r="AZ583" s="16" t="str">
        <f t="shared" si="200"/>
        <v>OK</v>
      </c>
      <c r="BA583" s="16" t="str">
        <f t="shared" si="204"/>
        <v>OK</v>
      </c>
      <c r="BB583" s="21">
        <f>COUNTIF('Trip Changes'!B:B,A583)</f>
        <v>0</v>
      </c>
      <c r="BC583" s="16" t="str">
        <f>IF(OR(AND(AD583="Yes",COUNTIF('Trip Changes'!B:B,A583)&gt;0),AND(AD583="No",COUNTIF('Trip Changes'!B:B,A583)=0)),"OK","Check")</f>
        <v>OK</v>
      </c>
      <c r="BD583" t="str">
        <f t="shared" si="205"/>
        <v>OK</v>
      </c>
      <c r="BE583" t="str">
        <f t="shared" si="206"/>
        <v>OK</v>
      </c>
      <c r="BF583" t="str">
        <f t="shared" si="207"/>
        <v>OK</v>
      </c>
      <c r="BG583" t="str">
        <f t="shared" si="208"/>
        <v>OK</v>
      </c>
      <c r="BH583" t="str">
        <f t="shared" si="209"/>
        <v>OK</v>
      </c>
      <c r="BI583" t="str">
        <f t="shared" si="201"/>
        <v>OK</v>
      </c>
      <c r="BJ583" t="str">
        <f t="shared" si="202"/>
        <v>OK</v>
      </c>
      <c r="BK583" t="str">
        <f t="shared" si="203"/>
        <v>OK</v>
      </c>
    </row>
  </sheetData>
  <autoFilter ref="AW1:BK583" xr:uid="{9A399D41-F334-7247-82EF-CFD88EEC316A}"/>
  <conditionalFormatting sqref="A1:A1048576">
    <cfRule type="duplicateValues" dxfId="0"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1DC35-5979-8142-AB6D-E8F0CBB00714}">
  <dimension ref="A1:E7"/>
  <sheetViews>
    <sheetView workbookViewId="0">
      <selection activeCell="C8" sqref="C8"/>
    </sheetView>
  </sheetViews>
  <sheetFormatPr baseColWidth="10" defaultRowHeight="15"/>
  <cols>
    <col min="1" max="1" width="28.5" customWidth="1"/>
    <col min="2" max="2" width="25.5" customWidth="1"/>
    <col min="3" max="3" width="43.5" customWidth="1"/>
    <col min="4" max="4" width="21.1640625" customWidth="1"/>
    <col min="5" max="5" width="39.83203125" customWidth="1"/>
  </cols>
  <sheetData>
    <row r="1" spans="1:5">
      <c r="A1" t="s">
        <v>1848</v>
      </c>
      <c r="B1" t="s">
        <v>1849</v>
      </c>
      <c r="C1" t="s">
        <v>1850</v>
      </c>
      <c r="D1" t="s">
        <v>1851</v>
      </c>
      <c r="E1" t="s">
        <v>1852</v>
      </c>
    </row>
    <row r="2" spans="1:5" ht="16">
      <c r="A2" s="1" t="s">
        <v>1845</v>
      </c>
      <c r="B2" t="s">
        <v>1853</v>
      </c>
      <c r="C2" s="44" t="s">
        <v>1869</v>
      </c>
      <c r="D2">
        <f>COUNTIF(Trips_Workbook!AE:AE,"Yes")</f>
        <v>36</v>
      </c>
      <c r="E2" s="1" t="s">
        <v>1854</v>
      </c>
    </row>
    <row r="3" spans="1:5" ht="32">
      <c r="A3" s="1" t="s">
        <v>1846</v>
      </c>
      <c r="B3" t="s">
        <v>1856</v>
      </c>
      <c r="C3" s="44" t="s">
        <v>1870</v>
      </c>
      <c r="D3" s="42">
        <f>SUMIF(Trips_Workbook!M:M,"Domestic",Trips_Workbook!AI:AI)</f>
        <v>47020.219999999994</v>
      </c>
      <c r="E3" s="1" t="s">
        <v>1859</v>
      </c>
    </row>
    <row r="4" spans="1:5" ht="32">
      <c r="A4" s="1" t="s">
        <v>1847</v>
      </c>
      <c r="B4" t="s">
        <v>1857</v>
      </c>
      <c r="C4" s="44" t="s">
        <v>1871</v>
      </c>
      <c r="D4">
        <f>COUNTIFS(Trips_Workbook!J:J,"2026-07",Trips_Workbook!S:S,"TMC Assisted")</f>
        <v>56</v>
      </c>
      <c r="E4" s="1" t="s">
        <v>1860</v>
      </c>
    </row>
    <row r="5" spans="1:5" ht="32">
      <c r="A5" s="1" t="s">
        <v>1855</v>
      </c>
      <c r="B5" t="s">
        <v>1858</v>
      </c>
      <c r="C5" s="44" t="s">
        <v>1872</v>
      </c>
      <c r="D5" s="42">
        <f>SUMIFS(Trips_Workbook!AI:AI,Trips_Workbook!D:D,"Technology",Trips_Workbook!J:J,"2026-06")</f>
        <v>28324.260000000002</v>
      </c>
      <c r="E5" s="1" t="s">
        <v>1861</v>
      </c>
    </row>
    <row r="6" spans="1:5" ht="64">
      <c r="A6" s="1" t="s">
        <v>1863</v>
      </c>
      <c r="B6" t="s">
        <v>1864</v>
      </c>
      <c r="C6" s="44" t="s">
        <v>1873</v>
      </c>
      <c r="D6" s="1" t="str">
        <f>IF(Trips_Workbook!T3="","",_xlfn.XLOOKUP(Trips_Workbook!T3,Airlines!A:A,Airlines!B:B,"Not Found"))</f>
        <v>British Airways</v>
      </c>
      <c r="E6" s="1" t="s">
        <v>1865</v>
      </c>
    </row>
    <row r="7" spans="1:5" ht="64">
      <c r="A7" s="1" t="s">
        <v>1866</v>
      </c>
      <c r="B7" t="s">
        <v>1867</v>
      </c>
      <c r="C7" s="44" t="s">
        <v>1874</v>
      </c>
      <c r="D7" s="1" t="str">
        <f>IF(Trips_Workbook!U3="","",IFERROR(VLOOKUP(Trips_Workbook!U3,Hotels!A:B,2,FALSE),"Not Found"))</f>
        <v>Hilton</v>
      </c>
      <c r="E7" s="1" t="s">
        <v>1868</v>
      </c>
    </row>
  </sheetData>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54CDD-4106-9A48-92E3-BBCDC32A513C}">
  <dimension ref="A1:K150"/>
  <sheetViews>
    <sheetView zoomScale="81" workbookViewId="0">
      <selection sqref="A1:K1"/>
    </sheetView>
  </sheetViews>
  <sheetFormatPr baseColWidth="10" defaultRowHeight="15"/>
  <cols>
    <col min="1" max="1" width="10.1640625" bestFit="1" customWidth="1"/>
    <col min="2" max="2" width="15.5" bestFit="1" customWidth="1"/>
    <col min="3" max="3" width="31" customWidth="1"/>
    <col min="4" max="4" width="17.33203125" bestFit="1" customWidth="1"/>
    <col min="5" max="5" width="27.1640625" customWidth="1"/>
    <col min="6" max="6" width="16.83203125" customWidth="1"/>
    <col min="7" max="7" width="12.5" bestFit="1" customWidth="1"/>
    <col min="8" max="8" width="17.1640625" bestFit="1" customWidth="1"/>
    <col min="9" max="10" width="10.5" bestFit="1" customWidth="1"/>
    <col min="11" max="11" width="20.6640625" bestFit="1" customWidth="1"/>
    <col min="12" max="12" width="16.33203125" bestFit="1" customWidth="1"/>
    <col min="13" max="13" width="22.33203125" bestFit="1" customWidth="1"/>
  </cols>
  <sheetData>
    <row r="1" spans="1:11" ht="31">
      <c r="A1" s="48" t="s">
        <v>1642</v>
      </c>
      <c r="B1" s="48"/>
      <c r="C1" s="48"/>
      <c r="D1" s="48"/>
      <c r="E1" s="48"/>
      <c r="F1" s="48"/>
      <c r="G1" s="48"/>
      <c r="H1" s="48"/>
      <c r="I1" s="48"/>
      <c r="J1" s="48"/>
      <c r="K1" s="48"/>
    </row>
    <row r="2" spans="1:11" ht="21">
      <c r="A2" s="54" t="s">
        <v>1643</v>
      </c>
      <c r="B2" s="54"/>
      <c r="C2" s="54"/>
      <c r="D2" s="54"/>
      <c r="E2" s="54"/>
      <c r="F2" s="54"/>
      <c r="G2" s="54"/>
      <c r="H2" s="54"/>
      <c r="I2" s="54"/>
      <c r="J2" s="54"/>
      <c r="K2" s="54"/>
    </row>
    <row r="3" spans="1:11">
      <c r="A3" s="32"/>
      <c r="B3" s="32"/>
      <c r="C3" s="32"/>
      <c r="D3" s="32"/>
      <c r="E3" s="32"/>
      <c r="F3" s="32"/>
    </row>
    <row r="4" spans="1:11">
      <c r="A4" s="32"/>
      <c r="B4" s="32"/>
      <c r="C4" s="32"/>
      <c r="D4" s="32"/>
      <c r="E4" s="32"/>
      <c r="F4" s="32"/>
    </row>
    <row r="5" spans="1:11">
      <c r="A5" s="32"/>
      <c r="B5" s="32"/>
      <c r="C5" s="32"/>
      <c r="D5" s="32"/>
      <c r="E5" s="32"/>
      <c r="F5" s="32"/>
    </row>
    <row r="6" spans="1:11" ht="16">
      <c r="A6" s="33" t="s">
        <v>1644</v>
      </c>
      <c r="B6" s="33" t="s">
        <v>1645</v>
      </c>
      <c r="C6" s="33" t="s">
        <v>1646</v>
      </c>
      <c r="D6" s="33" t="s">
        <v>1647</v>
      </c>
      <c r="E6" s="33" t="s">
        <v>1648</v>
      </c>
      <c r="F6" s="33" t="s">
        <v>1649</v>
      </c>
    </row>
    <row r="7" spans="1:11" ht="16">
      <c r="A7" s="34">
        <f>GETPIVOTDATA("Number of Trips",$A$12)</f>
        <v>582</v>
      </c>
      <c r="B7" s="35">
        <f>GETPIVOTDATA("Total spend",$A$12)</f>
        <v>580808.62999999977</v>
      </c>
      <c r="C7" s="35">
        <f>GETPIVOTDATA("Average Trip Cost",$A$12)</f>
        <v>997.95297250859062</v>
      </c>
      <c r="D7" s="34">
        <f>GETPIVOTDATA("Number of Trips",$A$31,"trip_type","International")</f>
        <v>482</v>
      </c>
      <c r="E7" s="35">
        <f>GETPIVOTDATA("airfare_gbp",$A$41)</f>
        <v>570.62275247524724</v>
      </c>
      <c r="F7" s="35">
        <f>GETPIVOTDATA("hotel_cost_per_night",$D$41)</f>
        <v>170.95881927175844</v>
      </c>
    </row>
    <row r="8" spans="1:11">
      <c r="A8" s="32"/>
      <c r="B8" s="32"/>
      <c r="C8" s="32"/>
      <c r="D8" s="32"/>
      <c r="E8" s="32"/>
      <c r="F8" s="32"/>
    </row>
    <row r="9" spans="1:11">
      <c r="A9" s="32"/>
      <c r="B9" s="32"/>
      <c r="C9" s="32"/>
      <c r="D9" s="32"/>
      <c r="E9" s="32"/>
      <c r="F9" s="32"/>
    </row>
    <row r="10" spans="1:11">
      <c r="A10" s="32"/>
      <c r="B10" s="32"/>
      <c r="C10" s="32"/>
      <c r="D10" s="32"/>
      <c r="E10" s="32"/>
      <c r="F10" s="32"/>
    </row>
    <row r="11" spans="1:11" ht="16">
      <c r="A11" s="52" t="s">
        <v>1650</v>
      </c>
      <c r="B11" s="52"/>
      <c r="C11" s="52"/>
      <c r="D11" s="52"/>
    </row>
    <row r="12" spans="1:11">
      <c r="A12" s="25" t="s">
        <v>1583</v>
      </c>
      <c r="B12" t="s">
        <v>1584</v>
      </c>
      <c r="C12" t="s">
        <v>1585</v>
      </c>
      <c r="D12" t="s">
        <v>1586</v>
      </c>
    </row>
    <row r="13" spans="1:11">
      <c r="A13" s="26" t="s">
        <v>1655</v>
      </c>
      <c r="B13">
        <v>191</v>
      </c>
      <c r="C13" s="27">
        <v>187018.49000000005</v>
      </c>
      <c r="D13" s="27">
        <v>979.15439790575942</v>
      </c>
    </row>
    <row r="14" spans="1:11">
      <c r="A14" s="26" t="s">
        <v>1656</v>
      </c>
      <c r="B14">
        <v>189</v>
      </c>
      <c r="C14" s="27">
        <v>179886.59999999998</v>
      </c>
      <c r="D14" s="27">
        <v>951.78095238095227</v>
      </c>
    </row>
    <row r="15" spans="1:11">
      <c r="A15" s="26" t="s">
        <v>1657</v>
      </c>
      <c r="B15">
        <v>202</v>
      </c>
      <c r="C15" s="27">
        <v>213903.5400000001</v>
      </c>
      <c r="D15" s="27">
        <v>1058.9284158415846</v>
      </c>
    </row>
    <row r="16" spans="1:11">
      <c r="A16" s="26" t="s">
        <v>1601</v>
      </c>
      <c r="B16">
        <v>582</v>
      </c>
      <c r="C16" s="27">
        <v>580808.62999999977</v>
      </c>
      <c r="D16" s="27">
        <v>997.95297250859062</v>
      </c>
    </row>
    <row r="17" spans="1:4">
      <c r="A17" s="26" t="s">
        <v>1658</v>
      </c>
      <c r="B17" t="s">
        <v>1659</v>
      </c>
    </row>
    <row r="21" spans="1:4" ht="16">
      <c r="A21" s="56" t="s">
        <v>1651</v>
      </c>
      <c r="B21" s="56"/>
      <c r="C21" s="56"/>
    </row>
    <row r="22" spans="1:4" hidden="1">
      <c r="A22" s="25" t="s">
        <v>1589</v>
      </c>
      <c r="B22" s="25" t="s">
        <v>1587</v>
      </c>
    </row>
    <row r="23" spans="1:4">
      <c r="A23" s="25" t="s">
        <v>1583</v>
      </c>
      <c r="B23" t="s">
        <v>143</v>
      </c>
      <c r="C23" t="s">
        <v>152</v>
      </c>
    </row>
    <row r="24" spans="1:4">
      <c r="A24" s="26" t="s">
        <v>1655</v>
      </c>
      <c r="B24" s="27">
        <v>456.83068965517242</v>
      </c>
      <c r="C24" s="27">
        <v>1072.6567901234571</v>
      </c>
    </row>
    <row r="25" spans="1:4">
      <c r="A25" s="26" t="s">
        <v>1656</v>
      </c>
      <c r="B25" s="27">
        <v>451.18432432432434</v>
      </c>
      <c r="C25" s="27">
        <v>1073.6367105263157</v>
      </c>
    </row>
    <row r="26" spans="1:4">
      <c r="A26" s="26" t="s">
        <v>1657</v>
      </c>
      <c r="B26" s="27">
        <v>502.30323529411748</v>
      </c>
      <c r="C26" s="27">
        <v>1171.5787500000001</v>
      </c>
    </row>
    <row r="27" spans="1:4">
      <c r="A27" s="26"/>
    </row>
    <row r="30" spans="1:4" ht="16">
      <c r="A30" s="52" t="s">
        <v>1652</v>
      </c>
      <c r="B30" s="52"/>
      <c r="C30" s="52"/>
      <c r="D30" s="52"/>
    </row>
    <row r="31" spans="1:4">
      <c r="A31" s="25" t="s">
        <v>1587</v>
      </c>
      <c r="B31" s="25" t="s">
        <v>1584</v>
      </c>
      <c r="C31" t="s">
        <v>1645</v>
      </c>
      <c r="D31" t="s">
        <v>1586</v>
      </c>
    </row>
    <row r="32" spans="1:4">
      <c r="A32" s="26" t="s">
        <v>143</v>
      </c>
      <c r="B32">
        <v>100</v>
      </c>
      <c r="C32" s="27">
        <v>47020.219999999994</v>
      </c>
      <c r="D32" s="27">
        <v>470.20219999999995</v>
      </c>
    </row>
    <row r="33" spans="1:5">
      <c r="A33" s="26" t="s">
        <v>152</v>
      </c>
      <c r="B33">
        <v>482</v>
      </c>
      <c r="C33" s="27">
        <v>533788.41000000038</v>
      </c>
      <c r="D33" s="27">
        <v>1107.4448340248971</v>
      </c>
    </row>
    <row r="34" spans="1:5">
      <c r="A34" s="26" t="s">
        <v>1601</v>
      </c>
      <c r="B34">
        <v>582</v>
      </c>
      <c r="C34" s="27">
        <v>580808.63000000012</v>
      </c>
      <c r="D34" s="27">
        <v>997.9529725085913</v>
      </c>
    </row>
    <row r="35" spans="1:5">
      <c r="A35" s="26" t="s">
        <v>1658</v>
      </c>
      <c r="B35" t="s">
        <v>1671</v>
      </c>
      <c r="C35" s="27"/>
      <c r="D35" s="27"/>
    </row>
    <row r="36" spans="1:5">
      <c r="A36" s="26"/>
      <c r="B36" s="27"/>
      <c r="C36" s="27"/>
      <c r="D36" s="27"/>
    </row>
    <row r="37" spans="1:5">
      <c r="A37" s="26"/>
      <c r="B37" s="27"/>
      <c r="C37" s="27"/>
      <c r="D37" s="27"/>
    </row>
    <row r="38" spans="1:5" ht="16">
      <c r="A38" s="52" t="s">
        <v>1653</v>
      </c>
      <c r="B38" s="52"/>
      <c r="C38" s="36"/>
      <c r="D38" s="52" t="s">
        <v>1654</v>
      </c>
      <c r="E38" s="52"/>
    </row>
    <row r="39" spans="1:5" hidden="1">
      <c r="A39" s="25" t="s">
        <v>113</v>
      </c>
      <c r="B39" t="s">
        <v>153</v>
      </c>
      <c r="D39" s="25" t="s">
        <v>121</v>
      </c>
      <c r="E39" t="s">
        <v>1590</v>
      </c>
    </row>
    <row r="41" spans="1:5">
      <c r="A41" s="25" t="s">
        <v>1583</v>
      </c>
      <c r="B41" t="s">
        <v>1591</v>
      </c>
      <c r="D41" s="25" t="s">
        <v>1583</v>
      </c>
      <c r="E41" t="s">
        <v>1593</v>
      </c>
    </row>
    <row r="42" spans="1:5">
      <c r="A42" s="26" t="s">
        <v>1655</v>
      </c>
      <c r="B42" s="27">
        <v>546.39385542168714</v>
      </c>
      <c r="D42" s="26" t="s">
        <v>1655</v>
      </c>
      <c r="E42" s="27">
        <v>172.74886449388507</v>
      </c>
    </row>
    <row r="43" spans="1:5">
      <c r="A43" s="26" t="s">
        <v>1656</v>
      </c>
      <c r="B43" s="27">
        <v>567.77343749999977</v>
      </c>
      <c r="D43" s="26" t="s">
        <v>1656</v>
      </c>
      <c r="E43" s="27">
        <v>166.81738500784931</v>
      </c>
    </row>
    <row r="44" spans="1:5">
      <c r="A44" s="26" t="s">
        <v>1657</v>
      </c>
      <c r="B44" s="27">
        <v>595.63888268156381</v>
      </c>
      <c r="D44" s="26" t="s">
        <v>1657</v>
      </c>
      <c r="E44" s="27">
        <v>173.11115644540632</v>
      </c>
    </row>
    <row r="45" spans="1:5">
      <c r="A45" s="26" t="s">
        <v>1601</v>
      </c>
      <c r="B45" s="27">
        <v>570.62275247524724</v>
      </c>
      <c r="D45" s="26" t="s">
        <v>1601</v>
      </c>
      <c r="E45" s="27">
        <v>170.95881927175844</v>
      </c>
    </row>
    <row r="46" spans="1:5">
      <c r="A46" s="26" t="s">
        <v>1658</v>
      </c>
      <c r="B46" t="s">
        <v>1660</v>
      </c>
    </row>
    <row r="47" spans="1:5">
      <c r="A47" s="26"/>
    </row>
    <row r="48" spans="1:5">
      <c r="A48" s="26"/>
    </row>
    <row r="49" spans="1:6">
      <c r="A49" s="26"/>
    </row>
    <row r="50" spans="1:6" ht="18">
      <c r="A50" s="55" t="s">
        <v>1661</v>
      </c>
      <c r="B50" s="55"/>
      <c r="C50" s="55"/>
      <c r="D50" s="55"/>
      <c r="E50" s="55"/>
      <c r="F50" s="55"/>
    </row>
    <row r="51" spans="1:6" ht="16">
      <c r="A51" s="36"/>
      <c r="B51" s="36"/>
      <c r="C51" s="36"/>
      <c r="D51" s="36"/>
      <c r="E51" s="36"/>
    </row>
    <row r="52" spans="1:6" ht="16">
      <c r="A52" s="52" t="s">
        <v>1662</v>
      </c>
      <c r="B52" s="52"/>
      <c r="C52" s="52"/>
      <c r="D52" s="52"/>
      <c r="E52" s="52"/>
    </row>
    <row r="53" spans="1:6" hidden="1">
      <c r="A53" s="25" t="s">
        <v>1584</v>
      </c>
      <c r="B53" s="25" t="s">
        <v>1588</v>
      </c>
    </row>
    <row r="54" spans="1:6">
      <c r="A54" s="25" t="s">
        <v>1672</v>
      </c>
      <c r="B54" t="s">
        <v>1655</v>
      </c>
      <c r="C54" t="s">
        <v>1656</v>
      </c>
      <c r="D54" t="s">
        <v>1657</v>
      </c>
      <c r="E54" t="s">
        <v>1601</v>
      </c>
    </row>
    <row r="55" spans="1:6">
      <c r="A55" s="26" t="s">
        <v>199</v>
      </c>
      <c r="B55">
        <v>28</v>
      </c>
      <c r="C55">
        <v>26</v>
      </c>
      <c r="D55">
        <v>27</v>
      </c>
      <c r="E55">
        <v>81</v>
      </c>
    </row>
    <row r="56" spans="1:6">
      <c r="A56" s="26" t="s">
        <v>225</v>
      </c>
      <c r="B56">
        <v>16</v>
      </c>
      <c r="C56">
        <v>22</v>
      </c>
      <c r="D56">
        <v>21</v>
      </c>
      <c r="E56">
        <v>59</v>
      </c>
    </row>
    <row r="57" spans="1:6">
      <c r="A57" s="26" t="s">
        <v>233</v>
      </c>
      <c r="B57">
        <v>26</v>
      </c>
      <c r="C57">
        <v>12</v>
      </c>
      <c r="D57">
        <v>17</v>
      </c>
      <c r="E57">
        <v>55</v>
      </c>
    </row>
    <row r="58" spans="1:6">
      <c r="A58" s="26" t="s">
        <v>151</v>
      </c>
      <c r="B58">
        <v>17</v>
      </c>
      <c r="C58">
        <v>9</v>
      </c>
      <c r="D58">
        <v>19</v>
      </c>
      <c r="E58">
        <v>45</v>
      </c>
    </row>
    <row r="59" spans="1:6">
      <c r="A59" s="26" t="s">
        <v>182</v>
      </c>
      <c r="B59">
        <v>12</v>
      </c>
      <c r="C59">
        <v>15</v>
      </c>
      <c r="D59">
        <v>13</v>
      </c>
      <c r="E59">
        <v>40</v>
      </c>
    </row>
    <row r="60" spans="1:6">
      <c r="A60" s="26" t="s">
        <v>185</v>
      </c>
      <c r="B60">
        <v>9</v>
      </c>
      <c r="C60">
        <v>10</v>
      </c>
      <c r="D60">
        <v>19</v>
      </c>
      <c r="E60">
        <v>38</v>
      </c>
    </row>
    <row r="61" spans="1:6">
      <c r="A61" s="26" t="s">
        <v>227</v>
      </c>
      <c r="B61">
        <v>11</v>
      </c>
      <c r="C61">
        <v>14</v>
      </c>
      <c r="D61">
        <v>5</v>
      </c>
      <c r="E61">
        <v>30</v>
      </c>
    </row>
    <row r="62" spans="1:6">
      <c r="A62" s="26" t="s">
        <v>175</v>
      </c>
      <c r="B62">
        <v>8</v>
      </c>
      <c r="C62">
        <v>14</v>
      </c>
      <c r="D62">
        <v>4</v>
      </c>
      <c r="E62">
        <v>26</v>
      </c>
    </row>
    <row r="63" spans="1:6">
      <c r="A63" s="26" t="s">
        <v>142</v>
      </c>
      <c r="B63">
        <v>8</v>
      </c>
      <c r="C63">
        <v>5</v>
      </c>
      <c r="D63">
        <v>7</v>
      </c>
      <c r="E63">
        <v>20</v>
      </c>
    </row>
    <row r="64" spans="1:6">
      <c r="A64" s="26" t="s">
        <v>283</v>
      </c>
      <c r="B64">
        <v>7</v>
      </c>
      <c r="C64">
        <v>4</v>
      </c>
      <c r="D64">
        <v>7</v>
      </c>
      <c r="E64">
        <v>18</v>
      </c>
    </row>
    <row r="65" spans="1:5">
      <c r="A65" s="26" t="s">
        <v>264</v>
      </c>
      <c r="B65">
        <v>4</v>
      </c>
      <c r="C65">
        <v>6</v>
      </c>
      <c r="D65">
        <v>8</v>
      </c>
      <c r="E65">
        <v>18</v>
      </c>
    </row>
    <row r="66" spans="1:5">
      <c r="A66" s="26" t="s">
        <v>171</v>
      </c>
      <c r="B66">
        <v>6</v>
      </c>
      <c r="C66">
        <v>4</v>
      </c>
      <c r="D66">
        <v>7</v>
      </c>
      <c r="E66">
        <v>17</v>
      </c>
    </row>
    <row r="67" spans="1:5">
      <c r="A67" s="26" t="s">
        <v>179</v>
      </c>
      <c r="B67">
        <v>8</v>
      </c>
      <c r="C67">
        <v>4</v>
      </c>
      <c r="D67">
        <v>4</v>
      </c>
      <c r="E67">
        <v>16</v>
      </c>
    </row>
    <row r="68" spans="1:5">
      <c r="A68" s="26" t="s">
        <v>193</v>
      </c>
      <c r="B68">
        <v>3</v>
      </c>
      <c r="C68">
        <v>7</v>
      </c>
      <c r="D68">
        <v>6</v>
      </c>
      <c r="E68">
        <v>16</v>
      </c>
    </row>
    <row r="69" spans="1:5">
      <c r="A69" s="26" t="s">
        <v>209</v>
      </c>
      <c r="B69">
        <v>5</v>
      </c>
      <c r="C69">
        <v>4</v>
      </c>
      <c r="D69">
        <v>5</v>
      </c>
      <c r="E69">
        <v>14</v>
      </c>
    </row>
    <row r="70" spans="1:5">
      <c r="A70" s="26" t="s">
        <v>305</v>
      </c>
      <c r="B70">
        <v>1</v>
      </c>
      <c r="C70">
        <v>7</v>
      </c>
      <c r="D70">
        <v>5</v>
      </c>
      <c r="E70">
        <v>13</v>
      </c>
    </row>
    <row r="71" spans="1:5">
      <c r="A71" s="26" t="s">
        <v>307</v>
      </c>
      <c r="B71">
        <v>4</v>
      </c>
      <c r="C71">
        <v>4</v>
      </c>
      <c r="D71">
        <v>5</v>
      </c>
      <c r="E71">
        <v>13</v>
      </c>
    </row>
    <row r="72" spans="1:5">
      <c r="A72" s="26" t="s">
        <v>158</v>
      </c>
      <c r="C72">
        <v>6</v>
      </c>
      <c r="D72">
        <v>6</v>
      </c>
      <c r="E72">
        <v>12</v>
      </c>
    </row>
    <row r="73" spans="1:5">
      <c r="A73" s="26" t="s">
        <v>203</v>
      </c>
      <c r="B73">
        <v>2</v>
      </c>
      <c r="C73">
        <v>6</v>
      </c>
      <c r="D73">
        <v>3</v>
      </c>
      <c r="E73">
        <v>11</v>
      </c>
    </row>
    <row r="74" spans="1:5">
      <c r="A74" s="26" t="s">
        <v>240</v>
      </c>
      <c r="B74">
        <v>4</v>
      </c>
      <c r="C74">
        <v>3</v>
      </c>
      <c r="D74">
        <v>3</v>
      </c>
      <c r="E74">
        <v>10</v>
      </c>
    </row>
    <row r="75" spans="1:5">
      <c r="A75" s="26" t="s">
        <v>215</v>
      </c>
      <c r="B75">
        <v>4</v>
      </c>
      <c r="C75">
        <v>1</v>
      </c>
      <c r="D75">
        <v>4</v>
      </c>
      <c r="E75">
        <v>9</v>
      </c>
    </row>
    <row r="76" spans="1:5">
      <c r="A76" s="26" t="s">
        <v>197</v>
      </c>
      <c r="B76">
        <v>2</v>
      </c>
      <c r="C76">
        <v>3</v>
      </c>
      <c r="D76">
        <v>3</v>
      </c>
      <c r="E76">
        <v>8</v>
      </c>
    </row>
    <row r="77" spans="1:5">
      <c r="A77" s="26" t="s">
        <v>223</v>
      </c>
      <c r="B77">
        <v>4</v>
      </c>
      <c r="C77">
        <v>1</v>
      </c>
      <c r="D77">
        <v>3</v>
      </c>
      <c r="E77">
        <v>8</v>
      </c>
    </row>
    <row r="78" spans="1:5">
      <c r="A78" s="26" t="s">
        <v>362</v>
      </c>
      <c r="B78">
        <v>2</v>
      </c>
      <c r="C78">
        <v>2</v>
      </c>
      <c r="D78">
        <v>1</v>
      </c>
      <c r="E78">
        <v>5</v>
      </c>
    </row>
    <row r="79" spans="1:5">
      <c r="A79" s="26" t="s">
        <v>1601</v>
      </c>
      <c r="B79">
        <v>191</v>
      </c>
      <c r="C79">
        <v>189</v>
      </c>
      <c r="D79">
        <v>202</v>
      </c>
      <c r="E79">
        <v>582</v>
      </c>
    </row>
    <row r="82" spans="1:3">
      <c r="A82" s="26"/>
    </row>
    <row r="83" spans="1:3" ht="16">
      <c r="A83" s="52" t="s">
        <v>1663</v>
      </c>
      <c r="B83" s="52"/>
      <c r="C83" s="52"/>
    </row>
    <row r="84" spans="1:3">
      <c r="A84" s="25" t="s">
        <v>1672</v>
      </c>
      <c r="B84" t="s">
        <v>1586</v>
      </c>
      <c r="C84" t="s">
        <v>1584</v>
      </c>
    </row>
    <row r="85" spans="1:3">
      <c r="A85" s="26" t="s">
        <v>179</v>
      </c>
      <c r="B85" s="14">
        <v>2351.6556249999999</v>
      </c>
      <c r="C85">
        <v>16</v>
      </c>
    </row>
    <row r="86" spans="1:3">
      <c r="A86" s="26" t="s">
        <v>240</v>
      </c>
      <c r="B86" s="14">
        <v>2183.1989999999996</v>
      </c>
      <c r="C86">
        <v>10</v>
      </c>
    </row>
    <row r="87" spans="1:3">
      <c r="A87" s="26" t="s">
        <v>223</v>
      </c>
      <c r="B87" s="14">
        <v>2169.6175000000003</v>
      </c>
      <c r="C87">
        <v>8</v>
      </c>
    </row>
    <row r="88" spans="1:3">
      <c r="A88" s="26" t="s">
        <v>197</v>
      </c>
      <c r="B88" s="14">
        <v>1813.0450000000001</v>
      </c>
      <c r="C88">
        <v>8</v>
      </c>
    </row>
    <row r="89" spans="1:3">
      <c r="A89" s="26" t="s">
        <v>305</v>
      </c>
      <c r="B89" s="14">
        <v>1805.3769230769233</v>
      </c>
      <c r="C89">
        <v>13</v>
      </c>
    </row>
    <row r="90" spans="1:3">
      <c r="A90" s="26" t="s">
        <v>185</v>
      </c>
      <c r="B90" s="14">
        <v>1604.6650000000002</v>
      </c>
      <c r="C90">
        <v>38</v>
      </c>
    </row>
    <row r="91" spans="1:3">
      <c r="A91" s="26" t="s">
        <v>283</v>
      </c>
      <c r="B91" s="14">
        <v>1401.4983333333334</v>
      </c>
      <c r="C91">
        <v>18</v>
      </c>
    </row>
    <row r="92" spans="1:3">
      <c r="A92" s="26" t="s">
        <v>158</v>
      </c>
      <c r="B92" s="14">
        <v>1038.3958333333333</v>
      </c>
      <c r="C92">
        <v>12</v>
      </c>
    </row>
    <row r="93" spans="1:3">
      <c r="A93" s="26" t="s">
        <v>199</v>
      </c>
      <c r="B93" s="14">
        <v>931.90209876543202</v>
      </c>
      <c r="C93">
        <v>81</v>
      </c>
    </row>
    <row r="94" spans="1:3">
      <c r="A94" s="26" t="s">
        <v>175</v>
      </c>
      <c r="B94" s="14">
        <v>910.88076923076937</v>
      </c>
      <c r="C94">
        <v>26</v>
      </c>
    </row>
    <row r="95" spans="1:3">
      <c r="A95" s="26" t="s">
        <v>209</v>
      </c>
      <c r="B95" s="14">
        <v>905.03357142857146</v>
      </c>
      <c r="C95">
        <v>14</v>
      </c>
    </row>
    <row r="96" spans="1:3">
      <c r="A96" s="26" t="s">
        <v>233</v>
      </c>
      <c r="B96" s="14">
        <v>903.73527272727256</v>
      </c>
      <c r="C96">
        <v>55</v>
      </c>
    </row>
    <row r="97" spans="1:3">
      <c r="A97" s="26" t="s">
        <v>171</v>
      </c>
      <c r="B97" s="14">
        <v>890.78529411764703</v>
      </c>
      <c r="C97">
        <v>17</v>
      </c>
    </row>
    <row r="98" spans="1:3">
      <c r="A98" s="26" t="s">
        <v>151</v>
      </c>
      <c r="B98" s="14">
        <v>883.76333333333343</v>
      </c>
      <c r="C98">
        <v>45</v>
      </c>
    </row>
    <row r="99" spans="1:3">
      <c r="A99" s="26" t="s">
        <v>264</v>
      </c>
      <c r="B99" s="14">
        <v>880.80722222222221</v>
      </c>
      <c r="C99">
        <v>18</v>
      </c>
    </row>
    <row r="100" spans="1:3">
      <c r="A100" s="26" t="s">
        <v>215</v>
      </c>
      <c r="B100" s="14">
        <v>880.35333333333324</v>
      </c>
      <c r="C100">
        <v>9</v>
      </c>
    </row>
    <row r="101" spans="1:3">
      <c r="A101" s="26" t="s">
        <v>227</v>
      </c>
      <c r="B101" s="14">
        <v>874.57099999999991</v>
      </c>
      <c r="C101">
        <v>30</v>
      </c>
    </row>
    <row r="102" spans="1:3">
      <c r="A102" s="26" t="s">
        <v>225</v>
      </c>
      <c r="B102" s="14">
        <v>844.21728813559321</v>
      </c>
      <c r="C102">
        <v>59</v>
      </c>
    </row>
    <row r="103" spans="1:3">
      <c r="A103" s="26" t="s">
        <v>362</v>
      </c>
      <c r="B103" s="14">
        <v>810.9</v>
      </c>
      <c r="C103">
        <v>5</v>
      </c>
    </row>
    <row r="104" spans="1:3">
      <c r="A104" s="26" t="s">
        <v>307</v>
      </c>
      <c r="B104" s="14">
        <v>563.43846153846152</v>
      </c>
      <c r="C104">
        <v>13</v>
      </c>
    </row>
    <row r="105" spans="1:3">
      <c r="A105" s="26" t="s">
        <v>142</v>
      </c>
      <c r="B105" s="14">
        <v>494.19699999999995</v>
      </c>
      <c r="C105">
        <v>20</v>
      </c>
    </row>
    <row r="106" spans="1:3">
      <c r="A106" s="26" t="s">
        <v>193</v>
      </c>
      <c r="B106" s="14">
        <v>474.12874999999997</v>
      </c>
      <c r="C106">
        <v>16</v>
      </c>
    </row>
    <row r="107" spans="1:3">
      <c r="A107" s="26" t="s">
        <v>203</v>
      </c>
      <c r="B107" s="14">
        <v>460.88545454545459</v>
      </c>
      <c r="C107">
        <v>11</v>
      </c>
    </row>
    <row r="108" spans="1:3">
      <c r="A108" s="26" t="s">
        <v>182</v>
      </c>
      <c r="B108" s="14">
        <v>428.89449999999999</v>
      </c>
      <c r="C108">
        <v>40</v>
      </c>
    </row>
    <row r="109" spans="1:3">
      <c r="A109" s="26" t="s">
        <v>1601</v>
      </c>
      <c r="B109" s="14">
        <v>997.9529725085913</v>
      </c>
      <c r="C109">
        <v>582</v>
      </c>
    </row>
    <row r="110" spans="1:3">
      <c r="A110" s="26" t="s">
        <v>1658</v>
      </c>
      <c r="B110" s="14" t="s">
        <v>1664</v>
      </c>
    </row>
    <row r="111" spans="1:3">
      <c r="A111" s="26"/>
      <c r="B111" s="14"/>
    </row>
    <row r="112" spans="1:3">
      <c r="A112" s="26"/>
      <c r="B112" s="14"/>
    </row>
    <row r="113" spans="1:3">
      <c r="A113" s="26"/>
      <c r="B113" s="14"/>
    </row>
    <row r="114" spans="1:3" ht="18">
      <c r="A114" s="55" t="s">
        <v>1665</v>
      </c>
      <c r="B114" s="55"/>
      <c r="C114" s="55"/>
    </row>
    <row r="116" spans="1:3" ht="16">
      <c r="A116" s="52" t="s">
        <v>1666</v>
      </c>
      <c r="B116" s="52"/>
      <c r="C116" s="52"/>
    </row>
    <row r="117" spans="1:3" hidden="1">
      <c r="A117" s="25" t="s">
        <v>1600</v>
      </c>
      <c r="B117" t="s">
        <v>153</v>
      </c>
    </row>
    <row r="118" spans="1:3" hidden="1"/>
    <row r="119" spans="1:3">
      <c r="A119" s="25" t="s">
        <v>31</v>
      </c>
      <c r="B119" t="s">
        <v>1667</v>
      </c>
      <c r="C119" t="s">
        <v>1668</v>
      </c>
    </row>
    <row r="120" spans="1:3">
      <c r="A120" s="26" t="s">
        <v>1595</v>
      </c>
      <c r="B120">
        <v>62</v>
      </c>
      <c r="C120" s="14">
        <v>638.15467741935493</v>
      </c>
    </row>
    <row r="121" spans="1:3">
      <c r="A121" s="26" t="s">
        <v>1598</v>
      </c>
      <c r="B121">
        <v>53</v>
      </c>
      <c r="C121" s="14">
        <v>668.26132075471708</v>
      </c>
    </row>
    <row r="122" spans="1:3">
      <c r="A122" s="26" t="s">
        <v>1599</v>
      </c>
      <c r="B122">
        <v>141</v>
      </c>
      <c r="C122" s="14">
        <v>586.88758865248224</v>
      </c>
    </row>
    <row r="123" spans="1:3">
      <c r="A123" s="26" t="s">
        <v>1596</v>
      </c>
      <c r="B123">
        <v>228</v>
      </c>
      <c r="C123" s="14">
        <v>526.82359649122827</v>
      </c>
    </row>
    <row r="124" spans="1:3">
      <c r="A124" s="26" t="s">
        <v>1597</v>
      </c>
      <c r="B124">
        <v>21</v>
      </c>
      <c r="C124" s="14">
        <v>491.14857142857147</v>
      </c>
    </row>
    <row r="125" spans="1:3">
      <c r="A125" s="26" t="s">
        <v>1601</v>
      </c>
      <c r="B125">
        <v>505</v>
      </c>
      <c r="C125" s="14">
        <v>570.62275247524713</v>
      </c>
    </row>
    <row r="128" spans="1:3" ht="16">
      <c r="A128" s="52" t="s">
        <v>1669</v>
      </c>
      <c r="B128" s="52"/>
      <c r="C128" s="52"/>
    </row>
    <row r="129" spans="1:5">
      <c r="A129" s="25" t="s">
        <v>31</v>
      </c>
      <c r="B129" t="s">
        <v>1584</v>
      </c>
      <c r="C129" t="s">
        <v>1586</v>
      </c>
    </row>
    <row r="130" spans="1:5">
      <c r="A130" s="26" t="s">
        <v>1595</v>
      </c>
      <c r="B130">
        <v>71</v>
      </c>
      <c r="C130" s="14">
        <v>1083.525211267606</v>
      </c>
    </row>
    <row r="131" spans="1:5">
      <c r="A131" s="26" t="s">
        <v>1598</v>
      </c>
      <c r="B131">
        <v>63</v>
      </c>
      <c r="C131" s="14">
        <v>1044.2688888888888</v>
      </c>
    </row>
    <row r="132" spans="1:5">
      <c r="A132" s="26" t="s">
        <v>1599</v>
      </c>
      <c r="B132">
        <v>158</v>
      </c>
      <c r="C132" s="14">
        <v>1044.9933544303799</v>
      </c>
    </row>
    <row r="133" spans="1:5">
      <c r="A133" s="26" t="s">
        <v>1596</v>
      </c>
      <c r="B133">
        <v>257</v>
      </c>
      <c r="C133" s="14">
        <v>963.09778210116781</v>
      </c>
    </row>
    <row r="134" spans="1:5">
      <c r="A134" s="26" t="s">
        <v>1597</v>
      </c>
      <c r="B134">
        <v>33</v>
      </c>
      <c r="C134" s="14">
        <v>771.64606060606059</v>
      </c>
    </row>
    <row r="135" spans="1:5">
      <c r="A135" s="26" t="s">
        <v>1601</v>
      </c>
      <c r="B135">
        <v>582</v>
      </c>
      <c r="C135" s="14">
        <v>997.95297250859085</v>
      </c>
    </row>
    <row r="136" spans="1:5">
      <c r="A136" s="26" t="s">
        <v>1658</v>
      </c>
      <c r="B136" t="s">
        <v>1670</v>
      </c>
    </row>
    <row r="140" spans="1:5" ht="18">
      <c r="A140" s="53" t="s">
        <v>1773</v>
      </c>
      <c r="B140" s="53"/>
      <c r="C140" s="53"/>
      <c r="D140" s="53"/>
      <c r="E140" s="53"/>
    </row>
    <row r="142" spans="1:5">
      <c r="A142" t="s">
        <v>1673</v>
      </c>
    </row>
    <row r="144" spans="1:5">
      <c r="A144" t="s">
        <v>1674</v>
      </c>
    </row>
    <row r="146" spans="1:1">
      <c r="A146" t="s">
        <v>1675</v>
      </c>
    </row>
    <row r="148" spans="1:1">
      <c r="A148" t="s">
        <v>1676</v>
      </c>
    </row>
    <row r="150" spans="1:1">
      <c r="A150" t="s">
        <v>1677</v>
      </c>
    </row>
  </sheetData>
  <mergeCells count="14">
    <mergeCell ref="A116:C116"/>
    <mergeCell ref="A128:C128"/>
    <mergeCell ref="A140:E140"/>
    <mergeCell ref="A1:K1"/>
    <mergeCell ref="A2:K2"/>
    <mergeCell ref="A50:F50"/>
    <mergeCell ref="A52:E52"/>
    <mergeCell ref="A83:C83"/>
    <mergeCell ref="A114:C114"/>
    <mergeCell ref="A21:C21"/>
    <mergeCell ref="A38:B38"/>
    <mergeCell ref="A30:D30"/>
    <mergeCell ref="D38:E38"/>
    <mergeCell ref="A11:D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C6734-6AEB-EA48-B6A7-E04FD997A285}">
  <dimension ref="A1:K221"/>
  <sheetViews>
    <sheetView topLeftCell="A89" zoomScale="85" workbookViewId="0">
      <selection activeCell="A120" sqref="A120"/>
    </sheetView>
  </sheetViews>
  <sheetFormatPr baseColWidth="10" defaultRowHeight="15"/>
  <cols>
    <col min="1" max="1" width="29.83203125" customWidth="1"/>
    <col min="2" max="2" width="25.33203125" customWidth="1"/>
    <col min="3" max="3" width="23.33203125" customWidth="1"/>
    <col min="4" max="4" width="22.5" customWidth="1"/>
    <col min="5" max="5" width="27.5" customWidth="1"/>
    <col min="6" max="6" width="20.1640625" customWidth="1"/>
    <col min="7" max="7" width="10.5" bestFit="1" customWidth="1"/>
    <col min="8" max="8" width="21.33203125" customWidth="1"/>
    <col min="9" max="9" width="10.6640625" customWidth="1"/>
    <col min="10" max="10" width="14.83203125" customWidth="1"/>
    <col min="11" max="11" width="16.5" customWidth="1"/>
    <col min="12" max="12" width="7.33203125" bestFit="1" customWidth="1"/>
    <col min="13" max="13" width="11.6640625" bestFit="1" customWidth="1"/>
  </cols>
  <sheetData>
    <row r="1" spans="1:11" ht="31">
      <c r="A1" s="48" t="s">
        <v>1678</v>
      </c>
      <c r="B1" s="48"/>
      <c r="C1" s="48"/>
      <c r="D1" s="48"/>
      <c r="E1" s="48"/>
      <c r="F1" s="48"/>
      <c r="G1" s="48"/>
      <c r="H1" s="48"/>
      <c r="I1" s="48"/>
      <c r="J1" s="48"/>
      <c r="K1" s="48"/>
    </row>
    <row r="2" spans="1:11" ht="18" customHeight="1">
      <c r="A2" s="49" t="s">
        <v>1685</v>
      </c>
      <c r="B2" s="49"/>
      <c r="C2" s="49"/>
      <c r="D2" s="49"/>
      <c r="E2" s="49"/>
      <c r="F2" s="49"/>
      <c r="G2" s="49"/>
      <c r="H2" s="49"/>
      <c r="I2" s="49"/>
      <c r="J2" s="49"/>
      <c r="K2" s="49"/>
    </row>
    <row r="6" spans="1:11" ht="16">
      <c r="A6" s="36" t="s">
        <v>1679</v>
      </c>
      <c r="B6" s="36" t="s">
        <v>1680</v>
      </c>
      <c r="C6" s="36" t="s">
        <v>1681</v>
      </c>
      <c r="D6" s="36" t="s">
        <v>1682</v>
      </c>
      <c r="E6" s="36" t="s">
        <v>1683</v>
      </c>
      <c r="F6" s="36" t="s">
        <v>1684</v>
      </c>
    </row>
    <row r="7" spans="1:11" ht="16">
      <c r="A7" s="38">
        <f>GETPIVOTDATA("% of Trips",$A$12,"policy_compliant_calc","Compliant")</f>
        <v>0.43127147766323026</v>
      </c>
      <c r="B7" s="36">
        <f>GETPIVOTDATA("Trips",$A$189,"policy_compliant_calc","Non-Compliant")</f>
        <v>331</v>
      </c>
      <c r="C7" s="36">
        <f>GETPIVOTDATA("trip_id",$A$22,"hotel_rate_compliant_calc","No")</f>
        <v>187</v>
      </c>
      <c r="D7" s="36">
        <f>GETPIVOTDATA("trip_id",$A$39,"channel_compliant_calc","Non-Compliant")</f>
        <v>101</v>
      </c>
      <c r="E7" s="38">
        <f>C167/D167</f>
        <v>0.94059405940594054</v>
      </c>
      <c r="F7" s="38">
        <f>C181/D181</f>
        <v>0.88632326820603913</v>
      </c>
    </row>
    <row r="8" spans="1:11" ht="16">
      <c r="A8" s="36"/>
      <c r="B8" s="36"/>
      <c r="C8" s="36"/>
      <c r="D8" s="36"/>
      <c r="E8" s="36"/>
      <c r="F8" s="36"/>
    </row>
    <row r="11" spans="1:11" ht="16">
      <c r="A11" s="52" t="s">
        <v>1688</v>
      </c>
      <c r="B11" s="52"/>
      <c r="C11" s="52"/>
    </row>
    <row r="12" spans="1:11">
      <c r="A12" s="25" t="s">
        <v>1686</v>
      </c>
      <c r="B12" s="25" t="s">
        <v>1584</v>
      </c>
      <c r="C12" t="s">
        <v>1687</v>
      </c>
    </row>
    <row r="13" spans="1:11">
      <c r="A13" s="26" t="s">
        <v>1696</v>
      </c>
      <c r="B13">
        <v>331</v>
      </c>
      <c r="C13" s="30">
        <v>0.56872852233676974</v>
      </c>
    </row>
    <row r="14" spans="1:11">
      <c r="A14" s="26" t="s">
        <v>1697</v>
      </c>
      <c r="B14">
        <v>251</v>
      </c>
      <c r="C14" s="30">
        <v>0.43127147766323026</v>
      </c>
    </row>
    <row r="15" spans="1:11">
      <c r="A15" s="26" t="s">
        <v>1601</v>
      </c>
      <c r="B15">
        <v>582</v>
      </c>
      <c r="C15" s="30">
        <v>1</v>
      </c>
    </row>
    <row r="16" spans="1:11">
      <c r="A16" s="26" t="s">
        <v>1658</v>
      </c>
      <c r="B16" t="s">
        <v>1689</v>
      </c>
      <c r="C16" s="30"/>
    </row>
    <row r="17" spans="1:6">
      <c r="A17" s="26"/>
      <c r="C17" s="30"/>
    </row>
    <row r="18" spans="1:6">
      <c r="A18" s="26"/>
      <c r="C18" s="30"/>
    </row>
    <row r="19" spans="1:6" ht="16">
      <c r="A19" s="52" t="s">
        <v>1690</v>
      </c>
      <c r="B19" s="57"/>
      <c r="C19" s="57"/>
      <c r="D19" s="57"/>
      <c r="E19" s="57"/>
      <c r="F19" s="57"/>
    </row>
    <row r="21" spans="1:6" ht="16">
      <c r="A21" s="52" t="s">
        <v>1691</v>
      </c>
      <c r="B21" s="52"/>
      <c r="D21" s="52" t="s">
        <v>1692</v>
      </c>
      <c r="E21" s="52"/>
    </row>
    <row r="22" spans="1:6">
      <c r="A22" s="25" t="s">
        <v>1698</v>
      </c>
      <c r="B22" t="s">
        <v>1584</v>
      </c>
      <c r="D22" s="25" t="s">
        <v>1699</v>
      </c>
      <c r="E22" t="s">
        <v>1584</v>
      </c>
    </row>
    <row r="23" spans="1:6">
      <c r="A23" s="26" t="s">
        <v>1636</v>
      </c>
      <c r="B23">
        <v>19</v>
      </c>
      <c r="D23" s="26" t="s">
        <v>1636</v>
      </c>
      <c r="E23">
        <v>19</v>
      </c>
    </row>
    <row r="24" spans="1:6">
      <c r="A24" s="26" t="s">
        <v>1696</v>
      </c>
      <c r="B24">
        <v>187</v>
      </c>
      <c r="D24" s="26" t="s">
        <v>1696</v>
      </c>
      <c r="E24">
        <v>64</v>
      </c>
    </row>
    <row r="25" spans="1:6">
      <c r="A25" s="26" t="s">
        <v>1697</v>
      </c>
      <c r="B25">
        <v>376</v>
      </c>
      <c r="D25" s="26" t="s">
        <v>1697</v>
      </c>
      <c r="E25">
        <v>499</v>
      </c>
    </row>
    <row r="26" spans="1:6">
      <c r="A26" s="26" t="s">
        <v>1601</v>
      </c>
      <c r="B26">
        <v>582</v>
      </c>
      <c r="D26" s="26" t="s">
        <v>1601</v>
      </c>
      <c r="E26">
        <v>582</v>
      </c>
    </row>
    <row r="27" spans="1:6">
      <c r="A27" s="26"/>
    </row>
    <row r="28" spans="1:6">
      <c r="A28" s="26"/>
    </row>
    <row r="29" spans="1:6">
      <c r="A29" s="26"/>
    </row>
    <row r="30" spans="1:6" ht="16">
      <c r="A30" s="52" t="s">
        <v>1693</v>
      </c>
      <c r="B30" s="52"/>
      <c r="D30" s="52" t="s">
        <v>1694</v>
      </c>
      <c r="E30" s="52"/>
    </row>
    <row r="31" spans="1:6">
      <c r="A31" s="25" t="s">
        <v>1698</v>
      </c>
      <c r="B31" t="s">
        <v>1584</v>
      </c>
      <c r="D31" s="25" t="s">
        <v>1699</v>
      </c>
      <c r="E31" t="s">
        <v>1584</v>
      </c>
    </row>
    <row r="32" spans="1:6">
      <c r="A32" s="26" t="s">
        <v>1696</v>
      </c>
      <c r="B32">
        <v>36</v>
      </c>
      <c r="D32" s="26" t="s">
        <v>1636</v>
      </c>
      <c r="E32">
        <v>77</v>
      </c>
    </row>
    <row r="33" spans="1:5">
      <c r="A33" s="26" t="s">
        <v>1697</v>
      </c>
      <c r="B33">
        <v>546</v>
      </c>
      <c r="D33" s="26" t="s">
        <v>1696</v>
      </c>
      <c r="E33">
        <v>30</v>
      </c>
    </row>
    <row r="34" spans="1:5">
      <c r="A34" s="26" t="s">
        <v>1601</v>
      </c>
      <c r="B34">
        <v>582</v>
      </c>
      <c r="D34" s="26" t="s">
        <v>1697</v>
      </c>
      <c r="E34">
        <v>475</v>
      </c>
    </row>
    <row r="35" spans="1:5">
      <c r="D35" s="26" t="s">
        <v>1601</v>
      </c>
      <c r="E35">
        <v>582</v>
      </c>
    </row>
    <row r="38" spans="1:5" ht="16">
      <c r="A38" s="52" t="s">
        <v>1695</v>
      </c>
      <c r="B38" s="52"/>
      <c r="C38" s="52"/>
      <c r="D38" s="52"/>
    </row>
    <row r="39" spans="1:5" ht="1" customHeight="1">
      <c r="A39" s="25" t="s">
        <v>6</v>
      </c>
      <c r="B39" s="25" t="s">
        <v>1581</v>
      </c>
    </row>
    <row r="40" spans="1:5">
      <c r="A40" s="25" t="s">
        <v>1602</v>
      </c>
      <c r="B40" t="s">
        <v>1696</v>
      </c>
      <c r="C40" t="s">
        <v>1697</v>
      </c>
      <c r="D40" t="s">
        <v>1601</v>
      </c>
    </row>
    <row r="41" spans="1:5">
      <c r="A41" s="26" t="s">
        <v>216</v>
      </c>
      <c r="B41">
        <v>65</v>
      </c>
      <c r="D41">
        <v>65</v>
      </c>
    </row>
    <row r="42" spans="1:5">
      <c r="A42" s="26" t="s">
        <v>145</v>
      </c>
      <c r="C42">
        <v>324</v>
      </c>
      <c r="D42">
        <v>324</v>
      </c>
    </row>
    <row r="43" spans="1:5">
      <c r="A43" s="26" t="s">
        <v>207</v>
      </c>
      <c r="B43">
        <v>36</v>
      </c>
      <c r="D43">
        <v>36</v>
      </c>
    </row>
    <row r="44" spans="1:5">
      <c r="A44" s="26" t="s">
        <v>159</v>
      </c>
      <c r="C44">
        <v>157</v>
      </c>
      <c r="D44">
        <v>157</v>
      </c>
    </row>
    <row r="45" spans="1:5">
      <c r="A45" s="26" t="s">
        <v>1601</v>
      </c>
      <c r="B45">
        <v>101</v>
      </c>
      <c r="C45">
        <v>481</v>
      </c>
      <c r="D45">
        <v>582</v>
      </c>
    </row>
    <row r="46" spans="1:5">
      <c r="A46" s="26" t="s">
        <v>1700</v>
      </c>
    </row>
    <row r="47" spans="1:5">
      <c r="A47" s="26" t="s">
        <v>1701</v>
      </c>
    </row>
    <row r="48" spans="1:5">
      <c r="A48" s="26" t="s">
        <v>1702</v>
      </c>
    </row>
    <row r="49" spans="1:6">
      <c r="A49" s="26" t="s">
        <v>1703</v>
      </c>
    </row>
    <row r="50" spans="1:6">
      <c r="A50" s="26" t="s">
        <v>1704</v>
      </c>
    </row>
    <row r="54" spans="1:6" ht="16">
      <c r="A54" s="52" t="s">
        <v>1705</v>
      </c>
      <c r="B54" s="57"/>
      <c r="C54" s="57"/>
      <c r="D54" s="57"/>
      <c r="E54" s="57"/>
      <c r="F54" s="57"/>
    </row>
    <row r="56" spans="1:6" hidden="1">
      <c r="A56" s="25" t="s">
        <v>121</v>
      </c>
      <c r="B56" t="s">
        <v>1590</v>
      </c>
      <c r="F56" s="28" t="s">
        <v>1638</v>
      </c>
    </row>
    <row r="57" spans="1:6" ht="16">
      <c r="A57" s="52" t="s">
        <v>1707</v>
      </c>
      <c r="B57" s="52"/>
      <c r="C57" s="52"/>
      <c r="D57" s="52"/>
      <c r="E57" s="52"/>
    </row>
    <row r="58" spans="1:6" hidden="1">
      <c r="B58" s="25" t="s">
        <v>1581</v>
      </c>
    </row>
    <row r="59" spans="1:6">
      <c r="B59" t="s">
        <v>1696</v>
      </c>
      <c r="D59" t="s">
        <v>1697</v>
      </c>
    </row>
    <row r="60" spans="1:6">
      <c r="A60" s="25" t="s">
        <v>1672</v>
      </c>
      <c r="B60" t="s">
        <v>6</v>
      </c>
      <c r="C60" t="s">
        <v>1731</v>
      </c>
      <c r="D60" t="s">
        <v>6</v>
      </c>
      <c r="E60" t="s">
        <v>1731</v>
      </c>
    </row>
    <row r="61" spans="1:6">
      <c r="A61" s="26" t="s">
        <v>199</v>
      </c>
      <c r="B61">
        <v>36</v>
      </c>
      <c r="C61" s="30">
        <v>0.44444444444444442</v>
      </c>
      <c r="D61">
        <v>45</v>
      </c>
      <c r="E61" s="30">
        <v>0.55555555555555558</v>
      </c>
    </row>
    <row r="62" spans="1:6">
      <c r="A62" s="26" t="s">
        <v>225</v>
      </c>
      <c r="B62">
        <v>29</v>
      </c>
      <c r="C62" s="30">
        <v>0.49152542372881358</v>
      </c>
      <c r="D62">
        <v>30</v>
      </c>
      <c r="E62" s="30">
        <v>0.50847457627118642</v>
      </c>
    </row>
    <row r="63" spans="1:6">
      <c r="A63" s="26" t="s">
        <v>151</v>
      </c>
      <c r="B63">
        <v>24</v>
      </c>
      <c r="C63" s="30">
        <v>0.53333333333333333</v>
      </c>
      <c r="D63">
        <v>21</v>
      </c>
      <c r="E63" s="30">
        <v>0.46666666666666667</v>
      </c>
    </row>
    <row r="64" spans="1:6">
      <c r="A64" s="26" t="s">
        <v>233</v>
      </c>
      <c r="B64">
        <v>21</v>
      </c>
      <c r="C64" s="30">
        <v>0.38181818181818183</v>
      </c>
      <c r="D64">
        <v>34</v>
      </c>
      <c r="E64" s="30">
        <v>0.61818181818181817</v>
      </c>
    </row>
    <row r="65" spans="1:5">
      <c r="A65" s="26" t="s">
        <v>227</v>
      </c>
      <c r="B65">
        <v>15</v>
      </c>
      <c r="C65" s="30">
        <v>0.5</v>
      </c>
      <c r="D65">
        <v>15</v>
      </c>
      <c r="E65" s="30">
        <v>0.5</v>
      </c>
    </row>
    <row r="66" spans="1:5">
      <c r="A66" s="26" t="s">
        <v>264</v>
      </c>
      <c r="B66">
        <v>9</v>
      </c>
      <c r="C66" s="30">
        <v>0.5</v>
      </c>
      <c r="D66">
        <v>9</v>
      </c>
      <c r="E66" s="30">
        <v>0.5</v>
      </c>
    </row>
    <row r="67" spans="1:5">
      <c r="A67" s="26" t="s">
        <v>171</v>
      </c>
      <c r="B67">
        <v>8</v>
      </c>
      <c r="C67" s="30">
        <v>0.47058823529411764</v>
      </c>
      <c r="D67">
        <v>9</v>
      </c>
      <c r="E67" s="30">
        <v>0.52941176470588236</v>
      </c>
    </row>
    <row r="68" spans="1:5">
      <c r="A68" s="26" t="s">
        <v>158</v>
      </c>
      <c r="B68">
        <v>8</v>
      </c>
      <c r="C68" s="30">
        <v>0.66666666666666663</v>
      </c>
      <c r="D68">
        <v>4</v>
      </c>
      <c r="E68" s="30">
        <v>0.33333333333333331</v>
      </c>
    </row>
    <row r="69" spans="1:5">
      <c r="A69" s="26" t="s">
        <v>305</v>
      </c>
      <c r="B69">
        <v>6</v>
      </c>
      <c r="C69" s="30">
        <v>0.46153846153846156</v>
      </c>
      <c r="D69">
        <v>7</v>
      </c>
      <c r="E69" s="30">
        <v>0.53846153846153844</v>
      </c>
    </row>
    <row r="70" spans="1:5">
      <c r="A70" s="26" t="s">
        <v>185</v>
      </c>
      <c r="B70">
        <v>6</v>
      </c>
      <c r="C70" s="30">
        <v>0.15789473684210525</v>
      </c>
      <c r="D70">
        <v>32</v>
      </c>
      <c r="E70" s="30">
        <v>0.84210526315789469</v>
      </c>
    </row>
    <row r="71" spans="1:5">
      <c r="A71" s="26" t="s">
        <v>209</v>
      </c>
      <c r="B71">
        <v>5</v>
      </c>
      <c r="C71" s="30">
        <v>0.35714285714285715</v>
      </c>
      <c r="D71">
        <v>9</v>
      </c>
      <c r="E71" s="30">
        <v>0.6428571428571429</v>
      </c>
    </row>
    <row r="72" spans="1:5">
      <c r="A72" s="26" t="s">
        <v>179</v>
      </c>
      <c r="B72">
        <v>4</v>
      </c>
      <c r="C72" s="30">
        <v>0.25</v>
      </c>
      <c r="D72">
        <v>12</v>
      </c>
      <c r="E72" s="30">
        <v>0.75</v>
      </c>
    </row>
    <row r="73" spans="1:5">
      <c r="A73" s="26" t="s">
        <v>215</v>
      </c>
      <c r="B73">
        <v>3</v>
      </c>
      <c r="C73" s="30">
        <v>0.33333333333333331</v>
      </c>
      <c r="D73">
        <v>6</v>
      </c>
      <c r="E73" s="30">
        <v>0.66666666666666663</v>
      </c>
    </row>
    <row r="74" spans="1:5">
      <c r="A74" s="26" t="s">
        <v>362</v>
      </c>
      <c r="B74">
        <v>3</v>
      </c>
      <c r="C74" s="30">
        <v>0.6</v>
      </c>
      <c r="D74">
        <v>2</v>
      </c>
      <c r="E74" s="30">
        <v>0.4</v>
      </c>
    </row>
    <row r="75" spans="1:5">
      <c r="A75" s="26" t="s">
        <v>197</v>
      </c>
      <c r="B75">
        <v>3</v>
      </c>
      <c r="C75" s="30">
        <v>0.375</v>
      </c>
      <c r="D75">
        <v>5</v>
      </c>
      <c r="E75" s="30">
        <v>0.625</v>
      </c>
    </row>
    <row r="76" spans="1:5">
      <c r="A76" s="26" t="s">
        <v>283</v>
      </c>
      <c r="B76">
        <v>3</v>
      </c>
      <c r="C76" s="30">
        <v>0.16666666666666666</v>
      </c>
      <c r="D76">
        <v>15</v>
      </c>
      <c r="E76" s="30">
        <v>0.83333333333333337</v>
      </c>
    </row>
    <row r="77" spans="1:5">
      <c r="A77" s="26" t="s">
        <v>307</v>
      </c>
      <c r="B77">
        <v>1</v>
      </c>
      <c r="C77" s="30">
        <v>8.3333333333333329E-2</v>
      </c>
      <c r="D77">
        <v>11</v>
      </c>
      <c r="E77" s="30">
        <v>0.91666666666666663</v>
      </c>
    </row>
    <row r="78" spans="1:5">
      <c r="A78" s="26" t="s">
        <v>175</v>
      </c>
      <c r="B78">
        <v>1</v>
      </c>
      <c r="C78" s="30">
        <v>3.8461538461538464E-2</v>
      </c>
      <c r="D78">
        <v>25</v>
      </c>
      <c r="E78" s="30">
        <v>0.96153846153846156</v>
      </c>
    </row>
    <row r="79" spans="1:5">
      <c r="A79" s="26" t="s">
        <v>182</v>
      </c>
      <c r="B79">
        <v>1</v>
      </c>
      <c r="C79" s="30">
        <v>3.2258064516129031E-2</v>
      </c>
      <c r="D79">
        <v>30</v>
      </c>
      <c r="E79" s="30">
        <v>0.967741935483871</v>
      </c>
    </row>
    <row r="80" spans="1:5">
      <c r="A80" s="26" t="s">
        <v>203</v>
      </c>
      <c r="B80">
        <v>1</v>
      </c>
      <c r="C80" s="30">
        <v>0.14285714285714285</v>
      </c>
      <c r="D80">
        <v>6</v>
      </c>
      <c r="E80" s="30">
        <v>0.8571428571428571</v>
      </c>
    </row>
    <row r="81" spans="1:5">
      <c r="A81" s="26" t="s">
        <v>193</v>
      </c>
      <c r="C81" s="30">
        <v>0</v>
      </c>
      <c r="D81">
        <v>13</v>
      </c>
      <c r="E81" s="30">
        <v>1</v>
      </c>
    </row>
    <row r="82" spans="1:5">
      <c r="A82" s="26" t="s">
        <v>142</v>
      </c>
      <c r="C82" s="30">
        <v>0</v>
      </c>
      <c r="D82">
        <v>18</v>
      </c>
      <c r="E82" s="30">
        <v>1</v>
      </c>
    </row>
    <row r="83" spans="1:5">
      <c r="A83" s="26" t="s">
        <v>240</v>
      </c>
      <c r="C83" s="30">
        <v>0</v>
      </c>
      <c r="D83">
        <v>10</v>
      </c>
      <c r="E83" s="30">
        <v>1</v>
      </c>
    </row>
    <row r="84" spans="1:5">
      <c r="A84" s="26" t="s">
        <v>223</v>
      </c>
      <c r="C84" s="30">
        <v>0</v>
      </c>
      <c r="D84">
        <v>8</v>
      </c>
      <c r="E84" s="30">
        <v>1</v>
      </c>
    </row>
    <row r="85" spans="1:5">
      <c r="A85" s="26" t="s">
        <v>1658</v>
      </c>
    </row>
    <row r="86" spans="1:5">
      <c r="A86" t="s">
        <v>1708</v>
      </c>
    </row>
    <row r="92" spans="1:5" hidden="1">
      <c r="A92" s="25" t="s">
        <v>121</v>
      </c>
      <c r="B92" t="s">
        <v>1590</v>
      </c>
    </row>
    <row r="93" spans="1:5" ht="16">
      <c r="A93" s="52" t="s">
        <v>1711</v>
      </c>
      <c r="B93" s="52"/>
      <c r="C93" s="52"/>
      <c r="D93" s="36"/>
    </row>
    <row r="94" spans="1:5">
      <c r="A94" s="25" t="s">
        <v>1672</v>
      </c>
      <c r="B94" s="25" t="s">
        <v>1709</v>
      </c>
      <c r="C94" t="s">
        <v>1710</v>
      </c>
    </row>
    <row r="95" spans="1:5">
      <c r="A95" s="26" t="s">
        <v>197</v>
      </c>
      <c r="B95" s="14">
        <v>198.93514285714286</v>
      </c>
      <c r="C95">
        <v>8</v>
      </c>
    </row>
    <row r="96" spans="1:5">
      <c r="A96" s="26" t="s">
        <v>362</v>
      </c>
      <c r="B96" s="14">
        <v>195.09033333333332</v>
      </c>
      <c r="C96">
        <v>5</v>
      </c>
    </row>
    <row r="97" spans="1:3">
      <c r="A97" s="26" t="s">
        <v>179</v>
      </c>
      <c r="B97" s="14">
        <v>194.10351190476189</v>
      </c>
      <c r="C97">
        <v>16</v>
      </c>
    </row>
    <row r="98" spans="1:3">
      <c r="A98" s="26" t="s">
        <v>158</v>
      </c>
      <c r="B98" s="14">
        <v>189.0733333333333</v>
      </c>
      <c r="C98">
        <v>12</v>
      </c>
    </row>
    <row r="99" spans="1:3">
      <c r="A99" s="26" t="s">
        <v>227</v>
      </c>
      <c r="B99" s="14">
        <v>183.08949999999999</v>
      </c>
      <c r="C99">
        <v>30</v>
      </c>
    </row>
    <row r="100" spans="1:3">
      <c r="A100" s="26" t="s">
        <v>305</v>
      </c>
      <c r="B100" s="14">
        <v>180.4671153846154</v>
      </c>
      <c r="C100">
        <v>13</v>
      </c>
    </row>
    <row r="101" spans="1:3">
      <c r="A101" s="26" t="s">
        <v>225</v>
      </c>
      <c r="B101" s="14">
        <v>180.45581920903956</v>
      </c>
      <c r="C101">
        <v>59</v>
      </c>
    </row>
    <row r="102" spans="1:3">
      <c r="A102" s="26" t="s">
        <v>151</v>
      </c>
      <c r="B102" s="14">
        <v>179.09555555555556</v>
      </c>
      <c r="C102">
        <v>45</v>
      </c>
    </row>
    <row r="103" spans="1:3">
      <c r="A103" s="26" t="s">
        <v>264</v>
      </c>
      <c r="B103" s="14">
        <v>178.2829537037037</v>
      </c>
      <c r="C103">
        <v>18</v>
      </c>
    </row>
    <row r="104" spans="1:3">
      <c r="A104" s="26" t="s">
        <v>185</v>
      </c>
      <c r="B104" s="14">
        <v>176.32524122807021</v>
      </c>
      <c r="C104">
        <v>38</v>
      </c>
    </row>
    <row r="105" spans="1:3">
      <c r="A105" s="26" t="s">
        <v>171</v>
      </c>
      <c r="B105" s="14">
        <v>174.14710784313726</v>
      </c>
      <c r="C105">
        <v>17</v>
      </c>
    </row>
    <row r="106" spans="1:3">
      <c r="A106" s="26" t="s">
        <v>199</v>
      </c>
      <c r="B106" s="14">
        <v>172.6789115226338</v>
      </c>
      <c r="C106">
        <v>81</v>
      </c>
    </row>
    <row r="107" spans="1:3">
      <c r="A107" s="26" t="s">
        <v>215</v>
      </c>
      <c r="B107" s="14">
        <v>171.94962962962961</v>
      </c>
      <c r="C107">
        <v>9</v>
      </c>
    </row>
    <row r="108" spans="1:3">
      <c r="A108" s="26" t="s">
        <v>283</v>
      </c>
      <c r="B108" s="14">
        <v>171.63121296296291</v>
      </c>
      <c r="C108">
        <v>18</v>
      </c>
    </row>
    <row r="109" spans="1:3">
      <c r="A109" s="26" t="s">
        <v>233</v>
      </c>
      <c r="B109" s="14">
        <v>170.13692424242427</v>
      </c>
      <c r="C109">
        <v>55</v>
      </c>
    </row>
    <row r="110" spans="1:3">
      <c r="A110" s="26" t="s">
        <v>240</v>
      </c>
      <c r="B110" s="14">
        <v>166.72795833333333</v>
      </c>
      <c r="C110">
        <v>10</v>
      </c>
    </row>
    <row r="111" spans="1:3">
      <c r="A111" s="26" t="s">
        <v>209</v>
      </c>
      <c r="B111" s="14">
        <v>165.47208333333333</v>
      </c>
      <c r="C111">
        <v>14</v>
      </c>
    </row>
    <row r="112" spans="1:3">
      <c r="A112" s="26" t="s">
        <v>203</v>
      </c>
      <c r="B112" s="14">
        <v>162.53857142857146</v>
      </c>
      <c r="C112">
        <v>7</v>
      </c>
    </row>
    <row r="113" spans="1:3">
      <c r="A113" s="26" t="s">
        <v>175</v>
      </c>
      <c r="B113" s="14">
        <v>162.50967948717945</v>
      </c>
      <c r="C113">
        <v>26</v>
      </c>
    </row>
    <row r="114" spans="1:3">
      <c r="A114" s="26" t="s">
        <v>223</v>
      </c>
      <c r="B114" s="14">
        <v>149.92675</v>
      </c>
      <c r="C114">
        <v>8</v>
      </c>
    </row>
    <row r="115" spans="1:3">
      <c r="A115" s="26" t="s">
        <v>307</v>
      </c>
      <c r="B115" s="14">
        <v>149.89930555555557</v>
      </c>
      <c r="C115">
        <v>12</v>
      </c>
    </row>
    <row r="116" spans="1:3">
      <c r="A116" s="26" t="s">
        <v>142</v>
      </c>
      <c r="B116" s="14">
        <v>140.82638888888889</v>
      </c>
      <c r="C116">
        <v>18</v>
      </c>
    </row>
    <row r="117" spans="1:3">
      <c r="A117" s="26" t="s">
        <v>193</v>
      </c>
      <c r="B117" s="14">
        <v>140.41769230769231</v>
      </c>
      <c r="C117">
        <v>13</v>
      </c>
    </row>
    <row r="118" spans="1:3">
      <c r="A118" s="26" t="s">
        <v>182</v>
      </c>
      <c r="B118" s="14">
        <v>135.69645161290322</v>
      </c>
      <c r="C118">
        <v>31</v>
      </c>
    </row>
    <row r="119" spans="1:3">
      <c r="A119" s="26" t="s">
        <v>1601</v>
      </c>
      <c r="B119" s="14">
        <v>170.95881927175836</v>
      </c>
      <c r="C119">
        <v>563</v>
      </c>
    </row>
    <row r="120" spans="1:3">
      <c r="A120" s="26" t="s">
        <v>1658</v>
      </c>
      <c r="B120" t="s">
        <v>1712</v>
      </c>
    </row>
    <row r="125" spans="1:3" hidden="1">
      <c r="A125" s="25" t="s">
        <v>1621</v>
      </c>
      <c r="B125" t="s">
        <v>147</v>
      </c>
    </row>
    <row r="126" spans="1:3" ht="16">
      <c r="A126" s="52" t="s">
        <v>1713</v>
      </c>
      <c r="B126" s="52"/>
      <c r="C126" s="52"/>
    </row>
    <row r="127" spans="1:3">
      <c r="A127" s="25" t="s">
        <v>1672</v>
      </c>
      <c r="B127" t="s">
        <v>1706</v>
      </c>
    </row>
    <row r="128" spans="1:3">
      <c r="A128" s="26" t="s">
        <v>199</v>
      </c>
      <c r="B128">
        <v>36</v>
      </c>
    </row>
    <row r="129" spans="1:2">
      <c r="A129" s="26" t="s">
        <v>225</v>
      </c>
      <c r="B129">
        <v>29</v>
      </c>
    </row>
    <row r="130" spans="1:2">
      <c r="A130" s="26" t="s">
        <v>151</v>
      </c>
      <c r="B130">
        <v>24</v>
      </c>
    </row>
    <row r="131" spans="1:2">
      <c r="A131" s="26" t="s">
        <v>233</v>
      </c>
      <c r="B131">
        <v>21</v>
      </c>
    </row>
    <row r="132" spans="1:2">
      <c r="A132" s="26" t="s">
        <v>227</v>
      </c>
      <c r="B132">
        <v>15</v>
      </c>
    </row>
    <row r="133" spans="1:2">
      <c r="A133" s="26" t="s">
        <v>264</v>
      </c>
      <c r="B133">
        <v>9</v>
      </c>
    </row>
    <row r="134" spans="1:2">
      <c r="A134" s="26" t="s">
        <v>158</v>
      </c>
      <c r="B134">
        <v>8</v>
      </c>
    </row>
    <row r="135" spans="1:2">
      <c r="A135" s="26" t="s">
        <v>171</v>
      </c>
      <c r="B135">
        <v>8</v>
      </c>
    </row>
    <row r="136" spans="1:2">
      <c r="A136" s="26" t="s">
        <v>305</v>
      </c>
      <c r="B136">
        <v>6</v>
      </c>
    </row>
    <row r="137" spans="1:2">
      <c r="A137" s="26" t="s">
        <v>185</v>
      </c>
      <c r="B137">
        <v>6</v>
      </c>
    </row>
    <row r="138" spans="1:2">
      <c r="A138" s="26" t="s">
        <v>209</v>
      </c>
      <c r="B138">
        <v>5</v>
      </c>
    </row>
    <row r="139" spans="1:2">
      <c r="A139" s="26" t="s">
        <v>179</v>
      </c>
      <c r="B139">
        <v>4</v>
      </c>
    </row>
    <row r="140" spans="1:2">
      <c r="A140" s="26" t="s">
        <v>215</v>
      </c>
      <c r="B140">
        <v>3</v>
      </c>
    </row>
    <row r="141" spans="1:2">
      <c r="A141" s="26" t="s">
        <v>197</v>
      </c>
      <c r="B141">
        <v>3</v>
      </c>
    </row>
    <row r="142" spans="1:2">
      <c r="A142" s="26" t="s">
        <v>362</v>
      </c>
      <c r="B142">
        <v>3</v>
      </c>
    </row>
    <row r="143" spans="1:2">
      <c r="A143" s="26" t="s">
        <v>283</v>
      </c>
      <c r="B143">
        <v>3</v>
      </c>
    </row>
    <row r="144" spans="1:2">
      <c r="A144" s="26" t="s">
        <v>307</v>
      </c>
      <c r="B144">
        <v>1</v>
      </c>
    </row>
    <row r="145" spans="1:6">
      <c r="A145" s="26" t="s">
        <v>175</v>
      </c>
      <c r="B145">
        <v>1</v>
      </c>
    </row>
    <row r="146" spans="1:6">
      <c r="A146" s="26" t="s">
        <v>203</v>
      </c>
      <c r="B146">
        <v>1</v>
      </c>
    </row>
    <row r="147" spans="1:6">
      <c r="A147" s="26" t="s">
        <v>182</v>
      </c>
      <c r="B147">
        <v>1</v>
      </c>
    </row>
    <row r="148" spans="1:6">
      <c r="A148" s="26" t="s">
        <v>1658</v>
      </c>
      <c r="B148" t="s">
        <v>1714</v>
      </c>
    </row>
    <row r="152" spans="1:6" ht="16">
      <c r="A152" s="52" t="s">
        <v>1715</v>
      </c>
      <c r="B152" s="52"/>
      <c r="C152" s="52"/>
      <c r="D152" s="52"/>
      <c r="E152" s="52"/>
      <c r="F152" s="52"/>
    </row>
    <row r="154" spans="1:6" ht="16">
      <c r="A154" s="52" t="s">
        <v>1717</v>
      </c>
      <c r="B154" s="52"/>
      <c r="C154" s="52"/>
      <c r="D154" s="52"/>
    </row>
    <row r="155" spans="1:6" hidden="1">
      <c r="A155" s="25" t="s">
        <v>1582</v>
      </c>
      <c r="B155" s="25" t="s">
        <v>1581</v>
      </c>
    </row>
    <row r="156" spans="1:6">
      <c r="A156" s="25" t="s">
        <v>1716</v>
      </c>
      <c r="B156" t="s">
        <v>1718</v>
      </c>
      <c r="C156" t="s">
        <v>1719</v>
      </c>
      <c r="D156" t="s">
        <v>1601</v>
      </c>
    </row>
    <row r="157" spans="1:6">
      <c r="A157" s="26" t="s">
        <v>1132</v>
      </c>
      <c r="C157">
        <v>43</v>
      </c>
      <c r="D157">
        <v>43</v>
      </c>
    </row>
    <row r="158" spans="1:6">
      <c r="A158" s="26" t="s">
        <v>1127</v>
      </c>
      <c r="C158">
        <v>49</v>
      </c>
      <c r="D158">
        <v>49</v>
      </c>
    </row>
    <row r="159" spans="1:6">
      <c r="A159" s="26" t="s">
        <v>1121</v>
      </c>
      <c r="C159">
        <v>175</v>
      </c>
      <c r="D159">
        <v>175</v>
      </c>
    </row>
    <row r="160" spans="1:6">
      <c r="A160" s="26" t="s">
        <v>1123</v>
      </c>
      <c r="C160">
        <v>53</v>
      </c>
      <c r="D160">
        <v>53</v>
      </c>
    </row>
    <row r="161" spans="1:4">
      <c r="A161" s="26" t="s">
        <v>1130</v>
      </c>
      <c r="C161">
        <v>14</v>
      </c>
      <c r="D161">
        <v>14</v>
      </c>
    </row>
    <row r="162" spans="1:4">
      <c r="A162" s="26" t="s">
        <v>1125</v>
      </c>
      <c r="C162">
        <v>53</v>
      </c>
      <c r="D162">
        <v>53</v>
      </c>
    </row>
    <row r="163" spans="1:4">
      <c r="A163" s="26" t="s">
        <v>1126</v>
      </c>
      <c r="C163">
        <v>58</v>
      </c>
      <c r="D163">
        <v>58</v>
      </c>
    </row>
    <row r="164" spans="1:4">
      <c r="A164" s="26" t="s">
        <v>1128</v>
      </c>
      <c r="B164">
        <v>20</v>
      </c>
      <c r="D164">
        <v>20</v>
      </c>
    </row>
    <row r="165" spans="1:4">
      <c r="A165" s="26" t="s">
        <v>1131</v>
      </c>
      <c r="B165">
        <v>10</v>
      </c>
      <c r="D165">
        <v>10</v>
      </c>
    </row>
    <row r="166" spans="1:4">
      <c r="A166" s="26" t="s">
        <v>1129</v>
      </c>
      <c r="C166">
        <v>30</v>
      </c>
      <c r="D166">
        <v>30</v>
      </c>
    </row>
    <row r="167" spans="1:4">
      <c r="A167" s="26" t="s">
        <v>1601</v>
      </c>
      <c r="B167">
        <v>30</v>
      </c>
      <c r="C167">
        <v>475</v>
      </c>
      <c r="D167">
        <v>505</v>
      </c>
    </row>
    <row r="168" spans="1:4">
      <c r="A168" s="26" t="s">
        <v>1658</v>
      </c>
      <c r="B168" t="s">
        <v>1720</v>
      </c>
    </row>
    <row r="171" spans="1:4" ht="16">
      <c r="A171" s="52" t="s">
        <v>1721</v>
      </c>
      <c r="B171" s="52"/>
      <c r="C171" s="52"/>
      <c r="D171" s="52"/>
    </row>
    <row r="172" spans="1:4" hidden="1">
      <c r="A172" s="25" t="s">
        <v>1582</v>
      </c>
      <c r="B172" s="25" t="s">
        <v>1581</v>
      </c>
    </row>
    <row r="173" spans="1:4">
      <c r="A173" s="25" t="s">
        <v>1722</v>
      </c>
      <c r="B173" t="s">
        <v>1723</v>
      </c>
      <c r="C173" t="s">
        <v>1724</v>
      </c>
      <c r="D173" t="s">
        <v>1601</v>
      </c>
    </row>
    <row r="174" spans="1:4">
      <c r="A174" s="26" t="s">
        <v>1137</v>
      </c>
      <c r="C174">
        <v>93</v>
      </c>
      <c r="D174">
        <v>93</v>
      </c>
    </row>
    <row r="175" spans="1:4">
      <c r="A175" s="26" t="s">
        <v>1135</v>
      </c>
      <c r="C175">
        <v>133</v>
      </c>
      <c r="D175">
        <v>133</v>
      </c>
    </row>
    <row r="176" spans="1:4">
      <c r="A176" s="26" t="s">
        <v>1136</v>
      </c>
      <c r="C176">
        <v>101</v>
      </c>
      <c r="D176">
        <v>101</v>
      </c>
    </row>
    <row r="177" spans="1:6">
      <c r="A177" s="26" t="s">
        <v>1134</v>
      </c>
      <c r="C177">
        <v>139</v>
      </c>
      <c r="D177">
        <v>139</v>
      </c>
    </row>
    <row r="178" spans="1:6">
      <c r="A178" s="26" t="s">
        <v>1139</v>
      </c>
      <c r="C178">
        <v>33</v>
      </c>
      <c r="D178">
        <v>33</v>
      </c>
    </row>
    <row r="179" spans="1:6">
      <c r="A179" s="26" t="s">
        <v>1138</v>
      </c>
      <c r="B179">
        <v>49</v>
      </c>
      <c r="D179">
        <v>49</v>
      </c>
    </row>
    <row r="180" spans="1:6">
      <c r="A180" s="26" t="s">
        <v>1140</v>
      </c>
      <c r="B180">
        <v>15</v>
      </c>
      <c r="D180">
        <v>15</v>
      </c>
    </row>
    <row r="181" spans="1:6">
      <c r="A181" s="26" t="s">
        <v>1601</v>
      </c>
      <c r="B181">
        <v>64</v>
      </c>
      <c r="C181">
        <v>499</v>
      </c>
      <c r="D181">
        <v>563</v>
      </c>
    </row>
    <row r="182" spans="1:6">
      <c r="A182" s="26" t="s">
        <v>1658</v>
      </c>
      <c r="B182" t="s">
        <v>1725</v>
      </c>
    </row>
    <row r="186" spans="1:6" ht="16">
      <c r="A186" s="52" t="s">
        <v>1726</v>
      </c>
      <c r="B186" s="52"/>
      <c r="C186" s="52"/>
      <c r="D186" s="52"/>
      <c r="E186" s="52"/>
      <c r="F186" s="52"/>
    </row>
    <row r="189" spans="1:6" hidden="1">
      <c r="B189" s="25" t="s">
        <v>1581</v>
      </c>
    </row>
    <row r="190" spans="1:6">
      <c r="B190" t="s">
        <v>1696</v>
      </c>
      <c r="D190" t="s">
        <v>1697</v>
      </c>
    </row>
    <row r="191" spans="1:6">
      <c r="A191" s="25" t="s">
        <v>1727</v>
      </c>
      <c r="B191" t="s">
        <v>6</v>
      </c>
      <c r="C191" t="s">
        <v>1731</v>
      </c>
      <c r="D191" t="s">
        <v>6</v>
      </c>
      <c r="E191" t="s">
        <v>1731</v>
      </c>
    </row>
    <row r="192" spans="1:6">
      <c r="A192" s="26" t="s">
        <v>168</v>
      </c>
      <c r="B192">
        <v>100</v>
      </c>
      <c r="C192" s="30">
        <v>0.58479532163742687</v>
      </c>
      <c r="D192">
        <v>71</v>
      </c>
      <c r="E192" s="30">
        <v>0.41520467836257308</v>
      </c>
    </row>
    <row r="193" spans="1:5">
      <c r="A193" s="26" t="s">
        <v>248</v>
      </c>
      <c r="B193">
        <v>63</v>
      </c>
      <c r="C193" s="30">
        <v>0.51639344262295084</v>
      </c>
      <c r="D193">
        <v>59</v>
      </c>
      <c r="E193" s="30">
        <v>0.48360655737704916</v>
      </c>
    </row>
    <row r="194" spans="1:5">
      <c r="A194" s="26" t="s">
        <v>194</v>
      </c>
      <c r="B194">
        <v>18</v>
      </c>
      <c r="C194" s="30">
        <v>0.72</v>
      </c>
      <c r="D194">
        <v>7</v>
      </c>
      <c r="E194" s="30">
        <v>0.28000000000000003</v>
      </c>
    </row>
    <row r="195" spans="1:5">
      <c r="A195" s="26" t="s">
        <v>204</v>
      </c>
      <c r="B195">
        <v>41</v>
      </c>
      <c r="C195" s="30">
        <v>0.53246753246753242</v>
      </c>
      <c r="D195">
        <v>36</v>
      </c>
      <c r="E195" s="30">
        <v>0.46753246753246752</v>
      </c>
    </row>
    <row r="196" spans="1:5">
      <c r="A196" s="26" t="s">
        <v>230</v>
      </c>
      <c r="B196">
        <v>45</v>
      </c>
      <c r="C196" s="30">
        <v>0.5056179775280899</v>
      </c>
      <c r="D196">
        <v>44</v>
      </c>
      <c r="E196" s="30">
        <v>0.4943820224719101</v>
      </c>
    </row>
    <row r="197" spans="1:5">
      <c r="A197" s="26" t="s">
        <v>138</v>
      </c>
      <c r="B197">
        <v>64</v>
      </c>
      <c r="C197" s="30">
        <v>0.65306122448979587</v>
      </c>
      <c r="D197">
        <v>34</v>
      </c>
      <c r="E197" s="30">
        <v>0.34693877551020408</v>
      </c>
    </row>
    <row r="198" spans="1:5">
      <c r="A198" s="26" t="s">
        <v>1601</v>
      </c>
      <c r="B198">
        <v>331</v>
      </c>
      <c r="C198" s="30">
        <v>0.56872852233676974</v>
      </c>
      <c r="D198">
        <v>251</v>
      </c>
      <c r="E198" s="30">
        <v>0.43127147766323026</v>
      </c>
    </row>
    <row r="199" spans="1:5">
      <c r="A199" s="26" t="s">
        <v>1658</v>
      </c>
    </row>
    <row r="200" spans="1:5">
      <c r="A200" s="26" t="s">
        <v>1728</v>
      </c>
    </row>
    <row r="201" spans="1:5">
      <c r="A201" s="26" t="s">
        <v>1729</v>
      </c>
    </row>
    <row r="202" spans="1:5">
      <c r="A202" s="26" t="s">
        <v>1730</v>
      </c>
    </row>
    <row r="203" spans="1:5">
      <c r="A203" s="26" t="s">
        <v>1732</v>
      </c>
    </row>
    <row r="206" spans="1:5">
      <c r="A206" s="37" t="s">
        <v>1773</v>
      </c>
    </row>
    <row r="208" spans="1:5">
      <c r="A208" t="s">
        <v>1733</v>
      </c>
    </row>
    <row r="210" spans="1:1">
      <c r="A210" t="s">
        <v>1734</v>
      </c>
    </row>
    <row r="212" spans="1:1">
      <c r="A212" t="s">
        <v>1735</v>
      </c>
    </row>
    <row r="214" spans="1:1">
      <c r="A214" t="s">
        <v>1736</v>
      </c>
    </row>
    <row r="216" spans="1:1">
      <c r="A216" t="s">
        <v>1737</v>
      </c>
    </row>
    <row r="219" spans="1:1">
      <c r="A219" s="28" t="s">
        <v>1738</v>
      </c>
    </row>
    <row r="221" spans="1:1">
      <c r="A221" t="s">
        <v>1739</v>
      </c>
    </row>
  </sheetData>
  <mergeCells count="17">
    <mergeCell ref="A1:K1"/>
    <mergeCell ref="A2:K2"/>
    <mergeCell ref="A19:F19"/>
    <mergeCell ref="A21:B21"/>
    <mergeCell ref="D21:E21"/>
    <mergeCell ref="A152:F152"/>
    <mergeCell ref="A154:D154"/>
    <mergeCell ref="A171:D171"/>
    <mergeCell ref="A186:F186"/>
    <mergeCell ref="A11:C11"/>
    <mergeCell ref="A38:D38"/>
    <mergeCell ref="A54:F54"/>
    <mergeCell ref="A57:E57"/>
    <mergeCell ref="A93:C93"/>
    <mergeCell ref="A126:C126"/>
    <mergeCell ref="A30:B30"/>
    <mergeCell ref="D30:E30"/>
  </mergeCell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F2C90-17E6-4745-93F2-35CF7C780F9F}">
  <dimension ref="A1:K120"/>
  <sheetViews>
    <sheetView zoomScale="90" zoomScaleNormal="90" workbookViewId="0">
      <selection activeCell="A77" sqref="A77"/>
    </sheetView>
  </sheetViews>
  <sheetFormatPr baseColWidth="10" defaultRowHeight="15"/>
  <cols>
    <col min="1" max="1" width="20.33203125" bestFit="1" customWidth="1"/>
    <col min="2" max="2" width="15.1640625" bestFit="1" customWidth="1"/>
    <col min="3" max="3" width="32.5" bestFit="1" customWidth="1"/>
    <col min="4" max="5" width="27.1640625" bestFit="1" customWidth="1"/>
    <col min="6" max="6" width="19.33203125" customWidth="1"/>
  </cols>
  <sheetData>
    <row r="1" spans="1:11" ht="31">
      <c r="A1" s="48" t="s">
        <v>1740</v>
      </c>
      <c r="B1" s="48"/>
      <c r="C1" s="48"/>
      <c r="D1" s="48"/>
      <c r="E1" s="48"/>
      <c r="F1" s="48"/>
      <c r="G1" s="48"/>
      <c r="H1" s="48"/>
      <c r="I1" s="48"/>
      <c r="J1" s="48"/>
      <c r="K1" s="48"/>
    </row>
    <row r="2" spans="1:11" ht="21">
      <c r="A2" s="49" t="s">
        <v>1741</v>
      </c>
      <c r="B2" s="49"/>
      <c r="C2" s="49"/>
      <c r="D2" s="49"/>
      <c r="E2" s="49"/>
      <c r="F2" s="49"/>
      <c r="G2" s="49"/>
      <c r="H2" s="49"/>
      <c r="I2" s="49"/>
      <c r="J2" s="49"/>
      <c r="K2" s="49"/>
    </row>
    <row r="6" spans="1:11">
      <c r="A6" s="28" t="s">
        <v>1742</v>
      </c>
      <c r="B6" s="28" t="s">
        <v>1743</v>
      </c>
      <c r="C6" s="28" t="s">
        <v>1744</v>
      </c>
      <c r="D6" s="28" t="s">
        <v>1745</v>
      </c>
      <c r="E6" s="28" t="s">
        <v>1746</v>
      </c>
      <c r="F6" s="28" t="s">
        <v>1747</v>
      </c>
      <c r="G6" s="28"/>
    </row>
    <row r="7" spans="1:11">
      <c r="A7">
        <f>GETPIVOTDATA("Trips",$A$12,"changed_value_check","Yes")</f>
        <v>84</v>
      </c>
      <c r="B7" s="31">
        <f>GETPIVOTDATA("% of Trips",$A$12,"changed_value_check","Yes")</f>
        <v>0.14432989690721648</v>
      </c>
      <c r="C7" s="14">
        <f>GETPIVOTDATA("Change Cost",$A$12,"changed_value_check","Yes")</f>
        <v>9406.58</v>
      </c>
      <c r="D7">
        <f>GETPIVOTDATA("Trips",$A$68,"cancelled_value_check","Yes")</f>
        <v>36</v>
      </c>
      <c r="E7" s="31">
        <f>GETPIVOTDATA("% of Trips",$A$68,"cancelled_value_check","Yes")</f>
        <v>6.1855670103092786E-2</v>
      </c>
      <c r="F7" s="14">
        <f>GETPIVOTDATA("Cancellation Fees",$A$68,"cancelled_value_check","Yes")</f>
        <v>3027.9999999999995</v>
      </c>
    </row>
    <row r="11" spans="1:11">
      <c r="A11" s="58" t="s">
        <v>1748</v>
      </c>
      <c r="B11" s="58"/>
      <c r="C11" s="58"/>
      <c r="D11" s="58"/>
    </row>
    <row r="12" spans="1:11">
      <c r="A12" s="25" t="s">
        <v>37</v>
      </c>
      <c r="B12" t="s">
        <v>6</v>
      </c>
      <c r="C12" t="s">
        <v>1687</v>
      </c>
      <c r="D12" t="s">
        <v>1749</v>
      </c>
    </row>
    <row r="13" spans="1:11">
      <c r="A13" s="26" t="s">
        <v>147</v>
      </c>
      <c r="B13">
        <v>498</v>
      </c>
      <c r="C13" s="30">
        <v>0.85567010309278346</v>
      </c>
      <c r="D13" s="14">
        <v>0</v>
      </c>
    </row>
    <row r="14" spans="1:11">
      <c r="A14" s="26" t="s">
        <v>148</v>
      </c>
      <c r="B14">
        <v>84</v>
      </c>
      <c r="C14" s="30">
        <v>0.14432989690721648</v>
      </c>
      <c r="D14" s="14">
        <v>9406.58</v>
      </c>
    </row>
    <row r="15" spans="1:11">
      <c r="A15" s="26" t="s">
        <v>1601</v>
      </c>
      <c r="B15">
        <v>582</v>
      </c>
      <c r="C15" s="30">
        <v>1</v>
      </c>
      <c r="D15" s="14">
        <v>9406.58</v>
      </c>
    </row>
    <row r="16" spans="1:11">
      <c r="A16" s="26"/>
      <c r="C16" s="30"/>
      <c r="D16" s="14"/>
    </row>
    <row r="17" spans="1:4">
      <c r="A17" s="26"/>
      <c r="C17" s="30"/>
      <c r="D17" s="14"/>
    </row>
    <row r="19" spans="1:4" hidden="1">
      <c r="A19" s="25" t="s">
        <v>1625</v>
      </c>
      <c r="B19" t="s">
        <v>148</v>
      </c>
    </row>
    <row r="20" spans="1:4">
      <c r="A20" s="58" t="s">
        <v>1751</v>
      </c>
      <c r="B20" s="58"/>
      <c r="C20" s="58"/>
      <c r="D20" s="58"/>
    </row>
    <row r="21" spans="1:4">
      <c r="A21" s="25" t="s">
        <v>1583</v>
      </c>
      <c r="B21" t="s">
        <v>1749</v>
      </c>
      <c r="C21" t="s">
        <v>1742</v>
      </c>
      <c r="D21" t="s">
        <v>1750</v>
      </c>
    </row>
    <row r="22" spans="1:4">
      <c r="A22" s="26" t="s">
        <v>1655</v>
      </c>
      <c r="B22" s="14">
        <v>3495.09</v>
      </c>
      <c r="C22">
        <v>30</v>
      </c>
      <c r="D22" s="14">
        <v>116.503</v>
      </c>
    </row>
    <row r="23" spans="1:4">
      <c r="A23" s="26" t="s">
        <v>1656</v>
      </c>
      <c r="B23" s="14">
        <v>2210.9699999999998</v>
      </c>
      <c r="C23">
        <v>24</v>
      </c>
      <c r="D23" s="14">
        <v>92.123749999999987</v>
      </c>
    </row>
    <row r="24" spans="1:4">
      <c r="A24" s="26" t="s">
        <v>1657</v>
      </c>
      <c r="B24" s="14">
        <v>3700.52</v>
      </c>
      <c r="C24">
        <v>30</v>
      </c>
      <c r="D24" s="14">
        <v>123.35066666666667</v>
      </c>
    </row>
    <row r="25" spans="1:4">
      <c r="A25" s="26" t="s">
        <v>1601</v>
      </c>
      <c r="B25" s="14">
        <v>9406.5800000000017</v>
      </c>
      <c r="C25">
        <v>84</v>
      </c>
      <c r="D25" s="14">
        <v>111.98309523809526</v>
      </c>
    </row>
    <row r="26" spans="1:4">
      <c r="A26" s="26" t="s">
        <v>1658</v>
      </c>
      <c r="B26" t="s">
        <v>1752</v>
      </c>
    </row>
    <row r="30" spans="1:4">
      <c r="A30" s="58" t="s">
        <v>1756</v>
      </c>
      <c r="B30" s="58"/>
      <c r="C30" s="58"/>
    </row>
    <row r="31" spans="1:4">
      <c r="A31" s="25" t="s">
        <v>1753</v>
      </c>
      <c r="B31" t="s">
        <v>1754</v>
      </c>
      <c r="C31" t="s">
        <v>1755</v>
      </c>
    </row>
    <row r="32" spans="1:4">
      <c r="A32" s="26" t="s">
        <v>1160</v>
      </c>
      <c r="B32">
        <v>22</v>
      </c>
      <c r="C32" s="4">
        <v>2182.7499999999995</v>
      </c>
    </row>
    <row r="33" spans="1:4">
      <c r="A33" s="26" t="s">
        <v>1150</v>
      </c>
      <c r="B33">
        <v>22</v>
      </c>
      <c r="C33" s="4">
        <v>2080.75</v>
      </c>
    </row>
    <row r="34" spans="1:4">
      <c r="A34" s="26" t="s">
        <v>1153</v>
      </c>
      <c r="B34">
        <v>21</v>
      </c>
      <c r="C34" s="4">
        <v>1999.9099999999999</v>
      </c>
    </row>
    <row r="35" spans="1:4">
      <c r="A35" s="26" t="s">
        <v>1148</v>
      </c>
      <c r="B35">
        <v>19</v>
      </c>
      <c r="C35" s="4">
        <v>1584.3300000000002</v>
      </c>
    </row>
    <row r="36" spans="1:4">
      <c r="A36" s="26" t="s">
        <v>1156</v>
      </c>
      <c r="B36">
        <v>16</v>
      </c>
      <c r="C36" s="4">
        <v>1558.8400000000001</v>
      </c>
    </row>
    <row r="37" spans="1:4">
      <c r="A37" s="26" t="s">
        <v>1601</v>
      </c>
      <c r="B37">
        <v>100</v>
      </c>
      <c r="C37" s="4">
        <v>9406.5800000000036</v>
      </c>
    </row>
    <row r="38" spans="1:4">
      <c r="A38" s="26" t="s">
        <v>1658</v>
      </c>
      <c r="B38" t="s">
        <v>1757</v>
      </c>
    </row>
    <row r="41" spans="1:4">
      <c r="A41" s="58" t="s">
        <v>1760</v>
      </c>
      <c r="B41" s="58"/>
      <c r="C41" s="58"/>
      <c r="D41" s="58"/>
    </row>
    <row r="42" spans="1:4">
      <c r="A42" s="25" t="s">
        <v>1758</v>
      </c>
      <c r="B42" t="s">
        <v>1754</v>
      </c>
      <c r="C42" t="s">
        <v>1755</v>
      </c>
      <c r="D42" t="s">
        <v>1759</v>
      </c>
    </row>
    <row r="43" spans="1:4">
      <c r="A43" s="26" t="s">
        <v>1147</v>
      </c>
      <c r="B43">
        <v>44</v>
      </c>
      <c r="C43" s="4">
        <v>4984.21</v>
      </c>
      <c r="D43" s="30">
        <v>0.52986420144196944</v>
      </c>
    </row>
    <row r="44" spans="1:4">
      <c r="A44" s="26" t="s">
        <v>1152</v>
      </c>
      <c r="B44">
        <v>24</v>
      </c>
      <c r="C44" s="4">
        <v>1604.7400000000002</v>
      </c>
      <c r="D44" s="30">
        <v>0.17059760295452764</v>
      </c>
    </row>
    <row r="45" spans="1:4">
      <c r="A45" s="26" t="s">
        <v>1158</v>
      </c>
      <c r="B45">
        <v>16</v>
      </c>
      <c r="C45" s="4">
        <v>1482.81</v>
      </c>
      <c r="D45" s="30">
        <v>0.15763539990092046</v>
      </c>
    </row>
    <row r="46" spans="1:4">
      <c r="A46" s="26" t="s">
        <v>1155</v>
      </c>
      <c r="B46">
        <v>13</v>
      </c>
      <c r="C46" s="4">
        <v>1251.2900000000002</v>
      </c>
      <c r="D46" s="30">
        <v>0.13302284145778812</v>
      </c>
    </row>
    <row r="47" spans="1:4">
      <c r="A47" s="26" t="s">
        <v>1174</v>
      </c>
      <c r="B47">
        <v>3</v>
      </c>
      <c r="C47" s="4">
        <v>83.53</v>
      </c>
      <c r="D47" s="30">
        <v>8.8799542447946037E-3</v>
      </c>
    </row>
    <row r="48" spans="1:4">
      <c r="A48" s="26" t="s">
        <v>1601</v>
      </c>
      <c r="B48">
        <v>100</v>
      </c>
      <c r="C48" s="4">
        <v>9406.5799999999981</v>
      </c>
      <c r="D48" s="30">
        <v>1</v>
      </c>
    </row>
    <row r="49" spans="1:7">
      <c r="A49" s="26" t="s">
        <v>1658</v>
      </c>
      <c r="B49" t="s">
        <v>1761</v>
      </c>
    </row>
    <row r="50" spans="1:7">
      <c r="A50" s="26"/>
    </row>
    <row r="51" spans="1:7">
      <c r="A51" s="26"/>
    </row>
    <row r="53" spans="1:7" hidden="1">
      <c r="A53" s="25" t="s">
        <v>1640</v>
      </c>
      <c r="B53" s="25" t="s">
        <v>1581</v>
      </c>
    </row>
    <row r="54" spans="1:7">
      <c r="A54" s="25" t="s">
        <v>1758</v>
      </c>
      <c r="B54" t="s">
        <v>1156</v>
      </c>
      <c r="C54" t="s">
        <v>1148</v>
      </c>
      <c r="D54" t="s">
        <v>1153</v>
      </c>
      <c r="E54" t="s">
        <v>1160</v>
      </c>
      <c r="F54" t="s">
        <v>1150</v>
      </c>
      <c r="G54" t="s">
        <v>1601</v>
      </c>
    </row>
    <row r="55" spans="1:7">
      <c r="A55" s="26" t="s">
        <v>1152</v>
      </c>
      <c r="B55">
        <v>3</v>
      </c>
      <c r="C55">
        <v>4</v>
      </c>
      <c r="D55">
        <v>5</v>
      </c>
      <c r="E55">
        <v>5</v>
      </c>
      <c r="F55">
        <v>7</v>
      </c>
      <c r="G55">
        <v>24</v>
      </c>
    </row>
    <row r="56" spans="1:7">
      <c r="A56" s="26" t="s">
        <v>1147</v>
      </c>
      <c r="B56">
        <v>6</v>
      </c>
      <c r="C56">
        <v>9</v>
      </c>
      <c r="D56">
        <v>12</v>
      </c>
      <c r="E56">
        <v>9</v>
      </c>
      <c r="F56">
        <v>8</v>
      </c>
      <c r="G56">
        <v>44</v>
      </c>
    </row>
    <row r="57" spans="1:7">
      <c r="A57" s="26" t="s">
        <v>1155</v>
      </c>
      <c r="B57">
        <v>3</v>
      </c>
      <c r="C57">
        <v>2</v>
      </c>
      <c r="E57">
        <v>4</v>
      </c>
      <c r="F57">
        <v>4</v>
      </c>
      <c r="G57">
        <v>13</v>
      </c>
    </row>
    <row r="58" spans="1:7">
      <c r="A58" s="26" t="s">
        <v>1158</v>
      </c>
      <c r="B58">
        <v>4</v>
      </c>
      <c r="C58">
        <v>3</v>
      </c>
      <c r="D58">
        <v>4</v>
      </c>
      <c r="E58">
        <v>3</v>
      </c>
      <c r="F58">
        <v>2</v>
      </c>
      <c r="G58">
        <v>16</v>
      </c>
    </row>
    <row r="59" spans="1:7">
      <c r="A59" s="26" t="s">
        <v>1174</v>
      </c>
      <c r="C59">
        <v>1</v>
      </c>
      <c r="E59">
        <v>1</v>
      </c>
      <c r="F59">
        <v>1</v>
      </c>
      <c r="G59">
        <v>3</v>
      </c>
    </row>
    <row r="60" spans="1:7">
      <c r="A60" s="26" t="s">
        <v>1601</v>
      </c>
      <c r="B60">
        <v>16</v>
      </c>
      <c r="C60">
        <v>19</v>
      </c>
      <c r="D60">
        <v>21</v>
      </c>
      <c r="E60">
        <v>22</v>
      </c>
      <c r="F60">
        <v>22</v>
      </c>
      <c r="G60">
        <v>100</v>
      </c>
    </row>
    <row r="61" spans="1:7">
      <c r="A61" s="26" t="s">
        <v>1658</v>
      </c>
    </row>
    <row r="62" spans="1:7">
      <c r="A62" s="26" t="s">
        <v>1842</v>
      </c>
    </row>
    <row r="63" spans="1:7">
      <c r="A63" s="26"/>
    </row>
    <row r="65" spans="1:6">
      <c r="A65" s="58" t="s">
        <v>1762</v>
      </c>
      <c r="B65" s="58"/>
      <c r="C65" s="58"/>
      <c r="D65" s="58"/>
      <c r="E65" s="58"/>
      <c r="F65" s="58"/>
    </row>
    <row r="67" spans="1:6">
      <c r="A67" s="58" t="s">
        <v>1765</v>
      </c>
      <c r="B67" s="58"/>
      <c r="C67" s="58"/>
      <c r="D67" s="58"/>
      <c r="E67" s="58"/>
    </row>
    <row r="68" spans="1:6">
      <c r="A68" s="25" t="s">
        <v>39</v>
      </c>
      <c r="B68" t="s">
        <v>6</v>
      </c>
      <c r="C68" t="s">
        <v>1687</v>
      </c>
      <c r="D68" t="s">
        <v>1747</v>
      </c>
      <c r="E68" t="s">
        <v>1763</v>
      </c>
    </row>
    <row r="69" spans="1:6">
      <c r="A69" s="26" t="s">
        <v>147</v>
      </c>
      <c r="B69">
        <v>546</v>
      </c>
      <c r="C69" s="30">
        <v>0.93814432989690721</v>
      </c>
      <c r="D69" s="23">
        <v>0</v>
      </c>
      <c r="E69" s="14">
        <v>0</v>
      </c>
    </row>
    <row r="70" spans="1:6">
      <c r="A70" s="26" t="s">
        <v>148</v>
      </c>
      <c r="B70">
        <v>36</v>
      </c>
      <c r="C70" s="30">
        <v>6.1855670103092786E-2</v>
      </c>
      <c r="D70" s="23">
        <v>3027.9999999999995</v>
      </c>
      <c r="E70" s="14">
        <v>26195.659999999996</v>
      </c>
    </row>
    <row r="71" spans="1:6">
      <c r="A71" s="26" t="s">
        <v>1601</v>
      </c>
      <c r="B71">
        <v>582</v>
      </c>
      <c r="C71" s="30">
        <v>1</v>
      </c>
      <c r="D71" s="23">
        <v>3027.9999999999995</v>
      </c>
      <c r="E71" s="14">
        <v>26195.659999999996</v>
      </c>
    </row>
    <row r="72" spans="1:6">
      <c r="A72" s="26" t="s">
        <v>1658</v>
      </c>
      <c r="B72" t="s">
        <v>1764</v>
      </c>
    </row>
    <row r="73" spans="1:6">
      <c r="A73" s="26"/>
    </row>
    <row r="74" spans="1:6">
      <c r="A74" s="26"/>
    </row>
    <row r="76" spans="1:6">
      <c r="A76" s="58" t="s">
        <v>1766</v>
      </c>
      <c r="B76" s="58"/>
      <c r="C76" s="58"/>
      <c r="D76" s="58"/>
    </row>
    <row r="77" spans="1:6">
      <c r="A77" s="25" t="s">
        <v>1767</v>
      </c>
      <c r="B77" t="s">
        <v>1754</v>
      </c>
      <c r="C77" t="s">
        <v>1768</v>
      </c>
      <c r="D77" t="s">
        <v>1769</v>
      </c>
    </row>
    <row r="78" spans="1:6">
      <c r="A78" s="26" t="s">
        <v>1268</v>
      </c>
      <c r="B78">
        <v>6</v>
      </c>
      <c r="C78" s="4">
        <v>476.35</v>
      </c>
      <c r="D78" s="4">
        <v>4343.25</v>
      </c>
    </row>
    <row r="79" spans="1:6">
      <c r="A79" s="26" t="s">
        <v>1263</v>
      </c>
      <c r="B79">
        <v>7</v>
      </c>
      <c r="C79" s="4">
        <v>639.04000000000008</v>
      </c>
      <c r="D79" s="4">
        <v>5522.45</v>
      </c>
    </row>
    <row r="80" spans="1:6">
      <c r="A80" s="26" t="s">
        <v>1271</v>
      </c>
      <c r="B80">
        <v>3</v>
      </c>
      <c r="C80" s="4">
        <v>229.25</v>
      </c>
      <c r="D80" s="4">
        <v>2504.2000000000003</v>
      </c>
    </row>
    <row r="81" spans="1:4" hidden="1">
      <c r="A81" s="26" t="s">
        <v>1261</v>
      </c>
      <c r="B81">
        <v>5</v>
      </c>
      <c r="C81" s="4">
        <v>485.65000000000003</v>
      </c>
      <c r="D81" s="4">
        <v>4555.3</v>
      </c>
    </row>
    <row r="82" spans="1:4">
      <c r="A82" s="26" t="s">
        <v>1273</v>
      </c>
      <c r="B82">
        <v>7</v>
      </c>
      <c r="C82" s="4">
        <v>472.78</v>
      </c>
      <c r="D82" s="4">
        <v>3300.11</v>
      </c>
    </row>
    <row r="83" spans="1:4">
      <c r="A83" s="26" t="s">
        <v>1280</v>
      </c>
      <c r="B83">
        <v>8</v>
      </c>
      <c r="C83" s="4">
        <v>724.93</v>
      </c>
      <c r="D83" s="4">
        <v>5970.35</v>
      </c>
    </row>
    <row r="84" spans="1:4">
      <c r="A84" s="26" t="s">
        <v>1601</v>
      </c>
      <c r="B84">
        <v>36</v>
      </c>
      <c r="C84" s="4">
        <v>3028</v>
      </c>
      <c r="D84" s="4">
        <v>26195.66</v>
      </c>
    </row>
    <row r="85" spans="1:4">
      <c r="A85" s="26" t="s">
        <v>1658</v>
      </c>
      <c r="B85" t="s">
        <v>1770</v>
      </c>
    </row>
    <row r="89" spans="1:4" hidden="1">
      <c r="A89" s="25" t="s">
        <v>1626</v>
      </c>
      <c r="B89" t="s">
        <v>148</v>
      </c>
    </row>
    <row r="90" spans="1:4">
      <c r="A90" s="58" t="s">
        <v>1771</v>
      </c>
      <c r="B90" s="58"/>
      <c r="C90" s="58"/>
      <c r="D90" s="58"/>
    </row>
    <row r="91" spans="1:4">
      <c r="A91" s="25" t="s">
        <v>1583</v>
      </c>
      <c r="B91" t="s">
        <v>1745</v>
      </c>
      <c r="C91" t="s">
        <v>1747</v>
      </c>
      <c r="D91" t="s">
        <v>1769</v>
      </c>
    </row>
    <row r="92" spans="1:4">
      <c r="A92" s="26" t="s">
        <v>1655</v>
      </c>
      <c r="B92">
        <v>16</v>
      </c>
      <c r="C92" s="23">
        <v>1289.0999999999999</v>
      </c>
      <c r="D92" s="14">
        <v>10837.96</v>
      </c>
    </row>
    <row r="93" spans="1:4">
      <c r="A93" s="26" t="s">
        <v>1656</v>
      </c>
      <c r="B93">
        <v>13</v>
      </c>
      <c r="C93" s="23">
        <v>1149.69</v>
      </c>
      <c r="D93" s="14">
        <v>9877.3300000000017</v>
      </c>
    </row>
    <row r="94" spans="1:4">
      <c r="A94" s="26" t="s">
        <v>1657</v>
      </c>
      <c r="B94">
        <v>7</v>
      </c>
      <c r="C94" s="23">
        <v>589.21</v>
      </c>
      <c r="D94" s="14">
        <v>5480.369999999999</v>
      </c>
    </row>
    <row r="95" spans="1:4">
      <c r="A95" s="26" t="s">
        <v>1601</v>
      </c>
      <c r="B95">
        <v>36</v>
      </c>
      <c r="C95" s="23">
        <v>3027.9999999999995</v>
      </c>
      <c r="D95" s="14">
        <v>26195.66</v>
      </c>
    </row>
    <row r="96" spans="1:4">
      <c r="A96" s="26" t="s">
        <v>1658</v>
      </c>
      <c r="B96" t="s">
        <v>1772</v>
      </c>
    </row>
    <row r="99" spans="1:1">
      <c r="A99" s="37" t="s">
        <v>1773</v>
      </c>
    </row>
    <row r="101" spans="1:1">
      <c r="A101" t="s">
        <v>1774</v>
      </c>
    </row>
    <row r="103" spans="1:1">
      <c r="A103" t="s">
        <v>1775</v>
      </c>
    </row>
    <row r="105" spans="1:1">
      <c r="A105" t="s">
        <v>1776</v>
      </c>
    </row>
    <row r="107" spans="1:1">
      <c r="A107" t="s">
        <v>1777</v>
      </c>
    </row>
    <row r="109" spans="1:1">
      <c r="A109" t="s">
        <v>1778</v>
      </c>
    </row>
    <row r="111" spans="1:1">
      <c r="A111" t="s">
        <v>1779</v>
      </c>
    </row>
    <row r="114" spans="1:1">
      <c r="A114" s="28" t="s">
        <v>1738</v>
      </c>
    </row>
    <row r="116" spans="1:1">
      <c r="A116" t="s">
        <v>1780</v>
      </c>
    </row>
    <row r="118" spans="1:1">
      <c r="A118" t="s">
        <v>1781</v>
      </c>
    </row>
    <row r="120" spans="1:1">
      <c r="A120" t="s">
        <v>1782</v>
      </c>
    </row>
  </sheetData>
  <mergeCells count="10">
    <mergeCell ref="A65:F65"/>
    <mergeCell ref="A67:E67"/>
    <mergeCell ref="A76:D76"/>
    <mergeCell ref="A90:D90"/>
    <mergeCell ref="A1:K1"/>
    <mergeCell ref="A2:K2"/>
    <mergeCell ref="A11:D11"/>
    <mergeCell ref="A20:D20"/>
    <mergeCell ref="A30:C30"/>
    <mergeCell ref="A41:D41"/>
  </mergeCells>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296CD-956A-DC4F-9B85-86204CA2D2BB}">
  <dimension ref="A1:K48"/>
  <sheetViews>
    <sheetView zoomScale="75" workbookViewId="0">
      <selection activeCell="A18" sqref="A18"/>
    </sheetView>
  </sheetViews>
  <sheetFormatPr baseColWidth="10" defaultRowHeight="15"/>
  <cols>
    <col min="1" max="1" width="25.5" customWidth="1"/>
    <col min="2" max="2" width="25.1640625" customWidth="1"/>
    <col min="3" max="3" width="21.5" bestFit="1" customWidth="1"/>
    <col min="4" max="4" width="30.6640625" bestFit="1" customWidth="1"/>
    <col min="5" max="5" width="24.83203125" bestFit="1" customWidth="1"/>
  </cols>
  <sheetData>
    <row r="1" spans="1:11" ht="31">
      <c r="A1" s="48" t="s">
        <v>1783</v>
      </c>
      <c r="B1" s="48"/>
      <c r="C1" s="48"/>
      <c r="D1" s="48"/>
      <c r="E1" s="48"/>
      <c r="F1" s="48"/>
      <c r="G1" s="48"/>
      <c r="H1" s="48"/>
      <c r="I1" s="48"/>
      <c r="J1" s="48"/>
      <c r="K1" s="48"/>
    </row>
    <row r="6" spans="1:11">
      <c r="A6" s="28" t="s">
        <v>1784</v>
      </c>
      <c r="B6" s="28" t="s">
        <v>1785</v>
      </c>
      <c r="C6" s="28" t="s">
        <v>1797</v>
      </c>
      <c r="D6" s="28" t="s">
        <v>1798</v>
      </c>
      <c r="E6" s="28" t="s">
        <v>1799</v>
      </c>
      <c r="F6" s="28" t="s">
        <v>1800</v>
      </c>
      <c r="G6" s="28"/>
    </row>
    <row r="7" spans="1:11">
      <c r="A7">
        <f>GETPIVOTDATA("Responses",$A$23)</f>
        <v>239</v>
      </c>
      <c r="B7" s="31">
        <f>B29/582</f>
        <v>0.4106529209621993</v>
      </c>
      <c r="C7" s="41">
        <f>GETPIVOTDATA("Overall Trip Rating",$A$13)</f>
        <v>4.2092050209205025</v>
      </c>
      <c r="D7" s="41">
        <f>GETPIVOTDATA("Booking Experience",$A$13)</f>
        <v>4.1255230125523017</v>
      </c>
      <c r="E7" s="41">
        <f>GETPIVOTDATA("Travel Support",$A$13)</f>
        <v>4.0711297071129708</v>
      </c>
      <c r="F7" s="41">
        <f>GETPIVOTDATA("Supplier Rating",$A$13)</f>
        <v>4.1715481171548117</v>
      </c>
    </row>
    <row r="12" spans="1:11">
      <c r="A12" s="58" t="s">
        <v>1786</v>
      </c>
      <c r="B12" s="58"/>
      <c r="C12" s="58"/>
      <c r="D12" s="58"/>
      <c r="E12" s="58"/>
    </row>
    <row r="13" spans="1:11">
      <c r="A13" s="25" t="s">
        <v>1583</v>
      </c>
      <c r="B13" t="s">
        <v>1787</v>
      </c>
      <c r="C13" t="s">
        <v>1788</v>
      </c>
      <c r="D13" t="s">
        <v>1789</v>
      </c>
      <c r="E13" t="s">
        <v>1790</v>
      </c>
    </row>
    <row r="14" spans="1:11">
      <c r="A14" s="26" t="s">
        <v>1655</v>
      </c>
      <c r="B14" s="39">
        <v>4.258064516129032</v>
      </c>
      <c r="C14" s="39">
        <v>4.32258064516129</v>
      </c>
      <c r="D14" s="39">
        <v>4.080645161290323</v>
      </c>
      <c r="E14" s="39">
        <v>4.306451612903226</v>
      </c>
    </row>
    <row r="15" spans="1:11">
      <c r="A15" s="26" t="s">
        <v>1656</v>
      </c>
      <c r="B15" s="39">
        <v>4.1927710843373491</v>
      </c>
      <c r="C15" s="39">
        <v>3.927710843373494</v>
      </c>
      <c r="D15" s="39">
        <v>4.0361445783132526</v>
      </c>
      <c r="E15" s="39">
        <v>4.096385542168675</v>
      </c>
    </row>
    <row r="16" spans="1:11">
      <c r="A16" s="26" t="s">
        <v>1657</v>
      </c>
      <c r="B16" s="39">
        <v>4.2054794520547949</v>
      </c>
      <c r="C16" s="39">
        <v>4.1780821917808222</v>
      </c>
      <c r="D16" s="39">
        <v>4.0547945205479454</v>
      </c>
      <c r="E16" s="39">
        <v>4.1232876712328768</v>
      </c>
    </row>
    <row r="17" spans="1:5">
      <c r="A17" s="26" t="s">
        <v>1862</v>
      </c>
      <c r="B17" s="39">
        <v>4.1428571428571432</v>
      </c>
      <c r="C17" s="39">
        <v>4.1428571428571432</v>
      </c>
      <c r="D17" s="39">
        <v>4.2380952380952381</v>
      </c>
      <c r="E17" s="39">
        <v>4.2380952380952381</v>
      </c>
    </row>
    <row r="18" spans="1:5">
      <c r="A18" s="26" t="s">
        <v>1601</v>
      </c>
      <c r="B18" s="39">
        <v>4.2092050209205025</v>
      </c>
      <c r="C18" s="39">
        <v>4.1255230125523017</v>
      </c>
      <c r="D18" s="39">
        <v>4.0711297071129708</v>
      </c>
      <c r="E18" s="39">
        <v>4.1715481171548117</v>
      </c>
    </row>
    <row r="22" spans="1:5">
      <c r="A22" s="58" t="s">
        <v>1791</v>
      </c>
      <c r="B22" s="58"/>
      <c r="C22" s="58"/>
    </row>
    <row r="23" spans="1:5">
      <c r="A23" s="25" t="s">
        <v>1792</v>
      </c>
      <c r="B23" t="s">
        <v>1793</v>
      </c>
      <c r="C23" t="s">
        <v>1794</v>
      </c>
    </row>
    <row r="24" spans="1:5">
      <c r="A24" s="26">
        <v>1</v>
      </c>
      <c r="B24">
        <v>3</v>
      </c>
      <c r="C24" s="30">
        <v>1.2552301255230125E-2</v>
      </c>
    </row>
    <row r="25" spans="1:5">
      <c r="A25" s="26">
        <v>2</v>
      </c>
      <c r="B25">
        <v>10</v>
      </c>
      <c r="C25" s="30">
        <v>4.1841004184100417E-2</v>
      </c>
    </row>
    <row r="26" spans="1:5">
      <c r="A26" s="26">
        <v>3</v>
      </c>
      <c r="B26">
        <v>34</v>
      </c>
      <c r="C26" s="30">
        <v>0.14225941422594143</v>
      </c>
    </row>
    <row r="27" spans="1:5">
      <c r="A27" s="26">
        <v>4</v>
      </c>
      <c r="B27">
        <v>79</v>
      </c>
      <c r="C27" s="30">
        <v>0.33054393305439328</v>
      </c>
    </row>
    <row r="28" spans="1:5">
      <c r="A28" s="26">
        <v>5</v>
      </c>
      <c r="B28">
        <v>113</v>
      </c>
      <c r="C28" s="30">
        <v>0.47280334728033474</v>
      </c>
    </row>
    <row r="29" spans="1:5">
      <c r="A29" s="26" t="s">
        <v>1601</v>
      </c>
      <c r="B29">
        <v>239</v>
      </c>
      <c r="C29" s="30">
        <v>1</v>
      </c>
    </row>
    <row r="34" spans="1:1">
      <c r="A34" s="40" t="s">
        <v>1773</v>
      </c>
    </row>
    <row r="35" spans="1:1">
      <c r="A35" s="1"/>
    </row>
    <row r="36" spans="1:1">
      <c r="A36" t="s">
        <v>1795</v>
      </c>
    </row>
    <row r="38" spans="1:1">
      <c r="A38" t="s">
        <v>1796</v>
      </c>
    </row>
    <row r="40" spans="1:1">
      <c r="A40" s="28" t="s">
        <v>1738</v>
      </c>
    </row>
    <row r="42" spans="1:1">
      <c r="A42" t="s">
        <v>1801</v>
      </c>
    </row>
    <row r="44" spans="1:1">
      <c r="A44" t="s">
        <v>1802</v>
      </c>
    </row>
    <row r="46" spans="1:1">
      <c r="A46" t="s">
        <v>1803</v>
      </c>
    </row>
    <row r="48" spans="1:1">
      <c r="A48" t="s">
        <v>1804</v>
      </c>
    </row>
  </sheetData>
  <mergeCells count="3">
    <mergeCell ref="A1:K1"/>
    <mergeCell ref="A12:E12"/>
    <mergeCell ref="A22:C22"/>
  </mergeCell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9"/>
  <sheetViews>
    <sheetView workbookViewId="0">
      <selection activeCell="A18" sqref="A18"/>
    </sheetView>
  </sheetViews>
  <sheetFormatPr baseColWidth="10" defaultColWidth="8.83203125" defaultRowHeight="15"/>
  <cols>
    <col min="1" max="1" width="13.6640625" customWidth="1"/>
    <col min="2" max="2" width="28" customWidth="1"/>
    <col min="3" max="3" width="22" customWidth="1"/>
    <col min="4" max="5" width="7.6640625" customWidth="1"/>
    <col min="6" max="6" width="18.6640625" customWidth="1"/>
    <col min="7" max="8" width="55" customWidth="1"/>
  </cols>
  <sheetData>
    <row r="1" spans="1:11" ht="31">
      <c r="A1" s="48" t="s">
        <v>1805</v>
      </c>
      <c r="B1" s="48"/>
      <c r="C1" s="48"/>
      <c r="D1" s="48"/>
      <c r="E1" s="48"/>
      <c r="F1" s="48"/>
      <c r="G1" s="48"/>
      <c r="H1" s="48"/>
      <c r="I1" s="48"/>
      <c r="J1" s="48"/>
      <c r="K1" s="48"/>
    </row>
    <row r="5" spans="1:11" ht="16">
      <c r="A5" s="2" t="s">
        <v>1583</v>
      </c>
      <c r="B5" s="2" t="s">
        <v>1806</v>
      </c>
      <c r="C5" s="2" t="s">
        <v>1807</v>
      </c>
      <c r="D5" s="2" t="s">
        <v>1808</v>
      </c>
      <c r="E5" s="2" t="s">
        <v>1809</v>
      </c>
      <c r="F5" s="2" t="s">
        <v>1810</v>
      </c>
      <c r="G5" s="7" t="s">
        <v>1811</v>
      </c>
      <c r="H5" s="7" t="s">
        <v>1812</v>
      </c>
    </row>
    <row r="6" spans="1:11">
      <c r="A6" s="43">
        <v>46143</v>
      </c>
      <c r="B6" t="s">
        <v>1302</v>
      </c>
      <c r="C6" t="s">
        <v>1303</v>
      </c>
      <c r="D6" s="31">
        <v>0.95</v>
      </c>
      <c r="E6" s="31">
        <v>0.95</v>
      </c>
      <c r="F6" t="s">
        <v>1304</v>
      </c>
      <c r="G6" t="s">
        <v>1305</v>
      </c>
      <c r="H6" t="str">
        <f t="shared" ref="H6:H17" si="0">IF(E6&gt;=D6,"Yes","No")</f>
        <v>Yes</v>
      </c>
    </row>
    <row r="7" spans="1:11">
      <c r="A7" s="43">
        <v>46143</v>
      </c>
      <c r="B7" t="s">
        <v>1302</v>
      </c>
      <c r="C7" t="s">
        <v>55</v>
      </c>
      <c r="D7">
        <v>4.2</v>
      </c>
      <c r="E7">
        <v>4.2</v>
      </c>
      <c r="F7" t="s">
        <v>1306</v>
      </c>
      <c r="G7" t="s">
        <v>1307</v>
      </c>
      <c r="H7" t="str">
        <f t="shared" si="0"/>
        <v>Yes</v>
      </c>
    </row>
    <row r="8" spans="1:11">
      <c r="A8" s="43">
        <v>46143</v>
      </c>
      <c r="B8" t="s">
        <v>145</v>
      </c>
      <c r="C8" t="s">
        <v>1308</v>
      </c>
      <c r="D8" s="31">
        <v>0.995</v>
      </c>
      <c r="E8" s="31">
        <v>0.995</v>
      </c>
      <c r="F8" t="s">
        <v>1304</v>
      </c>
      <c r="G8" t="s">
        <v>1309</v>
      </c>
      <c r="H8" t="str">
        <f t="shared" si="0"/>
        <v>Yes</v>
      </c>
    </row>
    <row r="9" spans="1:11">
      <c r="A9" s="43">
        <v>46143</v>
      </c>
      <c r="B9" t="s">
        <v>145</v>
      </c>
      <c r="C9" t="s">
        <v>1310</v>
      </c>
      <c r="D9" s="31">
        <v>0.85</v>
      </c>
      <c r="E9" s="31">
        <v>0.82</v>
      </c>
      <c r="F9" t="s">
        <v>1304</v>
      </c>
      <c r="G9" t="s">
        <v>1311</v>
      </c>
      <c r="H9" t="str">
        <f t="shared" si="0"/>
        <v>No</v>
      </c>
    </row>
    <row r="10" spans="1:11">
      <c r="A10" s="43">
        <v>46174</v>
      </c>
      <c r="B10" t="s">
        <v>1302</v>
      </c>
      <c r="C10" t="s">
        <v>1303</v>
      </c>
      <c r="D10" s="31">
        <v>0.95</v>
      </c>
      <c r="E10" s="31">
        <v>0.93</v>
      </c>
      <c r="F10" t="s">
        <v>1304</v>
      </c>
      <c r="G10" t="s">
        <v>1305</v>
      </c>
      <c r="H10" t="str">
        <f t="shared" si="0"/>
        <v>No</v>
      </c>
    </row>
    <row r="11" spans="1:11">
      <c r="A11" s="43">
        <v>46174</v>
      </c>
      <c r="B11" t="s">
        <v>1302</v>
      </c>
      <c r="C11" t="s">
        <v>55</v>
      </c>
      <c r="D11">
        <v>4.2</v>
      </c>
      <c r="E11">
        <v>4</v>
      </c>
      <c r="F11" t="s">
        <v>1306</v>
      </c>
      <c r="G11" t="s">
        <v>1307</v>
      </c>
      <c r="H11" t="str">
        <f t="shared" si="0"/>
        <v>No</v>
      </c>
    </row>
    <row r="12" spans="1:11">
      <c r="A12" s="43">
        <v>46174</v>
      </c>
      <c r="B12" t="s">
        <v>145</v>
      </c>
      <c r="C12" t="s">
        <v>1308</v>
      </c>
      <c r="D12" s="31">
        <v>0.995</v>
      </c>
      <c r="E12" s="31">
        <v>0.99099999999999999</v>
      </c>
      <c r="F12" t="s">
        <v>1304</v>
      </c>
      <c r="G12" t="s">
        <v>1309</v>
      </c>
      <c r="H12" t="str">
        <f t="shared" si="0"/>
        <v>No</v>
      </c>
    </row>
    <row r="13" spans="1:11">
      <c r="A13" s="43">
        <v>46174</v>
      </c>
      <c r="B13" t="s">
        <v>145</v>
      </c>
      <c r="C13" t="s">
        <v>1310</v>
      </c>
      <c r="D13" s="31">
        <v>0.85</v>
      </c>
      <c r="E13" s="31">
        <v>0.8</v>
      </c>
      <c r="F13" t="s">
        <v>1304</v>
      </c>
      <c r="G13" t="s">
        <v>1311</v>
      </c>
      <c r="H13" t="str">
        <f t="shared" si="0"/>
        <v>No</v>
      </c>
    </row>
    <row r="14" spans="1:11">
      <c r="A14" s="43">
        <v>46204</v>
      </c>
      <c r="B14" t="s">
        <v>1302</v>
      </c>
      <c r="C14" t="s">
        <v>1303</v>
      </c>
      <c r="D14" s="31">
        <v>0.95</v>
      </c>
      <c r="E14" s="31">
        <v>0.91</v>
      </c>
      <c r="F14" t="s">
        <v>1304</v>
      </c>
      <c r="G14" t="s">
        <v>1305</v>
      </c>
      <c r="H14" t="str">
        <f t="shared" si="0"/>
        <v>No</v>
      </c>
    </row>
    <row r="15" spans="1:11">
      <c r="A15" s="43">
        <v>46204</v>
      </c>
      <c r="B15" t="s">
        <v>1302</v>
      </c>
      <c r="C15" t="s">
        <v>55</v>
      </c>
      <c r="D15">
        <v>4.2</v>
      </c>
      <c r="E15">
        <v>3.8</v>
      </c>
      <c r="F15" t="s">
        <v>1306</v>
      </c>
      <c r="G15" t="s">
        <v>1307</v>
      </c>
      <c r="H15" t="str">
        <f t="shared" si="0"/>
        <v>No</v>
      </c>
    </row>
    <row r="16" spans="1:11">
      <c r="A16" s="43">
        <v>46204</v>
      </c>
      <c r="B16" t="s">
        <v>145</v>
      </c>
      <c r="C16" t="s">
        <v>1308</v>
      </c>
      <c r="D16" s="31">
        <v>0.995</v>
      </c>
      <c r="E16" s="31">
        <v>0.997</v>
      </c>
      <c r="F16" t="s">
        <v>1304</v>
      </c>
      <c r="G16" t="s">
        <v>1309</v>
      </c>
      <c r="H16" t="str">
        <f t="shared" si="0"/>
        <v>Yes</v>
      </c>
    </row>
    <row r="17" spans="1:8">
      <c r="A17" s="43">
        <v>46204</v>
      </c>
      <c r="B17" t="s">
        <v>145</v>
      </c>
      <c r="C17" t="s">
        <v>1310</v>
      </c>
      <c r="D17" s="31">
        <v>0.85</v>
      </c>
      <c r="E17" s="31">
        <v>0.84</v>
      </c>
      <c r="F17" t="s">
        <v>1304</v>
      </c>
      <c r="G17" t="s">
        <v>1311</v>
      </c>
      <c r="H17" t="str">
        <f t="shared" si="0"/>
        <v>No</v>
      </c>
    </row>
    <row r="20" spans="1:8">
      <c r="B20" s="1"/>
    </row>
    <row r="21" spans="1:8">
      <c r="A21" s="40" t="s">
        <v>1773</v>
      </c>
    </row>
    <row r="23" spans="1:8">
      <c r="A23" t="s">
        <v>1813</v>
      </c>
    </row>
    <row r="25" spans="1:8">
      <c r="A25" t="s">
        <v>1814</v>
      </c>
    </row>
    <row r="27" spans="1:8">
      <c r="A27" t="s">
        <v>1815</v>
      </c>
    </row>
    <row r="29" spans="1:8">
      <c r="A29" t="s">
        <v>1816</v>
      </c>
    </row>
    <row r="31" spans="1:8">
      <c r="A31" s="28" t="s">
        <v>1738</v>
      </c>
    </row>
    <row r="33" spans="1:1">
      <c r="A33" t="s">
        <v>1817</v>
      </c>
    </row>
    <row r="35" spans="1:1">
      <c r="A35" t="s">
        <v>1818</v>
      </c>
    </row>
    <row r="37" spans="1:1">
      <c r="A37" t="s">
        <v>1819</v>
      </c>
    </row>
    <row r="39" spans="1:1">
      <c r="A39" t="s">
        <v>1820</v>
      </c>
    </row>
  </sheetData>
  <mergeCells count="1">
    <mergeCell ref="A1:K1"/>
  </mergeCells>
  <phoneticPr fontId="11" type="noConversion"/>
  <pageMargins left="0.7" right="0.7" top="0.75" bottom="0.75" header="0.3" footer="0.3"/>
  <pageSetup paperSize="9"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3D0C1-339A-424B-B04D-96F508FDDC60}">
  <dimension ref="A1:K79"/>
  <sheetViews>
    <sheetView zoomScale="86" workbookViewId="0">
      <selection activeCell="A78" sqref="A78"/>
    </sheetView>
  </sheetViews>
  <sheetFormatPr baseColWidth="10" defaultRowHeight="15"/>
  <cols>
    <col min="1" max="1" width="13.83203125" bestFit="1" customWidth="1"/>
    <col min="2" max="2" width="14.6640625" customWidth="1"/>
    <col min="3" max="3" width="19" bestFit="1" customWidth="1"/>
    <col min="4" max="4" width="11.83203125" bestFit="1" customWidth="1"/>
  </cols>
  <sheetData>
    <row r="1" spans="1:11" ht="31">
      <c r="A1" s="48" t="s">
        <v>1821</v>
      </c>
      <c r="B1" s="48"/>
      <c r="C1" s="48"/>
      <c r="D1" s="48"/>
      <c r="E1" s="48"/>
      <c r="F1" s="48"/>
      <c r="G1" s="48"/>
      <c r="H1" s="48"/>
      <c r="I1" s="48"/>
      <c r="J1" s="48"/>
      <c r="K1" s="48"/>
    </row>
    <row r="2" spans="1:11" ht="21">
      <c r="A2" s="49" t="s">
        <v>1822</v>
      </c>
      <c r="B2" s="49"/>
      <c r="C2" s="49"/>
      <c r="D2" s="49"/>
      <c r="E2" s="49"/>
      <c r="F2" s="49"/>
      <c r="G2" s="49"/>
      <c r="H2" s="49"/>
      <c r="I2" s="49"/>
      <c r="J2" s="49"/>
      <c r="K2" s="49"/>
    </row>
    <row r="6" spans="1:11">
      <c r="A6" s="28" t="s">
        <v>1901</v>
      </c>
      <c r="B6" s="28" t="s">
        <v>1902</v>
      </c>
      <c r="C6" s="28" t="s">
        <v>1903</v>
      </c>
      <c r="D6" s="28" t="s">
        <v>1823</v>
      </c>
      <c r="E6" s="28" t="s">
        <v>1824</v>
      </c>
      <c r="F6" s="28" t="s">
        <v>1825</v>
      </c>
      <c r="G6" s="28"/>
      <c r="H6" s="28"/>
    </row>
    <row r="7" spans="1:11">
      <c r="A7">
        <f>GETPIVOTDATA("CO₂ Emissions (kg)",$A$11)</f>
        <v>356259.40000000008</v>
      </c>
      <c r="B7" s="31">
        <f>GETPIVOTDATA("% of Total CO₂",$A$11,"travel_mode","Air")</f>
        <v>0.99331189577032974</v>
      </c>
      <c r="C7" s="31">
        <f>GETPIVOTDATA("% of Total CO₂",$A$11,"travel_mode","Rail")</f>
        <v>6.688104229670846E-3</v>
      </c>
      <c r="D7">
        <f>GETPIVOTDATA("Trips",$A$11,"travel_mode","Air")</f>
        <v>505</v>
      </c>
      <c r="E7">
        <f>GETPIVOTDATA("Trips",$A$11,"travel_mode","Rail")</f>
        <v>77</v>
      </c>
      <c r="F7" t="str">
        <f>A31</f>
        <v>New York</v>
      </c>
    </row>
    <row r="10" spans="1:11">
      <c r="A10" s="58" t="s">
        <v>1829</v>
      </c>
      <c r="B10" s="58"/>
      <c r="C10" s="58"/>
      <c r="D10" s="58"/>
    </row>
    <row r="11" spans="1:11">
      <c r="A11" s="25" t="s">
        <v>1826</v>
      </c>
      <c r="B11" t="s">
        <v>1827</v>
      </c>
      <c r="C11" t="s">
        <v>6</v>
      </c>
      <c r="D11" t="s">
        <v>1828</v>
      </c>
    </row>
    <row r="12" spans="1:11">
      <c r="A12" s="26" t="s">
        <v>153</v>
      </c>
      <c r="B12" s="5">
        <v>353876.7000000003</v>
      </c>
      <c r="C12">
        <v>505</v>
      </c>
      <c r="D12" s="30">
        <v>0.99331189577032974</v>
      </c>
    </row>
    <row r="13" spans="1:11">
      <c r="A13" s="26" t="s">
        <v>144</v>
      </c>
      <c r="B13" s="5">
        <v>2382.6999999999985</v>
      </c>
      <c r="C13">
        <v>77</v>
      </c>
      <c r="D13" s="30">
        <v>6.688104229670846E-3</v>
      </c>
    </row>
    <row r="14" spans="1:11">
      <c r="A14" s="26" t="s">
        <v>1601</v>
      </c>
      <c r="B14" s="5">
        <v>356259.40000000008</v>
      </c>
      <c r="C14">
        <v>582</v>
      </c>
      <c r="D14" s="30">
        <v>1</v>
      </c>
    </row>
    <row r="19" spans="1:4">
      <c r="A19" s="58" t="s">
        <v>1830</v>
      </c>
      <c r="B19" s="58"/>
      <c r="C19" s="58"/>
      <c r="D19" s="58"/>
    </row>
    <row r="20" spans="1:4" hidden="1">
      <c r="A20" s="25" t="s">
        <v>1641</v>
      </c>
      <c r="B20" s="25" t="s">
        <v>1581</v>
      </c>
    </row>
    <row r="21" spans="1:4">
      <c r="A21" s="25" t="s">
        <v>1832</v>
      </c>
      <c r="B21" t="s">
        <v>1833</v>
      </c>
      <c r="C21" t="s">
        <v>144</v>
      </c>
      <c r="D21" t="s">
        <v>1601</v>
      </c>
    </row>
    <row r="22" spans="1:4">
      <c r="A22" s="26" t="s">
        <v>1655</v>
      </c>
      <c r="B22" s="5">
        <v>118408.79999999999</v>
      </c>
      <c r="C22" s="5">
        <v>741.20000000000016</v>
      </c>
      <c r="D22" s="5">
        <v>119149.99999999999</v>
      </c>
    </row>
    <row r="23" spans="1:4">
      <c r="A23" s="26" t="s">
        <v>1656</v>
      </c>
      <c r="B23" s="5">
        <v>106685.99999999999</v>
      </c>
      <c r="C23" s="5">
        <v>989.70000000000027</v>
      </c>
      <c r="D23" s="5">
        <v>107675.69999999998</v>
      </c>
    </row>
    <row r="24" spans="1:4">
      <c r="A24" s="26" t="s">
        <v>1657</v>
      </c>
      <c r="B24" s="5">
        <v>128781.89999999997</v>
      </c>
      <c r="C24" s="5">
        <v>651.79999999999995</v>
      </c>
      <c r="D24" s="5">
        <v>129433.69999999997</v>
      </c>
    </row>
    <row r="25" spans="1:4">
      <c r="A25" s="26" t="s">
        <v>1601</v>
      </c>
      <c r="B25" s="5">
        <v>353876.69999999995</v>
      </c>
      <c r="C25" s="5">
        <v>2382.7000000000007</v>
      </c>
      <c r="D25" s="5">
        <v>356259.39999999991</v>
      </c>
    </row>
    <row r="28" spans="1:4">
      <c r="A28" s="26"/>
    </row>
    <row r="29" spans="1:4">
      <c r="A29" s="58" t="s">
        <v>1831</v>
      </c>
      <c r="B29" s="58"/>
      <c r="C29" s="58"/>
    </row>
    <row r="30" spans="1:4">
      <c r="A30" s="25" t="s">
        <v>1672</v>
      </c>
      <c r="B30" t="s">
        <v>6</v>
      </c>
      <c r="C30" t="s">
        <v>1834</v>
      </c>
    </row>
    <row r="31" spans="1:4">
      <c r="A31" s="26" t="s">
        <v>185</v>
      </c>
      <c r="B31">
        <v>38</v>
      </c>
      <c r="C31" s="5">
        <v>64744.5</v>
      </c>
    </row>
    <row r="32" spans="1:4">
      <c r="A32" s="26" t="s">
        <v>179</v>
      </c>
      <c r="B32">
        <v>16</v>
      </c>
      <c r="C32" s="5">
        <v>41143.5</v>
      </c>
    </row>
    <row r="33" spans="1:3">
      <c r="A33" s="26" t="s">
        <v>283</v>
      </c>
      <c r="B33">
        <v>18</v>
      </c>
      <c r="C33" s="5">
        <v>31256.999999999996</v>
      </c>
    </row>
    <row r="34" spans="1:3">
      <c r="A34" s="26" t="s">
        <v>199</v>
      </c>
      <c r="B34">
        <v>81</v>
      </c>
      <c r="C34" s="5">
        <v>29648.699999999997</v>
      </c>
    </row>
    <row r="35" spans="1:3">
      <c r="A35" s="26" t="s">
        <v>240</v>
      </c>
      <c r="B35">
        <v>10</v>
      </c>
      <c r="C35" s="5">
        <v>24961.200000000001</v>
      </c>
    </row>
    <row r="36" spans="1:3">
      <c r="A36" s="26" t="s">
        <v>305</v>
      </c>
      <c r="B36">
        <v>13</v>
      </c>
      <c r="C36" s="5">
        <v>23230.5</v>
      </c>
    </row>
    <row r="37" spans="1:3">
      <c r="A37" s="26" t="s">
        <v>225</v>
      </c>
      <c r="B37">
        <v>59</v>
      </c>
      <c r="C37" s="5">
        <v>21797.400000000009</v>
      </c>
    </row>
    <row r="38" spans="1:3">
      <c r="A38" s="26" t="s">
        <v>223</v>
      </c>
      <c r="B38">
        <v>8</v>
      </c>
      <c r="C38" s="5">
        <v>18817.8</v>
      </c>
    </row>
    <row r="39" spans="1:3">
      <c r="A39" s="26" t="s">
        <v>233</v>
      </c>
      <c r="B39">
        <v>55</v>
      </c>
      <c r="C39" s="5">
        <v>18483.900000000005</v>
      </c>
    </row>
    <row r="40" spans="1:3">
      <c r="A40" s="26" t="s">
        <v>151</v>
      </c>
      <c r="B40">
        <v>45</v>
      </c>
      <c r="C40" s="5">
        <v>14469</v>
      </c>
    </row>
    <row r="41" spans="1:3">
      <c r="A41" s="26" t="s">
        <v>197</v>
      </c>
      <c r="B41">
        <v>8</v>
      </c>
      <c r="C41" s="5">
        <v>13606.5</v>
      </c>
    </row>
    <row r="42" spans="1:3">
      <c r="A42" s="26" t="s">
        <v>227</v>
      </c>
      <c r="B42">
        <v>30</v>
      </c>
      <c r="C42" s="5">
        <v>10753.2</v>
      </c>
    </row>
    <row r="43" spans="1:3">
      <c r="A43" s="26" t="s">
        <v>175</v>
      </c>
      <c r="B43">
        <v>26</v>
      </c>
      <c r="C43" s="5">
        <v>10147.200000000001</v>
      </c>
    </row>
    <row r="44" spans="1:3">
      <c r="A44" s="26" t="s">
        <v>171</v>
      </c>
      <c r="B44">
        <v>17</v>
      </c>
      <c r="C44" s="5">
        <v>6486.9</v>
      </c>
    </row>
    <row r="45" spans="1:3">
      <c r="A45" s="26" t="s">
        <v>264</v>
      </c>
      <c r="B45">
        <v>18</v>
      </c>
      <c r="C45" s="5">
        <v>6362.7</v>
      </c>
    </row>
    <row r="46" spans="1:3">
      <c r="A46" s="26" t="s">
        <v>209</v>
      </c>
      <c r="B46">
        <v>14</v>
      </c>
      <c r="C46" s="5">
        <v>5016.9000000000015</v>
      </c>
    </row>
    <row r="47" spans="1:3">
      <c r="A47" s="26" t="s">
        <v>158</v>
      </c>
      <c r="B47">
        <v>12</v>
      </c>
      <c r="C47" s="5">
        <v>4710.3000000000011</v>
      </c>
    </row>
    <row r="48" spans="1:3">
      <c r="A48" s="26" t="s">
        <v>215</v>
      </c>
      <c r="B48">
        <v>9</v>
      </c>
      <c r="C48" s="5">
        <v>3438.6</v>
      </c>
    </row>
    <row r="49" spans="1:3">
      <c r="A49" s="26" t="s">
        <v>362</v>
      </c>
      <c r="B49">
        <v>5</v>
      </c>
      <c r="C49" s="5">
        <v>1877.4</v>
      </c>
    </row>
    <row r="50" spans="1:3">
      <c r="A50" s="26" t="s">
        <v>182</v>
      </c>
      <c r="B50">
        <v>40</v>
      </c>
      <c r="C50" s="5">
        <v>1537.6000000000004</v>
      </c>
    </row>
    <row r="51" spans="1:3">
      <c r="A51" s="26" t="s">
        <v>142</v>
      </c>
      <c r="B51">
        <v>20</v>
      </c>
      <c r="C51" s="5">
        <v>1194.8000000000002</v>
      </c>
    </row>
    <row r="52" spans="1:3">
      <c r="A52" s="26" t="s">
        <v>193</v>
      </c>
      <c r="B52">
        <v>16</v>
      </c>
      <c r="C52" s="5">
        <v>1072.3</v>
      </c>
    </row>
    <row r="53" spans="1:3">
      <c r="A53" s="26" t="s">
        <v>307</v>
      </c>
      <c r="B53">
        <v>13</v>
      </c>
      <c r="C53" s="5">
        <v>906.90000000000009</v>
      </c>
    </row>
    <row r="54" spans="1:3">
      <c r="A54" s="26" t="s">
        <v>203</v>
      </c>
      <c r="B54">
        <v>11</v>
      </c>
      <c r="C54" s="5">
        <v>594.6</v>
      </c>
    </row>
    <row r="55" spans="1:3">
      <c r="A55" s="26" t="s">
        <v>1601</v>
      </c>
      <c r="B55">
        <v>582</v>
      </c>
      <c r="C55" s="5">
        <v>356259.39999999997</v>
      </c>
    </row>
    <row r="59" spans="1:3">
      <c r="A59" s="40" t="s">
        <v>1773</v>
      </c>
    </row>
    <row r="61" spans="1:3">
      <c r="A61" t="s">
        <v>1835</v>
      </c>
    </row>
    <row r="63" spans="1:3">
      <c r="A63" t="s">
        <v>1904</v>
      </c>
    </row>
    <row r="65" spans="1:1">
      <c r="A65" t="s">
        <v>1836</v>
      </c>
    </row>
    <row r="67" spans="1:1">
      <c r="A67" t="s">
        <v>1837</v>
      </c>
    </row>
    <row r="69" spans="1:1">
      <c r="A69" t="s">
        <v>1838</v>
      </c>
    </row>
    <row r="71" spans="1:1">
      <c r="A71" s="28" t="s">
        <v>1738</v>
      </c>
    </row>
    <row r="73" spans="1:1">
      <c r="A73" t="s">
        <v>1839</v>
      </c>
    </row>
    <row r="75" spans="1:1">
      <c r="A75" t="s">
        <v>1840</v>
      </c>
    </row>
    <row r="77" spans="1:1">
      <c r="A77" t="s">
        <v>1905</v>
      </c>
    </row>
    <row r="79" spans="1:1">
      <c r="A79" t="s">
        <v>1841</v>
      </c>
    </row>
  </sheetData>
  <sortState xmlns:xlrd2="http://schemas.microsoft.com/office/spreadsheetml/2017/richdata2" columnSort="1" ref="A30:C55">
    <sortCondition descending="1" ref="C30"/>
  </sortState>
  <mergeCells count="5">
    <mergeCell ref="A1:K1"/>
    <mergeCell ref="A2:K2"/>
    <mergeCell ref="A10:D10"/>
    <mergeCell ref="A19:D19"/>
    <mergeCell ref="A29:C29"/>
  </mergeCells>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1"/>
  <sheetViews>
    <sheetView workbookViewId="0">
      <selection activeCell="D6" sqref="D6"/>
    </sheetView>
  </sheetViews>
  <sheetFormatPr baseColWidth="10" defaultColWidth="8.83203125" defaultRowHeight="15"/>
  <cols>
    <col min="1" max="1" width="12.83203125" customWidth="1"/>
    <col min="2" max="2" width="14" customWidth="1"/>
    <col min="3" max="3" width="12.6640625" customWidth="1"/>
    <col min="4" max="4" width="26" customWidth="1"/>
    <col min="5" max="5" width="12.33203125" customWidth="1"/>
  </cols>
  <sheetData>
    <row r="1" spans="1:5">
      <c r="A1" s="2" t="s">
        <v>101</v>
      </c>
      <c r="B1" s="2" t="s">
        <v>957</v>
      </c>
      <c r="C1" s="2" t="s">
        <v>102</v>
      </c>
      <c r="D1" s="2" t="s">
        <v>103</v>
      </c>
      <c r="E1" s="2" t="s">
        <v>104</v>
      </c>
    </row>
    <row r="2" spans="1:5">
      <c r="A2" t="s">
        <v>136</v>
      </c>
      <c r="B2" t="s">
        <v>958</v>
      </c>
      <c r="C2" t="s">
        <v>137</v>
      </c>
      <c r="D2" t="s">
        <v>138</v>
      </c>
      <c r="E2" t="s">
        <v>139</v>
      </c>
    </row>
    <row r="3" spans="1:5">
      <c r="A3" t="s">
        <v>166</v>
      </c>
      <c r="B3" t="s">
        <v>959</v>
      </c>
      <c r="C3" t="s">
        <v>167</v>
      </c>
      <c r="D3" t="s">
        <v>168</v>
      </c>
      <c r="E3" t="s">
        <v>169</v>
      </c>
    </row>
    <row r="4" spans="1:5">
      <c r="A4" t="s">
        <v>184</v>
      </c>
      <c r="B4" t="s">
        <v>960</v>
      </c>
      <c r="C4" t="s">
        <v>142</v>
      </c>
      <c r="D4" t="s">
        <v>138</v>
      </c>
      <c r="E4" t="s">
        <v>139</v>
      </c>
    </row>
    <row r="5" spans="1:5">
      <c r="A5" t="s">
        <v>192</v>
      </c>
      <c r="B5" t="s">
        <v>961</v>
      </c>
      <c r="C5" t="s">
        <v>193</v>
      </c>
      <c r="D5" t="s">
        <v>194</v>
      </c>
      <c r="E5" t="s">
        <v>169</v>
      </c>
    </row>
    <row r="6" spans="1:5">
      <c r="A6" t="s">
        <v>202</v>
      </c>
      <c r="B6" t="s">
        <v>962</v>
      </c>
      <c r="C6" t="s">
        <v>203</v>
      </c>
      <c r="D6" t="s">
        <v>204</v>
      </c>
      <c r="E6" t="s">
        <v>205</v>
      </c>
    </row>
    <row r="7" spans="1:5">
      <c r="A7" t="s">
        <v>213</v>
      </c>
      <c r="B7" t="s">
        <v>963</v>
      </c>
      <c r="C7" t="s">
        <v>182</v>
      </c>
      <c r="D7" t="s">
        <v>138</v>
      </c>
      <c r="E7" t="s">
        <v>169</v>
      </c>
    </row>
    <row r="8" spans="1:5">
      <c r="A8" t="s">
        <v>219</v>
      </c>
      <c r="B8" t="s">
        <v>964</v>
      </c>
      <c r="C8" t="s">
        <v>220</v>
      </c>
      <c r="D8" t="s">
        <v>204</v>
      </c>
      <c r="E8" t="s">
        <v>169</v>
      </c>
    </row>
    <row r="9" spans="1:5">
      <c r="A9" t="s">
        <v>229</v>
      </c>
      <c r="B9" t="s">
        <v>965</v>
      </c>
      <c r="C9" t="s">
        <v>193</v>
      </c>
      <c r="D9" t="s">
        <v>230</v>
      </c>
      <c r="E9" t="s">
        <v>169</v>
      </c>
    </row>
    <row r="10" spans="1:5">
      <c r="A10" t="s">
        <v>238</v>
      </c>
      <c r="B10" t="s">
        <v>966</v>
      </c>
      <c r="C10" t="s">
        <v>193</v>
      </c>
      <c r="D10" t="s">
        <v>168</v>
      </c>
      <c r="E10" t="s">
        <v>169</v>
      </c>
    </row>
    <row r="11" spans="1:5">
      <c r="A11" t="s">
        <v>242</v>
      </c>
      <c r="B11" t="s">
        <v>967</v>
      </c>
      <c r="C11" t="s">
        <v>137</v>
      </c>
      <c r="D11" t="s">
        <v>204</v>
      </c>
      <c r="E11" t="s">
        <v>169</v>
      </c>
    </row>
    <row r="12" spans="1:5">
      <c r="A12" t="s">
        <v>247</v>
      </c>
      <c r="B12" t="s">
        <v>968</v>
      </c>
      <c r="C12" t="s">
        <v>182</v>
      </c>
      <c r="D12" t="s">
        <v>248</v>
      </c>
      <c r="E12" t="s">
        <v>249</v>
      </c>
    </row>
    <row r="13" spans="1:5">
      <c r="A13" t="s">
        <v>253</v>
      </c>
      <c r="B13" t="s">
        <v>969</v>
      </c>
      <c r="C13" t="s">
        <v>203</v>
      </c>
      <c r="D13" t="s">
        <v>138</v>
      </c>
      <c r="E13" t="s">
        <v>139</v>
      </c>
    </row>
    <row r="14" spans="1:5">
      <c r="A14" t="s">
        <v>256</v>
      </c>
      <c r="B14" t="s">
        <v>970</v>
      </c>
      <c r="C14" t="s">
        <v>257</v>
      </c>
      <c r="D14" t="s">
        <v>168</v>
      </c>
      <c r="E14" t="s">
        <v>169</v>
      </c>
    </row>
    <row r="15" spans="1:5">
      <c r="A15" t="s">
        <v>261</v>
      </c>
      <c r="B15" t="s">
        <v>971</v>
      </c>
      <c r="C15" t="s">
        <v>182</v>
      </c>
      <c r="D15" t="s">
        <v>168</v>
      </c>
      <c r="E15" t="s">
        <v>262</v>
      </c>
    </row>
    <row r="16" spans="1:5">
      <c r="A16" t="s">
        <v>267</v>
      </c>
      <c r="B16" t="s">
        <v>972</v>
      </c>
      <c r="C16" t="s">
        <v>182</v>
      </c>
      <c r="D16" t="s">
        <v>168</v>
      </c>
      <c r="E16" t="s">
        <v>268</v>
      </c>
    </row>
    <row r="17" spans="1:5">
      <c r="A17" t="s">
        <v>273</v>
      </c>
      <c r="B17" t="s">
        <v>973</v>
      </c>
      <c r="C17" t="s">
        <v>182</v>
      </c>
      <c r="D17" t="s">
        <v>168</v>
      </c>
      <c r="E17" t="s">
        <v>249</v>
      </c>
    </row>
    <row r="18" spans="1:5">
      <c r="A18" t="s">
        <v>281</v>
      </c>
      <c r="B18" t="s">
        <v>974</v>
      </c>
      <c r="C18" t="s">
        <v>282</v>
      </c>
      <c r="D18" t="s">
        <v>230</v>
      </c>
      <c r="E18" t="s">
        <v>139</v>
      </c>
    </row>
    <row r="19" spans="1:5">
      <c r="A19" t="s">
        <v>287</v>
      </c>
      <c r="B19" t="s">
        <v>975</v>
      </c>
      <c r="C19" t="s">
        <v>282</v>
      </c>
      <c r="D19" t="s">
        <v>248</v>
      </c>
      <c r="E19" t="s">
        <v>139</v>
      </c>
    </row>
    <row r="20" spans="1:5">
      <c r="A20" t="s">
        <v>293</v>
      </c>
      <c r="B20" t="s">
        <v>976</v>
      </c>
      <c r="C20" t="s">
        <v>257</v>
      </c>
      <c r="D20" t="s">
        <v>138</v>
      </c>
      <c r="E20" t="s">
        <v>139</v>
      </c>
    </row>
    <row r="21" spans="1:5">
      <c r="A21" t="s">
        <v>300</v>
      </c>
      <c r="B21" t="s">
        <v>977</v>
      </c>
      <c r="C21" t="s">
        <v>182</v>
      </c>
      <c r="D21" t="s">
        <v>168</v>
      </c>
      <c r="E21" t="s">
        <v>139</v>
      </c>
    </row>
    <row r="22" spans="1:5">
      <c r="A22" t="s">
        <v>304</v>
      </c>
      <c r="B22" t="s">
        <v>978</v>
      </c>
      <c r="C22" t="s">
        <v>193</v>
      </c>
      <c r="D22" t="s">
        <v>230</v>
      </c>
      <c r="E22" t="s">
        <v>262</v>
      </c>
    </row>
    <row r="23" spans="1:5">
      <c r="A23" t="s">
        <v>310</v>
      </c>
      <c r="B23" t="s">
        <v>979</v>
      </c>
      <c r="C23" t="s">
        <v>257</v>
      </c>
      <c r="D23" t="s">
        <v>138</v>
      </c>
      <c r="E23" t="s">
        <v>205</v>
      </c>
    </row>
    <row r="24" spans="1:5">
      <c r="A24" t="s">
        <v>314</v>
      </c>
      <c r="B24" t="s">
        <v>980</v>
      </c>
      <c r="C24" t="s">
        <v>142</v>
      </c>
      <c r="D24" t="s">
        <v>230</v>
      </c>
      <c r="E24" t="s">
        <v>268</v>
      </c>
    </row>
    <row r="25" spans="1:5">
      <c r="A25" t="s">
        <v>320</v>
      </c>
      <c r="B25" t="s">
        <v>981</v>
      </c>
      <c r="C25" t="s">
        <v>193</v>
      </c>
      <c r="D25" t="s">
        <v>248</v>
      </c>
      <c r="E25" t="s">
        <v>139</v>
      </c>
    </row>
    <row r="26" spans="1:5">
      <c r="A26" t="s">
        <v>323</v>
      </c>
      <c r="B26" t="s">
        <v>982</v>
      </c>
      <c r="C26" t="s">
        <v>182</v>
      </c>
      <c r="D26" t="s">
        <v>168</v>
      </c>
      <c r="E26" t="s">
        <v>262</v>
      </c>
    </row>
    <row r="27" spans="1:5">
      <c r="A27" t="s">
        <v>328</v>
      </c>
      <c r="B27" t="s">
        <v>983</v>
      </c>
      <c r="C27" t="s">
        <v>142</v>
      </c>
      <c r="D27" t="s">
        <v>138</v>
      </c>
      <c r="E27" t="s">
        <v>139</v>
      </c>
    </row>
    <row r="28" spans="1:5">
      <c r="A28" t="s">
        <v>333</v>
      </c>
      <c r="B28" t="s">
        <v>984</v>
      </c>
      <c r="C28" t="s">
        <v>182</v>
      </c>
      <c r="D28" t="s">
        <v>138</v>
      </c>
      <c r="E28" t="s">
        <v>139</v>
      </c>
    </row>
    <row r="29" spans="1:5">
      <c r="A29" t="s">
        <v>338</v>
      </c>
      <c r="B29" t="s">
        <v>985</v>
      </c>
      <c r="C29" t="s">
        <v>282</v>
      </c>
      <c r="D29" t="s">
        <v>168</v>
      </c>
      <c r="E29" t="s">
        <v>249</v>
      </c>
    </row>
    <row r="30" spans="1:5">
      <c r="A30" t="s">
        <v>343</v>
      </c>
      <c r="B30" t="s">
        <v>986</v>
      </c>
      <c r="C30" t="s">
        <v>307</v>
      </c>
      <c r="D30" t="s">
        <v>168</v>
      </c>
      <c r="E30" t="s">
        <v>169</v>
      </c>
    </row>
    <row r="31" spans="1:5">
      <c r="A31" t="s">
        <v>349</v>
      </c>
      <c r="B31" t="s">
        <v>987</v>
      </c>
      <c r="C31" t="s">
        <v>182</v>
      </c>
      <c r="D31" t="s">
        <v>204</v>
      </c>
      <c r="E31" t="s">
        <v>169</v>
      </c>
    </row>
    <row r="32" spans="1:5">
      <c r="A32" t="s">
        <v>354</v>
      </c>
      <c r="B32" t="s">
        <v>988</v>
      </c>
      <c r="C32" t="s">
        <v>182</v>
      </c>
      <c r="D32" t="s">
        <v>248</v>
      </c>
      <c r="E32" t="s">
        <v>139</v>
      </c>
    </row>
    <row r="33" spans="1:5">
      <c r="A33" t="s">
        <v>358</v>
      </c>
      <c r="B33" t="s">
        <v>989</v>
      </c>
      <c r="C33" t="s">
        <v>282</v>
      </c>
      <c r="D33" t="s">
        <v>204</v>
      </c>
      <c r="E33" t="s">
        <v>169</v>
      </c>
    </row>
    <row r="34" spans="1:5">
      <c r="A34" t="s">
        <v>364</v>
      </c>
      <c r="B34" t="s">
        <v>990</v>
      </c>
      <c r="C34" t="s">
        <v>257</v>
      </c>
      <c r="D34" t="s">
        <v>248</v>
      </c>
      <c r="E34" t="s">
        <v>268</v>
      </c>
    </row>
    <row r="35" spans="1:5">
      <c r="A35" t="s">
        <v>371</v>
      </c>
      <c r="B35" t="s">
        <v>991</v>
      </c>
      <c r="C35" t="s">
        <v>182</v>
      </c>
      <c r="D35" t="s">
        <v>230</v>
      </c>
      <c r="E35" t="s">
        <v>262</v>
      </c>
    </row>
    <row r="36" spans="1:5">
      <c r="A36" t="s">
        <v>376</v>
      </c>
      <c r="B36" t="s">
        <v>992</v>
      </c>
      <c r="C36" t="s">
        <v>182</v>
      </c>
      <c r="D36" t="s">
        <v>194</v>
      </c>
      <c r="E36" t="s">
        <v>139</v>
      </c>
    </row>
    <row r="37" spans="1:5">
      <c r="A37" t="s">
        <v>381</v>
      </c>
      <c r="B37" t="s">
        <v>993</v>
      </c>
      <c r="C37" t="s">
        <v>182</v>
      </c>
      <c r="D37" t="s">
        <v>168</v>
      </c>
      <c r="E37" t="s">
        <v>169</v>
      </c>
    </row>
    <row r="38" spans="1:5">
      <c r="A38" t="s">
        <v>386</v>
      </c>
      <c r="B38" t="s">
        <v>994</v>
      </c>
      <c r="C38" t="s">
        <v>182</v>
      </c>
      <c r="D38" t="s">
        <v>248</v>
      </c>
      <c r="E38" t="s">
        <v>169</v>
      </c>
    </row>
    <row r="39" spans="1:5">
      <c r="A39" t="s">
        <v>394</v>
      </c>
      <c r="B39" t="s">
        <v>995</v>
      </c>
      <c r="C39" t="s">
        <v>182</v>
      </c>
      <c r="D39" t="s">
        <v>168</v>
      </c>
      <c r="E39" t="s">
        <v>262</v>
      </c>
    </row>
    <row r="40" spans="1:5">
      <c r="A40" t="s">
        <v>399</v>
      </c>
      <c r="B40" t="s">
        <v>996</v>
      </c>
      <c r="C40" t="s">
        <v>193</v>
      </c>
      <c r="D40" t="s">
        <v>168</v>
      </c>
      <c r="E40" t="s">
        <v>262</v>
      </c>
    </row>
    <row r="41" spans="1:5">
      <c r="A41" t="s">
        <v>403</v>
      </c>
      <c r="B41" t="s">
        <v>997</v>
      </c>
      <c r="C41" t="s">
        <v>193</v>
      </c>
      <c r="D41" t="s">
        <v>248</v>
      </c>
      <c r="E41" t="s">
        <v>139</v>
      </c>
    </row>
    <row r="42" spans="1:5">
      <c r="A42" t="s">
        <v>409</v>
      </c>
      <c r="B42" t="s">
        <v>998</v>
      </c>
      <c r="C42" t="s">
        <v>307</v>
      </c>
      <c r="D42" t="s">
        <v>248</v>
      </c>
      <c r="E42" t="s">
        <v>268</v>
      </c>
    </row>
    <row r="43" spans="1:5">
      <c r="A43" t="s">
        <v>413</v>
      </c>
      <c r="B43" t="s">
        <v>999</v>
      </c>
      <c r="C43" t="s">
        <v>167</v>
      </c>
      <c r="D43" t="s">
        <v>204</v>
      </c>
      <c r="E43" t="s">
        <v>139</v>
      </c>
    </row>
    <row r="44" spans="1:5">
      <c r="A44" t="s">
        <v>417</v>
      </c>
      <c r="B44" t="s">
        <v>1000</v>
      </c>
      <c r="C44" t="s">
        <v>307</v>
      </c>
      <c r="D44" t="s">
        <v>168</v>
      </c>
      <c r="E44" t="s">
        <v>268</v>
      </c>
    </row>
    <row r="45" spans="1:5">
      <c r="A45" t="s">
        <v>424</v>
      </c>
      <c r="B45" t="s">
        <v>1001</v>
      </c>
      <c r="C45" t="s">
        <v>257</v>
      </c>
      <c r="D45" t="s">
        <v>248</v>
      </c>
      <c r="E45" t="s">
        <v>249</v>
      </c>
    </row>
    <row r="46" spans="1:5">
      <c r="A46" t="s">
        <v>429</v>
      </c>
      <c r="B46" t="s">
        <v>1002</v>
      </c>
      <c r="C46" t="s">
        <v>182</v>
      </c>
      <c r="D46" t="s">
        <v>204</v>
      </c>
      <c r="E46" t="s">
        <v>139</v>
      </c>
    </row>
    <row r="47" spans="1:5">
      <c r="A47" t="s">
        <v>435</v>
      </c>
      <c r="B47" t="s">
        <v>1003</v>
      </c>
      <c r="C47" t="s">
        <v>182</v>
      </c>
      <c r="D47" t="s">
        <v>230</v>
      </c>
      <c r="E47" t="s">
        <v>139</v>
      </c>
    </row>
    <row r="48" spans="1:5">
      <c r="A48" t="s">
        <v>440</v>
      </c>
      <c r="B48" t="s">
        <v>1004</v>
      </c>
      <c r="C48" t="s">
        <v>182</v>
      </c>
      <c r="D48" t="s">
        <v>204</v>
      </c>
      <c r="E48" t="s">
        <v>262</v>
      </c>
    </row>
    <row r="49" spans="1:5">
      <c r="A49" t="s">
        <v>444</v>
      </c>
      <c r="B49" t="s">
        <v>1005</v>
      </c>
      <c r="C49" t="s">
        <v>193</v>
      </c>
      <c r="D49" t="s">
        <v>248</v>
      </c>
      <c r="E49" t="s">
        <v>169</v>
      </c>
    </row>
    <row r="50" spans="1:5">
      <c r="A50" t="s">
        <v>448</v>
      </c>
      <c r="B50" t="s">
        <v>1006</v>
      </c>
      <c r="C50" t="s">
        <v>257</v>
      </c>
      <c r="D50" t="s">
        <v>168</v>
      </c>
      <c r="E50" t="s">
        <v>268</v>
      </c>
    </row>
    <row r="51" spans="1:5">
      <c r="A51" t="s">
        <v>452</v>
      </c>
      <c r="B51" t="s">
        <v>1007</v>
      </c>
      <c r="C51" t="s">
        <v>182</v>
      </c>
      <c r="D51" t="s">
        <v>168</v>
      </c>
      <c r="E51" t="s">
        <v>169</v>
      </c>
    </row>
    <row r="52" spans="1:5">
      <c r="A52" t="s">
        <v>457</v>
      </c>
      <c r="B52" t="s">
        <v>1008</v>
      </c>
      <c r="C52" t="s">
        <v>182</v>
      </c>
      <c r="D52" t="s">
        <v>204</v>
      </c>
      <c r="E52" t="s">
        <v>268</v>
      </c>
    </row>
    <row r="53" spans="1:5">
      <c r="A53" t="s">
        <v>462</v>
      </c>
      <c r="B53" t="s">
        <v>1009</v>
      </c>
      <c r="C53" t="s">
        <v>193</v>
      </c>
      <c r="D53" t="s">
        <v>248</v>
      </c>
      <c r="E53" t="s">
        <v>262</v>
      </c>
    </row>
    <row r="54" spans="1:5">
      <c r="A54" t="s">
        <v>466</v>
      </c>
      <c r="B54" t="s">
        <v>1010</v>
      </c>
      <c r="C54" t="s">
        <v>167</v>
      </c>
      <c r="D54" t="s">
        <v>168</v>
      </c>
      <c r="E54" t="s">
        <v>249</v>
      </c>
    </row>
    <row r="55" spans="1:5">
      <c r="A55" t="s">
        <v>474</v>
      </c>
      <c r="B55" t="s">
        <v>1011</v>
      </c>
      <c r="C55" t="s">
        <v>182</v>
      </c>
      <c r="D55" t="s">
        <v>230</v>
      </c>
      <c r="E55" t="s">
        <v>205</v>
      </c>
    </row>
    <row r="56" spans="1:5">
      <c r="A56" t="s">
        <v>481</v>
      </c>
      <c r="B56" t="s">
        <v>1012</v>
      </c>
      <c r="C56" t="s">
        <v>182</v>
      </c>
      <c r="D56" t="s">
        <v>168</v>
      </c>
      <c r="E56" t="s">
        <v>139</v>
      </c>
    </row>
    <row r="57" spans="1:5">
      <c r="A57" t="s">
        <v>487</v>
      </c>
      <c r="B57" t="s">
        <v>1013</v>
      </c>
      <c r="C57" t="s">
        <v>142</v>
      </c>
      <c r="D57" t="s">
        <v>248</v>
      </c>
      <c r="E57" t="s">
        <v>205</v>
      </c>
    </row>
    <row r="58" spans="1:5">
      <c r="A58" t="s">
        <v>493</v>
      </c>
      <c r="B58" t="s">
        <v>1014</v>
      </c>
      <c r="C58" t="s">
        <v>182</v>
      </c>
      <c r="D58" t="s">
        <v>138</v>
      </c>
      <c r="E58" t="s">
        <v>268</v>
      </c>
    </row>
    <row r="59" spans="1:5">
      <c r="A59" t="s">
        <v>499</v>
      </c>
      <c r="B59" t="s">
        <v>1015</v>
      </c>
      <c r="C59" t="s">
        <v>182</v>
      </c>
      <c r="D59" t="s">
        <v>248</v>
      </c>
      <c r="E59" t="s">
        <v>249</v>
      </c>
    </row>
    <row r="60" spans="1:5">
      <c r="A60" t="s">
        <v>504</v>
      </c>
      <c r="B60" t="s">
        <v>1016</v>
      </c>
      <c r="C60" t="s">
        <v>142</v>
      </c>
      <c r="D60" t="s">
        <v>230</v>
      </c>
      <c r="E60" t="s">
        <v>268</v>
      </c>
    </row>
    <row r="61" spans="1:5">
      <c r="A61" t="s">
        <v>508</v>
      </c>
      <c r="B61" t="s">
        <v>1017</v>
      </c>
      <c r="C61" t="s">
        <v>142</v>
      </c>
      <c r="D61" t="s">
        <v>248</v>
      </c>
      <c r="E61" t="s">
        <v>169</v>
      </c>
    </row>
    <row r="62" spans="1:5">
      <c r="A62" t="s">
        <v>511</v>
      </c>
      <c r="B62" t="s">
        <v>1018</v>
      </c>
      <c r="C62" t="s">
        <v>282</v>
      </c>
      <c r="D62" t="s">
        <v>168</v>
      </c>
      <c r="E62" t="s">
        <v>268</v>
      </c>
    </row>
    <row r="63" spans="1:5">
      <c r="A63" t="s">
        <v>515</v>
      </c>
      <c r="B63" t="s">
        <v>1019</v>
      </c>
      <c r="C63" t="s">
        <v>137</v>
      </c>
      <c r="D63" t="s">
        <v>168</v>
      </c>
      <c r="E63" t="s">
        <v>268</v>
      </c>
    </row>
    <row r="64" spans="1:5">
      <c r="A64" t="s">
        <v>518</v>
      </c>
      <c r="B64" t="s">
        <v>1020</v>
      </c>
      <c r="C64" t="s">
        <v>142</v>
      </c>
      <c r="D64" t="s">
        <v>168</v>
      </c>
      <c r="E64" t="s">
        <v>262</v>
      </c>
    </row>
    <row r="65" spans="1:5">
      <c r="A65" t="s">
        <v>525</v>
      </c>
      <c r="B65" t="s">
        <v>1021</v>
      </c>
      <c r="C65" t="s">
        <v>182</v>
      </c>
      <c r="D65" t="s">
        <v>138</v>
      </c>
      <c r="E65" t="s">
        <v>139</v>
      </c>
    </row>
    <row r="66" spans="1:5">
      <c r="A66" t="s">
        <v>530</v>
      </c>
      <c r="B66" t="s">
        <v>1022</v>
      </c>
      <c r="C66" t="s">
        <v>193</v>
      </c>
      <c r="D66" t="s">
        <v>204</v>
      </c>
      <c r="E66" t="s">
        <v>139</v>
      </c>
    </row>
    <row r="67" spans="1:5">
      <c r="A67" t="s">
        <v>535</v>
      </c>
      <c r="B67" t="s">
        <v>1023</v>
      </c>
      <c r="C67" t="s">
        <v>182</v>
      </c>
      <c r="D67" t="s">
        <v>204</v>
      </c>
      <c r="E67" t="s">
        <v>139</v>
      </c>
    </row>
    <row r="68" spans="1:5">
      <c r="A68" t="s">
        <v>543</v>
      </c>
      <c r="B68" t="s">
        <v>1024</v>
      </c>
      <c r="C68" t="s">
        <v>307</v>
      </c>
      <c r="D68" t="s">
        <v>138</v>
      </c>
      <c r="E68" t="s">
        <v>169</v>
      </c>
    </row>
    <row r="69" spans="1:5">
      <c r="A69" t="s">
        <v>550</v>
      </c>
      <c r="B69" t="s">
        <v>1025</v>
      </c>
      <c r="C69" t="s">
        <v>182</v>
      </c>
      <c r="D69" t="s">
        <v>248</v>
      </c>
      <c r="E69" t="s">
        <v>169</v>
      </c>
    </row>
    <row r="70" spans="1:5">
      <c r="A70" t="s">
        <v>556</v>
      </c>
      <c r="B70" t="s">
        <v>1026</v>
      </c>
      <c r="C70" t="s">
        <v>282</v>
      </c>
      <c r="D70" t="s">
        <v>248</v>
      </c>
      <c r="E70" t="s">
        <v>169</v>
      </c>
    </row>
    <row r="71" spans="1:5">
      <c r="A71" t="s">
        <v>559</v>
      </c>
      <c r="B71" t="s">
        <v>1027</v>
      </c>
      <c r="C71" t="s">
        <v>182</v>
      </c>
      <c r="D71" t="s">
        <v>204</v>
      </c>
      <c r="E71" t="s">
        <v>139</v>
      </c>
    </row>
    <row r="72" spans="1:5">
      <c r="A72" t="s">
        <v>561</v>
      </c>
      <c r="B72" t="s">
        <v>1028</v>
      </c>
      <c r="C72" t="s">
        <v>182</v>
      </c>
      <c r="D72" t="s">
        <v>168</v>
      </c>
      <c r="E72" t="s">
        <v>169</v>
      </c>
    </row>
    <row r="73" spans="1:5">
      <c r="A73" t="s">
        <v>564</v>
      </c>
      <c r="B73" t="s">
        <v>1029</v>
      </c>
      <c r="C73" t="s">
        <v>182</v>
      </c>
      <c r="D73" t="s">
        <v>248</v>
      </c>
      <c r="E73" t="s">
        <v>249</v>
      </c>
    </row>
    <row r="74" spans="1:5">
      <c r="A74" t="s">
        <v>569</v>
      </c>
      <c r="B74" t="s">
        <v>1030</v>
      </c>
      <c r="C74" t="s">
        <v>203</v>
      </c>
      <c r="D74" t="s">
        <v>230</v>
      </c>
      <c r="E74" t="s">
        <v>169</v>
      </c>
    </row>
    <row r="75" spans="1:5">
      <c r="A75" t="s">
        <v>574</v>
      </c>
      <c r="B75" t="s">
        <v>1031</v>
      </c>
      <c r="C75" t="s">
        <v>182</v>
      </c>
      <c r="D75" t="s">
        <v>248</v>
      </c>
      <c r="E75" t="s">
        <v>268</v>
      </c>
    </row>
    <row r="76" spans="1:5">
      <c r="A76" t="s">
        <v>576</v>
      </c>
      <c r="B76" t="s">
        <v>1032</v>
      </c>
      <c r="C76" t="s">
        <v>203</v>
      </c>
      <c r="D76" t="s">
        <v>168</v>
      </c>
      <c r="E76" t="s">
        <v>169</v>
      </c>
    </row>
    <row r="77" spans="1:5">
      <c r="A77" t="s">
        <v>580</v>
      </c>
      <c r="B77" t="s">
        <v>1033</v>
      </c>
      <c r="C77" t="s">
        <v>182</v>
      </c>
      <c r="D77" t="s">
        <v>230</v>
      </c>
      <c r="E77" t="s">
        <v>249</v>
      </c>
    </row>
    <row r="78" spans="1:5">
      <c r="A78" t="s">
        <v>586</v>
      </c>
      <c r="B78" t="s">
        <v>1034</v>
      </c>
      <c r="C78" t="s">
        <v>182</v>
      </c>
      <c r="D78" t="s">
        <v>138</v>
      </c>
      <c r="E78" t="s">
        <v>139</v>
      </c>
    </row>
    <row r="79" spans="1:5">
      <c r="A79" t="s">
        <v>591</v>
      </c>
      <c r="B79" t="s">
        <v>1035</v>
      </c>
      <c r="C79" t="s">
        <v>193</v>
      </c>
      <c r="D79" t="s">
        <v>230</v>
      </c>
      <c r="E79" t="s">
        <v>249</v>
      </c>
    </row>
    <row r="80" spans="1:5">
      <c r="A80" t="s">
        <v>597</v>
      </c>
      <c r="B80" t="s">
        <v>1036</v>
      </c>
      <c r="C80" t="s">
        <v>220</v>
      </c>
      <c r="D80" t="s">
        <v>168</v>
      </c>
      <c r="E80" t="s">
        <v>169</v>
      </c>
    </row>
    <row r="81" spans="1:5">
      <c r="A81" t="s">
        <v>600</v>
      </c>
      <c r="B81" t="s">
        <v>1037</v>
      </c>
      <c r="C81" t="s">
        <v>601</v>
      </c>
      <c r="D81" t="s">
        <v>138</v>
      </c>
      <c r="E81" t="s">
        <v>139</v>
      </c>
    </row>
    <row r="82" spans="1:5">
      <c r="A82" t="s">
        <v>605</v>
      </c>
      <c r="B82" t="s">
        <v>1038</v>
      </c>
      <c r="C82" t="s">
        <v>142</v>
      </c>
      <c r="D82" t="s">
        <v>230</v>
      </c>
      <c r="E82" t="s">
        <v>249</v>
      </c>
    </row>
    <row r="83" spans="1:5">
      <c r="A83" t="s">
        <v>607</v>
      </c>
      <c r="B83" t="s">
        <v>1039</v>
      </c>
      <c r="C83" t="s">
        <v>193</v>
      </c>
      <c r="D83" t="s">
        <v>204</v>
      </c>
      <c r="E83" t="s">
        <v>139</v>
      </c>
    </row>
    <row r="84" spans="1:5">
      <c r="A84" t="s">
        <v>613</v>
      </c>
      <c r="B84" t="s">
        <v>1040</v>
      </c>
      <c r="C84" t="s">
        <v>257</v>
      </c>
      <c r="D84" t="s">
        <v>204</v>
      </c>
      <c r="E84" t="s">
        <v>169</v>
      </c>
    </row>
    <row r="85" spans="1:5">
      <c r="A85" t="s">
        <v>616</v>
      </c>
      <c r="B85" t="s">
        <v>1041</v>
      </c>
      <c r="C85" t="s">
        <v>182</v>
      </c>
      <c r="D85" t="s">
        <v>138</v>
      </c>
      <c r="E85" t="s">
        <v>249</v>
      </c>
    </row>
    <row r="86" spans="1:5">
      <c r="A86" t="s">
        <v>622</v>
      </c>
      <c r="B86" t="s">
        <v>1042</v>
      </c>
      <c r="C86" t="s">
        <v>182</v>
      </c>
      <c r="D86" t="s">
        <v>248</v>
      </c>
      <c r="E86" t="s">
        <v>169</v>
      </c>
    </row>
    <row r="87" spans="1:5">
      <c r="A87" t="s">
        <v>630</v>
      </c>
      <c r="B87" t="s">
        <v>1043</v>
      </c>
      <c r="C87" t="s">
        <v>193</v>
      </c>
      <c r="D87" t="s">
        <v>204</v>
      </c>
      <c r="E87" t="s">
        <v>249</v>
      </c>
    </row>
    <row r="88" spans="1:5">
      <c r="A88" t="s">
        <v>634</v>
      </c>
      <c r="B88" t="s">
        <v>1044</v>
      </c>
      <c r="C88" t="s">
        <v>282</v>
      </c>
      <c r="D88" t="s">
        <v>168</v>
      </c>
      <c r="E88" t="s">
        <v>139</v>
      </c>
    </row>
    <row r="89" spans="1:5">
      <c r="A89" t="s">
        <v>637</v>
      </c>
      <c r="B89" t="s">
        <v>1045</v>
      </c>
      <c r="C89" t="s">
        <v>307</v>
      </c>
      <c r="D89" t="s">
        <v>230</v>
      </c>
      <c r="E89" t="s">
        <v>249</v>
      </c>
    </row>
    <row r="90" spans="1:5">
      <c r="A90" t="s">
        <v>640</v>
      </c>
      <c r="B90" t="s">
        <v>1046</v>
      </c>
      <c r="C90" t="s">
        <v>193</v>
      </c>
      <c r="D90" t="s">
        <v>138</v>
      </c>
      <c r="E90" t="s">
        <v>139</v>
      </c>
    </row>
    <row r="91" spans="1:5">
      <c r="A91" t="s">
        <v>642</v>
      </c>
      <c r="B91" t="s">
        <v>1047</v>
      </c>
      <c r="C91" t="s">
        <v>182</v>
      </c>
      <c r="D91" t="s">
        <v>168</v>
      </c>
      <c r="E91" t="s">
        <v>139</v>
      </c>
    </row>
    <row r="92" spans="1:5">
      <c r="A92" t="s">
        <v>645</v>
      </c>
      <c r="B92" t="s">
        <v>1048</v>
      </c>
      <c r="C92" t="s">
        <v>203</v>
      </c>
      <c r="D92" t="s">
        <v>138</v>
      </c>
      <c r="E92" t="s">
        <v>268</v>
      </c>
    </row>
    <row r="93" spans="1:5">
      <c r="A93" t="s">
        <v>650</v>
      </c>
      <c r="B93" t="s">
        <v>1049</v>
      </c>
      <c r="C93" t="s">
        <v>307</v>
      </c>
      <c r="D93" t="s">
        <v>248</v>
      </c>
      <c r="E93" t="s">
        <v>249</v>
      </c>
    </row>
    <row r="94" spans="1:5">
      <c r="A94" t="s">
        <v>654</v>
      </c>
      <c r="B94" t="s">
        <v>1050</v>
      </c>
      <c r="C94" t="s">
        <v>282</v>
      </c>
      <c r="D94" t="s">
        <v>138</v>
      </c>
      <c r="E94" t="s">
        <v>268</v>
      </c>
    </row>
    <row r="95" spans="1:5">
      <c r="A95" t="s">
        <v>657</v>
      </c>
      <c r="B95" t="s">
        <v>1051</v>
      </c>
      <c r="C95" t="s">
        <v>182</v>
      </c>
      <c r="D95" t="s">
        <v>168</v>
      </c>
      <c r="E95" t="s">
        <v>169</v>
      </c>
    </row>
    <row r="96" spans="1:5">
      <c r="A96" t="s">
        <v>662</v>
      </c>
      <c r="B96" t="s">
        <v>1052</v>
      </c>
      <c r="C96" t="s">
        <v>182</v>
      </c>
      <c r="D96" t="s">
        <v>168</v>
      </c>
      <c r="E96" t="s">
        <v>169</v>
      </c>
    </row>
    <row r="97" spans="1:5">
      <c r="A97" t="s">
        <v>666</v>
      </c>
      <c r="B97" t="s">
        <v>1053</v>
      </c>
      <c r="C97" t="s">
        <v>182</v>
      </c>
      <c r="D97" t="s">
        <v>230</v>
      </c>
      <c r="E97" t="s">
        <v>249</v>
      </c>
    </row>
    <row r="98" spans="1:5">
      <c r="A98" t="s">
        <v>671</v>
      </c>
      <c r="B98" t="s">
        <v>1054</v>
      </c>
      <c r="C98" t="s">
        <v>182</v>
      </c>
      <c r="D98" t="s">
        <v>168</v>
      </c>
      <c r="E98" t="s">
        <v>205</v>
      </c>
    </row>
    <row r="99" spans="1:5">
      <c r="A99" t="s">
        <v>674</v>
      </c>
      <c r="B99" t="s">
        <v>1055</v>
      </c>
      <c r="C99" t="s">
        <v>182</v>
      </c>
      <c r="D99" t="s">
        <v>248</v>
      </c>
      <c r="E99" t="s">
        <v>262</v>
      </c>
    </row>
    <row r="100" spans="1:5">
      <c r="A100" t="s">
        <v>679</v>
      </c>
      <c r="B100" t="s">
        <v>1056</v>
      </c>
      <c r="C100" t="s">
        <v>182</v>
      </c>
      <c r="D100" t="s">
        <v>248</v>
      </c>
      <c r="E100" t="s">
        <v>169</v>
      </c>
    </row>
    <row r="101" spans="1:5">
      <c r="A101" t="s">
        <v>683</v>
      </c>
      <c r="B101" t="s">
        <v>1057</v>
      </c>
      <c r="C101" t="s">
        <v>182</v>
      </c>
      <c r="D101" t="s">
        <v>138</v>
      </c>
      <c r="E101" t="s">
        <v>169</v>
      </c>
    </row>
    <row r="102" spans="1:5">
      <c r="A102" t="s">
        <v>689</v>
      </c>
      <c r="B102" t="s">
        <v>1058</v>
      </c>
      <c r="C102" t="s">
        <v>193</v>
      </c>
      <c r="D102" t="s">
        <v>168</v>
      </c>
      <c r="E102" t="s">
        <v>205</v>
      </c>
    </row>
    <row r="103" spans="1:5">
      <c r="A103" t="s">
        <v>693</v>
      </c>
      <c r="B103" t="s">
        <v>1059</v>
      </c>
      <c r="C103" t="s">
        <v>307</v>
      </c>
      <c r="D103" t="s">
        <v>138</v>
      </c>
      <c r="E103" t="s">
        <v>169</v>
      </c>
    </row>
    <row r="104" spans="1:5">
      <c r="A104" t="s">
        <v>697</v>
      </c>
      <c r="B104" t="s">
        <v>1060</v>
      </c>
      <c r="C104" t="s">
        <v>182</v>
      </c>
      <c r="D104" t="s">
        <v>194</v>
      </c>
      <c r="E104" t="s">
        <v>139</v>
      </c>
    </row>
    <row r="105" spans="1:5">
      <c r="A105" t="s">
        <v>702</v>
      </c>
      <c r="B105" t="s">
        <v>1061</v>
      </c>
      <c r="C105" t="s">
        <v>182</v>
      </c>
      <c r="D105" t="s">
        <v>230</v>
      </c>
      <c r="E105" t="s">
        <v>139</v>
      </c>
    </row>
    <row r="106" spans="1:5">
      <c r="A106" t="s">
        <v>705</v>
      </c>
      <c r="B106" t="s">
        <v>1062</v>
      </c>
      <c r="C106" t="s">
        <v>182</v>
      </c>
      <c r="D106" t="s">
        <v>248</v>
      </c>
      <c r="E106" t="s">
        <v>169</v>
      </c>
    </row>
    <row r="107" spans="1:5">
      <c r="A107" t="s">
        <v>709</v>
      </c>
      <c r="B107" t="s">
        <v>1063</v>
      </c>
      <c r="C107" t="s">
        <v>182</v>
      </c>
      <c r="D107" t="s">
        <v>168</v>
      </c>
      <c r="E107" t="s">
        <v>262</v>
      </c>
    </row>
    <row r="108" spans="1:5">
      <c r="A108" t="s">
        <v>713</v>
      </c>
      <c r="B108" t="s">
        <v>1064</v>
      </c>
      <c r="C108" t="s">
        <v>257</v>
      </c>
      <c r="D108" t="s">
        <v>168</v>
      </c>
      <c r="E108" t="s">
        <v>169</v>
      </c>
    </row>
    <row r="109" spans="1:5">
      <c r="A109" t="s">
        <v>717</v>
      </c>
      <c r="B109" t="s">
        <v>1065</v>
      </c>
      <c r="C109" t="s">
        <v>182</v>
      </c>
      <c r="D109" t="s">
        <v>248</v>
      </c>
      <c r="E109" t="s">
        <v>169</v>
      </c>
    </row>
    <row r="110" spans="1:5">
      <c r="A110" t="s">
        <v>720</v>
      </c>
      <c r="B110" t="s">
        <v>1066</v>
      </c>
      <c r="C110" t="s">
        <v>182</v>
      </c>
      <c r="D110" t="s">
        <v>138</v>
      </c>
      <c r="E110" t="s">
        <v>139</v>
      </c>
    </row>
    <row r="111" spans="1:5">
      <c r="A111" t="s">
        <v>726</v>
      </c>
      <c r="B111" t="s">
        <v>1067</v>
      </c>
      <c r="C111" t="s">
        <v>182</v>
      </c>
      <c r="D111" t="s">
        <v>230</v>
      </c>
      <c r="E111" t="s">
        <v>169</v>
      </c>
    </row>
    <row r="112" spans="1:5">
      <c r="A112" t="s">
        <v>730</v>
      </c>
      <c r="B112" t="s">
        <v>1068</v>
      </c>
      <c r="C112" t="s">
        <v>142</v>
      </c>
      <c r="D112" t="s">
        <v>168</v>
      </c>
      <c r="E112" t="s">
        <v>169</v>
      </c>
    </row>
    <row r="113" spans="1:5">
      <c r="A113" t="s">
        <v>735</v>
      </c>
      <c r="B113" t="s">
        <v>1069</v>
      </c>
      <c r="C113" t="s">
        <v>220</v>
      </c>
      <c r="D113" t="s">
        <v>168</v>
      </c>
      <c r="E113" t="s">
        <v>249</v>
      </c>
    </row>
    <row r="114" spans="1:5">
      <c r="A114" t="s">
        <v>742</v>
      </c>
      <c r="B114" t="s">
        <v>1070</v>
      </c>
      <c r="C114" t="s">
        <v>307</v>
      </c>
      <c r="D114" t="s">
        <v>230</v>
      </c>
      <c r="E114" t="s">
        <v>249</v>
      </c>
    </row>
    <row r="115" spans="1:5">
      <c r="A115" t="s">
        <v>746</v>
      </c>
      <c r="B115" t="s">
        <v>1071</v>
      </c>
      <c r="C115" t="s">
        <v>220</v>
      </c>
      <c r="D115" t="s">
        <v>138</v>
      </c>
      <c r="E115" t="s">
        <v>262</v>
      </c>
    </row>
    <row r="116" spans="1:5">
      <c r="A116" t="s">
        <v>750</v>
      </c>
      <c r="B116" t="s">
        <v>1072</v>
      </c>
      <c r="C116" t="s">
        <v>193</v>
      </c>
      <c r="D116" t="s">
        <v>248</v>
      </c>
      <c r="E116" t="s">
        <v>169</v>
      </c>
    </row>
    <row r="117" spans="1:5">
      <c r="A117" t="s">
        <v>758</v>
      </c>
      <c r="B117" t="s">
        <v>1073</v>
      </c>
      <c r="C117" t="s">
        <v>282</v>
      </c>
      <c r="D117" t="s">
        <v>204</v>
      </c>
      <c r="E117" t="s">
        <v>268</v>
      </c>
    </row>
    <row r="118" spans="1:5">
      <c r="A118" t="s">
        <v>761</v>
      </c>
      <c r="B118" t="s">
        <v>1074</v>
      </c>
      <c r="C118" t="s">
        <v>257</v>
      </c>
      <c r="D118" t="s">
        <v>248</v>
      </c>
      <c r="E118" t="s">
        <v>169</v>
      </c>
    </row>
    <row r="119" spans="1:5">
      <c r="A119" t="s">
        <v>766</v>
      </c>
      <c r="B119" t="s">
        <v>1075</v>
      </c>
      <c r="C119" t="s">
        <v>257</v>
      </c>
      <c r="D119" t="s">
        <v>230</v>
      </c>
      <c r="E119" t="s">
        <v>262</v>
      </c>
    </row>
    <row r="120" spans="1:5">
      <c r="A120" t="s">
        <v>773</v>
      </c>
      <c r="B120" t="s">
        <v>1076</v>
      </c>
      <c r="C120" t="s">
        <v>182</v>
      </c>
      <c r="D120" t="s">
        <v>248</v>
      </c>
      <c r="E120" t="s">
        <v>139</v>
      </c>
    </row>
    <row r="121" spans="1:5">
      <c r="A121" t="s">
        <v>776</v>
      </c>
      <c r="B121" t="s">
        <v>1077</v>
      </c>
      <c r="C121" t="s">
        <v>307</v>
      </c>
      <c r="D121" t="s">
        <v>248</v>
      </c>
      <c r="E121" t="s">
        <v>169</v>
      </c>
    </row>
    <row r="122" spans="1:5">
      <c r="A122" t="s">
        <v>780</v>
      </c>
      <c r="B122" t="s">
        <v>1078</v>
      </c>
      <c r="C122" t="s">
        <v>182</v>
      </c>
      <c r="D122" t="s">
        <v>230</v>
      </c>
      <c r="E122" t="s">
        <v>268</v>
      </c>
    </row>
    <row r="123" spans="1:5">
      <c r="A123" t="s">
        <v>784</v>
      </c>
      <c r="B123" t="s">
        <v>1079</v>
      </c>
      <c r="C123" t="s">
        <v>182</v>
      </c>
      <c r="D123" t="s">
        <v>194</v>
      </c>
      <c r="E123" t="s">
        <v>249</v>
      </c>
    </row>
    <row r="124" spans="1:5">
      <c r="A124" t="s">
        <v>788</v>
      </c>
      <c r="B124" t="s">
        <v>1080</v>
      </c>
      <c r="C124" t="s">
        <v>142</v>
      </c>
      <c r="D124" t="s">
        <v>204</v>
      </c>
      <c r="E124" t="s">
        <v>268</v>
      </c>
    </row>
    <row r="125" spans="1:5">
      <c r="A125" t="s">
        <v>792</v>
      </c>
      <c r="B125" t="s">
        <v>1081</v>
      </c>
      <c r="C125" t="s">
        <v>182</v>
      </c>
      <c r="D125" t="s">
        <v>168</v>
      </c>
      <c r="E125" t="s">
        <v>249</v>
      </c>
    </row>
    <row r="126" spans="1:5">
      <c r="A126" t="s">
        <v>796</v>
      </c>
      <c r="B126" t="s">
        <v>1082</v>
      </c>
      <c r="C126" t="s">
        <v>142</v>
      </c>
      <c r="D126" t="s">
        <v>168</v>
      </c>
      <c r="E126" t="s">
        <v>249</v>
      </c>
    </row>
    <row r="127" spans="1:5">
      <c r="A127" t="s">
        <v>800</v>
      </c>
      <c r="B127" t="s">
        <v>1083</v>
      </c>
      <c r="C127" t="s">
        <v>257</v>
      </c>
      <c r="D127" t="s">
        <v>204</v>
      </c>
      <c r="E127" t="s">
        <v>249</v>
      </c>
    </row>
    <row r="128" spans="1:5">
      <c r="A128" t="s">
        <v>803</v>
      </c>
      <c r="B128" t="s">
        <v>1084</v>
      </c>
      <c r="C128" t="s">
        <v>182</v>
      </c>
      <c r="D128" t="s">
        <v>248</v>
      </c>
      <c r="E128" t="s">
        <v>262</v>
      </c>
    </row>
    <row r="129" spans="1:5">
      <c r="A129" t="s">
        <v>808</v>
      </c>
      <c r="B129" t="s">
        <v>1085</v>
      </c>
      <c r="C129" t="s">
        <v>182</v>
      </c>
      <c r="D129" t="s">
        <v>168</v>
      </c>
      <c r="E129" t="s">
        <v>268</v>
      </c>
    </row>
    <row r="130" spans="1:5">
      <c r="A130" t="s">
        <v>814</v>
      </c>
      <c r="B130" t="s">
        <v>1086</v>
      </c>
      <c r="C130" t="s">
        <v>220</v>
      </c>
      <c r="D130" t="s">
        <v>230</v>
      </c>
      <c r="E130" t="s">
        <v>262</v>
      </c>
    </row>
    <row r="131" spans="1:5">
      <c r="A131" t="s">
        <v>818</v>
      </c>
      <c r="B131" t="s">
        <v>1087</v>
      </c>
      <c r="C131" t="s">
        <v>182</v>
      </c>
      <c r="D131" t="s">
        <v>168</v>
      </c>
      <c r="E131" t="s">
        <v>139</v>
      </c>
    </row>
    <row r="132" spans="1:5">
      <c r="A132" t="s">
        <v>822</v>
      </c>
      <c r="B132" t="s">
        <v>1088</v>
      </c>
      <c r="C132" t="s">
        <v>203</v>
      </c>
      <c r="D132" t="s">
        <v>204</v>
      </c>
      <c r="E132" t="s">
        <v>139</v>
      </c>
    </row>
    <row r="133" spans="1:5">
      <c r="A133" t="s">
        <v>828</v>
      </c>
      <c r="B133" t="s">
        <v>1089</v>
      </c>
      <c r="C133" t="s">
        <v>182</v>
      </c>
      <c r="D133" t="s">
        <v>138</v>
      </c>
      <c r="E133" t="s">
        <v>205</v>
      </c>
    </row>
    <row r="134" spans="1:5">
      <c r="A134" t="s">
        <v>832</v>
      </c>
      <c r="B134" t="s">
        <v>1090</v>
      </c>
      <c r="C134" t="s">
        <v>282</v>
      </c>
      <c r="D134" t="s">
        <v>138</v>
      </c>
      <c r="E134" t="s">
        <v>169</v>
      </c>
    </row>
    <row r="135" spans="1:5">
      <c r="A135" t="s">
        <v>835</v>
      </c>
      <c r="B135" t="s">
        <v>1091</v>
      </c>
      <c r="C135" t="s">
        <v>257</v>
      </c>
      <c r="D135" t="s">
        <v>138</v>
      </c>
      <c r="E135" t="s">
        <v>262</v>
      </c>
    </row>
    <row r="136" spans="1:5">
      <c r="A136" t="s">
        <v>841</v>
      </c>
      <c r="B136" t="s">
        <v>1092</v>
      </c>
      <c r="C136" t="s">
        <v>193</v>
      </c>
      <c r="D136" t="s">
        <v>230</v>
      </c>
      <c r="E136" t="s">
        <v>262</v>
      </c>
    </row>
    <row r="137" spans="1:5">
      <c r="A137" t="s">
        <v>844</v>
      </c>
      <c r="B137" t="s">
        <v>1093</v>
      </c>
      <c r="C137" t="s">
        <v>167</v>
      </c>
      <c r="D137" t="s">
        <v>248</v>
      </c>
      <c r="E137" t="s">
        <v>139</v>
      </c>
    </row>
    <row r="138" spans="1:5">
      <c r="A138" t="s">
        <v>848</v>
      </c>
      <c r="B138" t="s">
        <v>1094</v>
      </c>
      <c r="C138" t="s">
        <v>182</v>
      </c>
      <c r="D138" t="s">
        <v>194</v>
      </c>
      <c r="E138" t="s">
        <v>139</v>
      </c>
    </row>
    <row r="139" spans="1:5">
      <c r="A139" t="s">
        <v>855</v>
      </c>
      <c r="B139" t="s">
        <v>1095</v>
      </c>
      <c r="C139" t="s">
        <v>182</v>
      </c>
      <c r="D139" t="s">
        <v>194</v>
      </c>
      <c r="E139" t="s">
        <v>262</v>
      </c>
    </row>
    <row r="140" spans="1:5">
      <c r="A140" t="s">
        <v>860</v>
      </c>
      <c r="B140" t="s">
        <v>1096</v>
      </c>
      <c r="C140" t="s">
        <v>142</v>
      </c>
      <c r="D140" t="s">
        <v>230</v>
      </c>
      <c r="E140" t="s">
        <v>169</v>
      </c>
    </row>
    <row r="141" spans="1:5">
      <c r="A141" t="s">
        <v>865</v>
      </c>
      <c r="B141" t="s">
        <v>1097</v>
      </c>
      <c r="C141" t="s">
        <v>182</v>
      </c>
      <c r="D141" t="s">
        <v>248</v>
      </c>
      <c r="E141" t="s">
        <v>249</v>
      </c>
    </row>
    <row r="142" spans="1:5">
      <c r="A142" t="s">
        <v>872</v>
      </c>
      <c r="B142" t="s">
        <v>1098</v>
      </c>
      <c r="C142" t="s">
        <v>257</v>
      </c>
      <c r="D142" t="s">
        <v>168</v>
      </c>
      <c r="E142" t="s">
        <v>262</v>
      </c>
    </row>
    <row r="143" spans="1:5">
      <c r="A143" t="s">
        <v>877</v>
      </c>
      <c r="B143" t="s">
        <v>1099</v>
      </c>
      <c r="C143" t="s">
        <v>307</v>
      </c>
      <c r="D143" t="s">
        <v>168</v>
      </c>
      <c r="E143" t="s">
        <v>139</v>
      </c>
    </row>
    <row r="144" spans="1:5">
      <c r="A144" t="s">
        <v>880</v>
      </c>
      <c r="B144" t="s">
        <v>1100</v>
      </c>
      <c r="C144" t="s">
        <v>142</v>
      </c>
      <c r="D144" t="s">
        <v>204</v>
      </c>
      <c r="E144" t="s">
        <v>249</v>
      </c>
    </row>
    <row r="145" spans="1:5">
      <c r="A145" t="s">
        <v>886</v>
      </c>
      <c r="B145" t="s">
        <v>1101</v>
      </c>
      <c r="C145" t="s">
        <v>887</v>
      </c>
      <c r="D145" t="s">
        <v>204</v>
      </c>
      <c r="E145" t="s">
        <v>169</v>
      </c>
    </row>
    <row r="146" spans="1:5">
      <c r="A146" t="s">
        <v>890</v>
      </c>
      <c r="B146" t="s">
        <v>1102</v>
      </c>
      <c r="C146" t="s">
        <v>182</v>
      </c>
      <c r="D146" t="s">
        <v>230</v>
      </c>
      <c r="E146" t="s">
        <v>249</v>
      </c>
    </row>
    <row r="147" spans="1:5">
      <c r="A147" t="s">
        <v>894</v>
      </c>
      <c r="B147" t="s">
        <v>1103</v>
      </c>
      <c r="C147" t="s">
        <v>182</v>
      </c>
      <c r="D147" t="s">
        <v>138</v>
      </c>
      <c r="E147" t="s">
        <v>169</v>
      </c>
    </row>
    <row r="148" spans="1:5">
      <c r="A148" t="s">
        <v>896</v>
      </c>
      <c r="B148" t="s">
        <v>1104</v>
      </c>
      <c r="C148" t="s">
        <v>182</v>
      </c>
      <c r="D148" t="s">
        <v>138</v>
      </c>
      <c r="E148" t="s">
        <v>262</v>
      </c>
    </row>
    <row r="149" spans="1:5">
      <c r="A149" t="s">
        <v>899</v>
      </c>
      <c r="B149" t="s">
        <v>1105</v>
      </c>
      <c r="C149" t="s">
        <v>182</v>
      </c>
      <c r="D149" t="s">
        <v>248</v>
      </c>
      <c r="E149" t="s">
        <v>139</v>
      </c>
    </row>
    <row r="150" spans="1:5">
      <c r="A150" t="s">
        <v>901</v>
      </c>
      <c r="B150" t="s">
        <v>1106</v>
      </c>
      <c r="C150" t="s">
        <v>203</v>
      </c>
      <c r="D150" t="s">
        <v>138</v>
      </c>
      <c r="E150" t="s">
        <v>169</v>
      </c>
    </row>
    <row r="151" spans="1:5">
      <c r="A151" t="s">
        <v>906</v>
      </c>
      <c r="B151" t="s">
        <v>1107</v>
      </c>
      <c r="C151" t="s">
        <v>307</v>
      </c>
      <c r="D151" t="s">
        <v>230</v>
      </c>
      <c r="E151" t="s">
        <v>169</v>
      </c>
    </row>
    <row r="152" spans="1:5">
      <c r="A152" t="s">
        <v>910</v>
      </c>
      <c r="B152" t="s">
        <v>1108</v>
      </c>
      <c r="C152" t="s">
        <v>182</v>
      </c>
      <c r="D152" t="s">
        <v>168</v>
      </c>
      <c r="E152" t="s">
        <v>169</v>
      </c>
    </row>
    <row r="153" spans="1:5">
      <c r="A153" t="s">
        <v>917</v>
      </c>
      <c r="B153" t="s">
        <v>1109</v>
      </c>
      <c r="C153" t="s">
        <v>307</v>
      </c>
      <c r="D153" t="s">
        <v>138</v>
      </c>
      <c r="E153" t="s">
        <v>169</v>
      </c>
    </row>
    <row r="154" spans="1:5">
      <c r="A154" t="s">
        <v>921</v>
      </c>
      <c r="B154" t="s">
        <v>1110</v>
      </c>
      <c r="C154" t="s">
        <v>142</v>
      </c>
      <c r="D154" t="s">
        <v>194</v>
      </c>
      <c r="E154" t="s">
        <v>249</v>
      </c>
    </row>
    <row r="155" spans="1:5">
      <c r="A155" t="s">
        <v>923</v>
      </c>
      <c r="B155" t="s">
        <v>1111</v>
      </c>
      <c r="C155" t="s">
        <v>182</v>
      </c>
      <c r="D155" t="s">
        <v>230</v>
      </c>
      <c r="E155" t="s">
        <v>268</v>
      </c>
    </row>
    <row r="156" spans="1:5">
      <c r="A156" t="s">
        <v>926</v>
      </c>
      <c r="B156" t="s">
        <v>1112</v>
      </c>
      <c r="C156" t="s">
        <v>182</v>
      </c>
      <c r="D156" t="s">
        <v>168</v>
      </c>
      <c r="E156" t="s">
        <v>249</v>
      </c>
    </row>
    <row r="157" spans="1:5">
      <c r="A157" t="s">
        <v>933</v>
      </c>
      <c r="B157" t="s">
        <v>1113</v>
      </c>
      <c r="C157" t="s">
        <v>142</v>
      </c>
      <c r="D157" t="s">
        <v>168</v>
      </c>
      <c r="E157" t="s">
        <v>139</v>
      </c>
    </row>
    <row r="158" spans="1:5">
      <c r="A158" t="s">
        <v>940</v>
      </c>
      <c r="B158" t="s">
        <v>1114</v>
      </c>
      <c r="C158" t="s">
        <v>142</v>
      </c>
      <c r="D158" t="s">
        <v>248</v>
      </c>
      <c r="E158" t="s">
        <v>169</v>
      </c>
    </row>
    <row r="159" spans="1:5">
      <c r="A159" t="s">
        <v>945</v>
      </c>
      <c r="B159" t="s">
        <v>1115</v>
      </c>
      <c r="C159" t="s">
        <v>182</v>
      </c>
      <c r="D159" t="s">
        <v>168</v>
      </c>
      <c r="E159" t="s">
        <v>268</v>
      </c>
    </row>
    <row r="160" spans="1:5">
      <c r="A160" t="s">
        <v>948</v>
      </c>
      <c r="B160" t="s">
        <v>1116</v>
      </c>
      <c r="C160" t="s">
        <v>182</v>
      </c>
      <c r="D160" t="s">
        <v>230</v>
      </c>
      <c r="E160" t="s">
        <v>139</v>
      </c>
    </row>
    <row r="161" spans="1:5">
      <c r="A161" t="s">
        <v>950</v>
      </c>
      <c r="B161" t="s">
        <v>1117</v>
      </c>
      <c r="C161" t="s">
        <v>182</v>
      </c>
      <c r="D161" t="s">
        <v>168</v>
      </c>
      <c r="E161" t="s">
        <v>139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heetViews>
  <sheetFormatPr baseColWidth="10" defaultColWidth="8.83203125" defaultRowHeight="15"/>
  <cols>
    <col min="1" max="1" width="10.1640625" customWidth="1"/>
    <col min="2" max="2" width="24" customWidth="1"/>
    <col min="3" max="3" width="17.1640625" customWidth="1"/>
    <col min="4" max="4" width="13.5" customWidth="1"/>
  </cols>
  <sheetData>
    <row r="1" spans="1:4">
      <c r="A1" s="2" t="s">
        <v>117</v>
      </c>
      <c r="B1" s="2" t="s">
        <v>1118</v>
      </c>
      <c r="C1" s="2" t="s">
        <v>1119</v>
      </c>
      <c r="D1" s="2" t="s">
        <v>1120</v>
      </c>
    </row>
    <row r="2" spans="1:4">
      <c r="A2" t="s">
        <v>154</v>
      </c>
      <c r="B2" t="s">
        <v>1121</v>
      </c>
      <c r="C2" s="6" t="b">
        <v>1</v>
      </c>
      <c r="D2" t="s">
        <v>1122</v>
      </c>
    </row>
    <row r="3" spans="1:4">
      <c r="A3" t="s">
        <v>176</v>
      </c>
      <c r="B3" t="s">
        <v>1123</v>
      </c>
      <c r="C3" s="6" t="b">
        <v>1</v>
      </c>
      <c r="D3" t="s">
        <v>1124</v>
      </c>
    </row>
    <row r="4" spans="1:4">
      <c r="A4" t="s">
        <v>236</v>
      </c>
      <c r="B4" t="s">
        <v>1125</v>
      </c>
      <c r="C4" s="6" t="b">
        <v>1</v>
      </c>
      <c r="D4" t="s">
        <v>1122</v>
      </c>
    </row>
    <row r="5" spans="1:4">
      <c r="A5" t="s">
        <v>172</v>
      </c>
      <c r="B5" t="s">
        <v>1126</v>
      </c>
      <c r="C5" s="6" t="b">
        <v>1</v>
      </c>
      <c r="D5" t="s">
        <v>1122</v>
      </c>
    </row>
    <row r="6" spans="1:4">
      <c r="A6" t="s">
        <v>160</v>
      </c>
      <c r="B6" t="s">
        <v>1127</v>
      </c>
      <c r="C6" s="6" t="b">
        <v>1</v>
      </c>
      <c r="D6" t="s">
        <v>1122</v>
      </c>
    </row>
    <row r="7" spans="1:4">
      <c r="A7" t="s">
        <v>291</v>
      </c>
      <c r="B7" t="s">
        <v>1128</v>
      </c>
      <c r="C7" s="6" t="b">
        <v>0</v>
      </c>
      <c r="D7" t="s">
        <v>1124</v>
      </c>
    </row>
    <row r="8" spans="1:4">
      <c r="A8" t="s">
        <v>186</v>
      </c>
      <c r="B8" t="s">
        <v>1129</v>
      </c>
      <c r="C8" s="6" t="b">
        <v>1</v>
      </c>
      <c r="D8" t="s">
        <v>1122</v>
      </c>
    </row>
    <row r="9" spans="1:4">
      <c r="A9" t="s">
        <v>441</v>
      </c>
      <c r="B9" t="s">
        <v>1130</v>
      </c>
      <c r="C9" s="6" t="b">
        <v>1</v>
      </c>
      <c r="D9" t="s">
        <v>1122</v>
      </c>
    </row>
    <row r="10" spans="1:4">
      <c r="A10" t="s">
        <v>278</v>
      </c>
      <c r="B10" t="s">
        <v>1131</v>
      </c>
      <c r="C10" s="6" t="b">
        <v>0</v>
      </c>
      <c r="D10" t="s">
        <v>1122</v>
      </c>
    </row>
    <row r="11" spans="1:4">
      <c r="A11" t="s">
        <v>200</v>
      </c>
      <c r="B11" t="s">
        <v>1132</v>
      </c>
      <c r="C11" s="6" t="b">
        <v>1</v>
      </c>
      <c r="D11" t="s">
        <v>1122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baseColWidth="10" defaultColWidth="8.83203125" defaultRowHeight="15"/>
  <cols>
    <col min="1" max="1" width="9.33203125" customWidth="1"/>
    <col min="2" max="2" width="26" customWidth="1"/>
    <col min="3" max="3" width="17.1640625" customWidth="1"/>
  </cols>
  <sheetData>
    <row r="1" spans="1:3">
      <c r="A1" s="2" t="s">
        <v>118</v>
      </c>
      <c r="B1" s="2" t="s">
        <v>1133</v>
      </c>
      <c r="C1" s="2" t="s">
        <v>1119</v>
      </c>
    </row>
    <row r="2" spans="1:3">
      <c r="A2" t="s">
        <v>164</v>
      </c>
      <c r="B2" t="s">
        <v>1134</v>
      </c>
      <c r="C2" s="6" t="b">
        <v>1</v>
      </c>
    </row>
    <row r="3" spans="1:3">
      <c r="A3" t="s">
        <v>155</v>
      </c>
      <c r="B3" t="s">
        <v>1135</v>
      </c>
      <c r="C3" s="6" t="b">
        <v>1</v>
      </c>
    </row>
    <row r="4" spans="1:3">
      <c r="A4" t="s">
        <v>187</v>
      </c>
      <c r="B4" t="s">
        <v>1136</v>
      </c>
      <c r="C4" s="6" t="b">
        <v>1</v>
      </c>
    </row>
    <row r="5" spans="1:3">
      <c r="A5" t="s">
        <v>173</v>
      </c>
      <c r="B5" t="s">
        <v>1137</v>
      </c>
      <c r="C5" s="6" t="b">
        <v>1</v>
      </c>
    </row>
    <row r="6" spans="1:3">
      <c r="A6" t="s">
        <v>190</v>
      </c>
      <c r="B6" t="s">
        <v>1138</v>
      </c>
      <c r="C6" s="6" t="b">
        <v>0</v>
      </c>
    </row>
    <row r="7" spans="1:3">
      <c r="A7" t="s">
        <v>146</v>
      </c>
      <c r="B7" t="s">
        <v>1139</v>
      </c>
      <c r="C7" s="6" t="b">
        <v>1</v>
      </c>
    </row>
    <row r="8" spans="1:3">
      <c r="A8" t="s">
        <v>195</v>
      </c>
      <c r="B8" t="s">
        <v>1140</v>
      </c>
      <c r="C8" s="6" t="b">
        <v>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1"/>
  <sheetViews>
    <sheetView workbookViewId="0"/>
  </sheetViews>
  <sheetFormatPr baseColWidth="10" defaultColWidth="8.83203125" defaultRowHeight="15"/>
  <cols>
    <col min="1" max="1" width="10.83203125" customWidth="1"/>
    <col min="2" max="2" width="8.1640625" customWidth="1"/>
    <col min="3" max="3" width="12.6640625" customWidth="1"/>
    <col min="4" max="4" width="28" customWidth="1"/>
    <col min="5" max="5" width="16.1640625" customWidth="1"/>
    <col min="6" max="6" width="28" customWidth="1"/>
  </cols>
  <sheetData>
    <row r="1" spans="1:6">
      <c r="A1" s="2" t="s">
        <v>1141</v>
      </c>
      <c r="B1" s="2" t="s">
        <v>100</v>
      </c>
      <c r="C1" s="2" t="s">
        <v>1142</v>
      </c>
      <c r="D1" s="2" t="s">
        <v>1143</v>
      </c>
      <c r="E1" s="2" t="s">
        <v>1144</v>
      </c>
      <c r="F1" s="2" t="s">
        <v>1145</v>
      </c>
    </row>
    <row r="2" spans="1:6">
      <c r="A2" t="s">
        <v>1146</v>
      </c>
      <c r="B2" t="s">
        <v>208</v>
      </c>
      <c r="C2" s="3">
        <v>46140</v>
      </c>
      <c r="D2" t="s">
        <v>1147</v>
      </c>
      <c r="E2" s="4">
        <v>179.72</v>
      </c>
      <c r="F2" t="s">
        <v>1148</v>
      </c>
    </row>
    <row r="3" spans="1:6">
      <c r="A3" t="s">
        <v>1149</v>
      </c>
      <c r="B3" t="s">
        <v>208</v>
      </c>
      <c r="C3" s="3">
        <v>46134</v>
      </c>
      <c r="D3" t="s">
        <v>1147</v>
      </c>
      <c r="E3" s="4">
        <v>143.68</v>
      </c>
      <c r="F3" t="s">
        <v>1150</v>
      </c>
    </row>
    <row r="4" spans="1:6">
      <c r="A4" t="s">
        <v>1151</v>
      </c>
      <c r="B4" t="s">
        <v>218</v>
      </c>
      <c r="C4" s="3">
        <v>46227</v>
      </c>
      <c r="D4" t="s">
        <v>1152</v>
      </c>
      <c r="E4" s="4">
        <v>70.28</v>
      </c>
      <c r="F4" t="s">
        <v>1153</v>
      </c>
    </row>
    <row r="5" spans="1:6">
      <c r="A5" t="s">
        <v>1154</v>
      </c>
      <c r="B5" t="s">
        <v>221</v>
      </c>
      <c r="C5" s="3">
        <v>46138</v>
      </c>
      <c r="D5" t="s">
        <v>1155</v>
      </c>
      <c r="E5" s="4">
        <v>147.88</v>
      </c>
      <c r="F5" t="s">
        <v>1156</v>
      </c>
    </row>
    <row r="6" spans="1:6">
      <c r="A6" t="s">
        <v>1157</v>
      </c>
      <c r="B6" t="s">
        <v>239</v>
      </c>
      <c r="C6" s="3">
        <v>46167</v>
      </c>
      <c r="D6" t="s">
        <v>1158</v>
      </c>
      <c r="E6" s="4">
        <v>68.12</v>
      </c>
      <c r="F6" t="s">
        <v>1148</v>
      </c>
    </row>
    <row r="7" spans="1:6">
      <c r="A7" t="s">
        <v>1159</v>
      </c>
      <c r="B7" t="s">
        <v>241</v>
      </c>
      <c r="C7" s="3">
        <v>46205</v>
      </c>
      <c r="D7" t="s">
        <v>1147</v>
      </c>
      <c r="E7" s="4">
        <v>173.75</v>
      </c>
      <c r="F7" t="s">
        <v>1160</v>
      </c>
    </row>
    <row r="8" spans="1:6">
      <c r="A8" t="s">
        <v>1161</v>
      </c>
      <c r="B8" t="s">
        <v>250</v>
      </c>
      <c r="C8" s="3">
        <v>46205</v>
      </c>
      <c r="D8" t="s">
        <v>1147</v>
      </c>
      <c r="E8" s="4">
        <v>31.77</v>
      </c>
      <c r="F8" t="s">
        <v>1150</v>
      </c>
    </row>
    <row r="9" spans="1:6">
      <c r="A9" t="s">
        <v>1162</v>
      </c>
      <c r="B9" t="s">
        <v>277</v>
      </c>
      <c r="C9" s="3">
        <v>46138</v>
      </c>
      <c r="D9" t="s">
        <v>1147</v>
      </c>
      <c r="E9" s="4">
        <v>90.11</v>
      </c>
      <c r="F9" t="s">
        <v>1153</v>
      </c>
    </row>
    <row r="10" spans="1:6">
      <c r="A10" t="s">
        <v>1163</v>
      </c>
      <c r="B10" t="s">
        <v>284</v>
      </c>
      <c r="C10" s="3">
        <v>46178</v>
      </c>
      <c r="D10" t="s">
        <v>1147</v>
      </c>
      <c r="E10" s="4">
        <v>108.7</v>
      </c>
      <c r="F10" t="s">
        <v>1160</v>
      </c>
    </row>
    <row r="11" spans="1:6">
      <c r="A11" t="s">
        <v>1164</v>
      </c>
      <c r="B11" t="s">
        <v>294</v>
      </c>
      <c r="C11" s="3">
        <v>46179</v>
      </c>
      <c r="D11" t="s">
        <v>1152</v>
      </c>
      <c r="E11" s="4">
        <v>83.31</v>
      </c>
      <c r="F11" t="s">
        <v>1156</v>
      </c>
    </row>
    <row r="12" spans="1:6">
      <c r="A12" t="s">
        <v>1165</v>
      </c>
      <c r="B12" t="s">
        <v>309</v>
      </c>
      <c r="C12" s="3">
        <v>46168</v>
      </c>
      <c r="D12" t="s">
        <v>1158</v>
      </c>
      <c r="E12" s="4">
        <v>82.26</v>
      </c>
      <c r="F12" t="s">
        <v>1156</v>
      </c>
    </row>
    <row r="13" spans="1:6">
      <c r="A13" t="s">
        <v>1166</v>
      </c>
      <c r="B13" t="s">
        <v>353</v>
      </c>
      <c r="C13" s="3">
        <v>46142</v>
      </c>
      <c r="D13" t="s">
        <v>1152</v>
      </c>
      <c r="E13" s="4">
        <v>50.45</v>
      </c>
      <c r="F13" t="s">
        <v>1160</v>
      </c>
    </row>
    <row r="14" spans="1:6">
      <c r="A14" t="s">
        <v>1167</v>
      </c>
      <c r="B14" t="s">
        <v>355</v>
      </c>
      <c r="C14" s="3">
        <v>46148</v>
      </c>
      <c r="D14" t="s">
        <v>1155</v>
      </c>
      <c r="E14" s="4">
        <v>89.48</v>
      </c>
      <c r="F14" t="s">
        <v>1148</v>
      </c>
    </row>
    <row r="15" spans="1:6">
      <c r="A15" t="s">
        <v>1168</v>
      </c>
      <c r="B15" t="s">
        <v>366</v>
      </c>
      <c r="C15" s="3">
        <v>46149</v>
      </c>
      <c r="D15" t="s">
        <v>1147</v>
      </c>
      <c r="E15" s="4">
        <v>146.38999999999999</v>
      </c>
      <c r="F15" t="s">
        <v>1148</v>
      </c>
    </row>
    <row r="16" spans="1:6">
      <c r="A16" t="s">
        <v>1169</v>
      </c>
      <c r="B16" t="s">
        <v>370</v>
      </c>
      <c r="C16" s="3">
        <v>46182</v>
      </c>
      <c r="D16" t="s">
        <v>1158</v>
      </c>
      <c r="E16" s="4">
        <v>99.3</v>
      </c>
      <c r="F16" t="s">
        <v>1160</v>
      </c>
    </row>
    <row r="17" spans="1:6">
      <c r="A17" t="s">
        <v>1170</v>
      </c>
      <c r="B17" t="s">
        <v>375</v>
      </c>
      <c r="C17" s="3">
        <v>46173</v>
      </c>
      <c r="D17" t="s">
        <v>1147</v>
      </c>
      <c r="E17" s="4">
        <v>26.56</v>
      </c>
      <c r="F17" t="s">
        <v>1156</v>
      </c>
    </row>
    <row r="18" spans="1:6">
      <c r="A18" t="s">
        <v>1171</v>
      </c>
      <c r="B18" t="s">
        <v>377</v>
      </c>
      <c r="C18" s="3">
        <v>46183</v>
      </c>
      <c r="D18" t="s">
        <v>1147</v>
      </c>
      <c r="E18" s="4">
        <v>101.1</v>
      </c>
      <c r="F18" t="s">
        <v>1160</v>
      </c>
    </row>
    <row r="19" spans="1:6">
      <c r="A19" t="s">
        <v>1172</v>
      </c>
      <c r="B19" t="s">
        <v>389</v>
      </c>
      <c r="C19" s="3">
        <v>46233</v>
      </c>
      <c r="D19" t="s">
        <v>1147</v>
      </c>
      <c r="E19" s="4">
        <v>142.97999999999999</v>
      </c>
      <c r="F19" t="s">
        <v>1153</v>
      </c>
    </row>
    <row r="20" spans="1:6">
      <c r="A20" t="s">
        <v>1173</v>
      </c>
      <c r="B20" t="s">
        <v>400</v>
      </c>
      <c r="C20" s="3">
        <v>46230</v>
      </c>
      <c r="D20" t="s">
        <v>1174</v>
      </c>
      <c r="E20" s="4">
        <v>36.72</v>
      </c>
      <c r="F20" t="s">
        <v>1160</v>
      </c>
    </row>
    <row r="21" spans="1:6">
      <c r="A21" t="s">
        <v>1175</v>
      </c>
      <c r="B21" t="s">
        <v>407</v>
      </c>
      <c r="C21" s="3">
        <v>46146</v>
      </c>
      <c r="D21" t="s">
        <v>1155</v>
      </c>
      <c r="E21" s="4">
        <v>58.23</v>
      </c>
      <c r="F21" t="s">
        <v>1156</v>
      </c>
    </row>
    <row r="22" spans="1:6">
      <c r="A22" t="s">
        <v>1176</v>
      </c>
      <c r="B22" t="s">
        <v>408</v>
      </c>
      <c r="C22" s="3">
        <v>46181</v>
      </c>
      <c r="D22" t="s">
        <v>1152</v>
      </c>
      <c r="E22" s="4">
        <v>148.11000000000001</v>
      </c>
      <c r="F22" t="s">
        <v>1150</v>
      </c>
    </row>
    <row r="23" spans="1:6">
      <c r="A23" t="s">
        <v>1177</v>
      </c>
      <c r="B23" t="s">
        <v>421</v>
      </c>
      <c r="C23" s="3">
        <v>46232</v>
      </c>
      <c r="D23" t="s">
        <v>1152</v>
      </c>
      <c r="E23" s="4">
        <v>113.53</v>
      </c>
      <c r="F23" t="s">
        <v>1153</v>
      </c>
    </row>
    <row r="24" spans="1:6">
      <c r="A24" t="s">
        <v>1178</v>
      </c>
      <c r="B24" t="s">
        <v>430</v>
      </c>
      <c r="C24" s="3">
        <v>46212</v>
      </c>
      <c r="D24" t="s">
        <v>1158</v>
      </c>
      <c r="E24" s="4">
        <v>126.62</v>
      </c>
      <c r="F24" t="s">
        <v>1148</v>
      </c>
    </row>
    <row r="25" spans="1:6">
      <c r="A25" t="s">
        <v>1179</v>
      </c>
      <c r="B25" t="s">
        <v>454</v>
      </c>
      <c r="C25" s="3">
        <v>46228</v>
      </c>
      <c r="D25" t="s">
        <v>1152</v>
      </c>
      <c r="E25" s="4">
        <v>15</v>
      </c>
      <c r="F25" t="s">
        <v>1153</v>
      </c>
    </row>
    <row r="26" spans="1:6">
      <c r="A26" t="s">
        <v>1180</v>
      </c>
      <c r="B26" t="s">
        <v>468</v>
      </c>
      <c r="C26" s="3">
        <v>46156</v>
      </c>
      <c r="D26" t="s">
        <v>1147</v>
      </c>
      <c r="E26" s="4">
        <v>98.46</v>
      </c>
      <c r="F26" t="s">
        <v>1150</v>
      </c>
    </row>
    <row r="27" spans="1:6">
      <c r="A27" t="s">
        <v>1181</v>
      </c>
      <c r="B27" t="s">
        <v>468</v>
      </c>
      <c r="C27" s="3">
        <v>46156</v>
      </c>
      <c r="D27" t="s">
        <v>1152</v>
      </c>
      <c r="E27" s="4">
        <v>56.19</v>
      </c>
      <c r="F27" t="s">
        <v>1153</v>
      </c>
    </row>
    <row r="28" spans="1:6">
      <c r="A28" t="s">
        <v>1182</v>
      </c>
      <c r="B28" t="s">
        <v>475</v>
      </c>
      <c r="C28" s="3">
        <v>46149</v>
      </c>
      <c r="D28" t="s">
        <v>1152</v>
      </c>
      <c r="E28" s="4">
        <v>82.21</v>
      </c>
      <c r="F28" t="s">
        <v>1160</v>
      </c>
    </row>
    <row r="29" spans="1:6">
      <c r="A29" t="s">
        <v>1183</v>
      </c>
      <c r="B29" t="s">
        <v>485</v>
      </c>
      <c r="C29" s="3">
        <v>46197</v>
      </c>
      <c r="D29" t="s">
        <v>1147</v>
      </c>
      <c r="E29" s="4">
        <v>172.33</v>
      </c>
      <c r="F29" t="s">
        <v>1153</v>
      </c>
    </row>
    <row r="30" spans="1:6">
      <c r="A30" t="s">
        <v>1184</v>
      </c>
      <c r="B30" t="s">
        <v>520</v>
      </c>
      <c r="C30" s="3">
        <v>46153</v>
      </c>
      <c r="D30" t="s">
        <v>1152</v>
      </c>
      <c r="E30" s="4">
        <v>121.72</v>
      </c>
      <c r="F30" t="s">
        <v>1150</v>
      </c>
    </row>
    <row r="31" spans="1:6">
      <c r="A31" t="s">
        <v>1185</v>
      </c>
      <c r="B31" t="s">
        <v>520</v>
      </c>
      <c r="C31" s="3">
        <v>46153</v>
      </c>
      <c r="D31" t="s">
        <v>1147</v>
      </c>
      <c r="E31" s="4">
        <v>201.99</v>
      </c>
      <c r="F31" t="s">
        <v>1150</v>
      </c>
    </row>
    <row r="32" spans="1:6">
      <c r="A32" t="s">
        <v>1186</v>
      </c>
      <c r="B32" t="s">
        <v>523</v>
      </c>
      <c r="C32" s="3">
        <v>46218</v>
      </c>
      <c r="D32" t="s">
        <v>1152</v>
      </c>
      <c r="E32" s="4">
        <v>15</v>
      </c>
      <c r="F32" t="s">
        <v>1148</v>
      </c>
    </row>
    <row r="33" spans="1:6">
      <c r="A33" t="s">
        <v>1187</v>
      </c>
      <c r="B33" t="s">
        <v>532</v>
      </c>
      <c r="C33" s="3">
        <v>46175</v>
      </c>
      <c r="D33" t="s">
        <v>1158</v>
      </c>
      <c r="E33" s="4">
        <v>55.11</v>
      </c>
      <c r="F33" t="s">
        <v>1153</v>
      </c>
    </row>
    <row r="34" spans="1:6">
      <c r="A34" t="s">
        <v>1188</v>
      </c>
      <c r="B34" t="s">
        <v>534</v>
      </c>
      <c r="C34" s="3">
        <v>46204</v>
      </c>
      <c r="D34" t="s">
        <v>1158</v>
      </c>
      <c r="E34" s="4">
        <v>139.12</v>
      </c>
      <c r="F34" t="s">
        <v>1156</v>
      </c>
    </row>
    <row r="35" spans="1:6">
      <c r="A35" t="s">
        <v>1189</v>
      </c>
      <c r="B35" t="s">
        <v>536</v>
      </c>
      <c r="C35" s="3">
        <v>46218</v>
      </c>
      <c r="D35" t="s">
        <v>1147</v>
      </c>
      <c r="E35" s="4">
        <v>186.98</v>
      </c>
      <c r="F35" t="s">
        <v>1153</v>
      </c>
    </row>
    <row r="36" spans="1:6">
      <c r="A36" t="s">
        <v>1190</v>
      </c>
      <c r="B36" t="s">
        <v>536</v>
      </c>
      <c r="C36" s="3">
        <v>46218</v>
      </c>
      <c r="D36" t="s">
        <v>1147</v>
      </c>
      <c r="E36" s="4">
        <v>130.33000000000001</v>
      </c>
      <c r="F36" t="s">
        <v>1160</v>
      </c>
    </row>
    <row r="37" spans="1:6">
      <c r="A37" t="s">
        <v>1191</v>
      </c>
      <c r="B37" t="s">
        <v>542</v>
      </c>
      <c r="C37" s="3">
        <v>46227</v>
      </c>
      <c r="D37" t="s">
        <v>1152</v>
      </c>
      <c r="E37" s="4">
        <v>63.44</v>
      </c>
      <c r="F37" t="s">
        <v>1150</v>
      </c>
    </row>
    <row r="38" spans="1:6">
      <c r="A38" t="s">
        <v>1192</v>
      </c>
      <c r="B38" t="s">
        <v>579</v>
      </c>
      <c r="C38" s="3">
        <v>46182</v>
      </c>
      <c r="D38" t="s">
        <v>1155</v>
      </c>
      <c r="E38" s="4">
        <v>25.72</v>
      </c>
      <c r="F38" t="s">
        <v>1148</v>
      </c>
    </row>
    <row r="39" spans="1:6">
      <c r="A39" t="s">
        <v>1193</v>
      </c>
      <c r="B39" t="s">
        <v>584</v>
      </c>
      <c r="C39" s="3">
        <v>46189</v>
      </c>
      <c r="D39" t="s">
        <v>1152</v>
      </c>
      <c r="E39" s="4">
        <v>47.39</v>
      </c>
      <c r="F39" t="s">
        <v>1153</v>
      </c>
    </row>
    <row r="40" spans="1:6">
      <c r="A40" t="s">
        <v>1194</v>
      </c>
      <c r="B40" t="s">
        <v>584</v>
      </c>
      <c r="C40" s="3">
        <v>46175</v>
      </c>
      <c r="D40" t="s">
        <v>1147</v>
      </c>
      <c r="E40" s="4">
        <v>58.64</v>
      </c>
      <c r="F40" t="s">
        <v>1160</v>
      </c>
    </row>
    <row r="41" spans="1:6">
      <c r="A41" t="s">
        <v>1195</v>
      </c>
      <c r="B41" t="s">
        <v>585</v>
      </c>
      <c r="C41" s="3">
        <v>46169</v>
      </c>
      <c r="D41" t="s">
        <v>1152</v>
      </c>
      <c r="E41" s="4">
        <v>73.06</v>
      </c>
      <c r="F41" t="s">
        <v>1150</v>
      </c>
    </row>
    <row r="42" spans="1:6">
      <c r="A42" t="s">
        <v>1196</v>
      </c>
      <c r="B42" t="s">
        <v>603</v>
      </c>
      <c r="C42" s="3">
        <v>46217</v>
      </c>
      <c r="D42" t="s">
        <v>1158</v>
      </c>
      <c r="E42" s="4">
        <v>40.32</v>
      </c>
      <c r="F42" t="s">
        <v>1153</v>
      </c>
    </row>
    <row r="43" spans="1:6">
      <c r="A43" t="s">
        <v>1197</v>
      </c>
      <c r="B43" t="s">
        <v>608</v>
      </c>
      <c r="C43" s="3">
        <v>46131</v>
      </c>
      <c r="D43" t="s">
        <v>1158</v>
      </c>
      <c r="E43" s="4">
        <v>58.28</v>
      </c>
      <c r="F43" t="s">
        <v>1150</v>
      </c>
    </row>
    <row r="44" spans="1:6">
      <c r="A44" t="s">
        <v>1198</v>
      </c>
      <c r="B44" t="s">
        <v>608</v>
      </c>
      <c r="C44" s="3">
        <v>46134</v>
      </c>
      <c r="D44" t="s">
        <v>1158</v>
      </c>
      <c r="E44" s="4">
        <v>127.4</v>
      </c>
      <c r="F44" t="s">
        <v>1156</v>
      </c>
    </row>
    <row r="45" spans="1:6">
      <c r="A45" t="s">
        <v>1199</v>
      </c>
      <c r="B45" t="s">
        <v>612</v>
      </c>
      <c r="C45" s="3">
        <v>46211</v>
      </c>
      <c r="D45" t="s">
        <v>1155</v>
      </c>
      <c r="E45" s="4">
        <v>54.8</v>
      </c>
      <c r="F45" t="s">
        <v>1150</v>
      </c>
    </row>
    <row r="46" spans="1:6">
      <c r="A46" t="s">
        <v>1200</v>
      </c>
      <c r="B46" t="s">
        <v>623</v>
      </c>
      <c r="C46" s="3">
        <v>46210</v>
      </c>
      <c r="D46" t="s">
        <v>1158</v>
      </c>
      <c r="E46" s="4">
        <v>102.33</v>
      </c>
      <c r="F46" t="s">
        <v>1153</v>
      </c>
    </row>
    <row r="47" spans="1:6">
      <c r="A47" t="s">
        <v>1201</v>
      </c>
      <c r="B47" t="s">
        <v>623</v>
      </c>
      <c r="C47" s="3">
        <v>46202</v>
      </c>
      <c r="D47" t="s">
        <v>1155</v>
      </c>
      <c r="E47" s="4">
        <v>118.89</v>
      </c>
      <c r="F47" t="s">
        <v>1160</v>
      </c>
    </row>
    <row r="48" spans="1:6">
      <c r="A48" t="s">
        <v>1202</v>
      </c>
      <c r="B48" t="s">
        <v>628</v>
      </c>
      <c r="C48" s="3">
        <v>46162</v>
      </c>
      <c r="D48" t="s">
        <v>1147</v>
      </c>
      <c r="E48" s="4">
        <v>191.94</v>
      </c>
      <c r="F48" t="s">
        <v>1160</v>
      </c>
    </row>
    <row r="49" spans="1:6">
      <c r="A49" t="s">
        <v>1203</v>
      </c>
      <c r="B49" t="s">
        <v>638</v>
      </c>
      <c r="C49" s="3">
        <v>46192</v>
      </c>
      <c r="D49" t="s">
        <v>1147</v>
      </c>
      <c r="E49" s="4">
        <v>149.43</v>
      </c>
      <c r="F49" t="s">
        <v>1160</v>
      </c>
    </row>
    <row r="50" spans="1:6">
      <c r="A50" t="s">
        <v>1204</v>
      </c>
      <c r="B50" t="s">
        <v>643</v>
      </c>
      <c r="C50" s="3">
        <v>46220</v>
      </c>
      <c r="D50" t="s">
        <v>1158</v>
      </c>
      <c r="E50" s="4">
        <v>175.55</v>
      </c>
      <c r="F50" t="s">
        <v>1160</v>
      </c>
    </row>
    <row r="51" spans="1:6">
      <c r="A51" t="s">
        <v>1205</v>
      </c>
      <c r="B51" t="s">
        <v>647</v>
      </c>
      <c r="C51" s="3">
        <v>46193</v>
      </c>
      <c r="D51" t="s">
        <v>1147</v>
      </c>
      <c r="E51" s="4">
        <v>217.03</v>
      </c>
      <c r="F51" t="s">
        <v>1148</v>
      </c>
    </row>
    <row r="52" spans="1:6">
      <c r="A52" t="s">
        <v>1206</v>
      </c>
      <c r="B52" t="s">
        <v>648</v>
      </c>
      <c r="C52" s="3">
        <v>46192</v>
      </c>
      <c r="D52" t="s">
        <v>1152</v>
      </c>
      <c r="E52" s="4">
        <v>15</v>
      </c>
      <c r="F52" t="s">
        <v>1148</v>
      </c>
    </row>
    <row r="53" spans="1:6">
      <c r="A53" t="s">
        <v>1207</v>
      </c>
      <c r="B53" t="s">
        <v>668</v>
      </c>
      <c r="C53" s="3">
        <v>46137</v>
      </c>
      <c r="D53" t="s">
        <v>1174</v>
      </c>
      <c r="E53" s="4">
        <v>21.58</v>
      </c>
      <c r="F53" t="s">
        <v>1150</v>
      </c>
    </row>
    <row r="54" spans="1:6">
      <c r="A54" t="s">
        <v>1208</v>
      </c>
      <c r="B54" t="s">
        <v>678</v>
      </c>
      <c r="C54" s="3">
        <v>46191</v>
      </c>
      <c r="D54" t="s">
        <v>1147</v>
      </c>
      <c r="E54" s="4">
        <v>97.84</v>
      </c>
      <c r="F54" t="s">
        <v>1153</v>
      </c>
    </row>
    <row r="55" spans="1:6">
      <c r="A55" t="s">
        <v>1209</v>
      </c>
      <c r="B55" t="s">
        <v>686</v>
      </c>
      <c r="C55" s="3">
        <v>46158</v>
      </c>
      <c r="D55" t="s">
        <v>1147</v>
      </c>
      <c r="E55" s="4">
        <v>55.17</v>
      </c>
      <c r="F55" t="s">
        <v>1153</v>
      </c>
    </row>
    <row r="56" spans="1:6">
      <c r="A56" t="s">
        <v>1210</v>
      </c>
      <c r="B56" t="s">
        <v>687</v>
      </c>
      <c r="C56" s="3">
        <v>46222</v>
      </c>
      <c r="D56" t="s">
        <v>1147</v>
      </c>
      <c r="E56" s="4">
        <v>115.66</v>
      </c>
      <c r="F56" t="s">
        <v>1150</v>
      </c>
    </row>
    <row r="57" spans="1:6">
      <c r="A57" t="s">
        <v>1211</v>
      </c>
      <c r="B57" t="s">
        <v>698</v>
      </c>
      <c r="C57" s="3">
        <v>46193</v>
      </c>
      <c r="D57" t="s">
        <v>1158</v>
      </c>
      <c r="E57" s="4">
        <v>21.01</v>
      </c>
      <c r="F57" t="s">
        <v>1148</v>
      </c>
    </row>
    <row r="58" spans="1:6">
      <c r="A58" t="s">
        <v>1212</v>
      </c>
      <c r="B58" t="s">
        <v>707</v>
      </c>
      <c r="C58" s="3">
        <v>46211</v>
      </c>
      <c r="D58" t="s">
        <v>1152</v>
      </c>
      <c r="E58" s="4">
        <v>67.010000000000005</v>
      </c>
      <c r="F58" t="s">
        <v>1160</v>
      </c>
    </row>
    <row r="59" spans="1:6">
      <c r="A59" t="s">
        <v>1213</v>
      </c>
      <c r="B59" t="s">
        <v>707</v>
      </c>
      <c r="C59" s="3">
        <v>46210</v>
      </c>
      <c r="D59" t="s">
        <v>1155</v>
      </c>
      <c r="E59" s="4">
        <v>16.579999999999998</v>
      </c>
      <c r="F59" t="s">
        <v>1160</v>
      </c>
    </row>
    <row r="60" spans="1:6">
      <c r="A60" t="s">
        <v>1214</v>
      </c>
      <c r="B60" t="s">
        <v>714</v>
      </c>
      <c r="C60" s="3">
        <v>46208</v>
      </c>
      <c r="D60" t="s">
        <v>1155</v>
      </c>
      <c r="E60" s="4">
        <v>209.16</v>
      </c>
      <c r="F60" t="s">
        <v>1156</v>
      </c>
    </row>
    <row r="61" spans="1:6">
      <c r="A61" t="s">
        <v>1215</v>
      </c>
      <c r="B61" t="s">
        <v>714</v>
      </c>
      <c r="C61" s="3">
        <v>46208</v>
      </c>
      <c r="D61" t="s">
        <v>1147</v>
      </c>
      <c r="E61" s="4">
        <v>154.69</v>
      </c>
      <c r="F61" t="s">
        <v>1150</v>
      </c>
    </row>
    <row r="62" spans="1:6">
      <c r="A62" t="s">
        <v>1216</v>
      </c>
      <c r="B62" t="s">
        <v>721</v>
      </c>
      <c r="C62" s="3">
        <v>46212</v>
      </c>
      <c r="D62" t="s">
        <v>1155</v>
      </c>
      <c r="E62" s="4">
        <v>136.35</v>
      </c>
      <c r="F62" t="s">
        <v>1160</v>
      </c>
    </row>
    <row r="63" spans="1:6">
      <c r="A63" t="s">
        <v>1217</v>
      </c>
      <c r="B63" t="s">
        <v>721</v>
      </c>
      <c r="C63" s="3">
        <v>46208</v>
      </c>
      <c r="D63" t="s">
        <v>1147</v>
      </c>
      <c r="E63" s="4">
        <v>142.69999999999999</v>
      </c>
      <c r="F63" t="s">
        <v>1150</v>
      </c>
    </row>
    <row r="64" spans="1:6">
      <c r="A64" t="s">
        <v>1218</v>
      </c>
      <c r="B64" t="s">
        <v>723</v>
      </c>
      <c r="C64" s="3">
        <v>46157</v>
      </c>
      <c r="D64" t="s">
        <v>1152</v>
      </c>
      <c r="E64" s="4">
        <v>18.86</v>
      </c>
      <c r="F64" t="s">
        <v>1148</v>
      </c>
    </row>
    <row r="65" spans="1:6">
      <c r="A65" t="s">
        <v>1219</v>
      </c>
      <c r="B65" t="s">
        <v>727</v>
      </c>
      <c r="C65" s="3">
        <v>46212</v>
      </c>
      <c r="D65" t="s">
        <v>1147</v>
      </c>
      <c r="E65" s="4">
        <v>140.99</v>
      </c>
      <c r="F65" t="s">
        <v>1148</v>
      </c>
    </row>
    <row r="66" spans="1:6">
      <c r="A66" t="s">
        <v>1220</v>
      </c>
      <c r="B66" t="s">
        <v>728</v>
      </c>
      <c r="C66" s="3">
        <v>46158</v>
      </c>
      <c r="D66" t="s">
        <v>1174</v>
      </c>
      <c r="E66" s="4">
        <v>25.23</v>
      </c>
      <c r="F66" t="s">
        <v>1148</v>
      </c>
    </row>
    <row r="67" spans="1:6">
      <c r="A67" t="s">
        <v>1221</v>
      </c>
      <c r="B67" t="s">
        <v>731</v>
      </c>
      <c r="C67" s="3">
        <v>46194</v>
      </c>
      <c r="D67" t="s">
        <v>1155</v>
      </c>
      <c r="E67" s="4">
        <v>120.33</v>
      </c>
      <c r="F67" t="s">
        <v>1160</v>
      </c>
    </row>
    <row r="68" spans="1:6">
      <c r="A68" t="s">
        <v>1222</v>
      </c>
      <c r="B68" t="s">
        <v>743</v>
      </c>
      <c r="C68" s="3">
        <v>46164</v>
      </c>
      <c r="D68" t="s">
        <v>1152</v>
      </c>
      <c r="E68" s="4">
        <v>120.74</v>
      </c>
      <c r="F68" t="s">
        <v>1160</v>
      </c>
    </row>
    <row r="69" spans="1:6">
      <c r="A69" t="s">
        <v>1223</v>
      </c>
      <c r="B69" t="s">
        <v>752</v>
      </c>
      <c r="C69" s="3">
        <v>46154</v>
      </c>
      <c r="D69" t="s">
        <v>1147</v>
      </c>
      <c r="E69" s="4">
        <v>15</v>
      </c>
      <c r="F69" t="s">
        <v>1148</v>
      </c>
    </row>
    <row r="70" spans="1:6">
      <c r="A70" t="s">
        <v>1224</v>
      </c>
      <c r="B70" t="s">
        <v>765</v>
      </c>
      <c r="C70" s="3">
        <v>46178</v>
      </c>
      <c r="D70" t="s">
        <v>1158</v>
      </c>
      <c r="E70" s="4">
        <v>74.599999999999994</v>
      </c>
      <c r="F70" t="s">
        <v>1160</v>
      </c>
    </row>
    <row r="71" spans="1:6">
      <c r="A71" t="s">
        <v>1225</v>
      </c>
      <c r="B71" t="s">
        <v>767</v>
      </c>
      <c r="C71" s="3">
        <v>46154</v>
      </c>
      <c r="D71" t="s">
        <v>1147</v>
      </c>
      <c r="E71" s="4">
        <v>120.94</v>
      </c>
      <c r="F71" t="s">
        <v>1153</v>
      </c>
    </row>
    <row r="72" spans="1:6">
      <c r="A72" t="s">
        <v>1226</v>
      </c>
      <c r="B72" t="s">
        <v>778</v>
      </c>
      <c r="C72" s="3">
        <v>46156</v>
      </c>
      <c r="D72" t="s">
        <v>1155</v>
      </c>
      <c r="E72" s="4">
        <v>175.92</v>
      </c>
      <c r="F72" t="s">
        <v>1150</v>
      </c>
    </row>
    <row r="73" spans="1:6">
      <c r="A73" t="s">
        <v>1227</v>
      </c>
      <c r="B73" t="s">
        <v>783</v>
      </c>
      <c r="C73" s="3">
        <v>46211</v>
      </c>
      <c r="D73" t="s">
        <v>1147</v>
      </c>
      <c r="E73" s="4">
        <v>236.28</v>
      </c>
      <c r="F73" t="s">
        <v>1156</v>
      </c>
    </row>
    <row r="74" spans="1:6">
      <c r="A74" t="s">
        <v>1228</v>
      </c>
      <c r="B74" t="s">
        <v>791</v>
      </c>
      <c r="C74" s="3">
        <v>46211</v>
      </c>
      <c r="D74" t="s">
        <v>1158</v>
      </c>
      <c r="E74" s="4">
        <v>134.74</v>
      </c>
      <c r="F74" t="s">
        <v>1153</v>
      </c>
    </row>
    <row r="75" spans="1:6">
      <c r="A75" t="s">
        <v>1229</v>
      </c>
      <c r="B75" t="s">
        <v>795</v>
      </c>
      <c r="C75" s="3">
        <v>46221</v>
      </c>
      <c r="D75" t="s">
        <v>1147</v>
      </c>
      <c r="E75" s="4">
        <v>56.34</v>
      </c>
      <c r="F75" t="s">
        <v>1153</v>
      </c>
    </row>
    <row r="76" spans="1:6">
      <c r="A76" t="s">
        <v>1230</v>
      </c>
      <c r="B76" t="s">
        <v>807</v>
      </c>
      <c r="C76" s="3">
        <v>46166</v>
      </c>
      <c r="D76" t="s">
        <v>1155</v>
      </c>
      <c r="E76" s="4">
        <v>18.170000000000002</v>
      </c>
      <c r="F76" t="s">
        <v>1150</v>
      </c>
    </row>
    <row r="77" spans="1:6">
      <c r="A77" t="s">
        <v>1231</v>
      </c>
      <c r="B77" t="s">
        <v>815</v>
      </c>
      <c r="C77" s="3">
        <v>46202</v>
      </c>
      <c r="D77" t="s">
        <v>1158</v>
      </c>
      <c r="E77" s="4">
        <v>15</v>
      </c>
      <c r="F77" t="s">
        <v>1156</v>
      </c>
    </row>
    <row r="78" spans="1:6">
      <c r="A78" t="s">
        <v>1232</v>
      </c>
      <c r="B78" t="s">
        <v>816</v>
      </c>
      <c r="C78" s="3">
        <v>46167</v>
      </c>
      <c r="D78" t="s">
        <v>1152</v>
      </c>
      <c r="E78" s="4">
        <v>15</v>
      </c>
      <c r="F78" t="s">
        <v>1160</v>
      </c>
    </row>
    <row r="79" spans="1:6">
      <c r="A79" t="s">
        <v>1233</v>
      </c>
      <c r="B79" t="s">
        <v>816</v>
      </c>
      <c r="C79" s="3">
        <v>46173</v>
      </c>
      <c r="D79" t="s">
        <v>1152</v>
      </c>
      <c r="E79" s="4">
        <v>23.17</v>
      </c>
      <c r="F79" t="s">
        <v>1156</v>
      </c>
    </row>
    <row r="80" spans="1:6">
      <c r="A80" t="s">
        <v>1234</v>
      </c>
      <c r="B80" t="s">
        <v>821</v>
      </c>
      <c r="C80" s="3">
        <v>46187</v>
      </c>
      <c r="D80" t="s">
        <v>1152</v>
      </c>
      <c r="E80" s="4">
        <v>15</v>
      </c>
      <c r="F80" t="s">
        <v>1150</v>
      </c>
    </row>
    <row r="81" spans="1:6">
      <c r="A81" t="s">
        <v>1235</v>
      </c>
      <c r="B81" t="s">
        <v>825</v>
      </c>
      <c r="C81" s="3">
        <v>46184</v>
      </c>
      <c r="D81" t="s">
        <v>1147</v>
      </c>
      <c r="E81" s="4">
        <v>81.96</v>
      </c>
      <c r="F81" t="s">
        <v>1156</v>
      </c>
    </row>
    <row r="82" spans="1:6">
      <c r="A82" t="s">
        <v>1236</v>
      </c>
      <c r="B82" t="s">
        <v>830</v>
      </c>
      <c r="C82" s="3">
        <v>46207</v>
      </c>
      <c r="D82" t="s">
        <v>1147</v>
      </c>
      <c r="E82" s="4">
        <v>100.62</v>
      </c>
      <c r="F82" t="s">
        <v>1156</v>
      </c>
    </row>
    <row r="83" spans="1:6">
      <c r="A83" t="s">
        <v>1237</v>
      </c>
      <c r="B83" t="s">
        <v>833</v>
      </c>
      <c r="C83" s="3">
        <v>46215</v>
      </c>
      <c r="D83" t="s">
        <v>1152</v>
      </c>
      <c r="E83" s="4">
        <v>37.32</v>
      </c>
      <c r="F83" t="s">
        <v>1150</v>
      </c>
    </row>
    <row r="84" spans="1:6">
      <c r="A84" t="s">
        <v>1238</v>
      </c>
      <c r="B84" t="s">
        <v>833</v>
      </c>
      <c r="C84" s="3">
        <v>46214</v>
      </c>
      <c r="D84" t="s">
        <v>1147</v>
      </c>
      <c r="E84" s="4">
        <v>137.63999999999999</v>
      </c>
      <c r="F84" t="s">
        <v>1153</v>
      </c>
    </row>
    <row r="85" spans="1:6">
      <c r="A85" t="s">
        <v>1239</v>
      </c>
      <c r="B85" t="s">
        <v>838</v>
      </c>
      <c r="C85" s="3">
        <v>46154</v>
      </c>
      <c r="D85" t="s">
        <v>1147</v>
      </c>
      <c r="E85" s="4">
        <v>166.52</v>
      </c>
      <c r="F85" t="s">
        <v>1153</v>
      </c>
    </row>
    <row r="86" spans="1:6">
      <c r="A86" t="s">
        <v>1240</v>
      </c>
      <c r="B86" t="s">
        <v>845</v>
      </c>
      <c r="C86" s="3">
        <v>46170</v>
      </c>
      <c r="D86" t="s">
        <v>1147</v>
      </c>
      <c r="E86" s="4">
        <v>92.66</v>
      </c>
      <c r="F86" t="s">
        <v>1160</v>
      </c>
    </row>
    <row r="87" spans="1:6">
      <c r="A87" t="s">
        <v>1241</v>
      </c>
      <c r="B87" t="s">
        <v>857</v>
      </c>
      <c r="C87" s="3">
        <v>46173</v>
      </c>
      <c r="D87" t="s">
        <v>1152</v>
      </c>
      <c r="E87" s="4">
        <v>67.33</v>
      </c>
      <c r="F87" t="s">
        <v>1156</v>
      </c>
    </row>
    <row r="88" spans="1:6">
      <c r="A88" t="s">
        <v>1242</v>
      </c>
      <c r="B88" t="s">
        <v>868</v>
      </c>
      <c r="C88" s="3">
        <v>46151</v>
      </c>
      <c r="D88" t="s">
        <v>1158</v>
      </c>
      <c r="E88" s="4">
        <v>163.05000000000001</v>
      </c>
      <c r="F88" t="s">
        <v>1150</v>
      </c>
    </row>
    <row r="89" spans="1:6">
      <c r="A89" t="s">
        <v>1243</v>
      </c>
      <c r="B89" t="s">
        <v>868</v>
      </c>
      <c r="C89" s="3">
        <v>46164</v>
      </c>
      <c r="D89" t="s">
        <v>1147</v>
      </c>
      <c r="E89" s="4">
        <v>123.17</v>
      </c>
      <c r="F89" t="s">
        <v>1153</v>
      </c>
    </row>
    <row r="90" spans="1:6">
      <c r="A90" t="s">
        <v>1244</v>
      </c>
      <c r="B90" t="s">
        <v>888</v>
      </c>
      <c r="C90" s="3">
        <v>46153</v>
      </c>
      <c r="D90" t="s">
        <v>1147</v>
      </c>
      <c r="E90" s="4">
        <v>62.47</v>
      </c>
      <c r="F90" t="s">
        <v>1160</v>
      </c>
    </row>
    <row r="91" spans="1:6">
      <c r="A91" t="s">
        <v>1245</v>
      </c>
      <c r="B91" t="s">
        <v>888</v>
      </c>
      <c r="C91" s="3">
        <v>46142</v>
      </c>
      <c r="D91" t="s">
        <v>1147</v>
      </c>
      <c r="E91" s="4">
        <v>170.2</v>
      </c>
      <c r="F91" t="s">
        <v>1148</v>
      </c>
    </row>
    <row r="92" spans="1:6">
      <c r="A92" t="s">
        <v>1246</v>
      </c>
      <c r="B92" t="s">
        <v>892</v>
      </c>
      <c r="C92" s="3">
        <v>46193</v>
      </c>
      <c r="D92" t="s">
        <v>1147</v>
      </c>
      <c r="E92" s="4">
        <v>62.3</v>
      </c>
      <c r="F92" t="s">
        <v>1148</v>
      </c>
    </row>
    <row r="93" spans="1:6">
      <c r="A93" t="s">
        <v>1247</v>
      </c>
      <c r="B93" t="s">
        <v>892</v>
      </c>
      <c r="C93" s="3">
        <v>46195</v>
      </c>
      <c r="D93" t="s">
        <v>1147</v>
      </c>
      <c r="E93" s="4">
        <v>110.94</v>
      </c>
      <c r="F93" t="s">
        <v>1156</v>
      </c>
    </row>
    <row r="94" spans="1:6">
      <c r="A94" t="s">
        <v>1248</v>
      </c>
      <c r="B94" t="s">
        <v>895</v>
      </c>
      <c r="C94" s="3">
        <v>46145</v>
      </c>
      <c r="D94" t="s">
        <v>1155</v>
      </c>
      <c r="E94" s="4">
        <v>79.78</v>
      </c>
      <c r="F94" t="s">
        <v>1150</v>
      </c>
    </row>
    <row r="95" spans="1:6">
      <c r="A95" t="s">
        <v>1249</v>
      </c>
      <c r="B95" t="s">
        <v>898</v>
      </c>
      <c r="C95" s="3">
        <v>46178</v>
      </c>
      <c r="D95" t="s">
        <v>1147</v>
      </c>
      <c r="E95" s="4">
        <v>43.39</v>
      </c>
      <c r="F95" t="s">
        <v>1148</v>
      </c>
    </row>
    <row r="96" spans="1:6">
      <c r="A96" t="s">
        <v>1250</v>
      </c>
      <c r="B96" t="s">
        <v>902</v>
      </c>
      <c r="C96" s="3">
        <v>46219</v>
      </c>
      <c r="D96" t="s">
        <v>1147</v>
      </c>
      <c r="E96" s="4">
        <v>49.62</v>
      </c>
      <c r="F96" t="s">
        <v>1156</v>
      </c>
    </row>
    <row r="97" spans="1:6">
      <c r="A97" t="s">
        <v>1251</v>
      </c>
      <c r="B97" t="s">
        <v>907</v>
      </c>
      <c r="C97" s="3">
        <v>46180</v>
      </c>
      <c r="D97" t="s">
        <v>1152</v>
      </c>
      <c r="E97" s="4">
        <v>121.43</v>
      </c>
      <c r="F97" t="s">
        <v>1150</v>
      </c>
    </row>
    <row r="98" spans="1:6">
      <c r="A98" t="s">
        <v>1252</v>
      </c>
      <c r="B98" t="s">
        <v>907</v>
      </c>
      <c r="C98" s="3">
        <v>46180</v>
      </c>
      <c r="D98" t="s">
        <v>1152</v>
      </c>
      <c r="E98" s="4">
        <v>164.19</v>
      </c>
      <c r="F98" t="s">
        <v>1148</v>
      </c>
    </row>
    <row r="99" spans="1:6">
      <c r="A99" t="s">
        <v>1253</v>
      </c>
      <c r="B99" t="s">
        <v>915</v>
      </c>
      <c r="C99" s="3">
        <v>46174</v>
      </c>
      <c r="D99" t="s">
        <v>1147</v>
      </c>
      <c r="E99" s="4">
        <v>40.14</v>
      </c>
      <c r="F99" t="s">
        <v>1150</v>
      </c>
    </row>
    <row r="100" spans="1:6">
      <c r="A100" t="s">
        <v>1254</v>
      </c>
      <c r="B100" t="s">
        <v>927</v>
      </c>
      <c r="C100" s="3">
        <v>46130</v>
      </c>
      <c r="D100" t="s">
        <v>1147</v>
      </c>
      <c r="E100" s="4">
        <v>15</v>
      </c>
      <c r="F100" t="s">
        <v>1153</v>
      </c>
    </row>
    <row r="101" spans="1:6">
      <c r="A101" t="s">
        <v>1255</v>
      </c>
      <c r="B101" t="s">
        <v>942</v>
      </c>
      <c r="C101" s="3">
        <v>46222</v>
      </c>
      <c r="D101" t="s">
        <v>1147</v>
      </c>
      <c r="E101" s="4">
        <v>40.08</v>
      </c>
      <c r="F101" t="s">
        <v>1148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7"/>
  <sheetViews>
    <sheetView workbookViewId="0">
      <selection activeCell="C1" sqref="C1"/>
    </sheetView>
  </sheetViews>
  <sheetFormatPr baseColWidth="10" defaultColWidth="8.83203125" defaultRowHeight="15"/>
  <cols>
    <col min="1" max="1" width="14.6640625" customWidth="1"/>
    <col min="2" max="2" width="8.1640625" customWidth="1"/>
    <col min="3" max="3" width="16.5" customWidth="1"/>
    <col min="4" max="4" width="30" customWidth="1"/>
    <col min="5" max="6" width="19.1640625" customWidth="1"/>
  </cols>
  <sheetData>
    <row r="1" spans="1:6">
      <c r="A1" s="2" t="s">
        <v>1256</v>
      </c>
      <c r="B1" s="2" t="s">
        <v>100</v>
      </c>
      <c r="C1" s="2" t="s">
        <v>1257</v>
      </c>
      <c r="D1" s="2" t="s">
        <v>1258</v>
      </c>
      <c r="E1" s="2" t="s">
        <v>1259</v>
      </c>
      <c r="F1" s="2" t="s">
        <v>129</v>
      </c>
    </row>
    <row r="2" spans="1:6">
      <c r="A2" t="s">
        <v>1260</v>
      </c>
      <c r="B2" t="s">
        <v>188</v>
      </c>
      <c r="C2" s="3">
        <v>46221</v>
      </c>
      <c r="D2" t="s">
        <v>1261</v>
      </c>
      <c r="E2" s="4">
        <v>176.35</v>
      </c>
      <c r="F2" s="4">
        <v>1086.74</v>
      </c>
    </row>
    <row r="3" spans="1:6">
      <c r="A3" t="s">
        <v>1262</v>
      </c>
      <c r="B3" t="s">
        <v>206</v>
      </c>
      <c r="C3" s="3">
        <v>46136</v>
      </c>
      <c r="D3" t="s">
        <v>1263</v>
      </c>
      <c r="E3" s="4">
        <v>56.37</v>
      </c>
      <c r="F3" s="4">
        <v>166.41</v>
      </c>
    </row>
    <row r="4" spans="1:6">
      <c r="A4" t="s">
        <v>1264</v>
      </c>
      <c r="B4" t="s">
        <v>226</v>
      </c>
      <c r="C4" s="3">
        <v>46194</v>
      </c>
      <c r="D4" t="s">
        <v>1261</v>
      </c>
      <c r="E4" s="4">
        <v>87.4</v>
      </c>
      <c r="F4" s="4">
        <v>783.33</v>
      </c>
    </row>
    <row r="5" spans="1:6">
      <c r="A5" t="s">
        <v>1265</v>
      </c>
      <c r="B5" t="s">
        <v>246</v>
      </c>
      <c r="C5" s="3">
        <v>46195</v>
      </c>
      <c r="D5" t="s">
        <v>1261</v>
      </c>
      <c r="E5" s="4">
        <v>58.97</v>
      </c>
      <c r="F5" s="4">
        <v>312.54000000000002</v>
      </c>
    </row>
    <row r="6" spans="1:6">
      <c r="A6" t="s">
        <v>1266</v>
      </c>
      <c r="B6" t="s">
        <v>277</v>
      </c>
      <c r="C6" s="3">
        <v>46135</v>
      </c>
      <c r="D6" t="s">
        <v>1263</v>
      </c>
      <c r="E6" s="4">
        <v>120.25</v>
      </c>
      <c r="F6" s="4">
        <v>1080.57</v>
      </c>
    </row>
    <row r="7" spans="1:6">
      <c r="A7" t="s">
        <v>1267</v>
      </c>
      <c r="B7" t="s">
        <v>292</v>
      </c>
      <c r="C7" s="3">
        <v>46154</v>
      </c>
      <c r="D7" t="s">
        <v>1268</v>
      </c>
      <c r="E7" s="4">
        <v>66</v>
      </c>
      <c r="F7" s="4">
        <v>951.32</v>
      </c>
    </row>
    <row r="8" spans="1:6">
      <c r="A8" t="s">
        <v>1269</v>
      </c>
      <c r="B8" t="s">
        <v>295</v>
      </c>
      <c r="C8" s="3">
        <v>46173</v>
      </c>
      <c r="D8" t="s">
        <v>1268</v>
      </c>
      <c r="E8" s="4">
        <v>164.93</v>
      </c>
      <c r="F8" s="4">
        <v>949.12</v>
      </c>
    </row>
    <row r="9" spans="1:6">
      <c r="A9" t="s">
        <v>1270</v>
      </c>
      <c r="B9" t="s">
        <v>296</v>
      </c>
      <c r="C9" s="3">
        <v>46181</v>
      </c>
      <c r="D9" t="s">
        <v>1271</v>
      </c>
      <c r="E9" s="4">
        <v>88.51</v>
      </c>
      <c r="F9" s="4">
        <v>555.62</v>
      </c>
    </row>
    <row r="10" spans="1:6">
      <c r="A10" t="s">
        <v>1272</v>
      </c>
      <c r="B10" t="s">
        <v>298</v>
      </c>
      <c r="C10" s="3">
        <v>46157</v>
      </c>
      <c r="D10" t="s">
        <v>1273</v>
      </c>
      <c r="E10" s="4">
        <v>102.19</v>
      </c>
      <c r="F10" s="4">
        <v>52.07</v>
      </c>
    </row>
    <row r="11" spans="1:6">
      <c r="A11" t="s">
        <v>1274</v>
      </c>
      <c r="B11" t="s">
        <v>299</v>
      </c>
      <c r="C11" s="3">
        <v>46178</v>
      </c>
      <c r="D11" t="s">
        <v>1261</v>
      </c>
      <c r="E11" s="4">
        <v>78.010000000000005</v>
      </c>
      <c r="F11" s="4">
        <v>1804.7</v>
      </c>
    </row>
    <row r="12" spans="1:6">
      <c r="A12" t="s">
        <v>1275</v>
      </c>
      <c r="B12" t="s">
        <v>351</v>
      </c>
      <c r="C12" s="3">
        <v>46150</v>
      </c>
      <c r="D12" t="s">
        <v>1268</v>
      </c>
      <c r="E12" s="4">
        <v>4.41</v>
      </c>
      <c r="F12" s="4">
        <v>937.58</v>
      </c>
    </row>
    <row r="13" spans="1:6">
      <c r="A13" t="s">
        <v>1276</v>
      </c>
      <c r="B13" t="s">
        <v>407</v>
      </c>
      <c r="C13" s="3">
        <v>46147</v>
      </c>
      <c r="D13" t="s">
        <v>1273</v>
      </c>
      <c r="E13" s="4">
        <v>81.45</v>
      </c>
      <c r="F13" s="4">
        <v>1290.49</v>
      </c>
    </row>
    <row r="14" spans="1:6">
      <c r="A14" t="s">
        <v>1277</v>
      </c>
      <c r="B14" t="s">
        <v>427</v>
      </c>
      <c r="C14" s="3">
        <v>46149</v>
      </c>
      <c r="D14" t="s">
        <v>1263</v>
      </c>
      <c r="E14" s="4">
        <v>146</v>
      </c>
      <c r="F14" s="4">
        <v>2104.83</v>
      </c>
    </row>
    <row r="15" spans="1:6">
      <c r="A15" t="s">
        <v>1278</v>
      </c>
      <c r="B15" t="s">
        <v>454</v>
      </c>
      <c r="C15" s="3">
        <v>46217</v>
      </c>
      <c r="D15" t="s">
        <v>1268</v>
      </c>
      <c r="E15" s="4">
        <v>93.69</v>
      </c>
      <c r="F15" s="4">
        <v>806.16</v>
      </c>
    </row>
    <row r="16" spans="1:6">
      <c r="A16" t="s">
        <v>1279</v>
      </c>
      <c r="B16" t="s">
        <v>468</v>
      </c>
      <c r="C16" s="3">
        <v>46151</v>
      </c>
      <c r="D16" t="s">
        <v>1280</v>
      </c>
      <c r="E16" s="4">
        <v>74.67</v>
      </c>
      <c r="F16" s="4">
        <v>585.49</v>
      </c>
    </row>
    <row r="17" spans="1:6">
      <c r="A17" t="s">
        <v>1281</v>
      </c>
      <c r="B17" t="s">
        <v>502</v>
      </c>
      <c r="C17" s="3">
        <v>46144</v>
      </c>
      <c r="D17" t="s">
        <v>1280</v>
      </c>
      <c r="E17" s="4">
        <v>117.97</v>
      </c>
      <c r="F17" s="4">
        <v>350</v>
      </c>
    </row>
    <row r="18" spans="1:6">
      <c r="A18" t="s">
        <v>1282</v>
      </c>
      <c r="B18" t="s">
        <v>505</v>
      </c>
      <c r="C18" s="3">
        <v>46189</v>
      </c>
      <c r="D18" t="s">
        <v>1263</v>
      </c>
      <c r="E18" s="4">
        <v>136.11000000000001</v>
      </c>
      <c r="F18" s="4">
        <v>930.93</v>
      </c>
    </row>
    <row r="19" spans="1:6">
      <c r="A19" t="s">
        <v>1283</v>
      </c>
      <c r="B19" t="s">
        <v>510</v>
      </c>
      <c r="C19" s="3">
        <v>46162</v>
      </c>
      <c r="D19" t="s">
        <v>1271</v>
      </c>
      <c r="E19" s="4">
        <v>52.31</v>
      </c>
      <c r="F19" s="4">
        <v>1101.51</v>
      </c>
    </row>
    <row r="20" spans="1:6">
      <c r="A20" t="s">
        <v>1284</v>
      </c>
      <c r="B20" t="s">
        <v>531</v>
      </c>
      <c r="C20" s="3">
        <v>46226</v>
      </c>
      <c r="D20" t="s">
        <v>1263</v>
      </c>
      <c r="E20" s="4">
        <v>120.12</v>
      </c>
      <c r="F20" s="4">
        <v>645.30999999999995</v>
      </c>
    </row>
    <row r="21" spans="1:6">
      <c r="A21" t="s">
        <v>1285</v>
      </c>
      <c r="B21" t="s">
        <v>571</v>
      </c>
      <c r="C21" s="3">
        <v>46160</v>
      </c>
      <c r="D21" t="s">
        <v>1268</v>
      </c>
      <c r="E21" s="4">
        <v>38.340000000000003</v>
      </c>
      <c r="F21" s="4">
        <v>0</v>
      </c>
    </row>
    <row r="22" spans="1:6">
      <c r="A22" t="s">
        <v>1286</v>
      </c>
      <c r="B22" t="s">
        <v>587</v>
      </c>
      <c r="C22" s="3">
        <v>46176</v>
      </c>
      <c r="D22" t="s">
        <v>1261</v>
      </c>
      <c r="E22" s="4">
        <v>84.92</v>
      </c>
      <c r="F22" s="4">
        <v>567.99</v>
      </c>
    </row>
    <row r="23" spans="1:6">
      <c r="A23" t="s">
        <v>1287</v>
      </c>
      <c r="B23" t="s">
        <v>633</v>
      </c>
      <c r="C23" s="3">
        <v>46173</v>
      </c>
      <c r="D23" t="s">
        <v>1268</v>
      </c>
      <c r="E23" s="4">
        <v>108.98</v>
      </c>
      <c r="F23" s="4">
        <v>699.07</v>
      </c>
    </row>
    <row r="24" spans="1:6">
      <c r="A24" t="s">
        <v>1288</v>
      </c>
      <c r="B24" t="s">
        <v>706</v>
      </c>
      <c r="C24" s="3">
        <v>46200</v>
      </c>
      <c r="D24" t="s">
        <v>1280</v>
      </c>
      <c r="E24" s="4">
        <v>77</v>
      </c>
      <c r="F24" s="4">
        <v>415.56</v>
      </c>
    </row>
    <row r="25" spans="1:6">
      <c r="A25" t="s">
        <v>1289</v>
      </c>
      <c r="B25" t="s">
        <v>715</v>
      </c>
      <c r="C25" s="3">
        <v>46165</v>
      </c>
      <c r="D25" t="s">
        <v>1280</v>
      </c>
      <c r="E25" s="4">
        <v>76.27</v>
      </c>
      <c r="F25" s="4">
        <v>766.94</v>
      </c>
    </row>
    <row r="26" spans="1:6">
      <c r="A26" t="s">
        <v>1290</v>
      </c>
      <c r="B26" t="s">
        <v>753</v>
      </c>
      <c r="C26" s="3">
        <v>46197</v>
      </c>
      <c r="D26" t="s">
        <v>1263</v>
      </c>
      <c r="E26" s="4">
        <v>53.48</v>
      </c>
      <c r="F26" s="4">
        <v>244.1</v>
      </c>
    </row>
    <row r="27" spans="1:6">
      <c r="A27" t="s">
        <v>1291</v>
      </c>
      <c r="B27" t="s">
        <v>756</v>
      </c>
      <c r="C27" s="3">
        <v>46155</v>
      </c>
      <c r="D27" t="s">
        <v>1271</v>
      </c>
      <c r="E27" s="4">
        <v>88.43</v>
      </c>
      <c r="F27" s="4">
        <v>847.07</v>
      </c>
    </row>
    <row r="28" spans="1:6">
      <c r="A28" t="s">
        <v>1292</v>
      </c>
      <c r="B28" t="s">
        <v>759</v>
      </c>
      <c r="C28" s="3">
        <v>46155</v>
      </c>
      <c r="D28" t="s">
        <v>1280</v>
      </c>
      <c r="E28" s="4">
        <v>133.41999999999999</v>
      </c>
      <c r="F28" s="4">
        <v>324.14</v>
      </c>
    </row>
    <row r="29" spans="1:6">
      <c r="A29" t="s">
        <v>1293</v>
      </c>
      <c r="B29" t="s">
        <v>770</v>
      </c>
      <c r="C29" s="3">
        <v>46200</v>
      </c>
      <c r="D29" t="s">
        <v>1280</v>
      </c>
      <c r="E29" s="4">
        <v>40.58</v>
      </c>
      <c r="F29" s="4">
        <v>1910.03</v>
      </c>
    </row>
    <row r="30" spans="1:6">
      <c r="A30" t="s">
        <v>1294</v>
      </c>
      <c r="B30" t="s">
        <v>799</v>
      </c>
      <c r="C30" s="3">
        <v>46170</v>
      </c>
      <c r="D30" t="s">
        <v>1273</v>
      </c>
      <c r="E30" s="4">
        <v>22.27</v>
      </c>
      <c r="F30" s="4">
        <v>0</v>
      </c>
    </row>
    <row r="31" spans="1:6">
      <c r="A31" t="s">
        <v>1295</v>
      </c>
      <c r="B31" t="s">
        <v>802</v>
      </c>
      <c r="C31" s="3">
        <v>46209</v>
      </c>
      <c r="D31" t="s">
        <v>1273</v>
      </c>
      <c r="E31" s="4">
        <v>104.04</v>
      </c>
      <c r="F31" s="4">
        <v>445.51</v>
      </c>
    </row>
    <row r="32" spans="1:6">
      <c r="A32" t="s">
        <v>1296</v>
      </c>
      <c r="B32" t="s">
        <v>871</v>
      </c>
      <c r="C32" s="3">
        <v>46159</v>
      </c>
      <c r="D32" t="s">
        <v>1273</v>
      </c>
      <c r="E32" s="4">
        <v>32.36</v>
      </c>
      <c r="F32" s="4">
        <v>236.09</v>
      </c>
    </row>
    <row r="33" spans="1:6">
      <c r="A33" t="s">
        <v>1297</v>
      </c>
      <c r="B33" t="s">
        <v>882</v>
      </c>
      <c r="C33" s="3">
        <v>46156</v>
      </c>
      <c r="D33" t="s">
        <v>1280</v>
      </c>
      <c r="E33" s="4">
        <v>122.22</v>
      </c>
      <c r="F33" s="4">
        <v>872.27</v>
      </c>
    </row>
    <row r="34" spans="1:6">
      <c r="A34" t="s">
        <v>1298</v>
      </c>
      <c r="B34" t="s">
        <v>897</v>
      </c>
      <c r="C34" s="3">
        <v>46147</v>
      </c>
      <c r="D34" t="s">
        <v>1273</v>
      </c>
      <c r="E34" s="4">
        <v>82.75</v>
      </c>
      <c r="F34" s="4">
        <v>1039.6300000000001</v>
      </c>
    </row>
    <row r="35" spans="1:6">
      <c r="A35" t="s">
        <v>1299</v>
      </c>
      <c r="B35" t="s">
        <v>911</v>
      </c>
      <c r="C35" s="3">
        <v>46203</v>
      </c>
      <c r="D35" t="s">
        <v>1263</v>
      </c>
      <c r="E35" s="4">
        <v>6.71</v>
      </c>
      <c r="F35" s="4">
        <v>350.3</v>
      </c>
    </row>
    <row r="36" spans="1:6">
      <c r="A36" t="s">
        <v>1300</v>
      </c>
      <c r="B36" t="s">
        <v>944</v>
      </c>
      <c r="C36" s="3">
        <v>46186</v>
      </c>
      <c r="D36" t="s">
        <v>1280</v>
      </c>
      <c r="E36" s="4">
        <v>82.8</v>
      </c>
      <c r="F36" s="4">
        <v>745.92</v>
      </c>
    </row>
    <row r="37" spans="1:6">
      <c r="A37" t="s">
        <v>1301</v>
      </c>
      <c r="B37" t="s">
        <v>952</v>
      </c>
      <c r="C37" s="3">
        <v>46225</v>
      </c>
      <c r="D37" t="s">
        <v>1273</v>
      </c>
      <c r="E37" s="4">
        <v>47.72</v>
      </c>
      <c r="F37" s="4">
        <v>236.32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40"/>
  <sheetViews>
    <sheetView workbookViewId="0">
      <selection activeCell="I6" sqref="I6"/>
    </sheetView>
  </sheetViews>
  <sheetFormatPr baseColWidth="10" defaultColWidth="8.83203125" defaultRowHeight="15"/>
  <cols>
    <col min="1" max="4" width="18" customWidth="1"/>
    <col min="5" max="8" width="22" customWidth="1"/>
    <col min="9" max="9" width="48" customWidth="1"/>
  </cols>
  <sheetData>
    <row r="1" spans="1:9" ht="16">
      <c r="A1" s="8" t="s">
        <v>1312</v>
      </c>
      <c r="B1" s="8" t="s">
        <v>100</v>
      </c>
      <c r="C1" s="8" t="s">
        <v>101</v>
      </c>
      <c r="D1" s="8" t="s">
        <v>1313</v>
      </c>
      <c r="E1" s="8" t="s">
        <v>1314</v>
      </c>
      <c r="F1" s="8" t="s">
        <v>1315</v>
      </c>
      <c r="G1" s="8" t="s">
        <v>1316</v>
      </c>
      <c r="H1" s="8" t="s">
        <v>1317</v>
      </c>
      <c r="I1" s="9" t="s">
        <v>1318</v>
      </c>
    </row>
    <row r="2" spans="1:9">
      <c r="A2" t="s">
        <v>1319</v>
      </c>
      <c r="B2" t="s">
        <v>454</v>
      </c>
      <c r="C2" t="s">
        <v>452</v>
      </c>
      <c r="D2" s="3">
        <v>46239</v>
      </c>
      <c r="E2">
        <v>1</v>
      </c>
      <c r="F2">
        <v>2</v>
      </c>
      <c r="G2">
        <v>2</v>
      </c>
      <c r="H2">
        <v>1</v>
      </c>
    </row>
    <row r="3" spans="1:9">
      <c r="A3" t="s">
        <v>1320</v>
      </c>
      <c r="B3" t="s">
        <v>889</v>
      </c>
      <c r="C3" t="s">
        <v>890</v>
      </c>
      <c r="D3" s="3">
        <v>46214</v>
      </c>
      <c r="E3">
        <v>4</v>
      </c>
      <c r="F3">
        <v>4</v>
      </c>
      <c r="G3">
        <v>4</v>
      </c>
      <c r="H3">
        <v>3</v>
      </c>
    </row>
    <row r="4" spans="1:9">
      <c r="A4" t="s">
        <v>1321</v>
      </c>
      <c r="B4" t="s">
        <v>778</v>
      </c>
      <c r="C4" t="s">
        <v>776</v>
      </c>
      <c r="D4" s="3">
        <v>46179</v>
      </c>
      <c r="E4">
        <v>4</v>
      </c>
      <c r="F4">
        <v>3</v>
      </c>
      <c r="G4">
        <v>3</v>
      </c>
      <c r="H4">
        <v>5</v>
      </c>
    </row>
    <row r="5" spans="1:9">
      <c r="A5" t="s">
        <v>1322</v>
      </c>
      <c r="B5" t="s">
        <v>258</v>
      </c>
      <c r="C5" t="s">
        <v>256</v>
      </c>
      <c r="D5" s="3">
        <v>46236</v>
      </c>
      <c r="E5">
        <v>5</v>
      </c>
      <c r="F5">
        <v>5</v>
      </c>
      <c r="G5">
        <v>4</v>
      </c>
      <c r="H5">
        <v>5</v>
      </c>
    </row>
    <row r="6" spans="1:9">
      <c r="A6" t="s">
        <v>1323</v>
      </c>
      <c r="B6" t="s">
        <v>810</v>
      </c>
      <c r="C6" t="s">
        <v>808</v>
      </c>
      <c r="D6" s="3">
        <v>46182</v>
      </c>
      <c r="E6">
        <v>5</v>
      </c>
      <c r="F6">
        <v>5</v>
      </c>
      <c r="G6">
        <v>5</v>
      </c>
      <c r="H6">
        <v>5</v>
      </c>
      <c r="I6" t="s">
        <v>1324</v>
      </c>
    </row>
    <row r="7" spans="1:9">
      <c r="A7" t="s">
        <v>1325</v>
      </c>
      <c r="B7" t="s">
        <v>156</v>
      </c>
      <c r="C7" t="s">
        <v>136</v>
      </c>
      <c r="D7" s="3">
        <v>46183</v>
      </c>
      <c r="E7">
        <v>5</v>
      </c>
      <c r="F7">
        <v>5</v>
      </c>
      <c r="G7">
        <v>5</v>
      </c>
      <c r="H7">
        <v>5</v>
      </c>
    </row>
    <row r="8" spans="1:9">
      <c r="A8" t="s">
        <v>1326</v>
      </c>
      <c r="B8" t="s">
        <v>334</v>
      </c>
      <c r="C8" t="s">
        <v>333</v>
      </c>
      <c r="D8" s="3">
        <v>46226</v>
      </c>
      <c r="E8">
        <v>5</v>
      </c>
      <c r="F8">
        <v>5</v>
      </c>
      <c r="G8">
        <v>4</v>
      </c>
      <c r="H8">
        <v>5</v>
      </c>
      <c r="I8" t="s">
        <v>1324</v>
      </c>
    </row>
    <row r="9" spans="1:9">
      <c r="A9" t="s">
        <v>1327</v>
      </c>
      <c r="B9" t="s">
        <v>198</v>
      </c>
      <c r="C9" t="s">
        <v>192</v>
      </c>
      <c r="D9" s="3">
        <v>46191</v>
      </c>
      <c r="E9">
        <v>4</v>
      </c>
      <c r="F9">
        <v>3</v>
      </c>
      <c r="G9">
        <v>4</v>
      </c>
      <c r="H9">
        <v>3</v>
      </c>
    </row>
    <row r="10" spans="1:9">
      <c r="A10" t="s">
        <v>1328</v>
      </c>
      <c r="B10" t="s">
        <v>507</v>
      </c>
      <c r="C10" t="s">
        <v>508</v>
      </c>
      <c r="D10" s="3">
        <v>46191</v>
      </c>
      <c r="E10">
        <v>4</v>
      </c>
      <c r="F10">
        <v>4</v>
      </c>
      <c r="G10">
        <v>4</v>
      </c>
      <c r="H10">
        <v>4</v>
      </c>
      <c r="I10" t="s">
        <v>1329</v>
      </c>
    </row>
    <row r="11" spans="1:9">
      <c r="A11" t="s">
        <v>1330</v>
      </c>
      <c r="B11" t="s">
        <v>135</v>
      </c>
      <c r="C11" t="s">
        <v>136</v>
      </c>
      <c r="D11" s="3">
        <v>46198</v>
      </c>
      <c r="E11">
        <v>5</v>
      </c>
      <c r="F11">
        <v>5</v>
      </c>
      <c r="G11">
        <v>5</v>
      </c>
      <c r="H11">
        <v>5</v>
      </c>
    </row>
    <row r="12" spans="1:9">
      <c r="A12" t="s">
        <v>1331</v>
      </c>
      <c r="B12" t="s">
        <v>710</v>
      </c>
      <c r="C12" t="s">
        <v>709</v>
      </c>
      <c r="D12" s="3">
        <v>46150</v>
      </c>
      <c r="E12">
        <v>5</v>
      </c>
      <c r="F12">
        <v>5</v>
      </c>
      <c r="G12">
        <v>4</v>
      </c>
      <c r="H12">
        <v>5</v>
      </c>
      <c r="I12" t="s">
        <v>1332</v>
      </c>
    </row>
    <row r="13" spans="1:9">
      <c r="A13" t="s">
        <v>1333</v>
      </c>
      <c r="B13" t="s">
        <v>599</v>
      </c>
      <c r="C13" t="s">
        <v>600</v>
      </c>
      <c r="D13" s="3">
        <v>46166</v>
      </c>
      <c r="E13">
        <v>5</v>
      </c>
      <c r="F13">
        <v>4</v>
      </c>
      <c r="G13">
        <v>5</v>
      </c>
      <c r="H13">
        <v>5</v>
      </c>
    </row>
    <row r="14" spans="1:9">
      <c r="A14" t="s">
        <v>1334</v>
      </c>
      <c r="B14" t="s">
        <v>915</v>
      </c>
      <c r="C14" t="s">
        <v>910</v>
      </c>
      <c r="D14" s="3">
        <v>46194</v>
      </c>
      <c r="E14">
        <v>4</v>
      </c>
      <c r="F14">
        <v>4</v>
      </c>
      <c r="G14">
        <v>3</v>
      </c>
      <c r="H14">
        <v>5</v>
      </c>
      <c r="I14" t="s">
        <v>1335</v>
      </c>
    </row>
    <row r="15" spans="1:9">
      <c r="A15" t="s">
        <v>1336</v>
      </c>
      <c r="B15" t="s">
        <v>437</v>
      </c>
      <c r="C15" t="s">
        <v>435</v>
      </c>
      <c r="D15" s="3">
        <v>46217</v>
      </c>
      <c r="E15">
        <v>5</v>
      </c>
      <c r="F15">
        <v>5</v>
      </c>
      <c r="G15">
        <v>5</v>
      </c>
      <c r="H15">
        <v>5</v>
      </c>
    </row>
    <row r="16" spans="1:9">
      <c r="A16" t="s">
        <v>1337</v>
      </c>
      <c r="B16" t="s">
        <v>846</v>
      </c>
      <c r="C16" t="s">
        <v>844</v>
      </c>
      <c r="D16" s="3">
        <v>46149</v>
      </c>
      <c r="E16">
        <v>5</v>
      </c>
      <c r="F16">
        <v>5</v>
      </c>
      <c r="G16">
        <v>4</v>
      </c>
      <c r="H16">
        <v>5</v>
      </c>
    </row>
    <row r="17" spans="1:9">
      <c r="A17" t="s">
        <v>1338</v>
      </c>
      <c r="B17" t="s">
        <v>374</v>
      </c>
      <c r="C17" t="s">
        <v>371</v>
      </c>
      <c r="D17" s="3">
        <v>46177</v>
      </c>
      <c r="E17">
        <v>5</v>
      </c>
      <c r="F17">
        <v>5</v>
      </c>
      <c r="G17">
        <v>5</v>
      </c>
      <c r="H17">
        <v>4</v>
      </c>
      <c r="I17" t="s">
        <v>1324</v>
      </c>
    </row>
    <row r="18" spans="1:9">
      <c r="A18" t="s">
        <v>1339</v>
      </c>
      <c r="B18" t="s">
        <v>667</v>
      </c>
      <c r="C18" t="s">
        <v>666</v>
      </c>
      <c r="D18" s="3">
        <v>46197</v>
      </c>
      <c r="E18">
        <v>5</v>
      </c>
      <c r="F18">
        <v>5</v>
      </c>
      <c r="G18">
        <v>5</v>
      </c>
      <c r="H18">
        <v>4</v>
      </c>
    </row>
    <row r="19" spans="1:9">
      <c r="A19" t="s">
        <v>1340</v>
      </c>
      <c r="B19" t="s">
        <v>315</v>
      </c>
      <c r="C19" t="s">
        <v>314</v>
      </c>
      <c r="D19" s="3">
        <v>46223</v>
      </c>
      <c r="E19">
        <v>5</v>
      </c>
      <c r="F19">
        <v>5</v>
      </c>
      <c r="G19">
        <v>4</v>
      </c>
      <c r="H19">
        <v>5</v>
      </c>
      <c r="I19" t="s">
        <v>1332</v>
      </c>
    </row>
    <row r="20" spans="1:9">
      <c r="A20" t="s">
        <v>1341</v>
      </c>
      <c r="B20" t="s">
        <v>632</v>
      </c>
      <c r="C20" t="s">
        <v>630</v>
      </c>
      <c r="D20" s="3">
        <v>46181</v>
      </c>
      <c r="E20">
        <v>5</v>
      </c>
      <c r="F20">
        <v>4</v>
      </c>
      <c r="G20">
        <v>5</v>
      </c>
      <c r="H20">
        <v>4</v>
      </c>
    </row>
    <row r="21" spans="1:9">
      <c r="A21" t="s">
        <v>1342</v>
      </c>
      <c r="B21" t="s">
        <v>590</v>
      </c>
      <c r="C21" t="s">
        <v>591</v>
      </c>
      <c r="D21" s="3">
        <v>46182</v>
      </c>
      <c r="E21">
        <v>5</v>
      </c>
      <c r="F21">
        <v>3</v>
      </c>
      <c r="G21">
        <v>5</v>
      </c>
      <c r="H21">
        <v>5</v>
      </c>
    </row>
    <row r="22" spans="1:9">
      <c r="A22" t="s">
        <v>1343</v>
      </c>
      <c r="B22" t="s">
        <v>660</v>
      </c>
      <c r="C22" t="s">
        <v>657</v>
      </c>
      <c r="D22" s="3">
        <v>46200</v>
      </c>
      <c r="E22">
        <v>5</v>
      </c>
      <c r="F22">
        <v>5</v>
      </c>
      <c r="G22">
        <v>5</v>
      </c>
      <c r="H22">
        <v>5</v>
      </c>
      <c r="I22" t="s">
        <v>1344</v>
      </c>
    </row>
    <row r="23" spans="1:9">
      <c r="A23" t="s">
        <v>1345</v>
      </c>
      <c r="B23" t="s">
        <v>226</v>
      </c>
      <c r="C23" t="s">
        <v>219</v>
      </c>
      <c r="D23" s="3">
        <v>46201</v>
      </c>
      <c r="E23">
        <v>3</v>
      </c>
      <c r="F23">
        <v>4</v>
      </c>
      <c r="G23">
        <v>4</v>
      </c>
      <c r="H23">
        <v>4</v>
      </c>
      <c r="I23" t="s">
        <v>1335</v>
      </c>
    </row>
    <row r="24" spans="1:9">
      <c r="A24" t="s">
        <v>1346</v>
      </c>
      <c r="B24" t="s">
        <v>620</v>
      </c>
      <c r="C24" t="s">
        <v>616</v>
      </c>
      <c r="D24" s="3">
        <v>46231</v>
      </c>
      <c r="E24">
        <v>4</v>
      </c>
      <c r="F24">
        <v>5</v>
      </c>
      <c r="G24">
        <v>4</v>
      </c>
      <c r="H24">
        <v>4</v>
      </c>
      <c r="I24" t="s">
        <v>1324</v>
      </c>
    </row>
    <row r="25" spans="1:9">
      <c r="A25" t="s">
        <v>1347</v>
      </c>
      <c r="B25" t="s">
        <v>623</v>
      </c>
      <c r="C25" t="s">
        <v>622</v>
      </c>
      <c r="D25" s="3">
        <v>46227</v>
      </c>
      <c r="E25">
        <v>5</v>
      </c>
      <c r="F25">
        <v>5</v>
      </c>
      <c r="G25">
        <v>3</v>
      </c>
      <c r="H25">
        <v>5</v>
      </c>
      <c r="I25" t="s">
        <v>1348</v>
      </c>
    </row>
    <row r="26" spans="1:9">
      <c r="A26" t="s">
        <v>1349</v>
      </c>
      <c r="B26" t="s">
        <v>522</v>
      </c>
      <c r="C26" t="s">
        <v>518</v>
      </c>
      <c r="D26" s="3">
        <v>46209</v>
      </c>
      <c r="E26">
        <v>5</v>
      </c>
      <c r="F26">
        <v>5</v>
      </c>
      <c r="G26">
        <v>5</v>
      </c>
      <c r="H26">
        <v>4</v>
      </c>
      <c r="I26" t="s">
        <v>1332</v>
      </c>
    </row>
    <row r="27" spans="1:9">
      <c r="A27" t="s">
        <v>1350</v>
      </c>
      <c r="B27" t="s">
        <v>764</v>
      </c>
      <c r="C27" t="s">
        <v>761</v>
      </c>
      <c r="D27" s="3">
        <v>46238</v>
      </c>
      <c r="E27">
        <v>5</v>
      </c>
      <c r="F27">
        <v>5</v>
      </c>
      <c r="G27">
        <v>4</v>
      </c>
      <c r="H27">
        <v>5</v>
      </c>
    </row>
    <row r="28" spans="1:9">
      <c r="A28" t="s">
        <v>1351</v>
      </c>
      <c r="B28" t="s">
        <v>393</v>
      </c>
      <c r="C28" t="s">
        <v>394</v>
      </c>
      <c r="D28" s="3">
        <v>46152</v>
      </c>
      <c r="E28">
        <v>4</v>
      </c>
      <c r="F28">
        <v>4</v>
      </c>
      <c r="G28">
        <v>3</v>
      </c>
      <c r="H28">
        <v>4</v>
      </c>
    </row>
    <row r="29" spans="1:9">
      <c r="A29" t="s">
        <v>1352</v>
      </c>
      <c r="B29" t="s">
        <v>949</v>
      </c>
      <c r="C29" t="s">
        <v>950</v>
      </c>
      <c r="D29" s="3">
        <v>46215</v>
      </c>
      <c r="E29">
        <v>4</v>
      </c>
      <c r="F29">
        <v>4</v>
      </c>
      <c r="G29">
        <v>4</v>
      </c>
      <c r="H29">
        <v>4</v>
      </c>
    </row>
    <row r="30" spans="1:9">
      <c r="A30" t="s">
        <v>1353</v>
      </c>
      <c r="B30" t="s">
        <v>469</v>
      </c>
      <c r="C30" t="s">
        <v>466</v>
      </c>
      <c r="D30" s="3">
        <v>46214</v>
      </c>
      <c r="E30">
        <v>5</v>
      </c>
      <c r="F30">
        <v>5</v>
      </c>
      <c r="G30">
        <v>5</v>
      </c>
      <c r="H30">
        <v>5</v>
      </c>
    </row>
    <row r="31" spans="1:9">
      <c r="A31" t="s">
        <v>1354</v>
      </c>
      <c r="B31" t="s">
        <v>459</v>
      </c>
      <c r="C31" t="s">
        <v>457</v>
      </c>
      <c r="D31" s="3">
        <v>46222</v>
      </c>
      <c r="E31">
        <v>5</v>
      </c>
      <c r="F31">
        <v>5</v>
      </c>
      <c r="G31">
        <v>4</v>
      </c>
      <c r="H31">
        <v>4</v>
      </c>
    </row>
    <row r="32" spans="1:9">
      <c r="A32" t="s">
        <v>1355</v>
      </c>
      <c r="B32" t="s">
        <v>691</v>
      </c>
      <c r="C32" t="s">
        <v>689</v>
      </c>
      <c r="D32" s="3">
        <v>46176</v>
      </c>
      <c r="E32">
        <v>5</v>
      </c>
      <c r="F32">
        <v>5</v>
      </c>
      <c r="G32">
        <v>5</v>
      </c>
      <c r="H32">
        <v>5</v>
      </c>
    </row>
    <row r="33" spans="1:9">
      <c r="A33" t="s">
        <v>1356</v>
      </c>
      <c r="B33" t="s">
        <v>807</v>
      </c>
      <c r="C33" t="s">
        <v>808</v>
      </c>
      <c r="D33" s="3">
        <v>46181</v>
      </c>
      <c r="E33">
        <v>3</v>
      </c>
      <c r="F33">
        <v>3</v>
      </c>
      <c r="G33">
        <v>2</v>
      </c>
      <c r="H33">
        <v>4</v>
      </c>
    </row>
    <row r="34" spans="1:9">
      <c r="A34" t="s">
        <v>1357</v>
      </c>
      <c r="B34" t="s">
        <v>378</v>
      </c>
      <c r="C34" t="s">
        <v>376</v>
      </c>
      <c r="D34" s="3">
        <v>46153</v>
      </c>
      <c r="E34">
        <v>4</v>
      </c>
      <c r="F34">
        <v>4</v>
      </c>
      <c r="G34">
        <v>4</v>
      </c>
      <c r="H34">
        <v>4</v>
      </c>
    </row>
    <row r="35" spans="1:9">
      <c r="A35" t="s">
        <v>1358</v>
      </c>
      <c r="B35" t="s">
        <v>779</v>
      </c>
      <c r="C35" t="s">
        <v>780</v>
      </c>
      <c r="D35" s="3">
        <v>46224</v>
      </c>
      <c r="E35">
        <v>4</v>
      </c>
      <c r="F35">
        <v>5</v>
      </c>
      <c r="G35">
        <v>4</v>
      </c>
      <c r="H35">
        <v>5</v>
      </c>
    </row>
    <row r="36" spans="1:9">
      <c r="A36" t="s">
        <v>1359</v>
      </c>
      <c r="B36" t="s">
        <v>770</v>
      </c>
      <c r="C36" t="s">
        <v>766</v>
      </c>
      <c r="D36" s="3">
        <v>46230</v>
      </c>
      <c r="E36">
        <v>4</v>
      </c>
      <c r="F36">
        <v>4</v>
      </c>
      <c r="G36">
        <v>5</v>
      </c>
      <c r="H36">
        <v>4</v>
      </c>
      <c r="I36" t="s">
        <v>1360</v>
      </c>
    </row>
    <row r="37" spans="1:9">
      <c r="A37" t="s">
        <v>1361</v>
      </c>
      <c r="B37" t="s">
        <v>404</v>
      </c>
      <c r="C37" t="s">
        <v>403</v>
      </c>
      <c r="D37" s="3">
        <v>46205</v>
      </c>
      <c r="E37">
        <v>3</v>
      </c>
      <c r="F37">
        <v>2</v>
      </c>
      <c r="G37">
        <v>4</v>
      </c>
      <c r="H37">
        <v>3</v>
      </c>
    </row>
    <row r="38" spans="1:9">
      <c r="A38" t="s">
        <v>1362</v>
      </c>
      <c r="B38" t="s">
        <v>869</v>
      </c>
      <c r="C38" t="s">
        <v>865</v>
      </c>
      <c r="D38" s="3">
        <v>46236</v>
      </c>
      <c r="E38">
        <v>3</v>
      </c>
      <c r="F38">
        <v>2</v>
      </c>
      <c r="G38">
        <v>3</v>
      </c>
      <c r="H38">
        <v>2</v>
      </c>
    </row>
    <row r="39" spans="1:9">
      <c r="A39" t="s">
        <v>1363</v>
      </c>
      <c r="B39" t="s">
        <v>851</v>
      </c>
      <c r="C39" t="s">
        <v>848</v>
      </c>
      <c r="D39" s="3">
        <v>46201</v>
      </c>
      <c r="E39">
        <v>4</v>
      </c>
      <c r="F39">
        <v>4</v>
      </c>
      <c r="G39">
        <v>5</v>
      </c>
      <c r="H39">
        <v>5</v>
      </c>
      <c r="I39" t="s">
        <v>1360</v>
      </c>
    </row>
    <row r="40" spans="1:9">
      <c r="A40" t="s">
        <v>1364</v>
      </c>
      <c r="B40" t="s">
        <v>523</v>
      </c>
      <c r="C40" t="s">
        <v>518</v>
      </c>
      <c r="D40" s="3">
        <v>46234</v>
      </c>
      <c r="E40">
        <v>5</v>
      </c>
      <c r="F40">
        <v>4</v>
      </c>
      <c r="G40">
        <v>5</v>
      </c>
      <c r="H40">
        <v>4</v>
      </c>
    </row>
    <row r="41" spans="1:9">
      <c r="A41" t="s">
        <v>1365</v>
      </c>
      <c r="B41" t="s">
        <v>715</v>
      </c>
      <c r="C41" t="s">
        <v>713</v>
      </c>
      <c r="D41" s="3">
        <v>46197</v>
      </c>
      <c r="E41">
        <v>2</v>
      </c>
      <c r="F41">
        <v>2</v>
      </c>
      <c r="G41">
        <v>2</v>
      </c>
      <c r="H41">
        <v>2</v>
      </c>
      <c r="I41" t="s">
        <v>1366</v>
      </c>
    </row>
    <row r="42" spans="1:9">
      <c r="A42" t="s">
        <v>1367</v>
      </c>
      <c r="B42" t="s">
        <v>579</v>
      </c>
      <c r="C42" t="s">
        <v>580</v>
      </c>
      <c r="D42" s="3">
        <v>46191</v>
      </c>
      <c r="E42">
        <v>5</v>
      </c>
      <c r="F42">
        <v>4</v>
      </c>
      <c r="G42">
        <v>4</v>
      </c>
      <c r="H42">
        <v>5</v>
      </c>
      <c r="I42" t="s">
        <v>1344</v>
      </c>
    </row>
    <row r="43" spans="1:9">
      <c r="A43" t="s">
        <v>1368</v>
      </c>
      <c r="B43" t="s">
        <v>517</v>
      </c>
      <c r="C43" t="s">
        <v>518</v>
      </c>
      <c r="D43" s="3">
        <v>46171</v>
      </c>
      <c r="E43">
        <v>5</v>
      </c>
      <c r="F43">
        <v>5</v>
      </c>
      <c r="G43">
        <v>5</v>
      </c>
      <c r="H43">
        <v>5</v>
      </c>
      <c r="I43" t="s">
        <v>1360</v>
      </c>
    </row>
    <row r="44" spans="1:9">
      <c r="A44" t="s">
        <v>1369</v>
      </c>
      <c r="B44" t="s">
        <v>581</v>
      </c>
      <c r="C44" t="s">
        <v>580</v>
      </c>
      <c r="D44" s="3">
        <v>46164</v>
      </c>
      <c r="E44">
        <v>5</v>
      </c>
      <c r="F44">
        <v>5</v>
      </c>
      <c r="G44">
        <v>5</v>
      </c>
      <c r="H44">
        <v>4</v>
      </c>
    </row>
    <row r="45" spans="1:9">
      <c r="A45" t="s">
        <v>1370</v>
      </c>
      <c r="B45" t="s">
        <v>676</v>
      </c>
      <c r="C45" t="s">
        <v>674</v>
      </c>
      <c r="D45" s="3">
        <v>46232</v>
      </c>
      <c r="E45">
        <v>5</v>
      </c>
      <c r="F45">
        <v>5</v>
      </c>
      <c r="G45">
        <v>4</v>
      </c>
      <c r="H45">
        <v>5</v>
      </c>
    </row>
    <row r="46" spans="1:9">
      <c r="A46" t="s">
        <v>1371</v>
      </c>
      <c r="B46" t="s">
        <v>544</v>
      </c>
      <c r="C46" t="s">
        <v>543</v>
      </c>
      <c r="D46" s="3">
        <v>46161</v>
      </c>
      <c r="E46">
        <v>5</v>
      </c>
      <c r="F46">
        <v>4</v>
      </c>
      <c r="G46">
        <v>5</v>
      </c>
      <c r="H46">
        <v>5</v>
      </c>
    </row>
    <row r="47" spans="1:9">
      <c r="A47" t="s">
        <v>1372</v>
      </c>
      <c r="B47" t="s">
        <v>867</v>
      </c>
      <c r="C47" t="s">
        <v>865</v>
      </c>
      <c r="D47" s="3">
        <v>46189</v>
      </c>
      <c r="E47">
        <v>4</v>
      </c>
      <c r="F47">
        <v>2</v>
      </c>
      <c r="G47">
        <v>5</v>
      </c>
      <c r="H47">
        <v>3</v>
      </c>
    </row>
    <row r="48" spans="1:9">
      <c r="A48" t="s">
        <v>1373</v>
      </c>
      <c r="B48" t="s">
        <v>583</v>
      </c>
      <c r="C48" t="s">
        <v>580</v>
      </c>
      <c r="D48" s="3">
        <v>46173</v>
      </c>
      <c r="E48">
        <v>4</v>
      </c>
      <c r="F48">
        <v>4</v>
      </c>
      <c r="G48">
        <v>4</v>
      </c>
      <c r="H48">
        <v>5</v>
      </c>
      <c r="I48" t="s">
        <v>1360</v>
      </c>
    </row>
    <row r="49" spans="1:9">
      <c r="A49" t="s">
        <v>1374</v>
      </c>
      <c r="B49" t="s">
        <v>336</v>
      </c>
      <c r="C49" t="s">
        <v>333</v>
      </c>
      <c r="D49" s="3">
        <v>46193</v>
      </c>
      <c r="E49">
        <v>5</v>
      </c>
      <c r="F49">
        <v>5</v>
      </c>
      <c r="G49">
        <v>4</v>
      </c>
      <c r="H49">
        <v>5</v>
      </c>
      <c r="I49" t="s">
        <v>1348</v>
      </c>
    </row>
    <row r="50" spans="1:9">
      <c r="A50" t="s">
        <v>1375</v>
      </c>
      <c r="B50" t="s">
        <v>826</v>
      </c>
      <c r="C50" t="s">
        <v>822</v>
      </c>
      <c r="D50" s="3">
        <v>46166</v>
      </c>
      <c r="E50">
        <v>4</v>
      </c>
      <c r="F50">
        <v>4</v>
      </c>
      <c r="G50">
        <v>3</v>
      </c>
      <c r="H50">
        <v>5</v>
      </c>
      <c r="I50" t="s">
        <v>1329</v>
      </c>
    </row>
    <row r="51" spans="1:9">
      <c r="A51" t="s">
        <v>1376</v>
      </c>
      <c r="B51" t="s">
        <v>237</v>
      </c>
      <c r="C51" t="s">
        <v>238</v>
      </c>
      <c r="D51" s="3">
        <v>46213</v>
      </c>
      <c r="E51">
        <v>4</v>
      </c>
      <c r="F51">
        <v>5</v>
      </c>
      <c r="G51">
        <v>4</v>
      </c>
      <c r="H51">
        <v>4</v>
      </c>
    </row>
    <row r="52" spans="1:9">
      <c r="A52" t="s">
        <v>1377</v>
      </c>
      <c r="B52" t="s">
        <v>868</v>
      </c>
      <c r="C52" t="s">
        <v>865</v>
      </c>
      <c r="D52" s="3">
        <v>46173</v>
      </c>
      <c r="E52">
        <v>3</v>
      </c>
      <c r="F52">
        <v>4</v>
      </c>
      <c r="G52">
        <v>2</v>
      </c>
      <c r="H52">
        <v>3</v>
      </c>
      <c r="I52" t="s">
        <v>1335</v>
      </c>
    </row>
    <row r="53" spans="1:9">
      <c r="A53" t="s">
        <v>1378</v>
      </c>
      <c r="B53" t="s">
        <v>937</v>
      </c>
      <c r="C53" t="s">
        <v>933</v>
      </c>
      <c r="D53" s="3">
        <v>46184</v>
      </c>
      <c r="E53">
        <v>5</v>
      </c>
      <c r="F53">
        <v>5</v>
      </c>
      <c r="G53">
        <v>5</v>
      </c>
      <c r="H53">
        <v>4</v>
      </c>
    </row>
    <row r="54" spans="1:9">
      <c r="A54" t="s">
        <v>1379</v>
      </c>
      <c r="B54" t="s">
        <v>432</v>
      </c>
      <c r="C54" t="s">
        <v>429</v>
      </c>
      <c r="D54" s="3">
        <v>46237</v>
      </c>
      <c r="E54">
        <v>5</v>
      </c>
      <c r="F54">
        <v>5</v>
      </c>
      <c r="G54">
        <v>5</v>
      </c>
      <c r="H54">
        <v>5</v>
      </c>
    </row>
    <row r="55" spans="1:9">
      <c r="A55" t="s">
        <v>1380</v>
      </c>
      <c r="B55" t="s">
        <v>352</v>
      </c>
      <c r="C55" t="s">
        <v>349</v>
      </c>
      <c r="D55" s="3">
        <v>46207</v>
      </c>
      <c r="E55">
        <v>5</v>
      </c>
      <c r="F55">
        <v>5</v>
      </c>
      <c r="G55">
        <v>5</v>
      </c>
      <c r="H55">
        <v>4</v>
      </c>
    </row>
    <row r="56" spans="1:9">
      <c r="A56" t="s">
        <v>1381</v>
      </c>
      <c r="B56" t="s">
        <v>729</v>
      </c>
      <c r="C56" t="s">
        <v>730</v>
      </c>
      <c r="D56" s="3">
        <v>46242</v>
      </c>
      <c r="E56">
        <v>5</v>
      </c>
      <c r="F56">
        <v>5</v>
      </c>
      <c r="G56">
        <v>5</v>
      </c>
      <c r="H56">
        <v>5</v>
      </c>
      <c r="I56" t="s">
        <v>1348</v>
      </c>
    </row>
    <row r="57" spans="1:9">
      <c r="A57" t="s">
        <v>1382</v>
      </c>
      <c r="B57" t="s">
        <v>916</v>
      </c>
      <c r="C57" t="s">
        <v>917</v>
      </c>
      <c r="D57" s="3">
        <v>46190</v>
      </c>
      <c r="E57">
        <v>5</v>
      </c>
      <c r="F57">
        <v>5</v>
      </c>
      <c r="G57">
        <v>5</v>
      </c>
      <c r="H57">
        <v>5</v>
      </c>
      <c r="I57" t="s">
        <v>1383</v>
      </c>
    </row>
    <row r="58" spans="1:9">
      <c r="A58" t="s">
        <v>1384</v>
      </c>
      <c r="B58" t="s">
        <v>749</v>
      </c>
      <c r="C58" t="s">
        <v>750</v>
      </c>
      <c r="D58" s="3">
        <v>46220</v>
      </c>
      <c r="E58">
        <v>2</v>
      </c>
      <c r="F58">
        <v>3</v>
      </c>
      <c r="G58">
        <v>2</v>
      </c>
      <c r="H58">
        <v>2</v>
      </c>
      <c r="I58" t="s">
        <v>1385</v>
      </c>
    </row>
    <row r="59" spans="1:9">
      <c r="A59" t="s">
        <v>1386</v>
      </c>
      <c r="B59" t="s">
        <v>930</v>
      </c>
      <c r="C59" t="s">
        <v>926</v>
      </c>
      <c r="D59" s="3">
        <v>46152</v>
      </c>
      <c r="E59">
        <v>5</v>
      </c>
      <c r="F59">
        <v>5</v>
      </c>
      <c r="G59">
        <v>5</v>
      </c>
      <c r="H59">
        <v>4</v>
      </c>
    </row>
    <row r="60" spans="1:9">
      <c r="A60" t="s">
        <v>1387</v>
      </c>
      <c r="B60" t="s">
        <v>878</v>
      </c>
      <c r="C60" t="s">
        <v>877</v>
      </c>
      <c r="D60" s="3">
        <v>46229</v>
      </c>
      <c r="E60">
        <v>3</v>
      </c>
      <c r="F60">
        <v>2</v>
      </c>
      <c r="G60">
        <v>4</v>
      </c>
      <c r="H60">
        <v>3</v>
      </c>
    </row>
    <row r="61" spans="1:9">
      <c r="A61" t="s">
        <v>1388</v>
      </c>
      <c r="B61" t="s">
        <v>332</v>
      </c>
      <c r="C61" t="s">
        <v>333</v>
      </c>
      <c r="D61" s="3">
        <v>46227</v>
      </c>
      <c r="E61">
        <v>3</v>
      </c>
      <c r="F61">
        <v>3</v>
      </c>
      <c r="G61">
        <v>3</v>
      </c>
      <c r="H61">
        <v>3</v>
      </c>
    </row>
    <row r="62" spans="1:9">
      <c r="A62" t="s">
        <v>1389</v>
      </c>
      <c r="B62" t="s">
        <v>701</v>
      </c>
      <c r="C62" t="s">
        <v>702</v>
      </c>
      <c r="D62" s="3">
        <v>46213</v>
      </c>
      <c r="E62">
        <v>5</v>
      </c>
      <c r="F62">
        <v>5</v>
      </c>
      <c r="G62">
        <v>4</v>
      </c>
      <c r="H62">
        <v>5</v>
      </c>
      <c r="I62" t="s">
        <v>1332</v>
      </c>
    </row>
    <row r="63" spans="1:9">
      <c r="A63" t="s">
        <v>1390</v>
      </c>
      <c r="B63" t="s">
        <v>389</v>
      </c>
      <c r="C63" t="s">
        <v>386</v>
      </c>
      <c r="D63" s="3">
        <v>46243</v>
      </c>
      <c r="E63">
        <v>5</v>
      </c>
      <c r="F63">
        <v>5</v>
      </c>
      <c r="G63">
        <v>4</v>
      </c>
      <c r="H63">
        <v>5</v>
      </c>
    </row>
    <row r="64" spans="1:9">
      <c r="A64" t="s">
        <v>1391</v>
      </c>
      <c r="B64" t="s">
        <v>875</v>
      </c>
      <c r="C64" t="s">
        <v>872</v>
      </c>
      <c r="D64" s="3">
        <v>46187</v>
      </c>
      <c r="E64">
        <v>3</v>
      </c>
      <c r="F64">
        <v>3</v>
      </c>
      <c r="G64">
        <v>2</v>
      </c>
      <c r="H64">
        <v>4</v>
      </c>
      <c r="I64" t="s">
        <v>1392</v>
      </c>
    </row>
    <row r="65" spans="1:9">
      <c r="A65" t="s">
        <v>1393</v>
      </c>
      <c r="B65" t="s">
        <v>391</v>
      </c>
      <c r="C65" t="s">
        <v>386</v>
      </c>
      <c r="D65" s="3">
        <v>46200</v>
      </c>
      <c r="E65">
        <v>5</v>
      </c>
      <c r="F65">
        <v>5</v>
      </c>
      <c r="G65">
        <v>5</v>
      </c>
      <c r="H65">
        <v>5</v>
      </c>
    </row>
    <row r="66" spans="1:9">
      <c r="A66" t="s">
        <v>1394</v>
      </c>
      <c r="B66" t="s">
        <v>211</v>
      </c>
      <c r="C66" t="s">
        <v>202</v>
      </c>
      <c r="D66" s="3">
        <v>46207</v>
      </c>
      <c r="E66">
        <v>4</v>
      </c>
      <c r="F66">
        <v>4</v>
      </c>
      <c r="G66">
        <v>4</v>
      </c>
      <c r="H66">
        <v>5</v>
      </c>
    </row>
    <row r="67" spans="1:9">
      <c r="A67" t="s">
        <v>1395</v>
      </c>
      <c r="B67" t="s">
        <v>668</v>
      </c>
      <c r="C67" t="s">
        <v>666</v>
      </c>
      <c r="D67" s="3">
        <v>46155</v>
      </c>
      <c r="E67">
        <v>5</v>
      </c>
      <c r="F67">
        <v>5</v>
      </c>
      <c r="G67">
        <v>5</v>
      </c>
      <c r="H67">
        <v>5</v>
      </c>
    </row>
    <row r="68" spans="1:9">
      <c r="A68" t="s">
        <v>1396</v>
      </c>
      <c r="B68" t="s">
        <v>783</v>
      </c>
      <c r="C68" t="s">
        <v>784</v>
      </c>
      <c r="D68" s="3">
        <v>46223</v>
      </c>
      <c r="E68">
        <v>5</v>
      </c>
      <c r="F68">
        <v>5</v>
      </c>
      <c r="G68">
        <v>4</v>
      </c>
      <c r="H68">
        <v>4</v>
      </c>
    </row>
    <row r="69" spans="1:9">
      <c r="A69" t="s">
        <v>1397</v>
      </c>
      <c r="B69" t="s">
        <v>712</v>
      </c>
      <c r="C69" t="s">
        <v>713</v>
      </c>
      <c r="D69" s="3">
        <v>46166</v>
      </c>
      <c r="E69">
        <v>5</v>
      </c>
      <c r="F69">
        <v>5</v>
      </c>
      <c r="G69">
        <v>4</v>
      </c>
      <c r="H69">
        <v>5</v>
      </c>
    </row>
    <row r="70" spans="1:9">
      <c r="A70" t="s">
        <v>1398</v>
      </c>
      <c r="B70" t="s">
        <v>250</v>
      </c>
      <c r="C70" t="s">
        <v>247</v>
      </c>
      <c r="D70" s="3">
        <v>46217</v>
      </c>
      <c r="E70">
        <v>4</v>
      </c>
      <c r="F70">
        <v>5</v>
      </c>
      <c r="G70">
        <v>4</v>
      </c>
      <c r="H70">
        <v>5</v>
      </c>
    </row>
    <row r="71" spans="1:9">
      <c r="A71" t="s">
        <v>1399</v>
      </c>
      <c r="B71" t="s">
        <v>895</v>
      </c>
      <c r="C71" t="s">
        <v>896</v>
      </c>
      <c r="D71" s="3">
        <v>46164</v>
      </c>
      <c r="E71">
        <v>3</v>
      </c>
      <c r="F71">
        <v>2</v>
      </c>
      <c r="G71">
        <v>3</v>
      </c>
      <c r="H71">
        <v>2</v>
      </c>
    </row>
    <row r="72" spans="1:9">
      <c r="A72" t="s">
        <v>1400</v>
      </c>
      <c r="B72" t="s">
        <v>806</v>
      </c>
      <c r="C72" t="s">
        <v>803</v>
      </c>
      <c r="D72" s="3">
        <v>46172</v>
      </c>
      <c r="E72">
        <v>5</v>
      </c>
      <c r="F72">
        <v>5</v>
      </c>
      <c r="G72">
        <v>5</v>
      </c>
      <c r="H72">
        <v>5</v>
      </c>
    </row>
    <row r="73" spans="1:9">
      <c r="A73" t="s">
        <v>1401</v>
      </c>
      <c r="B73" t="s">
        <v>339</v>
      </c>
      <c r="C73" t="s">
        <v>338</v>
      </c>
      <c r="D73" s="3">
        <v>46236</v>
      </c>
      <c r="E73">
        <v>4</v>
      </c>
      <c r="F73">
        <v>4</v>
      </c>
      <c r="G73">
        <v>4</v>
      </c>
      <c r="H73">
        <v>5</v>
      </c>
      <c r="I73" t="s">
        <v>1332</v>
      </c>
    </row>
    <row r="74" spans="1:9">
      <c r="A74" t="s">
        <v>1402</v>
      </c>
      <c r="B74" t="s">
        <v>956</v>
      </c>
      <c r="C74" t="s">
        <v>950</v>
      </c>
      <c r="D74" s="3">
        <v>46203</v>
      </c>
      <c r="E74">
        <v>4</v>
      </c>
      <c r="F74">
        <v>3</v>
      </c>
      <c r="G74">
        <v>5</v>
      </c>
      <c r="H74">
        <v>3</v>
      </c>
    </row>
    <row r="75" spans="1:9">
      <c r="A75" t="s">
        <v>1403</v>
      </c>
      <c r="B75" t="s">
        <v>467</v>
      </c>
      <c r="C75" t="s">
        <v>466</v>
      </c>
      <c r="D75" s="3">
        <v>46181</v>
      </c>
      <c r="E75">
        <v>3</v>
      </c>
      <c r="F75">
        <v>4</v>
      </c>
      <c r="G75">
        <v>3</v>
      </c>
      <c r="H75">
        <v>3</v>
      </c>
    </row>
    <row r="76" spans="1:9">
      <c r="A76" t="s">
        <v>1404</v>
      </c>
      <c r="B76" t="s">
        <v>627</v>
      </c>
      <c r="C76" t="s">
        <v>622</v>
      </c>
      <c r="D76" s="3">
        <v>46225</v>
      </c>
      <c r="E76">
        <v>4</v>
      </c>
      <c r="F76">
        <v>4</v>
      </c>
      <c r="G76">
        <v>4</v>
      </c>
      <c r="H76">
        <v>4</v>
      </c>
      <c r="I76" t="s">
        <v>1405</v>
      </c>
    </row>
    <row r="77" spans="1:9">
      <c r="A77" t="s">
        <v>1406</v>
      </c>
      <c r="B77" t="s">
        <v>571</v>
      </c>
      <c r="C77" t="s">
        <v>569</v>
      </c>
      <c r="D77" s="3">
        <v>46174</v>
      </c>
      <c r="E77">
        <v>3</v>
      </c>
      <c r="F77">
        <v>5</v>
      </c>
      <c r="G77">
        <v>4</v>
      </c>
      <c r="H77">
        <v>4</v>
      </c>
      <c r="I77" t="s">
        <v>1329</v>
      </c>
    </row>
    <row r="78" spans="1:9">
      <c r="A78" t="s">
        <v>1407</v>
      </c>
      <c r="B78" t="s">
        <v>289</v>
      </c>
      <c r="C78" t="s">
        <v>287</v>
      </c>
      <c r="D78" s="3">
        <v>46192</v>
      </c>
      <c r="E78">
        <v>3</v>
      </c>
      <c r="F78">
        <v>3</v>
      </c>
      <c r="G78">
        <v>2</v>
      </c>
      <c r="H78">
        <v>3</v>
      </c>
    </row>
    <row r="79" spans="1:9">
      <c r="A79" t="s">
        <v>1408</v>
      </c>
      <c r="B79" t="s">
        <v>400</v>
      </c>
      <c r="C79" t="s">
        <v>399</v>
      </c>
      <c r="D79" s="3">
        <v>46236</v>
      </c>
      <c r="E79">
        <v>4</v>
      </c>
      <c r="F79">
        <v>4</v>
      </c>
      <c r="G79">
        <v>3</v>
      </c>
      <c r="H79">
        <v>4</v>
      </c>
    </row>
    <row r="80" spans="1:9">
      <c r="A80" t="s">
        <v>1409</v>
      </c>
      <c r="B80" t="s">
        <v>272</v>
      </c>
      <c r="C80" t="s">
        <v>273</v>
      </c>
      <c r="D80" s="3">
        <v>46155</v>
      </c>
      <c r="E80">
        <v>2</v>
      </c>
      <c r="F80">
        <v>3</v>
      </c>
      <c r="G80">
        <v>2</v>
      </c>
      <c r="H80">
        <v>2</v>
      </c>
    </row>
    <row r="81" spans="1:9">
      <c r="A81" t="s">
        <v>1410</v>
      </c>
      <c r="B81" t="s">
        <v>241</v>
      </c>
      <c r="C81" t="s">
        <v>242</v>
      </c>
      <c r="D81" s="3">
        <v>46212</v>
      </c>
      <c r="E81">
        <v>5</v>
      </c>
      <c r="F81">
        <v>5</v>
      </c>
      <c r="G81">
        <v>4</v>
      </c>
      <c r="H81">
        <v>5</v>
      </c>
      <c r="I81" t="s">
        <v>1324</v>
      </c>
    </row>
    <row r="82" spans="1:9">
      <c r="A82" t="s">
        <v>1411</v>
      </c>
      <c r="B82" t="s">
        <v>664</v>
      </c>
      <c r="C82" t="s">
        <v>662</v>
      </c>
      <c r="D82" s="3">
        <v>46195</v>
      </c>
      <c r="E82">
        <v>5</v>
      </c>
      <c r="F82">
        <v>4</v>
      </c>
      <c r="G82">
        <v>5</v>
      </c>
      <c r="H82">
        <v>5</v>
      </c>
    </row>
    <row r="83" spans="1:9">
      <c r="A83" t="s">
        <v>1412</v>
      </c>
      <c r="B83" t="s">
        <v>815</v>
      </c>
      <c r="C83" t="s">
        <v>814</v>
      </c>
      <c r="D83" s="3">
        <v>46211</v>
      </c>
      <c r="E83">
        <v>5</v>
      </c>
      <c r="F83">
        <v>5</v>
      </c>
      <c r="G83">
        <v>5</v>
      </c>
      <c r="H83">
        <v>5</v>
      </c>
    </row>
    <row r="84" spans="1:9">
      <c r="A84" t="s">
        <v>1413</v>
      </c>
      <c r="B84" t="s">
        <v>246</v>
      </c>
      <c r="C84" t="s">
        <v>247</v>
      </c>
      <c r="D84" s="3">
        <v>46206</v>
      </c>
      <c r="E84">
        <v>1</v>
      </c>
      <c r="F84">
        <v>1</v>
      </c>
      <c r="G84">
        <v>2</v>
      </c>
      <c r="H84">
        <v>1</v>
      </c>
    </row>
    <row r="85" spans="1:9">
      <c r="A85" t="s">
        <v>1414</v>
      </c>
      <c r="B85" t="s">
        <v>914</v>
      </c>
      <c r="C85" t="s">
        <v>910</v>
      </c>
      <c r="D85" s="3">
        <v>46179</v>
      </c>
      <c r="E85">
        <v>4</v>
      </c>
      <c r="F85">
        <v>3</v>
      </c>
      <c r="G85">
        <v>3</v>
      </c>
      <c r="H85">
        <v>4</v>
      </c>
      <c r="I85" t="s">
        <v>1335</v>
      </c>
    </row>
    <row r="86" spans="1:9">
      <c r="A86" t="s">
        <v>1415</v>
      </c>
      <c r="B86" t="s">
        <v>265</v>
      </c>
      <c r="C86" t="s">
        <v>261</v>
      </c>
      <c r="D86" s="3">
        <v>46168</v>
      </c>
      <c r="E86">
        <v>4</v>
      </c>
      <c r="F86">
        <v>4</v>
      </c>
      <c r="G86">
        <v>4</v>
      </c>
      <c r="H86">
        <v>4</v>
      </c>
    </row>
    <row r="87" spans="1:9">
      <c r="A87" t="s">
        <v>1416</v>
      </c>
      <c r="B87" t="s">
        <v>941</v>
      </c>
      <c r="C87" t="s">
        <v>940</v>
      </c>
      <c r="D87" s="3">
        <v>46190</v>
      </c>
      <c r="E87">
        <v>4</v>
      </c>
      <c r="F87">
        <v>4</v>
      </c>
      <c r="G87">
        <v>4</v>
      </c>
      <c r="H87">
        <v>5</v>
      </c>
    </row>
    <row r="88" spans="1:9">
      <c r="A88" t="s">
        <v>1417</v>
      </c>
      <c r="B88" t="s">
        <v>520</v>
      </c>
      <c r="C88" t="s">
        <v>518</v>
      </c>
      <c r="D88" s="3">
        <v>46161</v>
      </c>
      <c r="E88">
        <v>5</v>
      </c>
      <c r="F88">
        <v>5</v>
      </c>
      <c r="G88">
        <v>4</v>
      </c>
      <c r="H88">
        <v>5</v>
      </c>
    </row>
    <row r="89" spans="1:9">
      <c r="A89" t="s">
        <v>1418</v>
      </c>
      <c r="B89" t="s">
        <v>942</v>
      </c>
      <c r="C89" t="s">
        <v>940</v>
      </c>
      <c r="D89" s="3">
        <v>46232</v>
      </c>
      <c r="E89">
        <v>5</v>
      </c>
      <c r="F89">
        <v>5</v>
      </c>
      <c r="G89">
        <v>3</v>
      </c>
      <c r="H89">
        <v>4</v>
      </c>
    </row>
    <row r="90" spans="1:9">
      <c r="A90" t="s">
        <v>1419</v>
      </c>
      <c r="B90" t="s">
        <v>825</v>
      </c>
      <c r="C90" t="s">
        <v>822</v>
      </c>
      <c r="D90" s="3">
        <v>46193</v>
      </c>
      <c r="E90">
        <v>5</v>
      </c>
      <c r="F90">
        <v>5</v>
      </c>
      <c r="G90">
        <v>5</v>
      </c>
      <c r="H90">
        <v>5</v>
      </c>
    </row>
    <row r="91" spans="1:9">
      <c r="A91" t="s">
        <v>1420</v>
      </c>
      <c r="B91" t="s">
        <v>303</v>
      </c>
      <c r="C91" t="s">
        <v>304</v>
      </c>
      <c r="D91" s="3">
        <v>46240</v>
      </c>
      <c r="E91">
        <v>5</v>
      </c>
      <c r="F91">
        <v>4</v>
      </c>
      <c r="G91">
        <v>5</v>
      </c>
      <c r="H91">
        <v>5</v>
      </c>
    </row>
    <row r="92" spans="1:9">
      <c r="A92" t="s">
        <v>1421</v>
      </c>
      <c r="B92" t="s">
        <v>854</v>
      </c>
      <c r="C92" t="s">
        <v>855</v>
      </c>
      <c r="D92" s="3">
        <v>46154</v>
      </c>
      <c r="E92">
        <v>5</v>
      </c>
      <c r="F92">
        <v>5</v>
      </c>
      <c r="G92">
        <v>4</v>
      </c>
      <c r="H92">
        <v>5</v>
      </c>
    </row>
    <row r="93" spans="1:9">
      <c r="A93" t="s">
        <v>1422</v>
      </c>
      <c r="B93" t="s">
        <v>425</v>
      </c>
      <c r="C93" t="s">
        <v>424</v>
      </c>
      <c r="D93" s="3">
        <v>46185</v>
      </c>
      <c r="E93">
        <v>5</v>
      </c>
      <c r="F93">
        <v>4</v>
      </c>
      <c r="G93">
        <v>5</v>
      </c>
      <c r="H93">
        <v>5</v>
      </c>
      <c r="I93" t="s">
        <v>1360</v>
      </c>
    </row>
    <row r="94" spans="1:9">
      <c r="A94" t="s">
        <v>1423</v>
      </c>
      <c r="B94" t="s">
        <v>492</v>
      </c>
      <c r="C94" t="s">
        <v>493</v>
      </c>
      <c r="D94" s="3">
        <v>46168</v>
      </c>
      <c r="E94">
        <v>4</v>
      </c>
      <c r="F94">
        <v>5</v>
      </c>
      <c r="G94">
        <v>4</v>
      </c>
      <c r="H94">
        <v>5</v>
      </c>
    </row>
    <row r="95" spans="1:9">
      <c r="A95" t="s">
        <v>1424</v>
      </c>
      <c r="B95" t="s">
        <v>489</v>
      </c>
      <c r="C95" t="s">
        <v>487</v>
      </c>
      <c r="D95" s="3">
        <v>46198</v>
      </c>
      <c r="E95">
        <v>5</v>
      </c>
      <c r="F95">
        <v>4</v>
      </c>
      <c r="G95">
        <v>4</v>
      </c>
      <c r="H95">
        <v>5</v>
      </c>
    </row>
    <row r="96" spans="1:9">
      <c r="A96" t="s">
        <v>1425</v>
      </c>
      <c r="B96" t="s">
        <v>772</v>
      </c>
      <c r="C96" t="s">
        <v>773</v>
      </c>
      <c r="D96" s="3">
        <v>46222</v>
      </c>
      <c r="E96">
        <v>4</v>
      </c>
      <c r="F96">
        <v>4</v>
      </c>
      <c r="G96">
        <v>4</v>
      </c>
      <c r="H96">
        <v>4</v>
      </c>
      <c r="I96" t="s">
        <v>1329</v>
      </c>
    </row>
    <row r="97" spans="1:9">
      <c r="A97" t="s">
        <v>1426</v>
      </c>
      <c r="B97" t="s">
        <v>864</v>
      </c>
      <c r="C97" t="s">
        <v>865</v>
      </c>
      <c r="D97" s="3">
        <v>46230</v>
      </c>
      <c r="E97">
        <v>3</v>
      </c>
      <c r="F97">
        <v>3</v>
      </c>
      <c r="G97">
        <v>2</v>
      </c>
      <c r="H97">
        <v>3</v>
      </c>
      <c r="I97" t="s">
        <v>1427</v>
      </c>
    </row>
    <row r="98" spans="1:9">
      <c r="A98" t="s">
        <v>1428</v>
      </c>
      <c r="B98" t="s">
        <v>685</v>
      </c>
      <c r="C98" t="s">
        <v>683</v>
      </c>
      <c r="D98" s="3">
        <v>46234</v>
      </c>
      <c r="E98">
        <v>5</v>
      </c>
      <c r="F98">
        <v>5</v>
      </c>
      <c r="G98">
        <v>5</v>
      </c>
      <c r="H98">
        <v>5</v>
      </c>
      <c r="I98" t="s">
        <v>1383</v>
      </c>
    </row>
    <row r="99" spans="1:9">
      <c r="A99" t="s">
        <v>1429</v>
      </c>
      <c r="B99" t="s">
        <v>217</v>
      </c>
      <c r="C99" t="s">
        <v>213</v>
      </c>
      <c r="D99" s="3">
        <v>46199</v>
      </c>
      <c r="E99">
        <v>5</v>
      </c>
      <c r="F99">
        <v>4</v>
      </c>
      <c r="G99">
        <v>5</v>
      </c>
      <c r="H99">
        <v>5</v>
      </c>
    </row>
    <row r="100" spans="1:9">
      <c r="A100" t="s">
        <v>1430</v>
      </c>
      <c r="B100" t="s">
        <v>862</v>
      </c>
      <c r="C100" t="s">
        <v>860</v>
      </c>
      <c r="D100" s="3">
        <v>46199</v>
      </c>
      <c r="E100">
        <v>5</v>
      </c>
      <c r="F100">
        <v>5</v>
      </c>
      <c r="G100">
        <v>5</v>
      </c>
      <c r="H100">
        <v>5</v>
      </c>
    </row>
    <row r="101" spans="1:9">
      <c r="A101" t="s">
        <v>1431</v>
      </c>
      <c r="B101" t="s">
        <v>888</v>
      </c>
      <c r="C101" t="s">
        <v>886</v>
      </c>
      <c r="D101" s="3">
        <v>46181</v>
      </c>
      <c r="E101">
        <v>3</v>
      </c>
      <c r="F101">
        <v>3</v>
      </c>
      <c r="G101">
        <v>1</v>
      </c>
      <c r="H101">
        <v>3</v>
      </c>
    </row>
    <row r="102" spans="1:9">
      <c r="A102" t="s">
        <v>1432</v>
      </c>
      <c r="B102" t="s">
        <v>348</v>
      </c>
      <c r="C102" t="s">
        <v>349</v>
      </c>
      <c r="D102" s="3">
        <v>46197</v>
      </c>
      <c r="E102">
        <v>4</v>
      </c>
      <c r="F102">
        <v>4</v>
      </c>
      <c r="G102">
        <v>5</v>
      </c>
      <c r="H102">
        <v>5</v>
      </c>
    </row>
    <row r="103" spans="1:9">
      <c r="A103" t="s">
        <v>1433</v>
      </c>
      <c r="B103" t="s">
        <v>651</v>
      </c>
      <c r="C103" t="s">
        <v>650</v>
      </c>
      <c r="D103" s="3">
        <v>46214</v>
      </c>
      <c r="E103">
        <v>4</v>
      </c>
      <c r="F103">
        <v>4</v>
      </c>
      <c r="G103">
        <v>4</v>
      </c>
      <c r="H103">
        <v>4</v>
      </c>
      <c r="I103" t="s">
        <v>1329</v>
      </c>
    </row>
    <row r="104" spans="1:9">
      <c r="A104" t="s">
        <v>1434</v>
      </c>
      <c r="B104" t="s">
        <v>208</v>
      </c>
      <c r="C104" t="s">
        <v>202</v>
      </c>
      <c r="D104" s="3">
        <v>46151</v>
      </c>
      <c r="E104">
        <v>4</v>
      </c>
      <c r="F104">
        <v>4</v>
      </c>
      <c r="G104">
        <v>2</v>
      </c>
      <c r="H104">
        <v>5</v>
      </c>
    </row>
    <row r="105" spans="1:9">
      <c r="A105" t="s">
        <v>1435</v>
      </c>
      <c r="B105" t="s">
        <v>443</v>
      </c>
      <c r="C105" t="s">
        <v>444</v>
      </c>
      <c r="D105" s="3">
        <v>46204</v>
      </c>
      <c r="E105">
        <v>4</v>
      </c>
      <c r="F105">
        <v>4</v>
      </c>
      <c r="G105">
        <v>3</v>
      </c>
      <c r="H105">
        <v>5</v>
      </c>
      <c r="I105" t="s">
        <v>1405</v>
      </c>
    </row>
    <row r="106" spans="1:9">
      <c r="A106" t="s">
        <v>1436</v>
      </c>
      <c r="B106" t="s">
        <v>384</v>
      </c>
      <c r="C106" t="s">
        <v>381</v>
      </c>
      <c r="D106" s="3">
        <v>46204</v>
      </c>
      <c r="E106">
        <v>5</v>
      </c>
      <c r="F106">
        <v>5</v>
      </c>
      <c r="G106">
        <v>5</v>
      </c>
      <c r="H106">
        <v>5</v>
      </c>
      <c r="I106" t="s">
        <v>1344</v>
      </c>
    </row>
    <row r="107" spans="1:9">
      <c r="A107" t="s">
        <v>1437</v>
      </c>
      <c r="B107" t="s">
        <v>781</v>
      </c>
      <c r="C107" t="s">
        <v>780</v>
      </c>
      <c r="D107" s="3">
        <v>46173</v>
      </c>
      <c r="E107">
        <v>4</v>
      </c>
      <c r="F107">
        <v>4</v>
      </c>
      <c r="G107">
        <v>5</v>
      </c>
      <c r="H107">
        <v>3</v>
      </c>
      <c r="I107" t="s">
        <v>1392</v>
      </c>
    </row>
    <row r="108" spans="1:9">
      <c r="A108" t="s">
        <v>1438</v>
      </c>
      <c r="B108" t="s">
        <v>279</v>
      </c>
      <c r="C108" t="s">
        <v>273</v>
      </c>
      <c r="D108" s="3">
        <v>46179</v>
      </c>
      <c r="E108">
        <v>4</v>
      </c>
      <c r="F108">
        <v>5</v>
      </c>
      <c r="G108">
        <v>4</v>
      </c>
      <c r="H108">
        <v>4</v>
      </c>
    </row>
    <row r="109" spans="1:9">
      <c r="A109" t="s">
        <v>1439</v>
      </c>
      <c r="B109" t="s">
        <v>708</v>
      </c>
      <c r="C109" t="s">
        <v>709</v>
      </c>
      <c r="D109" s="3">
        <v>46242</v>
      </c>
      <c r="E109">
        <v>5</v>
      </c>
      <c r="F109">
        <v>5</v>
      </c>
      <c r="G109">
        <v>5</v>
      </c>
      <c r="H109">
        <v>5</v>
      </c>
    </row>
    <row r="110" spans="1:9">
      <c r="A110" t="s">
        <v>1440</v>
      </c>
      <c r="B110" t="s">
        <v>655</v>
      </c>
      <c r="C110" t="s">
        <v>654</v>
      </c>
      <c r="D110" s="3">
        <v>46217</v>
      </c>
      <c r="E110">
        <v>5</v>
      </c>
      <c r="F110">
        <v>3</v>
      </c>
      <c r="G110">
        <v>5</v>
      </c>
      <c r="H110">
        <v>5</v>
      </c>
    </row>
    <row r="111" spans="1:9">
      <c r="A111" t="s">
        <v>1441</v>
      </c>
      <c r="B111" t="s">
        <v>793</v>
      </c>
      <c r="C111" t="s">
        <v>792</v>
      </c>
      <c r="D111" s="3">
        <v>46166</v>
      </c>
      <c r="E111">
        <v>5</v>
      </c>
      <c r="F111">
        <v>4</v>
      </c>
      <c r="G111">
        <v>5</v>
      </c>
      <c r="H111">
        <v>4</v>
      </c>
    </row>
    <row r="112" spans="1:9">
      <c r="A112" t="s">
        <v>1442</v>
      </c>
      <c r="B112" t="s">
        <v>350</v>
      </c>
      <c r="C112" t="s">
        <v>349</v>
      </c>
      <c r="D112" s="3">
        <v>46197</v>
      </c>
      <c r="E112">
        <v>5</v>
      </c>
      <c r="F112">
        <v>5</v>
      </c>
      <c r="G112">
        <v>5</v>
      </c>
      <c r="H112">
        <v>4</v>
      </c>
    </row>
    <row r="113" spans="1:9">
      <c r="A113" t="s">
        <v>1443</v>
      </c>
      <c r="B113" t="s">
        <v>922</v>
      </c>
      <c r="C113" t="s">
        <v>923</v>
      </c>
      <c r="D113" s="3">
        <v>46200</v>
      </c>
      <c r="E113">
        <v>3</v>
      </c>
      <c r="F113">
        <v>3</v>
      </c>
      <c r="G113">
        <v>3</v>
      </c>
      <c r="H113">
        <v>2</v>
      </c>
    </row>
    <row r="114" spans="1:9">
      <c r="A114" t="s">
        <v>1444</v>
      </c>
      <c r="B114" t="s">
        <v>767</v>
      </c>
      <c r="C114" t="s">
        <v>766</v>
      </c>
      <c r="D114" s="3">
        <v>46159</v>
      </c>
      <c r="E114">
        <v>5</v>
      </c>
      <c r="F114">
        <v>5</v>
      </c>
      <c r="G114">
        <v>4</v>
      </c>
      <c r="H114">
        <v>5</v>
      </c>
    </row>
    <row r="115" spans="1:9">
      <c r="A115" t="s">
        <v>1445</v>
      </c>
      <c r="B115" t="s">
        <v>521</v>
      </c>
      <c r="C115" t="s">
        <v>518</v>
      </c>
      <c r="D115" s="3">
        <v>46201</v>
      </c>
      <c r="E115">
        <v>3</v>
      </c>
      <c r="F115">
        <v>4</v>
      </c>
      <c r="G115">
        <v>3</v>
      </c>
      <c r="H115">
        <v>4</v>
      </c>
    </row>
    <row r="116" spans="1:9">
      <c r="A116" t="s">
        <v>1446</v>
      </c>
      <c r="B116" t="s">
        <v>751</v>
      </c>
      <c r="C116" t="s">
        <v>750</v>
      </c>
      <c r="D116" s="3">
        <v>46202</v>
      </c>
      <c r="E116">
        <v>4</v>
      </c>
      <c r="F116">
        <v>2</v>
      </c>
      <c r="G116">
        <v>5</v>
      </c>
      <c r="H116">
        <v>4</v>
      </c>
      <c r="I116" t="s">
        <v>1329</v>
      </c>
    </row>
    <row r="117" spans="1:9">
      <c r="A117" t="s">
        <v>1447</v>
      </c>
      <c r="B117" t="s">
        <v>636</v>
      </c>
      <c r="C117" t="s">
        <v>637</v>
      </c>
      <c r="D117" s="3">
        <v>46186</v>
      </c>
      <c r="E117">
        <v>3</v>
      </c>
      <c r="F117">
        <v>3</v>
      </c>
      <c r="G117">
        <v>2</v>
      </c>
      <c r="H117">
        <v>2</v>
      </c>
      <c r="I117" t="s">
        <v>1448</v>
      </c>
    </row>
    <row r="118" spans="1:9">
      <c r="A118" t="s">
        <v>1449</v>
      </c>
      <c r="B118" t="s">
        <v>879</v>
      </c>
      <c r="C118" t="s">
        <v>880</v>
      </c>
      <c r="D118" s="3">
        <v>46208</v>
      </c>
      <c r="E118">
        <v>5</v>
      </c>
      <c r="F118">
        <v>5</v>
      </c>
      <c r="G118">
        <v>5</v>
      </c>
      <c r="H118">
        <v>5</v>
      </c>
    </row>
    <row r="119" spans="1:9">
      <c r="A119" t="s">
        <v>1450</v>
      </c>
      <c r="B119" t="s">
        <v>301</v>
      </c>
      <c r="C119" t="s">
        <v>300</v>
      </c>
      <c r="D119" s="3">
        <v>46203</v>
      </c>
      <c r="E119">
        <v>5</v>
      </c>
      <c r="F119">
        <v>5</v>
      </c>
      <c r="G119">
        <v>4</v>
      </c>
      <c r="H119">
        <v>4</v>
      </c>
    </row>
    <row r="120" spans="1:9">
      <c r="A120" t="s">
        <v>1451</v>
      </c>
      <c r="B120" t="s">
        <v>548</v>
      </c>
      <c r="C120" t="s">
        <v>543</v>
      </c>
      <c r="D120" s="3">
        <v>46170</v>
      </c>
      <c r="E120">
        <v>5</v>
      </c>
      <c r="F120">
        <v>5</v>
      </c>
      <c r="G120">
        <v>5</v>
      </c>
      <c r="H120">
        <v>5</v>
      </c>
    </row>
    <row r="121" spans="1:9">
      <c r="A121" t="s">
        <v>1452</v>
      </c>
      <c r="B121" t="s">
        <v>421</v>
      </c>
      <c r="C121" t="s">
        <v>417</v>
      </c>
      <c r="D121" s="3">
        <v>46243</v>
      </c>
      <c r="E121">
        <v>3</v>
      </c>
      <c r="F121">
        <v>2</v>
      </c>
      <c r="G121">
        <v>4</v>
      </c>
      <c r="H121">
        <v>3</v>
      </c>
      <c r="I121" t="s">
        <v>1329</v>
      </c>
    </row>
    <row r="122" spans="1:9">
      <c r="A122" t="s">
        <v>1453</v>
      </c>
      <c r="B122" t="s">
        <v>744</v>
      </c>
      <c r="C122" t="s">
        <v>742</v>
      </c>
      <c r="D122" s="3">
        <v>46229</v>
      </c>
      <c r="E122">
        <v>5</v>
      </c>
      <c r="F122">
        <v>5</v>
      </c>
      <c r="G122">
        <v>5</v>
      </c>
      <c r="H122">
        <v>4</v>
      </c>
    </row>
    <row r="123" spans="1:9">
      <c r="A123" t="s">
        <v>1454</v>
      </c>
      <c r="B123" t="s">
        <v>578</v>
      </c>
      <c r="C123" t="s">
        <v>576</v>
      </c>
      <c r="D123" s="3">
        <v>46160</v>
      </c>
      <c r="E123">
        <v>5</v>
      </c>
      <c r="F123">
        <v>4</v>
      </c>
      <c r="G123">
        <v>5</v>
      </c>
      <c r="H123">
        <v>5</v>
      </c>
    </row>
    <row r="124" spans="1:9">
      <c r="A124" t="s">
        <v>1455</v>
      </c>
      <c r="B124" t="s">
        <v>411</v>
      </c>
      <c r="C124" t="s">
        <v>409</v>
      </c>
      <c r="D124" s="3">
        <v>46167</v>
      </c>
      <c r="E124">
        <v>5</v>
      </c>
      <c r="F124">
        <v>5</v>
      </c>
      <c r="G124">
        <v>5</v>
      </c>
      <c r="H124">
        <v>5</v>
      </c>
      <c r="I124" t="s">
        <v>1348</v>
      </c>
    </row>
    <row r="125" spans="1:9">
      <c r="A125" t="s">
        <v>1456</v>
      </c>
      <c r="B125" t="s">
        <v>228</v>
      </c>
      <c r="C125" t="s">
        <v>229</v>
      </c>
      <c r="D125" s="3">
        <v>46193</v>
      </c>
      <c r="E125">
        <v>3</v>
      </c>
      <c r="F125">
        <v>3</v>
      </c>
      <c r="G125">
        <v>3</v>
      </c>
      <c r="H125">
        <v>3</v>
      </c>
      <c r="I125" t="s">
        <v>1405</v>
      </c>
    </row>
    <row r="126" spans="1:9">
      <c r="A126" t="s">
        <v>1457</v>
      </c>
      <c r="B126" t="s">
        <v>380</v>
      </c>
      <c r="C126" t="s">
        <v>381</v>
      </c>
      <c r="D126" s="3">
        <v>46195</v>
      </c>
      <c r="E126">
        <v>5</v>
      </c>
      <c r="F126">
        <v>4</v>
      </c>
      <c r="G126">
        <v>5</v>
      </c>
      <c r="H126">
        <v>5</v>
      </c>
      <c r="I126" t="s">
        <v>1360</v>
      </c>
    </row>
    <row r="127" spans="1:9">
      <c r="A127" t="s">
        <v>1458</v>
      </c>
      <c r="B127" t="s">
        <v>490</v>
      </c>
      <c r="C127" t="s">
        <v>487</v>
      </c>
      <c r="D127" s="3">
        <v>46175</v>
      </c>
      <c r="E127">
        <v>4</v>
      </c>
      <c r="F127">
        <v>3</v>
      </c>
      <c r="G127">
        <v>4</v>
      </c>
      <c r="H127">
        <v>3</v>
      </c>
    </row>
    <row r="128" spans="1:9">
      <c r="A128" t="s">
        <v>1459</v>
      </c>
      <c r="B128" t="s">
        <v>753</v>
      </c>
      <c r="C128" t="s">
        <v>750</v>
      </c>
      <c r="D128" s="3">
        <v>46211</v>
      </c>
      <c r="E128">
        <v>3</v>
      </c>
      <c r="F128">
        <v>5</v>
      </c>
      <c r="G128">
        <v>4</v>
      </c>
      <c r="H128">
        <v>5</v>
      </c>
      <c r="I128" t="s">
        <v>1360</v>
      </c>
    </row>
    <row r="129" spans="1:9">
      <c r="A129" t="s">
        <v>1460</v>
      </c>
      <c r="B129" t="s">
        <v>430</v>
      </c>
      <c r="C129" t="s">
        <v>429</v>
      </c>
      <c r="D129" s="3">
        <v>46218</v>
      </c>
      <c r="E129">
        <v>5</v>
      </c>
      <c r="F129">
        <v>5</v>
      </c>
      <c r="G129">
        <v>5</v>
      </c>
      <c r="H129">
        <v>4</v>
      </c>
    </row>
    <row r="130" spans="1:9">
      <c r="A130" t="s">
        <v>1461</v>
      </c>
      <c r="B130" t="s">
        <v>809</v>
      </c>
      <c r="C130" t="s">
        <v>808</v>
      </c>
      <c r="D130" s="3">
        <v>46195</v>
      </c>
      <c r="E130">
        <v>4</v>
      </c>
      <c r="F130">
        <v>4</v>
      </c>
      <c r="G130">
        <v>4</v>
      </c>
      <c r="H130">
        <v>4</v>
      </c>
    </row>
    <row r="131" spans="1:9">
      <c r="A131" t="s">
        <v>1462</v>
      </c>
      <c r="B131" t="s">
        <v>263</v>
      </c>
      <c r="C131" t="s">
        <v>261</v>
      </c>
      <c r="D131" s="3">
        <v>46239</v>
      </c>
      <c r="E131">
        <v>5</v>
      </c>
      <c r="F131">
        <v>5</v>
      </c>
      <c r="G131">
        <v>5</v>
      </c>
      <c r="H131">
        <v>5</v>
      </c>
    </row>
    <row r="132" spans="1:9">
      <c r="A132" t="s">
        <v>1463</v>
      </c>
      <c r="B132" t="s">
        <v>553</v>
      </c>
      <c r="C132" t="s">
        <v>550</v>
      </c>
      <c r="D132" s="3">
        <v>46202</v>
      </c>
      <c r="E132">
        <v>4</v>
      </c>
      <c r="F132">
        <v>4</v>
      </c>
      <c r="G132">
        <v>3</v>
      </c>
      <c r="H132">
        <v>5</v>
      </c>
      <c r="I132" t="s">
        <v>1329</v>
      </c>
    </row>
    <row r="133" spans="1:9">
      <c r="A133" t="s">
        <v>1464</v>
      </c>
      <c r="B133" t="s">
        <v>621</v>
      </c>
      <c r="C133" t="s">
        <v>622</v>
      </c>
      <c r="D133" s="3">
        <v>46183</v>
      </c>
      <c r="E133">
        <v>5</v>
      </c>
      <c r="F133">
        <v>5</v>
      </c>
      <c r="G133">
        <v>5</v>
      </c>
      <c r="H133">
        <v>5</v>
      </c>
    </row>
    <row r="134" spans="1:9">
      <c r="A134" t="s">
        <v>1465</v>
      </c>
      <c r="B134" t="s">
        <v>295</v>
      </c>
      <c r="C134" t="s">
        <v>293</v>
      </c>
      <c r="D134" s="3">
        <v>46189</v>
      </c>
      <c r="E134">
        <v>2</v>
      </c>
      <c r="F134">
        <v>2</v>
      </c>
      <c r="G134">
        <v>2</v>
      </c>
      <c r="H134">
        <v>3</v>
      </c>
    </row>
    <row r="135" spans="1:9">
      <c r="A135" t="s">
        <v>1466</v>
      </c>
      <c r="B135" t="s">
        <v>331</v>
      </c>
      <c r="C135" t="s">
        <v>328</v>
      </c>
      <c r="D135" s="3">
        <v>46229</v>
      </c>
      <c r="E135">
        <v>4</v>
      </c>
      <c r="F135">
        <v>4</v>
      </c>
      <c r="G135">
        <v>3</v>
      </c>
      <c r="H135">
        <v>5</v>
      </c>
      <c r="I135" t="s">
        <v>1405</v>
      </c>
    </row>
    <row r="136" spans="1:9">
      <c r="A136" t="s">
        <v>1467</v>
      </c>
      <c r="B136" t="s">
        <v>909</v>
      </c>
      <c r="C136" t="s">
        <v>910</v>
      </c>
      <c r="D136" s="3">
        <v>46196</v>
      </c>
      <c r="E136">
        <v>4</v>
      </c>
      <c r="F136">
        <v>4</v>
      </c>
      <c r="G136">
        <v>4</v>
      </c>
      <c r="H136">
        <v>4</v>
      </c>
      <c r="I136" t="s">
        <v>1335</v>
      </c>
    </row>
    <row r="137" spans="1:9">
      <c r="A137" t="s">
        <v>1468</v>
      </c>
      <c r="B137" t="s">
        <v>344</v>
      </c>
      <c r="C137" t="s">
        <v>343</v>
      </c>
      <c r="D137" s="3">
        <v>46192</v>
      </c>
      <c r="E137">
        <v>4</v>
      </c>
      <c r="F137">
        <v>3</v>
      </c>
      <c r="G137">
        <v>4</v>
      </c>
      <c r="H137">
        <v>4</v>
      </c>
    </row>
    <row r="138" spans="1:9">
      <c r="A138" t="s">
        <v>1469</v>
      </c>
      <c r="B138" t="s">
        <v>439</v>
      </c>
      <c r="C138" t="s">
        <v>440</v>
      </c>
      <c r="D138" s="3">
        <v>46193</v>
      </c>
      <c r="E138">
        <v>4</v>
      </c>
      <c r="F138">
        <v>4</v>
      </c>
      <c r="G138">
        <v>4</v>
      </c>
      <c r="H138">
        <v>4</v>
      </c>
    </row>
    <row r="139" spans="1:9">
      <c r="A139" t="s">
        <v>1470</v>
      </c>
      <c r="B139" t="s">
        <v>426</v>
      </c>
      <c r="C139" t="s">
        <v>424</v>
      </c>
      <c r="D139" s="3">
        <v>46171</v>
      </c>
      <c r="E139">
        <v>3</v>
      </c>
      <c r="F139">
        <v>1</v>
      </c>
      <c r="G139">
        <v>4</v>
      </c>
      <c r="H139">
        <v>3</v>
      </c>
    </row>
    <row r="140" spans="1:9">
      <c r="A140" t="s">
        <v>1471</v>
      </c>
      <c r="B140" t="s">
        <v>405</v>
      </c>
      <c r="C140" t="s">
        <v>403</v>
      </c>
      <c r="D140" s="3">
        <v>46165</v>
      </c>
      <c r="E140">
        <v>4</v>
      </c>
      <c r="F140">
        <v>3</v>
      </c>
      <c r="G140">
        <v>3</v>
      </c>
      <c r="H140">
        <v>4</v>
      </c>
    </row>
    <row r="141" spans="1:9">
      <c r="A141" t="s">
        <v>1472</v>
      </c>
      <c r="B141" t="s">
        <v>582</v>
      </c>
      <c r="C141" t="s">
        <v>580</v>
      </c>
      <c r="D141" s="3">
        <v>46184</v>
      </c>
      <c r="E141">
        <v>5</v>
      </c>
      <c r="F141">
        <v>5</v>
      </c>
      <c r="G141">
        <v>4</v>
      </c>
      <c r="H141">
        <v>4</v>
      </c>
      <c r="I141" t="s">
        <v>1360</v>
      </c>
    </row>
    <row r="142" spans="1:9">
      <c r="A142" t="s">
        <v>1473</v>
      </c>
      <c r="B142" t="s">
        <v>913</v>
      </c>
      <c r="C142" t="s">
        <v>910</v>
      </c>
      <c r="D142" s="3">
        <v>46153</v>
      </c>
      <c r="E142">
        <v>3</v>
      </c>
      <c r="F142">
        <v>4</v>
      </c>
      <c r="G142">
        <v>4</v>
      </c>
      <c r="H142">
        <v>3</v>
      </c>
    </row>
    <row r="143" spans="1:9">
      <c r="A143" t="s">
        <v>1474</v>
      </c>
      <c r="B143" t="s">
        <v>562</v>
      </c>
      <c r="C143" t="s">
        <v>561</v>
      </c>
      <c r="D143" s="3">
        <v>46169</v>
      </c>
      <c r="E143">
        <v>4</v>
      </c>
      <c r="F143">
        <v>4</v>
      </c>
      <c r="G143">
        <v>4</v>
      </c>
      <c r="H143">
        <v>4</v>
      </c>
    </row>
    <row r="144" spans="1:9">
      <c r="A144" t="s">
        <v>1475</v>
      </c>
      <c r="B144" t="s">
        <v>385</v>
      </c>
      <c r="C144" t="s">
        <v>386</v>
      </c>
      <c r="D144" s="3">
        <v>46242</v>
      </c>
      <c r="E144">
        <v>4</v>
      </c>
      <c r="F144">
        <v>4</v>
      </c>
      <c r="G144">
        <v>5</v>
      </c>
      <c r="H144">
        <v>4</v>
      </c>
      <c r="I144" t="s">
        <v>1383</v>
      </c>
    </row>
    <row r="145" spans="1:9">
      <c r="A145" t="s">
        <v>1476</v>
      </c>
      <c r="B145" t="s">
        <v>476</v>
      </c>
      <c r="C145" t="s">
        <v>474</v>
      </c>
      <c r="D145" s="3">
        <v>46166</v>
      </c>
      <c r="E145">
        <v>5</v>
      </c>
      <c r="F145">
        <v>5</v>
      </c>
      <c r="G145">
        <v>5</v>
      </c>
      <c r="H145">
        <v>5</v>
      </c>
    </row>
    <row r="146" spans="1:9">
      <c r="A146" t="s">
        <v>1477</v>
      </c>
      <c r="B146" t="s">
        <v>752</v>
      </c>
      <c r="C146" t="s">
        <v>750</v>
      </c>
      <c r="D146" s="3">
        <v>46161</v>
      </c>
      <c r="E146">
        <v>4</v>
      </c>
      <c r="F146">
        <v>5</v>
      </c>
      <c r="G146">
        <v>2</v>
      </c>
      <c r="H146">
        <v>4</v>
      </c>
    </row>
    <row r="147" spans="1:9">
      <c r="A147" t="s">
        <v>1478</v>
      </c>
      <c r="B147" t="s">
        <v>951</v>
      </c>
      <c r="C147" t="s">
        <v>950</v>
      </c>
      <c r="D147" s="3">
        <v>46189</v>
      </c>
      <c r="E147">
        <v>4</v>
      </c>
      <c r="F147">
        <v>4</v>
      </c>
      <c r="G147">
        <v>3</v>
      </c>
      <c r="H147">
        <v>4</v>
      </c>
    </row>
    <row r="148" spans="1:9">
      <c r="A148" t="s">
        <v>1479</v>
      </c>
      <c r="B148" t="s">
        <v>387</v>
      </c>
      <c r="C148" t="s">
        <v>386</v>
      </c>
      <c r="D148" s="3">
        <v>46217</v>
      </c>
      <c r="E148">
        <v>4</v>
      </c>
      <c r="F148">
        <v>4</v>
      </c>
      <c r="G148">
        <v>5</v>
      </c>
      <c r="H148">
        <v>3</v>
      </c>
    </row>
    <row r="149" spans="1:9">
      <c r="A149" t="s">
        <v>1480</v>
      </c>
      <c r="B149" t="s">
        <v>438</v>
      </c>
      <c r="C149" t="s">
        <v>435</v>
      </c>
      <c r="D149" s="3">
        <v>46197</v>
      </c>
      <c r="E149">
        <v>3</v>
      </c>
      <c r="F149">
        <v>3</v>
      </c>
      <c r="G149">
        <v>3</v>
      </c>
      <c r="H149">
        <v>2</v>
      </c>
      <c r="I149" t="s">
        <v>1366</v>
      </c>
    </row>
    <row r="150" spans="1:9">
      <c r="A150" t="s">
        <v>1481</v>
      </c>
      <c r="B150" t="s">
        <v>609</v>
      </c>
      <c r="C150" t="s">
        <v>607</v>
      </c>
      <c r="D150" s="3">
        <v>46207</v>
      </c>
      <c r="E150">
        <v>4</v>
      </c>
      <c r="F150">
        <v>5</v>
      </c>
      <c r="G150">
        <v>4</v>
      </c>
      <c r="H150">
        <v>4</v>
      </c>
      <c r="I150" t="s">
        <v>1482</v>
      </c>
    </row>
    <row r="151" spans="1:9">
      <c r="A151" t="s">
        <v>1483</v>
      </c>
      <c r="B151" t="s">
        <v>188</v>
      </c>
      <c r="C151" t="s">
        <v>184</v>
      </c>
      <c r="D151" s="3">
        <v>46235</v>
      </c>
      <c r="E151">
        <v>2</v>
      </c>
      <c r="F151">
        <v>3</v>
      </c>
      <c r="G151">
        <v>4</v>
      </c>
      <c r="H151">
        <v>2</v>
      </c>
    </row>
    <row r="152" spans="1:9">
      <c r="A152" t="s">
        <v>1484</v>
      </c>
      <c r="B152" t="s">
        <v>643</v>
      </c>
      <c r="C152" t="s">
        <v>642</v>
      </c>
      <c r="D152" s="3">
        <v>46229</v>
      </c>
      <c r="E152">
        <v>5</v>
      </c>
      <c r="F152">
        <v>5</v>
      </c>
      <c r="G152">
        <v>4</v>
      </c>
      <c r="H152">
        <v>5</v>
      </c>
    </row>
    <row r="153" spans="1:9">
      <c r="A153" t="s">
        <v>1485</v>
      </c>
      <c r="B153" t="s">
        <v>568</v>
      </c>
      <c r="C153" t="s">
        <v>569</v>
      </c>
      <c r="D153" s="3">
        <v>46221</v>
      </c>
      <c r="E153">
        <v>4</v>
      </c>
      <c r="F153">
        <v>4</v>
      </c>
      <c r="G153">
        <v>4</v>
      </c>
      <c r="H153">
        <v>4</v>
      </c>
    </row>
    <row r="154" spans="1:9">
      <c r="A154" t="s">
        <v>1486</v>
      </c>
      <c r="B154" t="s">
        <v>342</v>
      </c>
      <c r="C154" t="s">
        <v>343</v>
      </c>
      <c r="D154" s="3">
        <v>46213</v>
      </c>
      <c r="E154">
        <v>5</v>
      </c>
      <c r="F154">
        <v>5</v>
      </c>
      <c r="G154">
        <v>4</v>
      </c>
      <c r="H154">
        <v>5</v>
      </c>
      <c r="I154" t="s">
        <v>1324</v>
      </c>
    </row>
    <row r="155" spans="1:9">
      <c r="A155" t="s">
        <v>1487</v>
      </c>
      <c r="B155" t="s">
        <v>952</v>
      </c>
      <c r="C155" t="s">
        <v>950</v>
      </c>
      <c r="D155" s="3">
        <v>46234</v>
      </c>
      <c r="E155">
        <v>3</v>
      </c>
      <c r="F155">
        <v>4</v>
      </c>
      <c r="G155">
        <v>4</v>
      </c>
      <c r="H155">
        <v>3</v>
      </c>
    </row>
    <row r="156" spans="1:9">
      <c r="A156" t="s">
        <v>1488</v>
      </c>
      <c r="B156" t="s">
        <v>388</v>
      </c>
      <c r="C156" t="s">
        <v>386</v>
      </c>
      <c r="D156" s="3">
        <v>46175</v>
      </c>
      <c r="E156">
        <v>5</v>
      </c>
      <c r="F156">
        <v>5</v>
      </c>
      <c r="G156">
        <v>5</v>
      </c>
      <c r="H156">
        <v>4</v>
      </c>
    </row>
    <row r="157" spans="1:9">
      <c r="A157" t="s">
        <v>1489</v>
      </c>
      <c r="B157" t="s">
        <v>757</v>
      </c>
      <c r="C157" t="s">
        <v>758</v>
      </c>
      <c r="D157" s="3">
        <v>46159</v>
      </c>
      <c r="E157">
        <v>4</v>
      </c>
      <c r="F157">
        <v>5</v>
      </c>
      <c r="G157">
        <v>4</v>
      </c>
      <c r="H157">
        <v>4</v>
      </c>
      <c r="I157" t="s">
        <v>1383</v>
      </c>
    </row>
    <row r="158" spans="1:9">
      <c r="A158" t="s">
        <v>1490</v>
      </c>
      <c r="B158" t="s">
        <v>734</v>
      </c>
      <c r="C158" t="s">
        <v>735</v>
      </c>
      <c r="D158" s="3">
        <v>46169</v>
      </c>
      <c r="E158">
        <v>5</v>
      </c>
      <c r="F158">
        <v>5</v>
      </c>
      <c r="G158">
        <v>4</v>
      </c>
      <c r="H158">
        <v>4</v>
      </c>
    </row>
    <row r="159" spans="1:9">
      <c r="A159" t="s">
        <v>1491</v>
      </c>
      <c r="B159" t="s">
        <v>777</v>
      </c>
      <c r="C159" t="s">
        <v>776</v>
      </c>
      <c r="D159" s="3">
        <v>46236</v>
      </c>
      <c r="E159">
        <v>5</v>
      </c>
      <c r="F159">
        <v>5</v>
      </c>
      <c r="G159">
        <v>5</v>
      </c>
      <c r="H159">
        <v>5</v>
      </c>
    </row>
    <row r="160" spans="1:9">
      <c r="A160" t="s">
        <v>1492</v>
      </c>
      <c r="B160" t="s">
        <v>196</v>
      </c>
      <c r="C160" t="s">
        <v>192</v>
      </c>
      <c r="D160" s="3">
        <v>46206</v>
      </c>
      <c r="E160">
        <v>2</v>
      </c>
      <c r="F160">
        <v>1</v>
      </c>
      <c r="G160">
        <v>3</v>
      </c>
      <c r="H160">
        <v>2</v>
      </c>
    </row>
    <row r="161" spans="1:9">
      <c r="A161" t="s">
        <v>1493</v>
      </c>
      <c r="B161" t="s">
        <v>633</v>
      </c>
      <c r="C161" t="s">
        <v>634</v>
      </c>
      <c r="D161" s="3">
        <v>46188</v>
      </c>
      <c r="E161">
        <v>3</v>
      </c>
      <c r="F161">
        <v>4</v>
      </c>
      <c r="G161">
        <v>3</v>
      </c>
      <c r="H161">
        <v>3</v>
      </c>
    </row>
    <row r="162" spans="1:9">
      <c r="A162" t="s">
        <v>1494</v>
      </c>
      <c r="B162" t="s">
        <v>346</v>
      </c>
      <c r="C162" t="s">
        <v>343</v>
      </c>
      <c r="D162" s="3">
        <v>46224</v>
      </c>
      <c r="E162">
        <v>5</v>
      </c>
      <c r="F162">
        <v>4</v>
      </c>
      <c r="G162">
        <v>5</v>
      </c>
      <c r="H162">
        <v>4</v>
      </c>
      <c r="I162" t="s">
        <v>1482</v>
      </c>
    </row>
    <row r="163" spans="1:9">
      <c r="A163" t="s">
        <v>1495</v>
      </c>
      <c r="B163" t="s">
        <v>502</v>
      </c>
      <c r="C163" t="s">
        <v>499</v>
      </c>
      <c r="D163" s="3">
        <v>46158</v>
      </c>
      <c r="E163">
        <v>3</v>
      </c>
      <c r="F163">
        <v>3</v>
      </c>
      <c r="G163">
        <v>4</v>
      </c>
      <c r="H163">
        <v>4</v>
      </c>
    </row>
    <row r="164" spans="1:9">
      <c r="A164" t="s">
        <v>1496</v>
      </c>
      <c r="B164" t="s">
        <v>704</v>
      </c>
      <c r="C164" t="s">
        <v>705</v>
      </c>
      <c r="D164" s="3">
        <v>46158</v>
      </c>
      <c r="E164">
        <v>5</v>
      </c>
      <c r="F164">
        <v>5</v>
      </c>
      <c r="G164">
        <v>5</v>
      </c>
      <c r="H164">
        <v>5</v>
      </c>
    </row>
    <row r="165" spans="1:9">
      <c r="A165" t="s">
        <v>1497</v>
      </c>
      <c r="B165" t="s">
        <v>431</v>
      </c>
      <c r="C165" t="s">
        <v>429</v>
      </c>
      <c r="D165" s="3">
        <v>46172</v>
      </c>
      <c r="E165">
        <v>5</v>
      </c>
      <c r="F165">
        <v>4</v>
      </c>
      <c r="G165">
        <v>5</v>
      </c>
      <c r="H165">
        <v>5</v>
      </c>
    </row>
    <row r="166" spans="1:9">
      <c r="A166" t="s">
        <v>1498</v>
      </c>
      <c r="B166" t="s">
        <v>297</v>
      </c>
      <c r="C166" t="s">
        <v>293</v>
      </c>
      <c r="D166" s="3">
        <v>46182</v>
      </c>
      <c r="E166">
        <v>4</v>
      </c>
      <c r="F166">
        <v>4</v>
      </c>
      <c r="G166">
        <v>3</v>
      </c>
      <c r="H166">
        <v>4</v>
      </c>
      <c r="I166" t="s">
        <v>1329</v>
      </c>
    </row>
    <row r="167" spans="1:9">
      <c r="A167" t="s">
        <v>1499</v>
      </c>
      <c r="B167" t="s">
        <v>698</v>
      </c>
      <c r="C167" t="s">
        <v>697</v>
      </c>
      <c r="D167" s="3">
        <v>46201</v>
      </c>
      <c r="E167">
        <v>5</v>
      </c>
      <c r="F167">
        <v>5</v>
      </c>
      <c r="G167">
        <v>5</v>
      </c>
      <c r="H167">
        <v>4</v>
      </c>
    </row>
    <row r="168" spans="1:9">
      <c r="A168" t="s">
        <v>1500</v>
      </c>
      <c r="B168" t="s">
        <v>551</v>
      </c>
      <c r="C168" t="s">
        <v>550</v>
      </c>
      <c r="D168" s="3">
        <v>46213</v>
      </c>
      <c r="E168">
        <v>5</v>
      </c>
      <c r="F168">
        <v>4</v>
      </c>
      <c r="G168">
        <v>5</v>
      </c>
      <c r="H168">
        <v>5</v>
      </c>
      <c r="I168" t="s">
        <v>1383</v>
      </c>
    </row>
    <row r="169" spans="1:9">
      <c r="A169" t="s">
        <v>1501</v>
      </c>
      <c r="B169" t="s">
        <v>427</v>
      </c>
      <c r="C169" t="s">
        <v>424</v>
      </c>
      <c r="D169" s="3">
        <v>46163</v>
      </c>
      <c r="E169">
        <v>3</v>
      </c>
      <c r="F169">
        <v>4</v>
      </c>
      <c r="G169">
        <v>3</v>
      </c>
      <c r="H169">
        <v>5</v>
      </c>
      <c r="I169" t="s">
        <v>1335</v>
      </c>
    </row>
    <row r="170" spans="1:9">
      <c r="A170" t="s">
        <v>1502</v>
      </c>
      <c r="B170" t="s">
        <v>407</v>
      </c>
      <c r="C170" t="s">
        <v>403</v>
      </c>
      <c r="D170" s="3">
        <v>46156</v>
      </c>
      <c r="E170">
        <v>2</v>
      </c>
      <c r="F170">
        <v>4</v>
      </c>
      <c r="G170">
        <v>4</v>
      </c>
      <c r="H170">
        <v>3</v>
      </c>
      <c r="I170" t="s">
        <v>1392</v>
      </c>
    </row>
    <row r="171" spans="1:9">
      <c r="A171" t="s">
        <v>1503</v>
      </c>
      <c r="B171" t="s">
        <v>619</v>
      </c>
      <c r="C171" t="s">
        <v>616</v>
      </c>
      <c r="D171" s="3">
        <v>46206</v>
      </c>
      <c r="E171">
        <v>4</v>
      </c>
      <c r="F171">
        <v>4</v>
      </c>
      <c r="G171">
        <v>4</v>
      </c>
      <c r="H171">
        <v>4</v>
      </c>
    </row>
    <row r="172" spans="1:9">
      <c r="A172" t="s">
        <v>1504</v>
      </c>
      <c r="B172" t="s">
        <v>221</v>
      </c>
      <c r="C172" t="s">
        <v>219</v>
      </c>
      <c r="D172" s="3">
        <v>46154</v>
      </c>
      <c r="E172">
        <v>5</v>
      </c>
      <c r="F172">
        <v>5</v>
      </c>
      <c r="G172">
        <v>3</v>
      </c>
      <c r="H172">
        <v>4</v>
      </c>
    </row>
    <row r="173" spans="1:9">
      <c r="A173" t="s">
        <v>1505</v>
      </c>
      <c r="B173" t="s">
        <v>271</v>
      </c>
      <c r="C173" t="s">
        <v>267</v>
      </c>
      <c r="D173" s="3">
        <v>46153</v>
      </c>
      <c r="E173">
        <v>4</v>
      </c>
      <c r="F173">
        <v>4</v>
      </c>
      <c r="G173">
        <v>4</v>
      </c>
      <c r="H173">
        <v>5</v>
      </c>
    </row>
    <row r="174" spans="1:9">
      <c r="A174" t="s">
        <v>1506</v>
      </c>
      <c r="B174" t="s">
        <v>290</v>
      </c>
      <c r="C174" t="s">
        <v>287</v>
      </c>
      <c r="D174" s="3">
        <v>46221</v>
      </c>
      <c r="E174">
        <v>4</v>
      </c>
      <c r="F174">
        <v>5</v>
      </c>
      <c r="G174">
        <v>5</v>
      </c>
      <c r="H174">
        <v>5</v>
      </c>
      <c r="I174" t="s">
        <v>1482</v>
      </c>
    </row>
    <row r="175" spans="1:9">
      <c r="A175" t="s">
        <v>1507</v>
      </c>
      <c r="B175" t="s">
        <v>266</v>
      </c>
      <c r="C175" t="s">
        <v>267</v>
      </c>
      <c r="D175" s="3">
        <v>46221</v>
      </c>
      <c r="E175">
        <v>4</v>
      </c>
      <c r="F175">
        <v>4</v>
      </c>
      <c r="G175">
        <v>3</v>
      </c>
      <c r="H175">
        <v>4</v>
      </c>
      <c r="I175" t="s">
        <v>1329</v>
      </c>
    </row>
    <row r="176" spans="1:9">
      <c r="A176" t="s">
        <v>1508</v>
      </c>
      <c r="B176" t="s">
        <v>727</v>
      </c>
      <c r="C176" t="s">
        <v>726</v>
      </c>
      <c r="D176" s="3">
        <v>46219</v>
      </c>
      <c r="E176">
        <v>5</v>
      </c>
      <c r="F176">
        <v>4</v>
      </c>
      <c r="G176">
        <v>4</v>
      </c>
      <c r="H176">
        <v>4</v>
      </c>
    </row>
    <row r="177" spans="1:9">
      <c r="A177" t="s">
        <v>1509</v>
      </c>
      <c r="B177" t="s">
        <v>465</v>
      </c>
      <c r="C177" t="s">
        <v>466</v>
      </c>
      <c r="D177" s="3">
        <v>46194</v>
      </c>
      <c r="E177">
        <v>5</v>
      </c>
      <c r="F177">
        <v>4</v>
      </c>
      <c r="G177">
        <v>5</v>
      </c>
      <c r="H177">
        <v>5</v>
      </c>
      <c r="I177" t="s">
        <v>1482</v>
      </c>
    </row>
    <row r="178" spans="1:9">
      <c r="A178" t="s">
        <v>1510</v>
      </c>
      <c r="B178" t="s">
        <v>527</v>
      </c>
      <c r="C178" t="s">
        <v>525</v>
      </c>
      <c r="D178" s="3">
        <v>46196</v>
      </c>
      <c r="E178">
        <v>5</v>
      </c>
      <c r="F178">
        <v>3</v>
      </c>
      <c r="G178">
        <v>5</v>
      </c>
      <c r="H178">
        <v>5</v>
      </c>
      <c r="I178" t="s">
        <v>1383</v>
      </c>
    </row>
    <row r="179" spans="1:9">
      <c r="A179" t="s">
        <v>1511</v>
      </c>
      <c r="B179" t="s">
        <v>785</v>
      </c>
      <c r="C179" t="s">
        <v>784</v>
      </c>
      <c r="D179" s="3">
        <v>46226</v>
      </c>
      <c r="E179">
        <v>5</v>
      </c>
      <c r="F179">
        <v>5</v>
      </c>
      <c r="G179">
        <v>5</v>
      </c>
      <c r="H179">
        <v>5</v>
      </c>
    </row>
    <row r="180" spans="1:9">
      <c r="A180" t="s">
        <v>1512</v>
      </c>
      <c r="B180" t="s">
        <v>554</v>
      </c>
      <c r="C180" t="s">
        <v>550</v>
      </c>
      <c r="D180" s="3">
        <v>46181</v>
      </c>
      <c r="E180">
        <v>4</v>
      </c>
      <c r="F180">
        <v>4</v>
      </c>
      <c r="G180">
        <v>4</v>
      </c>
      <c r="H180">
        <v>4</v>
      </c>
    </row>
    <row r="181" spans="1:9">
      <c r="A181" t="s">
        <v>1513</v>
      </c>
      <c r="B181" t="s">
        <v>368</v>
      </c>
      <c r="C181" t="s">
        <v>364</v>
      </c>
      <c r="D181" s="3">
        <v>46187</v>
      </c>
      <c r="E181">
        <v>5</v>
      </c>
      <c r="F181">
        <v>5</v>
      </c>
      <c r="G181">
        <v>4</v>
      </c>
      <c r="H181">
        <v>5</v>
      </c>
      <c r="I181" t="s">
        <v>1324</v>
      </c>
    </row>
    <row r="182" spans="1:9">
      <c r="A182" t="s">
        <v>1514</v>
      </c>
      <c r="B182" t="s">
        <v>410</v>
      </c>
      <c r="C182" t="s">
        <v>409</v>
      </c>
      <c r="D182" s="3">
        <v>46235</v>
      </c>
      <c r="E182">
        <v>5</v>
      </c>
      <c r="F182">
        <v>5</v>
      </c>
      <c r="G182">
        <v>5</v>
      </c>
      <c r="H182">
        <v>5</v>
      </c>
    </row>
    <row r="183" spans="1:9">
      <c r="A183" t="s">
        <v>1515</v>
      </c>
      <c r="B183" t="s">
        <v>436</v>
      </c>
      <c r="C183" t="s">
        <v>435</v>
      </c>
      <c r="D183" s="3">
        <v>46243</v>
      </c>
      <c r="E183">
        <v>4</v>
      </c>
      <c r="F183">
        <v>5</v>
      </c>
      <c r="G183">
        <v>5</v>
      </c>
      <c r="H183">
        <v>4</v>
      </c>
    </row>
    <row r="184" spans="1:9">
      <c r="A184" t="s">
        <v>1516</v>
      </c>
      <c r="B184" t="s">
        <v>748</v>
      </c>
      <c r="C184" t="s">
        <v>746</v>
      </c>
      <c r="D184" s="3">
        <v>46154</v>
      </c>
      <c r="E184">
        <v>5</v>
      </c>
      <c r="F184">
        <v>5</v>
      </c>
      <c r="G184">
        <v>5</v>
      </c>
      <c r="H184">
        <v>5</v>
      </c>
    </row>
    <row r="185" spans="1:9">
      <c r="A185" t="s">
        <v>1517</v>
      </c>
      <c r="B185" t="s">
        <v>519</v>
      </c>
      <c r="C185" t="s">
        <v>518</v>
      </c>
      <c r="D185" s="3">
        <v>46229</v>
      </c>
      <c r="E185">
        <v>5</v>
      </c>
      <c r="F185">
        <v>5</v>
      </c>
      <c r="G185">
        <v>4</v>
      </c>
      <c r="H185">
        <v>5</v>
      </c>
    </row>
    <row r="186" spans="1:9">
      <c r="A186" t="s">
        <v>1518</v>
      </c>
      <c r="B186" t="s">
        <v>423</v>
      </c>
      <c r="C186" t="s">
        <v>424</v>
      </c>
      <c r="D186" s="3">
        <v>46151</v>
      </c>
      <c r="E186">
        <v>4</v>
      </c>
      <c r="F186">
        <v>5</v>
      </c>
      <c r="G186">
        <v>4</v>
      </c>
      <c r="H186">
        <v>3</v>
      </c>
    </row>
    <row r="187" spans="1:9">
      <c r="A187" t="s">
        <v>1519</v>
      </c>
      <c r="B187" t="s">
        <v>856</v>
      </c>
      <c r="C187" t="s">
        <v>855</v>
      </c>
      <c r="D187" s="3">
        <v>46166</v>
      </c>
      <c r="E187">
        <v>5</v>
      </c>
      <c r="F187">
        <v>5</v>
      </c>
      <c r="G187">
        <v>5</v>
      </c>
      <c r="H187">
        <v>5</v>
      </c>
    </row>
    <row r="188" spans="1:9">
      <c r="A188" t="s">
        <v>1520</v>
      </c>
      <c r="B188" t="s">
        <v>472</v>
      </c>
      <c r="C188" t="s">
        <v>466</v>
      </c>
      <c r="D188" s="3">
        <v>46191</v>
      </c>
      <c r="E188">
        <v>4</v>
      </c>
      <c r="F188">
        <v>4</v>
      </c>
      <c r="G188">
        <v>4</v>
      </c>
      <c r="H188">
        <v>5</v>
      </c>
    </row>
    <row r="189" spans="1:9">
      <c r="A189" t="s">
        <v>1521</v>
      </c>
      <c r="B189" t="s">
        <v>695</v>
      </c>
      <c r="C189" t="s">
        <v>693</v>
      </c>
      <c r="D189" s="3">
        <v>46217</v>
      </c>
      <c r="E189">
        <v>5</v>
      </c>
      <c r="F189">
        <v>4</v>
      </c>
      <c r="G189">
        <v>5</v>
      </c>
      <c r="H189">
        <v>4</v>
      </c>
    </row>
    <row r="190" spans="1:9">
      <c r="A190" t="s">
        <v>1522</v>
      </c>
      <c r="B190" t="s">
        <v>721</v>
      </c>
      <c r="C190" t="s">
        <v>720</v>
      </c>
      <c r="D190" s="3">
        <v>46224</v>
      </c>
      <c r="E190">
        <v>4</v>
      </c>
      <c r="F190">
        <v>5</v>
      </c>
      <c r="G190">
        <v>5</v>
      </c>
      <c r="H190">
        <v>4</v>
      </c>
      <c r="I190" t="s">
        <v>1344</v>
      </c>
    </row>
    <row r="191" spans="1:9">
      <c r="A191" t="s">
        <v>1523</v>
      </c>
      <c r="B191" t="s">
        <v>903</v>
      </c>
      <c r="C191" t="s">
        <v>901</v>
      </c>
      <c r="D191" s="3">
        <v>46157</v>
      </c>
      <c r="E191">
        <v>4</v>
      </c>
      <c r="F191">
        <v>5</v>
      </c>
      <c r="G191">
        <v>5</v>
      </c>
      <c r="H191">
        <v>4</v>
      </c>
      <c r="I191" t="s">
        <v>1383</v>
      </c>
    </row>
    <row r="192" spans="1:9">
      <c r="A192" t="s">
        <v>1524</v>
      </c>
      <c r="B192" t="s">
        <v>598</v>
      </c>
      <c r="C192" t="s">
        <v>597</v>
      </c>
      <c r="D192" s="3">
        <v>46161</v>
      </c>
      <c r="E192">
        <v>4</v>
      </c>
      <c r="F192">
        <v>4</v>
      </c>
      <c r="G192">
        <v>4</v>
      </c>
      <c r="H192">
        <v>3</v>
      </c>
    </row>
    <row r="193" spans="1:9">
      <c r="A193" t="s">
        <v>1525</v>
      </c>
      <c r="B193" t="s">
        <v>675</v>
      </c>
      <c r="C193" t="s">
        <v>674</v>
      </c>
      <c r="D193" s="3">
        <v>46216</v>
      </c>
      <c r="E193">
        <v>5</v>
      </c>
      <c r="F193">
        <v>4</v>
      </c>
      <c r="G193">
        <v>4</v>
      </c>
      <c r="H193">
        <v>4</v>
      </c>
    </row>
    <row r="194" spans="1:9">
      <c r="A194" t="s">
        <v>1526</v>
      </c>
      <c r="B194" t="s">
        <v>269</v>
      </c>
      <c r="C194" t="s">
        <v>267</v>
      </c>
      <c r="D194" s="3">
        <v>46224</v>
      </c>
      <c r="E194">
        <v>5</v>
      </c>
      <c r="F194">
        <v>5</v>
      </c>
      <c r="G194">
        <v>5</v>
      </c>
      <c r="H194">
        <v>5</v>
      </c>
      <c r="I194" t="s">
        <v>1482</v>
      </c>
    </row>
    <row r="195" spans="1:9">
      <c r="A195" t="s">
        <v>1527</v>
      </c>
      <c r="B195" t="s">
        <v>464</v>
      </c>
      <c r="C195" t="s">
        <v>462</v>
      </c>
      <c r="D195" s="3">
        <v>46210</v>
      </c>
      <c r="E195">
        <v>5</v>
      </c>
      <c r="F195">
        <v>4</v>
      </c>
      <c r="G195">
        <v>4</v>
      </c>
      <c r="H195">
        <v>5</v>
      </c>
    </row>
    <row r="196" spans="1:9">
      <c r="A196" t="s">
        <v>1528</v>
      </c>
      <c r="B196" t="s">
        <v>647</v>
      </c>
      <c r="C196" t="s">
        <v>645</v>
      </c>
      <c r="D196" s="3">
        <v>46204</v>
      </c>
      <c r="E196">
        <v>4</v>
      </c>
      <c r="F196">
        <v>4</v>
      </c>
      <c r="G196">
        <v>5</v>
      </c>
      <c r="H196">
        <v>4</v>
      </c>
    </row>
    <row r="197" spans="1:9">
      <c r="A197" t="s">
        <v>1529</v>
      </c>
      <c r="B197" t="s">
        <v>509</v>
      </c>
      <c r="C197" t="s">
        <v>508</v>
      </c>
      <c r="D197" s="3">
        <v>46160</v>
      </c>
      <c r="E197">
        <v>4</v>
      </c>
      <c r="F197">
        <v>5</v>
      </c>
      <c r="G197">
        <v>3</v>
      </c>
      <c r="H197">
        <v>5</v>
      </c>
    </row>
    <row r="198" spans="1:9">
      <c r="A198" t="s">
        <v>1530</v>
      </c>
      <c r="B198" t="s">
        <v>703</v>
      </c>
      <c r="C198" t="s">
        <v>702</v>
      </c>
      <c r="D198" s="3">
        <v>46194</v>
      </c>
      <c r="E198">
        <v>5</v>
      </c>
      <c r="F198">
        <v>5</v>
      </c>
      <c r="G198">
        <v>5</v>
      </c>
      <c r="H198">
        <v>5</v>
      </c>
    </row>
    <row r="199" spans="1:9">
      <c r="A199" t="s">
        <v>1531</v>
      </c>
      <c r="B199" t="s">
        <v>276</v>
      </c>
      <c r="C199" t="s">
        <v>273</v>
      </c>
      <c r="D199" s="3">
        <v>46178</v>
      </c>
      <c r="E199">
        <v>4</v>
      </c>
      <c r="F199">
        <v>3</v>
      </c>
      <c r="G199">
        <v>4</v>
      </c>
      <c r="H199">
        <v>3</v>
      </c>
    </row>
    <row r="200" spans="1:9">
      <c r="A200" t="s">
        <v>1532</v>
      </c>
      <c r="B200" t="s">
        <v>929</v>
      </c>
      <c r="C200" t="s">
        <v>926</v>
      </c>
      <c r="D200" s="3">
        <v>46184</v>
      </c>
      <c r="E200">
        <v>5</v>
      </c>
      <c r="F200">
        <v>4</v>
      </c>
      <c r="G200">
        <v>5</v>
      </c>
      <c r="H200">
        <v>5</v>
      </c>
      <c r="I200" t="s">
        <v>1360</v>
      </c>
    </row>
    <row r="201" spans="1:9">
      <c r="A201" t="s">
        <v>1533</v>
      </c>
      <c r="B201" t="s">
        <v>420</v>
      </c>
      <c r="C201" t="s">
        <v>417</v>
      </c>
      <c r="D201" s="3">
        <v>46202</v>
      </c>
      <c r="E201">
        <v>5</v>
      </c>
      <c r="F201">
        <v>5</v>
      </c>
      <c r="G201">
        <v>5</v>
      </c>
      <c r="H201">
        <v>4</v>
      </c>
    </row>
    <row r="202" spans="1:9">
      <c r="A202" t="s">
        <v>1534</v>
      </c>
      <c r="B202" t="s">
        <v>706</v>
      </c>
      <c r="C202" t="s">
        <v>705</v>
      </c>
      <c r="D202" s="3">
        <v>46206</v>
      </c>
      <c r="E202">
        <v>2</v>
      </c>
      <c r="F202">
        <v>2</v>
      </c>
      <c r="G202">
        <v>4</v>
      </c>
      <c r="H202">
        <v>4</v>
      </c>
    </row>
    <row r="203" spans="1:9">
      <c r="A203" t="s">
        <v>1535</v>
      </c>
      <c r="B203" t="s">
        <v>614</v>
      </c>
      <c r="C203" t="s">
        <v>613</v>
      </c>
      <c r="D203" s="3">
        <v>46166</v>
      </c>
      <c r="E203">
        <v>5</v>
      </c>
      <c r="F203">
        <v>4</v>
      </c>
      <c r="G203">
        <v>5</v>
      </c>
      <c r="H203">
        <v>5</v>
      </c>
      <c r="I203" t="s">
        <v>1482</v>
      </c>
    </row>
    <row r="204" spans="1:9">
      <c r="A204" t="s">
        <v>1536</v>
      </c>
      <c r="B204" t="s">
        <v>874</v>
      </c>
      <c r="C204" t="s">
        <v>872</v>
      </c>
      <c r="D204" s="3">
        <v>46170</v>
      </c>
      <c r="E204">
        <v>5</v>
      </c>
      <c r="F204">
        <v>5</v>
      </c>
      <c r="G204">
        <v>5</v>
      </c>
      <c r="H204">
        <v>5</v>
      </c>
    </row>
    <row r="205" spans="1:9">
      <c r="A205" t="s">
        <v>1537</v>
      </c>
      <c r="B205" t="s">
        <v>714</v>
      </c>
      <c r="C205" t="s">
        <v>713</v>
      </c>
      <c r="D205" s="3">
        <v>46219</v>
      </c>
      <c r="E205">
        <v>4</v>
      </c>
      <c r="F205">
        <v>5</v>
      </c>
      <c r="G205">
        <v>4</v>
      </c>
      <c r="H205">
        <v>4</v>
      </c>
      <c r="I205" t="s">
        <v>1344</v>
      </c>
    </row>
    <row r="206" spans="1:9">
      <c r="A206" t="s">
        <v>1538</v>
      </c>
      <c r="B206" t="s">
        <v>341</v>
      </c>
      <c r="C206" t="s">
        <v>338</v>
      </c>
      <c r="D206" s="3">
        <v>46153</v>
      </c>
      <c r="E206">
        <v>4</v>
      </c>
      <c r="F206">
        <v>4</v>
      </c>
      <c r="G206">
        <v>5</v>
      </c>
      <c r="H206">
        <v>3</v>
      </c>
    </row>
    <row r="207" spans="1:9">
      <c r="A207" t="s">
        <v>1539</v>
      </c>
      <c r="B207" t="s">
        <v>453</v>
      </c>
      <c r="C207" t="s">
        <v>452</v>
      </c>
      <c r="D207" s="3">
        <v>46237</v>
      </c>
      <c r="E207">
        <v>5</v>
      </c>
      <c r="F207">
        <v>5</v>
      </c>
      <c r="G207">
        <v>5</v>
      </c>
      <c r="H207">
        <v>5</v>
      </c>
      <c r="I207" t="s">
        <v>1348</v>
      </c>
    </row>
    <row r="208" spans="1:9">
      <c r="A208" t="s">
        <v>1540</v>
      </c>
      <c r="B208" t="s">
        <v>482</v>
      </c>
      <c r="C208" t="s">
        <v>481</v>
      </c>
      <c r="D208" s="3">
        <v>46237</v>
      </c>
      <c r="E208">
        <v>5</v>
      </c>
      <c r="F208">
        <v>5</v>
      </c>
      <c r="G208">
        <v>4</v>
      </c>
      <c r="H208">
        <v>5</v>
      </c>
    </row>
    <row r="209" spans="1:9">
      <c r="A209" t="s">
        <v>1541</v>
      </c>
      <c r="B209" t="s">
        <v>433</v>
      </c>
      <c r="C209" t="s">
        <v>429</v>
      </c>
      <c r="D209" s="3">
        <v>46229</v>
      </c>
      <c r="E209">
        <v>3</v>
      </c>
      <c r="F209">
        <v>2</v>
      </c>
      <c r="G209">
        <v>3</v>
      </c>
      <c r="H209">
        <v>3</v>
      </c>
    </row>
    <row r="210" spans="1:9">
      <c r="A210" t="s">
        <v>1542</v>
      </c>
      <c r="B210" t="s">
        <v>934</v>
      </c>
      <c r="C210" t="s">
        <v>933</v>
      </c>
      <c r="D210" s="3">
        <v>46176</v>
      </c>
      <c r="E210">
        <v>3</v>
      </c>
      <c r="F210">
        <v>4</v>
      </c>
      <c r="G210">
        <v>3</v>
      </c>
      <c r="H210">
        <v>2</v>
      </c>
    </row>
    <row r="211" spans="1:9">
      <c r="A211" t="s">
        <v>1543</v>
      </c>
      <c r="B211" t="s">
        <v>918</v>
      </c>
      <c r="C211" t="s">
        <v>917</v>
      </c>
      <c r="D211" s="3">
        <v>46188</v>
      </c>
      <c r="E211">
        <v>5</v>
      </c>
      <c r="F211">
        <v>4</v>
      </c>
      <c r="G211">
        <v>5</v>
      </c>
      <c r="H211">
        <v>4</v>
      </c>
    </row>
    <row r="212" spans="1:9">
      <c r="A212" t="s">
        <v>1544</v>
      </c>
      <c r="B212" t="s">
        <v>905</v>
      </c>
      <c r="C212" t="s">
        <v>906</v>
      </c>
      <c r="D212" s="3">
        <v>46216</v>
      </c>
      <c r="E212">
        <v>4</v>
      </c>
      <c r="F212">
        <v>4</v>
      </c>
      <c r="G212">
        <v>3</v>
      </c>
      <c r="H212">
        <v>3</v>
      </c>
    </row>
    <row r="213" spans="1:9">
      <c r="A213" t="s">
        <v>1545</v>
      </c>
      <c r="B213" t="s">
        <v>326</v>
      </c>
      <c r="C213" t="s">
        <v>323</v>
      </c>
      <c r="D213" s="3">
        <v>46199</v>
      </c>
      <c r="E213">
        <v>4</v>
      </c>
      <c r="F213">
        <v>3</v>
      </c>
      <c r="G213">
        <v>4</v>
      </c>
      <c r="H213">
        <v>4</v>
      </c>
    </row>
    <row r="214" spans="1:9">
      <c r="A214" t="s">
        <v>1546</v>
      </c>
      <c r="B214" t="s">
        <v>450</v>
      </c>
      <c r="C214" t="s">
        <v>448</v>
      </c>
      <c r="D214" s="3">
        <v>46208</v>
      </c>
      <c r="E214">
        <v>3</v>
      </c>
      <c r="F214">
        <v>3</v>
      </c>
      <c r="G214">
        <v>3</v>
      </c>
      <c r="H214">
        <v>3</v>
      </c>
    </row>
    <row r="215" spans="1:9">
      <c r="A215" t="s">
        <v>1547</v>
      </c>
      <c r="B215" t="s">
        <v>298</v>
      </c>
      <c r="C215" t="s">
        <v>293</v>
      </c>
      <c r="D215" s="3">
        <v>46171</v>
      </c>
      <c r="E215">
        <v>3</v>
      </c>
      <c r="F215">
        <v>4</v>
      </c>
      <c r="G215">
        <v>4</v>
      </c>
      <c r="H215">
        <v>2</v>
      </c>
    </row>
    <row r="216" spans="1:9">
      <c r="A216" t="s">
        <v>1548</v>
      </c>
      <c r="B216" t="s">
        <v>497</v>
      </c>
      <c r="C216" t="s">
        <v>493</v>
      </c>
      <c r="D216" s="3">
        <v>46166</v>
      </c>
      <c r="E216">
        <v>4</v>
      </c>
      <c r="F216">
        <v>4</v>
      </c>
      <c r="G216">
        <v>4</v>
      </c>
      <c r="H216">
        <v>5</v>
      </c>
    </row>
    <row r="217" spans="1:9">
      <c r="A217" t="s">
        <v>1549</v>
      </c>
      <c r="B217" t="s">
        <v>259</v>
      </c>
      <c r="C217" t="s">
        <v>256</v>
      </c>
      <c r="D217" s="3">
        <v>46191</v>
      </c>
      <c r="E217">
        <v>4</v>
      </c>
      <c r="F217">
        <v>3</v>
      </c>
      <c r="G217">
        <v>3</v>
      </c>
      <c r="H217">
        <v>3</v>
      </c>
    </row>
    <row r="218" spans="1:9">
      <c r="A218" t="s">
        <v>1550</v>
      </c>
      <c r="B218" t="s">
        <v>280</v>
      </c>
      <c r="C218" t="s">
        <v>281</v>
      </c>
      <c r="D218" s="3">
        <v>46187</v>
      </c>
      <c r="E218">
        <v>5</v>
      </c>
      <c r="F218">
        <v>3</v>
      </c>
      <c r="G218">
        <v>5</v>
      </c>
      <c r="H218">
        <v>5</v>
      </c>
    </row>
    <row r="219" spans="1:9">
      <c r="A219" t="s">
        <v>1551</v>
      </c>
      <c r="B219" t="s">
        <v>635</v>
      </c>
      <c r="C219" t="s">
        <v>634</v>
      </c>
      <c r="D219" s="3">
        <v>46190</v>
      </c>
      <c r="E219">
        <v>5</v>
      </c>
      <c r="F219">
        <v>5</v>
      </c>
      <c r="G219">
        <v>4</v>
      </c>
      <c r="H219">
        <v>5</v>
      </c>
    </row>
    <row r="220" spans="1:9">
      <c r="A220" t="s">
        <v>1552</v>
      </c>
      <c r="B220" t="s">
        <v>615</v>
      </c>
      <c r="C220" t="s">
        <v>616</v>
      </c>
      <c r="D220" s="3">
        <v>46229</v>
      </c>
      <c r="E220">
        <v>3</v>
      </c>
      <c r="F220">
        <v>3</v>
      </c>
      <c r="G220">
        <v>3</v>
      </c>
      <c r="H220">
        <v>3</v>
      </c>
    </row>
    <row r="221" spans="1:9">
      <c r="A221" t="s">
        <v>1553</v>
      </c>
      <c r="B221" t="s">
        <v>322</v>
      </c>
      <c r="C221" t="s">
        <v>323</v>
      </c>
      <c r="D221" s="3">
        <v>46193</v>
      </c>
      <c r="E221">
        <v>5</v>
      </c>
      <c r="F221">
        <v>5</v>
      </c>
      <c r="G221">
        <v>5</v>
      </c>
      <c r="H221">
        <v>5</v>
      </c>
      <c r="I221" t="s">
        <v>1348</v>
      </c>
    </row>
    <row r="222" spans="1:9">
      <c r="A222" t="s">
        <v>1554</v>
      </c>
      <c r="B222" t="s">
        <v>762</v>
      </c>
      <c r="C222" t="s">
        <v>761</v>
      </c>
      <c r="D222" s="3">
        <v>46171</v>
      </c>
      <c r="E222">
        <v>5</v>
      </c>
      <c r="F222">
        <v>5</v>
      </c>
      <c r="G222">
        <v>5</v>
      </c>
      <c r="H222">
        <v>5</v>
      </c>
    </row>
    <row r="223" spans="1:9">
      <c r="A223" t="s">
        <v>1555</v>
      </c>
      <c r="B223" t="s">
        <v>638</v>
      </c>
      <c r="C223" t="s">
        <v>637</v>
      </c>
      <c r="D223" s="3">
        <v>46200</v>
      </c>
      <c r="E223">
        <v>4</v>
      </c>
      <c r="F223">
        <v>4</v>
      </c>
      <c r="G223">
        <v>5</v>
      </c>
      <c r="H223">
        <v>4</v>
      </c>
      <c r="I223" t="s">
        <v>1324</v>
      </c>
    </row>
    <row r="224" spans="1:9">
      <c r="A224" t="s">
        <v>1556</v>
      </c>
      <c r="B224" t="s">
        <v>284</v>
      </c>
      <c r="C224" t="s">
        <v>281</v>
      </c>
      <c r="D224" s="3">
        <v>46184</v>
      </c>
      <c r="E224">
        <v>3</v>
      </c>
      <c r="F224">
        <v>3</v>
      </c>
      <c r="G224">
        <v>2</v>
      </c>
      <c r="H224">
        <v>3</v>
      </c>
    </row>
    <row r="225" spans="1:9">
      <c r="A225" t="s">
        <v>1557</v>
      </c>
      <c r="B225" t="s">
        <v>700</v>
      </c>
      <c r="C225" t="s">
        <v>697</v>
      </c>
      <c r="D225" s="3">
        <v>46162</v>
      </c>
      <c r="E225">
        <v>4</v>
      </c>
      <c r="F225">
        <v>4</v>
      </c>
      <c r="G225">
        <v>4</v>
      </c>
      <c r="H225">
        <v>4</v>
      </c>
      <c r="I225" t="s">
        <v>1335</v>
      </c>
    </row>
    <row r="226" spans="1:9">
      <c r="A226" t="s">
        <v>1558</v>
      </c>
      <c r="B226" t="s">
        <v>850</v>
      </c>
      <c r="C226" t="s">
        <v>848</v>
      </c>
      <c r="D226" s="3">
        <v>46157</v>
      </c>
      <c r="E226">
        <v>4</v>
      </c>
      <c r="F226">
        <v>4</v>
      </c>
      <c r="G226">
        <v>3</v>
      </c>
      <c r="H226">
        <v>4</v>
      </c>
    </row>
    <row r="227" spans="1:9">
      <c r="A227" t="s">
        <v>1559</v>
      </c>
      <c r="B227" t="s">
        <v>369</v>
      </c>
      <c r="C227" t="s">
        <v>364</v>
      </c>
      <c r="D227" s="3">
        <v>46225</v>
      </c>
      <c r="E227">
        <v>4</v>
      </c>
      <c r="F227">
        <v>4</v>
      </c>
      <c r="G227">
        <v>3</v>
      </c>
      <c r="H227">
        <v>3</v>
      </c>
    </row>
    <row r="228" spans="1:9">
      <c r="A228" t="s">
        <v>1560</v>
      </c>
      <c r="B228" t="s">
        <v>876</v>
      </c>
      <c r="C228" t="s">
        <v>877</v>
      </c>
      <c r="D228" s="3">
        <v>46223</v>
      </c>
      <c r="E228">
        <v>5</v>
      </c>
      <c r="F228">
        <v>5</v>
      </c>
      <c r="G228">
        <v>4</v>
      </c>
      <c r="H228">
        <v>5</v>
      </c>
    </row>
    <row r="229" spans="1:9">
      <c r="A229" t="s">
        <v>1561</v>
      </c>
      <c r="B229" t="s">
        <v>318</v>
      </c>
      <c r="C229" t="s">
        <v>314</v>
      </c>
      <c r="D229" s="3">
        <v>46221</v>
      </c>
      <c r="E229">
        <v>4</v>
      </c>
      <c r="F229">
        <v>4</v>
      </c>
      <c r="G229">
        <v>4</v>
      </c>
      <c r="H229">
        <v>4</v>
      </c>
    </row>
    <row r="230" spans="1:9">
      <c r="A230" t="s">
        <v>1562</v>
      </c>
      <c r="B230" t="s">
        <v>837</v>
      </c>
      <c r="C230" t="s">
        <v>835</v>
      </c>
      <c r="D230" s="3">
        <v>46228</v>
      </c>
      <c r="E230">
        <v>4</v>
      </c>
      <c r="F230">
        <v>3</v>
      </c>
      <c r="G230">
        <v>4</v>
      </c>
      <c r="H230">
        <v>5</v>
      </c>
      <c r="I230" t="s">
        <v>1392</v>
      </c>
    </row>
    <row r="231" spans="1:9">
      <c r="A231" t="s">
        <v>1563</v>
      </c>
      <c r="B231" t="s">
        <v>677</v>
      </c>
      <c r="C231" t="s">
        <v>674</v>
      </c>
      <c r="D231" s="3">
        <v>46195</v>
      </c>
      <c r="E231">
        <v>5</v>
      </c>
      <c r="F231">
        <v>5</v>
      </c>
      <c r="G231">
        <v>5</v>
      </c>
      <c r="H231">
        <v>5</v>
      </c>
    </row>
    <row r="232" spans="1:9">
      <c r="A232" t="s">
        <v>1564</v>
      </c>
      <c r="B232" t="s">
        <v>468</v>
      </c>
      <c r="C232" t="s">
        <v>466</v>
      </c>
      <c r="D232" s="3">
        <v>46172</v>
      </c>
      <c r="E232">
        <v>1</v>
      </c>
      <c r="F232">
        <v>2</v>
      </c>
      <c r="G232">
        <v>1</v>
      </c>
      <c r="H232">
        <v>3</v>
      </c>
    </row>
    <row r="233" spans="1:9">
      <c r="A233" t="s">
        <v>1565</v>
      </c>
      <c r="B233" t="s">
        <v>798</v>
      </c>
      <c r="C233" t="s">
        <v>796</v>
      </c>
      <c r="D233" s="3">
        <v>46171</v>
      </c>
      <c r="E233">
        <v>5</v>
      </c>
      <c r="F233">
        <v>5</v>
      </c>
      <c r="G233">
        <v>5</v>
      </c>
      <c r="H233">
        <v>5</v>
      </c>
    </row>
    <row r="234" spans="1:9">
      <c r="A234" t="s">
        <v>1566</v>
      </c>
      <c r="B234" t="s">
        <v>631</v>
      </c>
      <c r="C234" t="s">
        <v>630</v>
      </c>
      <c r="D234" s="3">
        <v>46171</v>
      </c>
      <c r="E234">
        <v>4</v>
      </c>
      <c r="F234">
        <v>4</v>
      </c>
      <c r="G234">
        <v>4</v>
      </c>
      <c r="H234">
        <v>5</v>
      </c>
      <c r="I234" t="s">
        <v>1324</v>
      </c>
    </row>
    <row r="235" spans="1:9">
      <c r="A235" t="s">
        <v>1567</v>
      </c>
      <c r="B235" t="s">
        <v>447</v>
      </c>
      <c r="C235" t="s">
        <v>448</v>
      </c>
      <c r="D235" s="3">
        <v>46229</v>
      </c>
      <c r="E235">
        <v>4</v>
      </c>
      <c r="F235">
        <v>4</v>
      </c>
      <c r="G235">
        <v>4</v>
      </c>
      <c r="H235">
        <v>3</v>
      </c>
      <c r="I235" t="s">
        <v>1392</v>
      </c>
    </row>
    <row r="236" spans="1:9">
      <c r="A236" t="s">
        <v>1568</v>
      </c>
      <c r="B236" t="s">
        <v>587</v>
      </c>
      <c r="C236" t="s">
        <v>586</v>
      </c>
      <c r="D236" s="3">
        <v>46196</v>
      </c>
      <c r="E236">
        <v>2</v>
      </c>
      <c r="F236">
        <v>2</v>
      </c>
      <c r="G236">
        <v>2</v>
      </c>
      <c r="H236">
        <v>2</v>
      </c>
      <c r="I236" t="s">
        <v>1569</v>
      </c>
    </row>
    <row r="237" spans="1:9">
      <c r="A237" t="s">
        <v>1570</v>
      </c>
      <c r="B237" t="s">
        <v>252</v>
      </c>
      <c r="C237" t="s">
        <v>253</v>
      </c>
      <c r="D237" s="3">
        <v>46168</v>
      </c>
      <c r="E237">
        <v>5</v>
      </c>
      <c r="F237">
        <v>5</v>
      </c>
      <c r="G237">
        <v>4</v>
      </c>
      <c r="H237">
        <v>5</v>
      </c>
      <c r="I237" t="s">
        <v>1360</v>
      </c>
    </row>
    <row r="238" spans="1:9">
      <c r="A238" t="s">
        <v>1571</v>
      </c>
      <c r="B238" t="s">
        <v>531</v>
      </c>
      <c r="C238" t="s">
        <v>530</v>
      </c>
      <c r="D238" s="3">
        <v>46237</v>
      </c>
      <c r="E238">
        <v>2</v>
      </c>
      <c r="F238">
        <v>2</v>
      </c>
      <c r="G238">
        <v>3</v>
      </c>
      <c r="H238">
        <v>4</v>
      </c>
      <c r="I238" t="s">
        <v>1427</v>
      </c>
    </row>
    <row r="239" spans="1:9">
      <c r="A239" t="s">
        <v>1572</v>
      </c>
      <c r="B239" t="s">
        <v>592</v>
      </c>
      <c r="C239" t="s">
        <v>591</v>
      </c>
      <c r="D239" s="3">
        <v>46165</v>
      </c>
      <c r="E239">
        <v>5</v>
      </c>
      <c r="F239">
        <v>5</v>
      </c>
      <c r="G239">
        <v>5</v>
      </c>
      <c r="H239">
        <v>5</v>
      </c>
    </row>
    <row r="240" spans="1:9">
      <c r="A240" t="s">
        <v>1573</v>
      </c>
      <c r="B240" t="s">
        <v>688</v>
      </c>
      <c r="C240" t="s">
        <v>689</v>
      </c>
      <c r="D240" s="3">
        <v>46201</v>
      </c>
      <c r="E240">
        <v>3</v>
      </c>
      <c r="F240">
        <v>2</v>
      </c>
      <c r="G240">
        <v>3</v>
      </c>
      <c r="H240">
        <v>3</v>
      </c>
    </row>
  </sheetData>
  <conditionalFormatting sqref="E2:E240">
    <cfRule type="colorScale" priority="1">
      <colorScale>
        <cfvo type="min"/>
        <cfvo type="percentile" val="50"/>
        <cfvo type="max"/>
        <color rgb="FFFEE2E2"/>
        <color rgb="FFFEF3C7"/>
        <color rgb="FFDCFCE7"/>
      </colorScale>
    </cfRule>
  </conditionalFormatting>
  <conditionalFormatting sqref="F2:F240">
    <cfRule type="colorScale" priority="2">
      <colorScale>
        <cfvo type="min"/>
        <cfvo type="percentile" val="50"/>
        <cfvo type="max"/>
        <color rgb="FFFEE2E2"/>
        <color rgb="FFFEF3C7"/>
        <color rgb="FFDCFCE7"/>
      </colorScale>
    </cfRule>
  </conditionalFormatting>
  <conditionalFormatting sqref="G2:G240">
    <cfRule type="colorScale" priority="3">
      <colorScale>
        <cfvo type="min"/>
        <cfvo type="percentile" val="50"/>
        <cfvo type="max"/>
        <color rgb="FFFEE2E2"/>
        <color rgb="FFFEF3C7"/>
        <color rgb="FFDCFCE7"/>
      </colorScale>
    </cfRule>
  </conditionalFormatting>
  <conditionalFormatting sqref="H2:H240">
    <cfRule type="colorScale" priority="4">
      <colorScale>
        <cfvo type="min"/>
        <cfvo type="percentile" val="50"/>
        <cfvo type="max"/>
        <color rgb="FFFEE2E2"/>
        <color rgb="FFFEF3C7"/>
        <color rgb="FFDCFCE7"/>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Executive Summary</vt:lpstr>
      <vt:lpstr>Policy Reference</vt:lpstr>
      <vt:lpstr>Trips_Raw</vt:lpstr>
      <vt:lpstr>Trips_Workbook</vt:lpstr>
      <vt:lpstr>Calculations</vt:lpstr>
      <vt:lpstr>Spend &amp; Booking Analysis</vt:lpstr>
      <vt:lpstr>Compliance Analysis</vt:lpstr>
      <vt:lpstr>Changes_Cancellations_Analysis</vt:lpstr>
      <vt:lpstr>Feedback &amp; SP Analysis</vt:lpstr>
      <vt:lpstr>Service Performance</vt:lpstr>
      <vt:lpstr>Sustainability_Analysis</vt:lpstr>
      <vt:lpstr>Travellers</vt:lpstr>
      <vt:lpstr>Airlines</vt:lpstr>
      <vt:lpstr>Hotels</vt:lpstr>
      <vt:lpstr>Trip Changes</vt:lpstr>
      <vt:lpstr>Trip Cancellations</vt:lpstr>
      <vt:lpstr>Traveller 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Anna Kozyra ec2478222</cp:lastModifiedBy>
  <dcterms:modified xsi:type="dcterms:W3CDTF">2026-09-09T15:32:59Z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7377ac-e5ac-4c41-ba53-0bbd98a190e5_Enabled">
    <vt:lpwstr>true</vt:lpwstr>
  </property>
  <property fmtid="{D5CDD505-2E9C-101B-9397-08002B2CF9AE}" pid="3" name="MSIP_Label_917377ac-e5ac-4c41-ba53-0bbd98a190e5_SetDate">
    <vt:lpwstr>2026-08-21T09:58:18Z</vt:lpwstr>
  </property>
  <property fmtid="{D5CDD505-2E9C-101B-9397-08002B2CF9AE}" pid="4" name="MSIP_Label_917377ac-e5ac-4c41-ba53-0bbd98a190e5_Method">
    <vt:lpwstr>Standard</vt:lpwstr>
  </property>
  <property fmtid="{D5CDD505-2E9C-101B-9397-08002B2CF9AE}" pid="5" name="MSIP_Label_917377ac-e5ac-4c41-ba53-0bbd98a190e5_Name">
    <vt:lpwstr>AIP Sensitivity Labels</vt:lpwstr>
  </property>
  <property fmtid="{D5CDD505-2E9C-101B-9397-08002B2CF9AE}" pid="6" name="MSIP_Label_917377ac-e5ac-4c41-ba53-0bbd98a190e5_SiteId">
    <vt:lpwstr>de73f96d-8ea1-4b80-a6a2-5165bfd494db</vt:lpwstr>
  </property>
  <property fmtid="{D5CDD505-2E9C-101B-9397-08002B2CF9AE}" pid="7" name="MSIP_Label_917377ac-e5ac-4c41-ba53-0bbd98a190e5_ActionId">
    <vt:lpwstr>9db1166f-0b7b-47fa-9273-2329780afa15</vt:lpwstr>
  </property>
  <property fmtid="{D5CDD505-2E9C-101B-9397-08002B2CF9AE}" pid="8" name="MSIP_Label_917377ac-e5ac-4c41-ba53-0bbd98a190e5_ContentBits">
    <vt:lpwstr>0</vt:lpwstr>
  </property>
  <property fmtid="{D5CDD505-2E9C-101B-9397-08002B2CF9AE}" pid="9" name="MSIP_Label_917377ac-e5ac-4c41-ba53-0bbd98a190e5_Tag">
    <vt:lpwstr>50, 3, 0, 1</vt:lpwstr>
  </property>
</Properties>
</file>